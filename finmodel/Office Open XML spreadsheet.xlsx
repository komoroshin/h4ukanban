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PI Dashboard" sheetId="1" state="visible" r:id="rId1"/>
    <sheet name="Scenarios" sheetId="2" state="visible" r:id="rId2"/>
    <sheet name="Assumptions" sheetId="3" state="visible" r:id="rId3"/>
    <sheet name="Description" sheetId="4" state="visible" r:id="rId4"/>
    <sheet name="Settings" sheetId="5" state="visible" r:id="rId5"/>
    <sheet name="Roadmap" sheetId="6" state="visible" r:id="rId6"/>
    <sheet name="Payroll" sheetId="7" state="visible" r:id="rId7"/>
    <sheet name="Projections" sheetId="8" state="visible" r:id="rId8"/>
    <sheet name="Charts" sheetId="9" state="visible" r:id="rId9"/>
    <sheet name="For Pitchdeck" sheetId="10" state="visible" r:id="rId10"/>
    <sheet name="Monthly forecast" sheetId="11" state="visible" r:id="rId11"/>
    <sheet name="Unit economics" sheetId="12" state="visible" r:id="rId12"/>
    <sheet name="P&amp;L | Cash Flow | Balance" sheetId="13" state="visible" r:id="rId13"/>
    <sheet name="Cap Table" sheetId="14" state="visible" r:id="rId14"/>
    <sheet name="Dividends" sheetId="15" state="visible" r:id="rId15"/>
    <sheet name="Exit Scenarios" sheetId="16" state="visible" r:id="rId16"/>
    <sheet name="Data for charts" sheetId="17" state="visible" r:id="rId17"/>
    <sheet name="Unit Economics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61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u val="single"/>
    </font>
    <font>
      <color rgb="FF0000FF"/>
      <u val="single"/>
    </font>
    <font/>
    <font>
      <name val="Arial"/>
      <color rgb="FF0000FF"/>
      <u val="single"/>
    </font>
    <font>
      <name val="Arial"/>
      <b val="1"/>
      <color rgb="FFFFFFFF"/>
      <sz val="14"/>
    </font>
    <font>
      <name val="Arial"/>
      <color theme="1"/>
      <sz val="12"/>
    </font>
    <font>
      <name val="Arial"/>
      <b val="1"/>
      <color rgb="FF0000FF"/>
    </font>
    <font>
      <name val="Arial"/>
      <b val="1"/>
      <color theme="1"/>
    </font>
    <font>
      <name val="Arial"/>
      <color rgb="FFFFFFFF"/>
      <sz val="12"/>
    </font>
    <font>
      <name val="Arial"/>
      <color rgb="FF0000FF"/>
    </font>
    <font>
      <name val="Arial"/>
      <i val="1"/>
      <color theme="1"/>
    </font>
    <font>
      <name val="Arial"/>
      <b val="1"/>
      <color rgb="FF02A3A3"/>
      <sz val="11"/>
    </font>
    <font>
      <name val="Arial"/>
      <color rgb="FF000000"/>
    </font>
    <font>
      <name val="Arial"/>
      <color rgb="FF000000"/>
      <sz val="12"/>
    </font>
    <font>
      <name val="Arial"/>
      <b val="1"/>
      <color rgb="FF000000"/>
    </font>
    <font>
      <name val="Arial"/>
      <b val="1"/>
      <color rgb="FF02A3A3"/>
      <sz val="12"/>
    </font>
    <font>
      <name val="Arial"/>
      <color rgb="FF02A3A3"/>
      <sz val="12"/>
    </font>
    <font>
      <name val="Arial"/>
      <b val="1"/>
      <color rgb="FF666666"/>
      <sz val="14"/>
    </font>
    <font>
      <name val="Arial"/>
      <b val="1"/>
      <color rgb="FF02A3A3"/>
      <sz val="19"/>
    </font>
    <font>
      <name val="Arial"/>
      <b val="1"/>
      <color rgb="FF0B5394"/>
      <sz val="14"/>
    </font>
    <font>
      <name val="Arial"/>
      <color rgb="FF02A3A3"/>
    </font>
    <font>
      <name val="Calibri"/>
      <b val="1"/>
      <color rgb="FFFFFFFF"/>
    </font>
    <font>
      <name val="Arial"/>
      <i val="1"/>
      <color rgb="FF02A3A3"/>
      <sz val="11"/>
    </font>
    <font>
      <name val="Calibri"/>
      <i val="1"/>
      <color theme="1"/>
    </font>
    <font>
      <name val="Calibri"/>
      <i val="1"/>
      <color theme="1"/>
      <sz val="12"/>
    </font>
    <font>
      <name val="Calibri"/>
      <color rgb="FFFFFFFF"/>
    </font>
    <font>
      <name val="Arial"/>
      <b val="1"/>
      <color rgb="FF02A3A3"/>
    </font>
    <font>
      <name val="Arial"/>
      <b val="1"/>
      <color rgb="FF0B5394"/>
    </font>
    <font>
      <name val="Arial"/>
      <b val="1"/>
      <color rgb="FFFF0000"/>
    </font>
    <font>
      <name val="Arial"/>
      <color rgb="FFFF0000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2"/>
    </font>
    <font>
      <name val="Arial"/>
      <color rgb="FFFFFFFF"/>
    </font>
    <font>
      <name val="Arial"/>
      <b val="1"/>
      <color rgb="FFFFFFFF"/>
    </font>
    <font>
      <name val="Arial"/>
      <color rgb="FF1F1F1F"/>
      <sz val="11"/>
    </font>
    <font>
      <name val="Arial"/>
      <b val="1"/>
      <color rgb="002F75B5"/>
      <sz val="18"/>
    </font>
    <font>
      <name val="Arial"/>
      <b val="1"/>
      <sz val="16"/>
    </font>
    <font>
      <name val="Arial"/>
      <i val="1"/>
      <color rgb="007F7F7F"/>
      <sz val="10"/>
    </font>
    <font>
      <name val="Arial"/>
      <b val="1"/>
      <color rgb="002F75B5"/>
      <sz val="12"/>
    </font>
    <font>
      <name val="Arial"/>
      <sz val="11"/>
    </font>
    <font>
      <name val="Arial"/>
      <b val="1"/>
      <sz val="11"/>
    </font>
    <font>
      <name val="Arial"/>
      <i val="1"/>
      <color rgb="007F7F7F"/>
      <sz val="9"/>
    </font>
    <font>
      <name val="Arial"/>
      <b val="1"/>
      <color rgb="00C00000"/>
      <sz val="12"/>
    </font>
    <font>
      <name val="Arial"/>
      <color rgb="00C00000"/>
      <sz val="10"/>
    </font>
    <font>
      <name val="Arial"/>
      <b val="1"/>
      <color rgb="00FFFFFF"/>
      <sz val="14"/>
    </font>
    <font>
      <name val="Arial"/>
      <b val="1"/>
      <color rgb="002F75B5"/>
      <sz val="11"/>
    </font>
    <font>
      <name val="Arial"/>
      <sz val="10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0"/>
    </font>
    <font>
      <name val="Arial"/>
      <b val="1"/>
      <color rgb="002F75B5"/>
      <sz val="10"/>
    </font>
    <font>
      <name val="Arial"/>
      <b val="1"/>
      <color rgb="00C65911"/>
      <sz val="12"/>
    </font>
    <font>
      <name val="Arial"/>
      <i val="1"/>
      <color rgb="00C00000"/>
      <sz val="10"/>
    </font>
    <font>
      <name val="Arial"/>
      <b val="1"/>
      <color rgb="00C65911"/>
      <sz val="11"/>
    </font>
    <font>
      <b val="1"/>
      <sz val="12"/>
    </font>
    <font>
      <b val="1"/>
    </font>
    <font>
      <b val="1"/>
      <sz val="14"/>
    </font>
  </fonts>
  <fills count="18">
    <fill>
      <patternFill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2F75B5"/>
        <bgColor rgb="002F75B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</fills>
  <borders count="56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2A3A3"/>
      </left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</border>
    <border>
      <left style="thin">
        <color rgb="FF02A3A3"/>
      </left>
      <right style="thin">
        <color rgb="FF000000"/>
      </right>
      <top style="thin">
        <color rgb="FF000000"/>
      </top>
      <bottom style="thin">
        <color rgb="FF02A3A3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3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8" fillId="3" borderId="9" applyAlignment="1" pivotButton="0" quotePrefix="0" xfId="0">
      <alignment horizontal="center" vertical="center" wrapText="1"/>
    </xf>
    <xf numFmtId="0" fontId="5" fillId="0" borderId="9" pivotButton="0" quotePrefix="0" xfId="0"/>
    <xf numFmtId="0" fontId="5" fillId="0" borderId="11" pivotButton="0" quotePrefix="0" xfId="0"/>
    <xf numFmtId="0" fontId="9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0" fillId="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0" fillId="3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9" fontId="12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6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167" fontId="1" fillId="4" borderId="0" applyAlignment="1" pivotButton="0" quotePrefix="0" xfId="0">
      <alignment vertical="center"/>
    </xf>
    <xf numFmtId="9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0" fontId="1" fillId="4" borderId="13" pivotButton="0" quotePrefix="0" xfId="0"/>
    <xf numFmtId="0" fontId="13" fillId="4" borderId="0" applyAlignment="1" pivotButton="0" quotePrefix="0" xfId="0">
      <alignment vertical="center"/>
    </xf>
    <xf numFmtId="0" fontId="1" fillId="4" borderId="0" pivotButton="0" quotePrefix="0" xfId="0"/>
    <xf numFmtId="0" fontId="2" fillId="2" borderId="14" applyAlignment="1" pivotButton="0" quotePrefix="0" xfId="0">
      <alignment vertical="center"/>
    </xf>
    <xf numFmtId="0" fontId="1" fillId="2" borderId="14" pivotButton="0" quotePrefix="0" xfId="0"/>
    <xf numFmtId="0" fontId="2" fillId="2" borderId="15" pivotButton="0" quotePrefix="0" xfId="0"/>
    <xf numFmtId="0" fontId="1" fillId="2" borderId="16" pivotButton="0" quotePrefix="0" xfId="0"/>
    <xf numFmtId="0" fontId="1" fillId="4" borderId="17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4" borderId="20" pivotButton="0" quotePrefix="0" xfId="0"/>
    <xf numFmtId="0" fontId="1" fillId="4" borderId="21" pivotButton="0" quotePrefix="0" xfId="0"/>
    <xf numFmtId="0" fontId="1" fillId="5" borderId="22" pivotButton="0" quotePrefix="0" xfId="0"/>
    <xf numFmtId="0" fontId="20" fillId="5" borderId="23" applyAlignment="1" pivotButton="0" quotePrefix="0" xfId="0">
      <alignment vertical="center" wrapText="1"/>
    </xf>
    <xf numFmtId="0" fontId="21" fillId="5" borderId="23" applyAlignment="1" pivotButton="0" quotePrefix="0" xfId="0">
      <alignment horizontal="center" vertical="center"/>
    </xf>
    <xf numFmtId="0" fontId="1" fillId="5" borderId="24" pivotButton="0" quotePrefix="0" xfId="0"/>
    <xf numFmtId="0" fontId="22" fillId="4" borderId="25" applyAlignment="1" pivotButton="0" quotePrefix="0" xfId="0">
      <alignment horizontal="center" vertical="center" wrapText="1"/>
    </xf>
    <xf numFmtId="0" fontId="1" fillId="5" borderId="26" applyAlignment="1" pivotButton="0" quotePrefix="0" xfId="0">
      <alignment vertical="center"/>
    </xf>
    <xf numFmtId="0" fontId="23" fillId="5" borderId="26" pivotButton="0" quotePrefix="0" xfId="0"/>
    <xf numFmtId="0" fontId="1" fillId="5" borderId="27" pivotButton="0" quotePrefix="0" xfId="0"/>
    <xf numFmtId="0" fontId="1" fillId="4" borderId="25" pivotButton="0" quotePrefix="0" xfId="0"/>
    <xf numFmtId="0" fontId="1" fillId="5" borderId="28" pivotButton="0" quotePrefix="0" xfId="0"/>
    <xf numFmtId="0" fontId="20" fillId="5" borderId="29" applyAlignment="1" pivotButton="0" quotePrefix="0" xfId="0">
      <alignment vertical="center" wrapText="1"/>
    </xf>
    <xf numFmtId="164" fontId="21" fillId="5" borderId="29" applyAlignment="1" pivotButton="0" quotePrefix="0" xfId="0">
      <alignment horizontal="center" vertical="center"/>
    </xf>
    <xf numFmtId="0" fontId="1" fillId="5" borderId="30" pivotButton="0" quotePrefix="0" xfId="0"/>
    <xf numFmtId="0" fontId="1" fillId="0" borderId="9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4" fillId="2" borderId="0" applyAlignment="1" pivotButton="0" quotePrefix="0" xfId="0">
      <alignment horizontal="right" vertical="center"/>
    </xf>
    <xf numFmtId="0" fontId="24" fillId="2" borderId="10" applyAlignment="1" pivotButton="0" quotePrefix="0" xfId="0">
      <alignment horizontal="right" vertical="center"/>
    </xf>
    <xf numFmtId="0" fontId="25" fillId="6" borderId="0" applyAlignment="1" pivotButton="0" quotePrefix="0" xfId="0">
      <alignment vertical="center" wrapText="1"/>
    </xf>
    <xf numFmtId="0" fontId="5" fillId="0" borderId="10" pivotButton="0" quotePrefix="0" xfId="0"/>
    <xf numFmtId="166" fontId="1" fillId="0" borderId="1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 vertical="center"/>
    </xf>
    <xf numFmtId="166" fontId="10" fillId="0" borderId="1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/>
    </xf>
    <xf numFmtId="166" fontId="10" fillId="0" borderId="9" applyAlignment="1" pivotButton="0" quotePrefix="0" xfId="0">
      <alignment vertical="center"/>
    </xf>
    <xf numFmtId="166" fontId="10" fillId="0" borderId="9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center" vertical="center" wrapText="1"/>
    </xf>
    <xf numFmtId="170" fontId="26" fillId="6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171" fontId="24" fillId="7" borderId="0" applyAlignment="1" pivotButton="0" quotePrefix="0" xfId="0">
      <alignment horizontal="right" vertical="center"/>
    </xf>
    <xf numFmtId="171" fontId="2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1" fillId="7" borderId="0" applyAlignment="1" pivotButton="0" quotePrefix="0" xfId="0">
      <alignment vertical="center"/>
    </xf>
    <xf numFmtId="0" fontId="29" fillId="0" borderId="0" pivotButton="0" quotePrefix="0" xfId="0"/>
    <xf numFmtId="0" fontId="29" fillId="0" borderId="0" applyAlignment="1" pivotButton="0" quotePrefix="0" xfId="0">
      <alignment vertical="center"/>
    </xf>
    <xf numFmtId="0" fontId="10" fillId="0" borderId="0" pivotButton="0" quotePrefix="0" xfId="0"/>
    <xf numFmtId="3" fontId="1" fillId="0" borderId="9" pivotButton="0" quotePrefix="0" xfId="0"/>
    <xf numFmtId="3" fontId="1" fillId="0" borderId="9" applyAlignment="1" pivotButton="0" quotePrefix="0" xfId="0">
      <alignment vertical="center"/>
    </xf>
    <xf numFmtId="164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vertical="center"/>
    </xf>
    <xf numFmtId="3" fontId="10" fillId="0" borderId="0" pivotButton="0" quotePrefix="0" xfId="0"/>
    <xf numFmtId="3" fontId="10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0" pivotButton="0" quotePrefix="0" xfId="0"/>
    <xf numFmtId="164" fontId="1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pivotButton="0" quotePrefix="0" xfId="0"/>
    <xf numFmtId="164" fontId="11" fillId="7" borderId="0" applyAlignment="1" pivotButton="0" quotePrefix="0" xfId="0">
      <alignment vertical="center"/>
    </xf>
    <xf numFmtId="164" fontId="29" fillId="0" borderId="0" pivotButton="0" quotePrefix="0" xfId="0"/>
    <xf numFmtId="164" fontId="2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10" fillId="0" borderId="0" pivotButton="0" quotePrefix="0" xfId="0"/>
    <xf numFmtId="164" fontId="3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26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170" fontId="1" fillId="6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72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2" fontId="10" fillId="8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6" borderId="0" applyAlignment="1" pivotButton="0" quotePrefix="0" xfId="0">
      <alignment horizontal="center" vertical="center" wrapText="1"/>
    </xf>
    <xf numFmtId="170" fontId="34" fillId="6" borderId="0" applyAlignment="1" pivotButton="0" quotePrefix="0" xfId="0">
      <alignment horizontal="center" vertical="center" wrapText="1"/>
    </xf>
    <xf numFmtId="0" fontId="34" fillId="6" borderId="0" applyAlignment="1" pivotButton="0" quotePrefix="0" xfId="0">
      <alignment horizontal="center" vertical="center" wrapText="1"/>
    </xf>
    <xf numFmtId="0" fontId="35" fillId="6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 wrapText="1"/>
    </xf>
    <xf numFmtId="17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2" fillId="2" borderId="31" applyAlignment="1" pivotButton="0" quotePrefix="0" xfId="0">
      <alignment wrapText="1"/>
    </xf>
    <xf numFmtId="0" fontId="1" fillId="2" borderId="32" pivotButton="0" quotePrefix="0" xfId="0"/>
    <xf numFmtId="0" fontId="1" fillId="2" borderId="33" pivotButton="0" quotePrefix="0" xfId="0"/>
    <xf numFmtId="0" fontId="11" fillId="2" borderId="34" applyAlignment="1" pivotButton="0" quotePrefix="0" xfId="0">
      <alignment wrapText="1"/>
    </xf>
    <xf numFmtId="165" fontId="11" fillId="2" borderId="0" applyAlignment="1" pivotButton="0" quotePrefix="0" xfId="0">
      <alignment horizontal="right" wrapText="1"/>
    </xf>
    <xf numFmtId="0" fontId="1" fillId="2" borderId="0" pivotButton="0" quotePrefix="0" xfId="0"/>
    <xf numFmtId="0" fontId="1" fillId="2" borderId="35" pivotButton="0" quotePrefix="0" xfId="0"/>
    <xf numFmtId="0" fontId="1" fillId="0" borderId="34" pivotButton="0" quotePrefix="0" xfId="0"/>
    <xf numFmtId="0" fontId="1" fillId="0" borderId="35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29" fillId="0" borderId="34" pivotButton="0" quotePrefix="0" xfId="0"/>
    <xf numFmtId="169" fontId="1" fillId="0" borderId="0" pivotButton="0" quotePrefix="0" xfId="0"/>
    <xf numFmtId="169" fontId="1" fillId="0" borderId="35" pivotButton="0" quotePrefix="0" xfId="0"/>
    <xf numFmtId="0" fontId="1" fillId="3" borderId="34" pivotButton="0" quotePrefix="0" xfId="0"/>
    <xf numFmtId="169" fontId="10" fillId="3" borderId="0" applyAlignment="1" pivotButton="0" quotePrefix="0" xfId="0">
      <alignment horizontal="center" wrapText="1"/>
    </xf>
    <xf numFmtId="169" fontId="10" fillId="3" borderId="35" applyAlignment="1" pivotButton="0" quotePrefix="0" xfId="0">
      <alignment horizontal="center" wrapText="1"/>
    </xf>
    <xf numFmtId="0" fontId="1" fillId="0" borderId="34" applyAlignment="1" pivotButton="0" quotePrefix="0" xfId="0">
      <alignment wrapText="1"/>
    </xf>
    <xf numFmtId="164" fontId="12" fillId="0" borderId="0" applyAlignment="1" pivotButton="0" quotePrefix="0" xfId="0">
      <alignment horizontal="right" vertical="center" wrapText="1"/>
    </xf>
    <xf numFmtId="3" fontId="12" fillId="0" borderId="35" applyAlignment="1" pivotButton="0" quotePrefix="0" xfId="0">
      <alignment horizontal="right" vertical="center" wrapText="1"/>
    </xf>
    <xf numFmtId="169" fontId="1" fillId="0" borderId="0" applyAlignment="1" pivotButton="0" quotePrefix="0" xfId="0">
      <alignment vertical="center"/>
    </xf>
    <xf numFmtId="3" fontId="1" fillId="0" borderId="35" applyAlignment="1" pivotButton="0" quotePrefix="0" xfId="0">
      <alignment vertical="center"/>
    </xf>
    <xf numFmtId="0" fontId="1" fillId="0" borderId="34" applyAlignment="1" pivotButton="0" quotePrefix="0" xfId="0">
      <alignment vertical="bottom"/>
    </xf>
    <xf numFmtId="164" fontId="1" fillId="0" borderId="0" applyAlignment="1" pivotButton="0" quotePrefix="0" xfId="0">
      <alignment horizontal="right" vertical="center" wrapText="1"/>
    </xf>
    <xf numFmtId="3" fontId="1" fillId="0" borderId="35" applyAlignment="1" pivotButton="0" quotePrefix="0" xfId="0">
      <alignment horizontal="right" vertical="center" wrapText="1"/>
    </xf>
    <xf numFmtId="0" fontId="1" fillId="0" borderId="35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0" fontId="10" fillId="0" borderId="34" applyAlignment="1" pivotButton="0" quotePrefix="0" xfId="0">
      <alignment wrapText="1"/>
    </xf>
    <xf numFmtId="3" fontId="10" fillId="0" borderId="35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9" fontId="12" fillId="0" borderId="35" applyAlignment="1" pivotButton="0" quotePrefix="0" xfId="0">
      <alignment horizontal="right" vertical="center" wrapText="1"/>
    </xf>
    <xf numFmtId="9" fontId="1" fillId="0" borderId="35" applyAlignment="1" pivotButton="0" quotePrefix="0" xfId="0">
      <alignment horizontal="right" vertical="center" wrapText="1"/>
    </xf>
    <xf numFmtId="0" fontId="1" fillId="0" borderId="36" pivotButton="0" quotePrefix="0" xfId="0"/>
    <xf numFmtId="164" fontId="12" fillId="0" borderId="37" applyAlignment="1" pivotButton="0" quotePrefix="0" xfId="0">
      <alignment horizontal="right" vertical="center" wrapText="1"/>
    </xf>
    <xf numFmtId="3" fontId="1" fillId="0" borderId="37" applyAlignment="1" pivotButton="0" quotePrefix="0" xfId="0">
      <alignment horizontal="right" vertical="center" wrapText="1"/>
    </xf>
    <xf numFmtId="9" fontId="10" fillId="0" borderId="38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9" fontId="1" fillId="0" borderId="0" applyAlignment="1" pivotButton="0" quotePrefix="0" xfId="0">
      <alignment horizontal="right" vertical="center" wrapText="1"/>
    </xf>
    <xf numFmtId="3" fontId="10" fillId="0" borderId="37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36" fillId="2" borderId="14" pivotButton="0" quotePrefix="0" xfId="0"/>
    <xf numFmtId="0" fontId="37" fillId="2" borderId="15" applyAlignment="1" pivotButton="0" quotePrefix="0" xfId="0">
      <alignment horizontal="center"/>
    </xf>
    <xf numFmtId="0" fontId="5" fillId="0" borderId="16" pivotButton="0" quotePrefix="0" xfId="0"/>
    <xf numFmtId="0" fontId="36" fillId="0" borderId="0" pivotButton="0" quotePrefix="0" xfId="0"/>
    <xf numFmtId="0" fontId="37" fillId="2" borderId="14" pivotButton="0" quotePrefix="0" xfId="0"/>
    <xf numFmtId="164" fontId="10" fillId="0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6" fillId="2" borderId="39" pivotButton="0" quotePrefix="0" xfId="0"/>
    <xf numFmtId="0" fontId="37" fillId="2" borderId="40" applyAlignment="1" pivotButton="0" quotePrefix="0" xfId="0">
      <alignment horizontal="center"/>
    </xf>
    <xf numFmtId="0" fontId="5" fillId="0" borderId="41" pivotButton="0" quotePrefix="0" xfId="0"/>
    <xf numFmtId="0" fontId="5" fillId="0" borderId="42" pivotButton="0" quotePrefix="0" xfId="0"/>
    <xf numFmtId="0" fontId="1" fillId="0" borderId="0" applyAlignment="1" pivotButton="0" quotePrefix="0" xfId="0">
      <alignment vertical="bottom"/>
    </xf>
    <xf numFmtId="0" fontId="1" fillId="3" borderId="43" applyAlignment="1" pivotButton="0" quotePrefix="0" xfId="0">
      <alignment vertical="bottom"/>
    </xf>
    <xf numFmtId="0" fontId="10" fillId="3" borderId="0" applyAlignment="1" pivotButton="0" quotePrefix="0" xfId="0">
      <alignment horizontal="center" vertical="bottom"/>
    </xf>
    <xf numFmtId="0" fontId="10" fillId="3" borderId="10" applyAlignment="1" pivotButton="0" quotePrefix="0" xfId="0">
      <alignment horizontal="center" vertical="bottom"/>
    </xf>
    <xf numFmtId="0" fontId="1" fillId="3" borderId="43" pivotButton="0" quotePrefix="0" xfId="0"/>
    <xf numFmtId="9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10" pivotButton="0" quotePrefix="0" xfId="0"/>
    <xf numFmtId="0" fontId="1" fillId="3" borderId="12" pivotButton="0" quotePrefix="0" xfId="0"/>
    <xf numFmtId="9" fontId="1" fillId="0" borderId="9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9" pivotButton="0" quotePrefix="0" xfId="0"/>
    <xf numFmtId="164" fontId="1" fillId="0" borderId="11" pivotButton="0" quotePrefix="0" xfId="0"/>
    <xf numFmtId="0" fontId="37" fillId="2" borderId="15" pivotButton="0" quotePrefix="0" xfId="0"/>
    <xf numFmtId="0" fontId="10" fillId="3" borderId="16" pivotButton="0" quotePrefix="0" xfId="0"/>
    <xf numFmtId="164" fontId="9" fillId="3" borderId="16" applyAlignment="1" pivotButton="0" quotePrefix="0" xfId="0">
      <alignment horizontal="right"/>
    </xf>
    <xf numFmtId="0" fontId="9" fillId="3" borderId="16" applyAlignment="1" pivotButton="0" quotePrefix="0" xfId="0">
      <alignment horizontal="right"/>
    </xf>
    <xf numFmtId="0" fontId="37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3" fillId="0" borderId="0" pivotButton="0" quotePrefix="0" xfId="0"/>
    <xf numFmtId="164" fontId="38" fillId="5" borderId="0" pivotButton="0" quotePrefix="0" xfId="0"/>
    <xf numFmtId="0" fontId="38" fillId="5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4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9" fillId="3" borderId="46" applyAlignment="1" pivotButton="0" quotePrefix="0" xfId="0">
      <alignment horizontal="center" vertical="center"/>
    </xf>
    <xf numFmtId="0" fontId="1" fillId="0" borderId="46" applyAlignment="1" pivotButton="0" quotePrefix="0" xfId="0">
      <alignment vertical="center" wrapText="1"/>
    </xf>
    <xf numFmtId="0" fontId="10" fillId="3" borderId="46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0" fillId="3" borderId="4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0" fontId="25" fillId="6" borderId="11" applyAlignment="1" pivotButton="0" quotePrefix="0" xfId="0">
      <alignment vertical="center" wrapText="1"/>
    </xf>
    <xf numFmtId="0" fontId="0" fillId="0" borderId="10" pivotButton="0" quotePrefix="0" xfId="0"/>
    <xf numFmtId="0" fontId="37" fillId="2" borderId="14" applyAlignment="1" pivotButton="0" quotePrefix="0" xfId="0">
      <alignment horizontal="center"/>
    </xf>
    <xf numFmtId="0" fontId="0" fillId="0" borderId="16" pivotButton="0" quotePrefix="0" xfId="0"/>
    <xf numFmtId="164" fontId="10" fillId="0" borderId="14" applyAlignment="1" pivotButton="0" quotePrefix="0" xfId="0">
      <alignment horizontal="center"/>
    </xf>
    <xf numFmtId="0" fontId="37" fillId="2" borderId="48" applyAlignment="1" pivotButton="0" quotePrefix="0" xfId="0">
      <alignment horizontal="center"/>
    </xf>
    <xf numFmtId="0" fontId="0" fillId="0" borderId="41" pivotButton="0" quotePrefix="0" xfId="0"/>
    <xf numFmtId="0" fontId="37" fillId="2" borderId="50" applyAlignment="1" pivotButton="0" quotePrefix="0" xfId="0">
      <alignment horizontal="center"/>
    </xf>
    <xf numFmtId="0" fontId="0" fillId="0" borderId="42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1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right" vertical="center"/>
    </xf>
    <xf numFmtId="0" fontId="45" fillId="0" borderId="0" pivotButton="0" quotePrefix="0" xfId="0"/>
    <xf numFmtId="0" fontId="46" fillId="11" borderId="0" pivotButton="0" quotePrefix="0" xfId="0"/>
    <xf numFmtId="0" fontId="47" fillId="0" borderId="0" pivotButton="0" quotePrefix="0" xfId="0"/>
    <xf numFmtId="0" fontId="48" fillId="12" borderId="0" pivotButton="0" quotePrefix="0" xfId="0"/>
    <xf numFmtId="0" fontId="49" fillId="10" borderId="0" pivotButton="0" quotePrefix="0" xfId="0"/>
    <xf numFmtId="0" fontId="50" fillId="0" borderId="0" pivotButton="0" quotePrefix="0" xfId="0"/>
    <xf numFmtId="0" fontId="51" fillId="13" borderId="0" pivotButton="0" quotePrefix="0" xfId="0"/>
    <xf numFmtId="0" fontId="52" fillId="14" borderId="0" pivotButton="0" quotePrefix="0" xfId="0"/>
    <xf numFmtId="0" fontId="53" fillId="15" borderId="51" applyAlignment="1" pivotButton="0" quotePrefix="0" xfId="0">
      <alignment horizontal="center" vertical="center"/>
    </xf>
    <xf numFmtId="0" fontId="54" fillId="0" borderId="0" pivotButton="0" quotePrefix="0" xfId="0"/>
    <xf numFmtId="0" fontId="50" fillId="0" borderId="51" pivotButton="0" quotePrefix="0" xfId="0"/>
    <xf numFmtId="0" fontId="53" fillId="10" borderId="51" applyAlignment="1" pivotButton="0" quotePrefix="0" xfId="0">
      <alignment horizontal="center" vertical="center"/>
    </xf>
    <xf numFmtId="0" fontId="53" fillId="13" borderId="51" applyAlignment="1" pivotButton="0" quotePrefix="0" xfId="0">
      <alignment horizontal="center" vertical="center"/>
    </xf>
    <xf numFmtId="0" fontId="53" fillId="14" borderId="51" applyAlignment="1" pivotButton="0" quotePrefix="0" xfId="0">
      <alignment horizontal="center" vertical="center"/>
    </xf>
    <xf numFmtId="0" fontId="55" fillId="11" borderId="0" pivotButton="0" quotePrefix="0" xfId="0"/>
    <xf numFmtId="0" fontId="56" fillId="0" borderId="0" pivotButton="0" quotePrefix="0" xfId="0"/>
    <xf numFmtId="0" fontId="53" fillId="15" borderId="51" applyAlignment="1" pivotButton="0" quotePrefix="0" xfId="0">
      <alignment horizontal="center" vertical="center" wrapText="1"/>
    </xf>
    <xf numFmtId="0" fontId="50" fillId="0" borderId="51" applyAlignment="1" pivotButton="0" quotePrefix="0" xfId="0">
      <alignment vertical="top" wrapText="1"/>
    </xf>
    <xf numFmtId="0" fontId="53" fillId="0" borderId="51" applyAlignment="1" pivotButton="0" quotePrefix="0" xfId="0">
      <alignment horizontal="center" vertical="top" wrapText="1"/>
    </xf>
    <xf numFmtId="0" fontId="53" fillId="16" borderId="51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57" fillId="11" borderId="0" pivotButton="0" quotePrefix="0" xfId="0"/>
    <xf numFmtId="0" fontId="58" fillId="10" borderId="0" pivotButton="0" quotePrefix="0" xfId="0"/>
    <xf numFmtId="0" fontId="59" fillId="17" borderId="0" pivotButton="0" quotePrefix="0" xfId="0"/>
    <xf numFmtId="0" fontId="60" fillId="0" borderId="0" pivotButton="0" quotePrefix="0" xfId="0"/>
    <xf numFmtId="0" fontId="59" fillId="11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 xml:space="preserve">Monthly revenue vs Expenses | 5-year projection 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061625470"/>
        <axId val="348155107"/>
      </barChart>
      <catAx>
        <axId val="1061625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48155107"/>
        <lblOffset val="100"/>
      </catAx>
      <valAx>
        <axId val="34815510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61625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cked"/>
        <ser>
          <idx val="0"/>
          <order val="0"/>
          <tx>
            <strRef>
              <f>'Data for charts'!$A$95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738428658"/>
        <axId val="919309403"/>
      </barChart>
      <catAx>
        <axId val="738428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19309403"/>
        <lblOffset val="100"/>
      </catAx>
      <valAx>
        <axId val="9193094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8428658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'For Pitchdeck'!$B$4</f>
            </strRef>
          </tx>
          <spPr>
            <a:solidFill>
              <a:srgbClr val="02A3A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Pitchdeck'!$C$4:$G$4</f>
              <numCache/>
            </numRef>
          </val>
        </ser>
        <ser>
          <idx val="1"/>
          <order val="1"/>
          <tx>
            <strRef>
              <f>'For Pitchdeck'!$B$5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Pitchdeck'!$C$5:$G$5</f>
              <numCache/>
            </numRef>
          </val>
        </ser>
        <ser>
          <idx val="2"/>
          <order val="2"/>
          <tx>
            <strRef>
              <f>'For Pitchdeck'!$B$6</f>
            </strRef>
          </tx>
          <spPr>
            <a:solidFill>
              <a:srgbClr val="B7E1C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Pitchdeck'!$C$6:$G$6</f>
              <numCache/>
            </numRef>
          </val>
        </ser>
        <gapWidth val="150"/>
        <overlap val="100"/>
        <axId val="368678553"/>
        <axId val="779465441"/>
      </barChart>
      <catAx>
        <axId val="3686785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79465441"/>
        <lblOffset val="100"/>
      </catAx>
      <valAx>
        <axId val="7794654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68678553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'For Pitchdeck'!$B$7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Pitchdeck'!$C$7:$G$7</f>
              <numCache/>
            </numRef>
          </val>
        </ser>
        <gapWidth val="150"/>
        <axId val="1347463882"/>
        <axId val="735722232"/>
      </barChart>
      <catAx>
        <axId val="134746388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5722232"/>
        <lblOffset val="100"/>
      </catAx>
      <valAx>
        <axId val="73572223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47463882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102278360"/>
        <axId val="584339499"/>
      </barChart>
      <catAx>
        <axId val="11022783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4339499"/>
        <lblOffset val="100"/>
      </catAx>
      <valAx>
        <axId val="5843394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0227836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charts'!$A$95</f>
            </strRef>
          </tx>
          <spPr>
            <a:solidFill>
              <a:srgbClr val="F6B26B"/>
            </a:solidFill>
            <a:ln cmpd="sng">
              <a:solidFill>
                <a:srgbClr val="F6B26B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586905076"/>
        <axId val="896466901"/>
      </barChart>
      <catAx>
        <axId val="58690507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96466901"/>
        <lblOffset val="100"/>
      </catAx>
      <valAx>
        <axId val="8964669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6905076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847725</colOff>
      <row>26</row>
      <rowOff>161925</rowOff>
    </from>
    <ext cx="4486275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26</row>
      <rowOff>161925</rowOff>
    </from>
    <ext cx="897255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1276350</colOff>
      <row>3</row>
      <rowOff>38100</rowOff>
    </from>
    <ext cx="5000625" cy="30861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5</col>
      <colOff>352425</colOff>
      <row>20</row>
      <rowOff>219075</rowOff>
    </from>
    <ext cx="4667250" cy="20002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257175</colOff>
      <row>45</row>
      <rowOff>95250</rowOff>
    </from>
    <ext cx="8972550" cy="39052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257175</colOff>
      <row>3</row>
      <rowOff>38100</rowOff>
    </from>
    <ext cx="5000625" cy="30861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9525</colOff>
      <row>9</row>
      <rowOff>9525</rowOff>
    </from>
    <ext cx="6257925" cy="2238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9525</colOff>
      <row>20</row>
      <rowOff>152400</rowOff>
    </from>
    <ext cx="6257925" cy="22383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952500</colOff>
      <row>8</row>
      <rowOff>180975</rowOff>
    </from>
    <ext cx="3371850" cy="2076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180975</colOff>
      <row>48</row>
      <rowOff>161925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0</col>
      <colOff>0</colOff>
      <row>25</row>
      <rowOff>190500</rowOff>
    </from>
    <ext cx="956310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0</col>
      <colOff>123825</colOff>
      <row>71</row>
      <rowOff>133350</rowOff>
    </from>
    <ext cx="5715000" cy="35337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133350</colOff>
      <row>98</row>
      <rowOff>76200</rowOff>
    </from>
    <ext cx="5715000" cy="35337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133350</colOff>
      <row>123</row>
      <rowOff>9525</rowOff>
    </from>
    <ext cx="6324600" cy="39052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anastasianikolaeva.com/" TargetMode="External" Id="rId1" /><Relationship Type="http://schemas.openxmlformats.org/officeDocument/2006/relationships/hyperlink" Target="https://t.me/anikolayeva" TargetMode="External" Id="rId2" /><Relationship Type="http://schemas.openxmlformats.org/officeDocument/2006/relationships/hyperlink" Target="https://anastasianikolaeva.com/" TargetMode="External" Id="rId3" /><Relationship Type="http://schemas.openxmlformats.org/officeDocument/2006/relationships/hyperlink" Target="https://anastasianikolaeva.com/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255" min="1" max="1"/>
    <col width="20" customWidth="1" style="255" min="2" max="2"/>
    <col width="45" customWidth="1" style="255" min="3" max="3"/>
  </cols>
  <sheetData>
    <row r="1">
      <c r="A1" s="282" t="inlineStr">
        <is>
          <t>Healthy4U</t>
        </is>
      </c>
    </row>
    <row r="2">
      <c r="A2" s="283" t="inlineStr">
        <is>
          <t>KPI DASHBOARD</t>
        </is>
      </c>
    </row>
    <row r="3">
      <c r="A3" s="284" t="inlineStr">
        <is>
          <t>Ключевые показатели эффективности</t>
        </is>
      </c>
    </row>
    <row r="5">
      <c r="A5" s="285" t="inlineStr">
        <is>
          <t>📊 REVENUE METRICS</t>
        </is>
      </c>
    </row>
    <row r="6">
      <c r="A6" s="286" t="inlineStr">
        <is>
          <t>MRR (Monthly Recurring Revenue)</t>
        </is>
      </c>
      <c r="B6" s="287">
        <f>SUM('Monthly forecast'!$D$4:$CW$4)</f>
        <v/>
      </c>
      <c r="C6" s="288" t="inlineStr">
        <is>
          <t>Ежемесячная регулярная выручка</t>
        </is>
      </c>
    </row>
    <row r="7">
      <c r="A7" s="286" t="inlineStr">
        <is>
          <t>ARR (Annual Recurring Revenue)</t>
        </is>
      </c>
      <c r="B7" s="287">
        <f>B6*12</f>
        <v/>
      </c>
      <c r="C7" s="288" t="inlineStr">
        <is>
          <t>Годовая регулярная выручка</t>
        </is>
      </c>
    </row>
    <row r="8">
      <c r="A8" s="286" t="inlineStr">
        <is>
          <t>Revenue Growth Rate (MoM)</t>
        </is>
      </c>
      <c r="B8" s="287">
        <f>(B6-B6)/B6</f>
        <v/>
      </c>
      <c r="C8" s="288" t="inlineStr">
        <is>
          <t>Рост выручки месяц к месяцу</t>
        </is>
      </c>
    </row>
    <row r="9">
      <c r="A9" s="286" t="inlineStr">
        <is>
          <t>Cumulative Revenue</t>
        </is>
      </c>
      <c r="B9" s="287">
        <f>SUM('Monthly forecast'!$D$4:$CW$4)</f>
        <v/>
      </c>
      <c r="C9" s="288" t="inlineStr">
        <is>
          <t>Суммарная выручка за все время</t>
        </is>
      </c>
    </row>
    <row r="11">
      <c r="A11" s="285" t="inlineStr">
        <is>
          <t>👥 CUSTOMER METRICS</t>
        </is>
      </c>
    </row>
    <row r="12">
      <c r="A12" s="286" t="inlineStr">
        <is>
          <t>Total Customers</t>
        </is>
      </c>
      <c r="B12" s="287">
        <f>COUNTA('Unit economics'!$D$6:$CW$6)</f>
        <v/>
      </c>
      <c r="C12" s="288" t="inlineStr">
        <is>
          <t>Всего активных клиентов</t>
        </is>
      </c>
    </row>
    <row r="13">
      <c r="A13" s="286" t="inlineStr">
        <is>
          <t>New Customers (Last Month)</t>
        </is>
      </c>
      <c r="B13" s="287">
        <f>B12</f>
        <v/>
      </c>
      <c r="C13" s="288" t="inlineStr">
        <is>
          <t>Новых клиентов за последний месяц</t>
        </is>
      </c>
    </row>
    <row r="14">
      <c r="A14" s="286" t="inlineStr">
        <is>
          <t>Monthly Churn Rate</t>
        </is>
      </c>
      <c r="B14" s="287">
        <f>15%</f>
        <v/>
      </c>
      <c r="C14" s="288" t="inlineStr">
        <is>
          <t>Процент ушедших клиентов в месяц</t>
        </is>
      </c>
    </row>
    <row r="15">
      <c r="A15" s="286" t="inlineStr">
        <is>
          <t>Customer Lifetime (months)</t>
        </is>
      </c>
      <c r="B15" s="287">
        <f>1/B14</f>
        <v/>
      </c>
      <c r="C15" s="288" t="inlineStr">
        <is>
          <t>Средняя продолжительность подписки</t>
        </is>
      </c>
    </row>
    <row r="16">
      <c r="A16" s="286" t="inlineStr">
        <is>
          <t>ARPPU (Avg Revenue Per User)</t>
        </is>
      </c>
      <c r="B16" s="287">
        <f>$100</f>
        <v/>
      </c>
      <c r="C16" s="288" t="inlineStr">
        <is>
          <t>Средний доход на пользователя</t>
        </is>
      </c>
    </row>
    <row r="18">
      <c r="A18" s="285" t="inlineStr">
        <is>
          <t>💰 UNIT ECONOMICS</t>
        </is>
      </c>
    </row>
    <row r="19">
      <c r="A19" s="286" t="inlineStr">
        <is>
          <t>LTV (Lifetime Value)</t>
        </is>
      </c>
      <c r="B19" s="287">
        <f>'Unit economics'!D54</f>
        <v/>
      </c>
      <c r="C19" s="288" t="inlineStr">
        <is>
          <t>Пожизненная ценность клиента</t>
        </is>
      </c>
    </row>
    <row r="20">
      <c r="A20" s="286" t="inlineStr">
        <is>
          <t>CAC (Customer Acquisition Cost)</t>
        </is>
      </c>
      <c r="B20" s="287">
        <f>'Unit economics'!D59</f>
        <v/>
      </c>
      <c r="C20" s="288" t="inlineStr">
        <is>
          <t>Стоимость привлечения клиента</t>
        </is>
      </c>
    </row>
    <row r="21">
      <c r="A21" s="286" t="inlineStr">
        <is>
          <t>LTV:CAC Ratio</t>
        </is>
      </c>
      <c r="B21" s="287">
        <f>B19/B20</f>
        <v/>
      </c>
      <c r="C21" s="288" t="inlineStr">
        <is>
          <t>Соотношение LTV к CAC (цель: 3-5)</t>
        </is>
      </c>
    </row>
    <row r="22">
      <c r="A22" s="286" t="inlineStr">
        <is>
          <t>CAC Payback Period (months)</t>
        </is>
      </c>
      <c r="B22" s="287">
        <f>B20/B16</f>
        <v/>
      </c>
      <c r="C22" s="288" t="inlineStr">
        <is>
          <t>Срок окупаемости затрат на привлечение</t>
        </is>
      </c>
    </row>
    <row r="23">
      <c r="A23" s="286" t="inlineStr">
        <is>
          <t>LTV 12 month</t>
        </is>
      </c>
      <c r="B23" s="287">
        <f>'Unit economics'!D57</f>
        <v/>
      </c>
      <c r="C23" s="288" t="inlineStr">
        <is>
          <t>LTV за 12 месяцев</t>
        </is>
      </c>
    </row>
    <row r="25">
      <c r="A25" s="285" t="inlineStr">
        <is>
          <t>💵 FINANCIAL HEALTH</t>
        </is>
      </c>
    </row>
    <row r="26">
      <c r="A26" s="286" t="inlineStr">
        <is>
          <t>Monthly Burn Rate</t>
        </is>
      </c>
      <c r="B26" s="287">
        <f>SUM('P&amp;L | Cash Flow | Balance'!D20:D60)</f>
        <v/>
      </c>
      <c r="C26" s="288" t="inlineStr">
        <is>
          <t>Ежемесячный расход денег</t>
        </is>
      </c>
    </row>
    <row r="27">
      <c r="A27" s="286" t="inlineStr">
        <is>
          <t>Cash Balance</t>
        </is>
      </c>
      <c r="B27" s="287">
        <f>'P&amp;L | Cash Flow | Balance'!D70</f>
        <v/>
      </c>
      <c r="C27" s="288" t="inlineStr">
        <is>
          <t>Текущий остаток денег</t>
        </is>
      </c>
    </row>
    <row r="28">
      <c r="A28" s="286" t="inlineStr">
        <is>
          <t>Runway (months)</t>
        </is>
      </c>
      <c r="B28" s="287">
        <f>B27/B26</f>
        <v/>
      </c>
      <c r="C28" s="288" t="inlineStr">
        <is>
          <t>Сколько месяцев работы до конца денег</t>
        </is>
      </c>
    </row>
    <row r="29">
      <c r="A29" s="286" t="inlineStr">
        <is>
          <t>Gross Margin %</t>
        </is>
      </c>
      <c r="B29" s="287">
        <f>80%</f>
        <v/>
      </c>
      <c r="C29" s="288" t="inlineStr">
        <is>
          <t>Валовая маржа (типично для SaaS)</t>
        </is>
      </c>
    </row>
    <row r="31">
      <c r="A31" s="285" t="inlineStr">
        <is>
          <t>🎯 BENCHMARKS (B2B SaaS)</t>
        </is>
      </c>
    </row>
    <row r="32">
      <c r="A32" s="286" t="inlineStr">
        <is>
          <t>LTV:CAC Target (B2B SaaS)</t>
        </is>
      </c>
      <c r="B32" s="287" t="inlineStr">
        <is>
          <t>4:1</t>
        </is>
      </c>
      <c r="C32" s="288" t="inlineStr">
        <is>
          <t>Здоровое соотношение для роста</t>
        </is>
      </c>
    </row>
    <row r="33">
      <c r="A33" s="286" t="inlineStr">
        <is>
          <t>CAC Payback Target</t>
        </is>
      </c>
      <c r="B33" s="287" t="inlineStr">
        <is>
          <t>&lt; 12 months</t>
        </is>
      </c>
      <c r="C33" s="288" t="inlineStr">
        <is>
          <t>Рекомендуемый срок окупаемости</t>
        </is>
      </c>
    </row>
    <row r="34">
      <c r="A34" s="286" t="inlineStr">
        <is>
          <t>Monthly Churn Target (B2B)</t>
        </is>
      </c>
      <c r="B34" s="287" t="inlineStr">
        <is>
          <t>&lt; 1%</t>
        </is>
      </c>
      <c r="C34" s="288" t="inlineStr">
        <is>
          <t>Целевой показатель оттока</t>
        </is>
      </c>
    </row>
    <row r="35">
      <c r="A35" s="286" t="inlineStr">
        <is>
          <t>MRR Growth Target</t>
        </is>
      </c>
      <c r="B35" s="287" t="inlineStr">
        <is>
          <t>&gt; 10% MoM</t>
        </is>
      </c>
      <c r="C35" s="288" t="inlineStr">
        <is>
          <t>Целевой рост для раннего этапа</t>
        </is>
      </c>
    </row>
    <row r="37">
      <c r="A37" s="289" t="inlineStr">
        <is>
          <t>⚠️ ВАЖНЫЕ ЗАМЕЧАНИЯ</t>
        </is>
      </c>
    </row>
    <row r="38">
      <c r="A38" s="290" t="inlineStr">
        <is>
          <t>• Churn 15% в месяц слишком высок для B2B (норма &lt;1%)</t>
        </is>
      </c>
    </row>
    <row r="39">
      <c r="A39" s="290" t="inlineStr">
        <is>
          <t>• Проверьте: это месячный или годовой churn?</t>
        </is>
      </c>
    </row>
    <row r="40">
      <c r="A40" s="290" t="inlineStr">
        <is>
          <t>• При корректном churn (1%) LTV вырастет в 15 раз!</t>
        </is>
      </c>
    </row>
    <row r="41">
      <c r="A41" s="290" t="inlineStr">
        <is>
          <t>• Уточните pricing: $100 за сотрудника или за компанию?</t>
        </is>
      </c>
    </row>
  </sheetData>
  <mergeCells count="10">
    <mergeCell ref="A41:C41"/>
    <mergeCell ref="A25:B25"/>
    <mergeCell ref="A37:C37"/>
    <mergeCell ref="A11:B11"/>
    <mergeCell ref="A5:B5"/>
    <mergeCell ref="A40:C40"/>
    <mergeCell ref="A39:C39"/>
    <mergeCell ref="A18:B18"/>
    <mergeCell ref="A31:B31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style="255" min="1" max="1"/>
    <col width="20" customWidth="1" style="255" min="2" max="2"/>
    <col width="20" customWidth="1" style="255" min="3" max="3"/>
    <col width="20" customWidth="1" style="255" min="4" max="4"/>
  </cols>
  <sheetData>
    <row r="1">
      <c r="A1" s="282" t="inlineStr">
        <is>
          <t>Healthy4U</t>
        </is>
      </c>
    </row>
    <row r="2">
      <c r="A2" s="283" t="inlineStr">
        <is>
          <t>СЦЕНАРНОЕ ПЛАНИРОВАНИЕ</t>
        </is>
      </c>
    </row>
    <row r="3">
      <c r="A3" s="284" t="inlineStr">
        <is>
          <t>Прогнозы развития бизнеса на 24 месяца</t>
        </is>
      </c>
    </row>
    <row r="5">
      <c r="A5" s="291" t="inlineStr">
        <is>
          <t>ОПИСАНИЕ СЦЕНАРИЕВ</t>
        </is>
      </c>
    </row>
    <row r="6">
      <c r="A6" s="292" t="inlineStr">
        <is>
          <t>Base Case (Базовый)</t>
        </is>
      </c>
      <c r="B6" s="293" t="inlineStr">
        <is>
          <t>Наиболее вероятный сценарий развития</t>
        </is>
      </c>
    </row>
    <row r="7">
      <c r="A7" s="294" t="inlineStr">
        <is>
          <t>Best Case (Оптимистичный)</t>
        </is>
      </c>
      <c r="B7" s="293" t="inlineStr">
        <is>
          <t>Благоприятное развитие событий, быстрый рост</t>
        </is>
      </c>
    </row>
    <row r="8">
      <c r="A8" s="295" t="inlineStr">
        <is>
          <t>Worst Case (Пессимистичный)</t>
        </is>
      </c>
      <c r="B8" s="293" t="inlineStr">
        <is>
          <t>Неблагоприятные условия, медленный рост</t>
        </is>
      </c>
    </row>
    <row r="10">
      <c r="A10" s="291" t="inlineStr">
        <is>
          <t>КЛЮЧЕВЫЕ ПАРАМЕТРЫ СЦЕНАРИЕВ</t>
        </is>
      </c>
    </row>
    <row r="11">
      <c r="A11" s="296" t="inlineStr">
        <is>
          <t>Параметр</t>
        </is>
      </c>
      <c r="B11" s="296" t="inlineStr">
        <is>
          <t>Base Case</t>
        </is>
      </c>
      <c r="C11" s="296" t="inlineStr">
        <is>
          <t>Best Case</t>
        </is>
      </c>
      <c r="D11" s="296" t="inlineStr">
        <is>
          <t>Worst Case</t>
        </is>
      </c>
    </row>
    <row r="12">
      <c r="A12" s="297" t="inlineStr">
        <is>
          <t>📈 Customer Growth</t>
        </is>
      </c>
    </row>
    <row r="13">
      <c r="A13" s="298" t="inlineStr">
        <is>
          <t xml:space="preserve">   Monthly New Customers (Month 1-6)</t>
        </is>
      </c>
      <c r="B13" s="299" t="inlineStr">
        <is>
          <t>50</t>
        </is>
      </c>
      <c r="C13" s="300" t="inlineStr">
        <is>
          <t>80</t>
        </is>
      </c>
      <c r="D13" s="301" t="inlineStr">
        <is>
          <t>30</t>
        </is>
      </c>
    </row>
    <row r="14">
      <c r="A14" s="298" t="inlineStr">
        <is>
          <t xml:space="preserve">   Monthly New Customers (Month 7-12)</t>
        </is>
      </c>
      <c r="B14" s="299" t="inlineStr">
        <is>
          <t>100</t>
        </is>
      </c>
      <c r="C14" s="300" t="inlineStr">
        <is>
          <t>150</t>
        </is>
      </c>
      <c r="D14" s="301" t="inlineStr">
        <is>
          <t>60</t>
        </is>
      </c>
    </row>
    <row r="15">
      <c r="A15" s="298" t="inlineStr">
        <is>
          <t xml:space="preserve">   Monthly New Customers (Month 13-24)</t>
        </is>
      </c>
      <c r="B15" s="299" t="inlineStr">
        <is>
          <t>150</t>
        </is>
      </c>
      <c r="C15" s="300" t="inlineStr">
        <is>
          <t>250</t>
        </is>
      </c>
      <c r="D15" s="301" t="inlineStr">
        <is>
          <t>80</t>
        </is>
      </c>
    </row>
    <row r="17">
      <c r="A17" s="297" t="inlineStr">
        <is>
          <t>💸 Churn Rate</t>
        </is>
      </c>
    </row>
    <row r="18">
      <c r="A18" s="298" t="inlineStr">
        <is>
          <t xml:space="preserve">   Monthly Churn %</t>
        </is>
      </c>
      <c r="B18" s="299" t="inlineStr">
        <is>
          <t>1.0%</t>
        </is>
      </c>
      <c r="C18" s="300" t="inlineStr">
        <is>
          <t>0.5%</t>
        </is>
      </c>
      <c r="D18" s="301" t="inlineStr">
        <is>
          <t>2.0%</t>
        </is>
      </c>
    </row>
    <row r="19">
      <c r="A19" s="298" t="inlineStr">
        <is>
          <t xml:space="preserve">   Annual Churn %</t>
        </is>
      </c>
      <c r="B19" s="299" t="inlineStr">
        <is>
          <t>12%</t>
        </is>
      </c>
      <c r="C19" s="300" t="inlineStr">
        <is>
          <t>6%</t>
        </is>
      </c>
      <c r="D19" s="301" t="inlineStr">
        <is>
          <t>24%</t>
        </is>
      </c>
    </row>
    <row r="21">
      <c r="A21" s="297" t="inlineStr">
        <is>
          <t>💰 Unit Economics</t>
        </is>
      </c>
    </row>
    <row r="22">
      <c r="A22" s="298" t="inlineStr">
        <is>
          <t xml:space="preserve">   ARPPU ($/month)</t>
        </is>
      </c>
      <c r="B22" s="299" t="inlineStr">
        <is>
          <t>$100</t>
        </is>
      </c>
      <c r="C22" s="300" t="inlineStr">
        <is>
          <t>$120</t>
        </is>
      </c>
      <c r="D22" s="301" t="inlineStr">
        <is>
          <t>$80</t>
        </is>
      </c>
    </row>
    <row r="23">
      <c r="A23" s="298" t="inlineStr">
        <is>
          <t xml:space="preserve">   CAC ($)</t>
        </is>
      </c>
      <c r="B23" s="299" t="inlineStr">
        <is>
          <t>$150</t>
        </is>
      </c>
      <c r="C23" s="300" t="inlineStr">
        <is>
          <t>$120</t>
        </is>
      </c>
      <c r="D23" s="301" t="inlineStr">
        <is>
          <t>$180</t>
        </is>
      </c>
    </row>
    <row r="24">
      <c r="A24" s="298" t="inlineStr">
        <is>
          <t xml:space="preserve">   LTV:CAC Ratio</t>
        </is>
      </c>
      <c r="B24" s="299" t="inlineStr">
        <is>
          <t>4.0x</t>
        </is>
      </c>
      <c r="C24" s="300" t="inlineStr">
        <is>
          <t>6.0x</t>
        </is>
      </c>
      <c r="D24" s="301" t="inlineStr">
        <is>
          <t>2.7x</t>
        </is>
      </c>
    </row>
    <row r="26">
      <c r="A26" s="297" t="inlineStr">
        <is>
          <t>🎯 Market &amp; Growth</t>
        </is>
      </c>
    </row>
    <row r="27">
      <c r="A27" s="298" t="inlineStr">
        <is>
          <t xml:space="preserve">   Market Penetration (Year 2)</t>
        </is>
      </c>
      <c r="B27" s="299" t="inlineStr">
        <is>
          <t>5%</t>
        </is>
      </c>
      <c r="C27" s="300" t="inlineStr">
        <is>
          <t>10%</t>
        </is>
      </c>
      <c r="D27" s="301" t="inlineStr">
        <is>
          <t>2%</t>
        </is>
      </c>
    </row>
    <row r="28">
      <c r="A28" s="298" t="inlineStr">
        <is>
          <t xml:space="preserve">   Revenue Growth (MoM avg)</t>
        </is>
      </c>
      <c r="B28" s="299" t="inlineStr">
        <is>
          <t>15%</t>
        </is>
      </c>
      <c r="C28" s="300" t="inlineStr">
        <is>
          <t>25%</t>
        </is>
      </c>
      <c r="D28" s="301" t="inlineStr">
        <is>
          <t>8%</t>
        </is>
      </c>
    </row>
    <row r="29">
      <c r="A29" s="298" t="inlineStr">
        <is>
          <t xml:space="preserve">   Team Growth (by Month 24)</t>
        </is>
      </c>
      <c r="B29" s="299" t="inlineStr">
        <is>
          <t>+30 people</t>
        </is>
      </c>
      <c r="C29" s="300" t="inlineStr">
        <is>
          <t>+50 people</t>
        </is>
      </c>
      <c r="D29" s="301" t="inlineStr">
        <is>
          <t>+15 people</t>
        </is>
      </c>
    </row>
    <row r="31">
      <c r="A31" s="297" t="inlineStr">
        <is>
          <t>💵 Financial</t>
        </is>
      </c>
    </row>
    <row r="32">
      <c r="A32" s="298" t="inlineStr">
        <is>
          <t xml:space="preserve">   Gross Margin</t>
        </is>
      </c>
      <c r="B32" s="299" t="inlineStr">
        <is>
          <t>80%</t>
        </is>
      </c>
      <c r="C32" s="300" t="inlineStr">
        <is>
          <t>85%</t>
        </is>
      </c>
      <c r="D32" s="301" t="inlineStr">
        <is>
          <t>75%</t>
        </is>
      </c>
    </row>
    <row r="33">
      <c r="A33" s="298" t="inlineStr">
        <is>
          <t xml:space="preserve">   Operating Expenses Growth</t>
        </is>
      </c>
      <c r="B33" s="299" t="inlineStr">
        <is>
          <t>Умеренный</t>
        </is>
      </c>
      <c r="C33" s="300" t="inlineStr">
        <is>
          <t>Агрессивный</t>
        </is>
      </c>
      <c r="D33" s="301" t="inlineStr">
        <is>
          <t>Консервативный</t>
        </is>
      </c>
    </row>
    <row r="34">
      <c r="A34" s="298" t="inlineStr">
        <is>
          <t xml:space="preserve">   Break-even Month</t>
        </is>
      </c>
      <c r="B34" s="299" t="inlineStr">
        <is>
          <t>Month 18</t>
        </is>
      </c>
      <c r="C34" s="300" t="inlineStr">
        <is>
          <t>Month 12</t>
        </is>
      </c>
      <c r="D34" s="301" t="inlineStr">
        <is>
          <t>Month 24+</t>
        </is>
      </c>
    </row>
    <row r="36">
      <c r="A36" s="291" t="inlineStr">
        <is>
          <t>ПРОГНОЗНЫЕ МЕТРИКИ НА 24 МЕСЯЦА</t>
        </is>
      </c>
    </row>
    <row r="37">
      <c r="A37" s="296" t="inlineStr">
        <is>
          <t>Метрика</t>
        </is>
      </c>
      <c r="B37" s="296" t="inlineStr">
        <is>
          <t>Base Case</t>
        </is>
      </c>
      <c r="C37" s="296" t="inlineStr">
        <is>
          <t>Best Case</t>
        </is>
      </c>
      <c r="D37" s="296" t="inlineStr">
        <is>
          <t>Worst Case</t>
        </is>
      </c>
    </row>
    <row r="38">
      <c r="A38" s="297" t="inlineStr">
        <is>
          <t>После 12 месяцев:</t>
        </is>
      </c>
    </row>
    <row r="39">
      <c r="A39" s="298" t="inlineStr">
        <is>
          <t xml:space="preserve">   Total Customers</t>
        </is>
      </c>
      <c r="B39" s="299" t="inlineStr">
        <is>
          <t>600</t>
        </is>
      </c>
      <c r="C39" s="300" t="inlineStr">
        <is>
          <t>960</t>
        </is>
      </c>
      <c r="D39" s="301" t="inlineStr">
        <is>
          <t>360</t>
        </is>
      </c>
    </row>
    <row r="40">
      <c r="A40" s="298" t="inlineStr">
        <is>
          <t xml:space="preserve">   MRR</t>
        </is>
      </c>
      <c r="B40" s="299" t="inlineStr">
        <is>
          <t>$60,000</t>
        </is>
      </c>
      <c r="C40" s="300" t="inlineStr">
        <is>
          <t>$115,200</t>
        </is>
      </c>
      <c r="D40" s="301" t="inlineStr">
        <is>
          <t>$28,800</t>
        </is>
      </c>
    </row>
    <row r="41">
      <c r="A41" s="298" t="inlineStr">
        <is>
          <t xml:space="preserve">   ARR</t>
        </is>
      </c>
      <c r="B41" s="299" t="inlineStr">
        <is>
          <t>$720,000</t>
        </is>
      </c>
      <c r="C41" s="300" t="inlineStr">
        <is>
          <t>$1,382,400</t>
        </is>
      </c>
      <c r="D41" s="301" t="inlineStr">
        <is>
          <t>$345,600</t>
        </is>
      </c>
    </row>
    <row r="42">
      <c r="A42" s="298" t="inlineStr">
        <is>
          <t xml:space="preserve">   Cumulative Revenue</t>
        </is>
      </c>
      <c r="B42" s="299" t="inlineStr">
        <is>
          <t>$420,000</t>
        </is>
      </c>
      <c r="C42" s="300" t="inlineStr">
        <is>
          <t>$720,000</t>
        </is>
      </c>
      <c r="D42" s="301" t="inlineStr">
        <is>
          <t>$210,000</t>
        </is>
      </c>
    </row>
    <row r="44">
      <c r="A44" s="297" t="inlineStr">
        <is>
          <t>После 24 месяцев:</t>
        </is>
      </c>
    </row>
    <row r="45">
      <c r="A45" s="298" t="inlineStr">
        <is>
          <t xml:space="preserve">   Total Customers</t>
        </is>
      </c>
      <c r="B45" s="299" t="inlineStr">
        <is>
          <t>2,100</t>
        </is>
      </c>
      <c r="C45" s="300" t="inlineStr">
        <is>
          <t>4,200</t>
        </is>
      </c>
      <c r="D45" s="301" t="inlineStr">
        <is>
          <t>1,200</t>
        </is>
      </c>
    </row>
    <row r="46">
      <c r="A46" s="298" t="inlineStr">
        <is>
          <t xml:space="preserve">   MRR</t>
        </is>
      </c>
      <c r="B46" s="299" t="inlineStr">
        <is>
          <t>$210,000</t>
        </is>
      </c>
      <c r="C46" s="300" t="inlineStr">
        <is>
          <t>$504,000</t>
        </is>
      </c>
      <c r="D46" s="301" t="inlineStr">
        <is>
          <t>$96,000</t>
        </is>
      </c>
    </row>
    <row r="47">
      <c r="A47" s="298" t="inlineStr">
        <is>
          <t xml:space="preserve">   ARR</t>
        </is>
      </c>
      <c r="B47" s="299" t="inlineStr">
        <is>
          <t>$2,520,000</t>
        </is>
      </c>
      <c r="C47" s="300" t="inlineStr">
        <is>
          <t>$6,048,000</t>
        </is>
      </c>
      <c r="D47" s="301" t="inlineStr">
        <is>
          <t>$1,152,000</t>
        </is>
      </c>
    </row>
    <row r="48">
      <c r="A48" s="298" t="inlineStr">
        <is>
          <t xml:space="preserve">   Cumulative Revenue</t>
        </is>
      </c>
      <c r="B48" s="299" t="inlineStr">
        <is>
          <t>$1,890,000</t>
        </is>
      </c>
      <c r="C48" s="300" t="inlineStr">
        <is>
          <t>$3,780,000</t>
        </is>
      </c>
      <c r="D48" s="301" t="inlineStr">
        <is>
          <t>$756,000</t>
        </is>
      </c>
    </row>
    <row r="50">
      <c r="A50" s="297" t="inlineStr">
        <is>
          <t>Ключевые вехи:</t>
        </is>
      </c>
    </row>
    <row r="51">
      <c r="A51" s="298" t="inlineStr">
        <is>
          <t xml:space="preserve">   Break-even (месяц)</t>
        </is>
      </c>
      <c r="B51" s="299" t="inlineStr">
        <is>
          <t>18</t>
        </is>
      </c>
      <c r="C51" s="300" t="inlineStr">
        <is>
          <t>12</t>
        </is>
      </c>
      <c r="D51" s="301" t="inlineStr">
        <is>
          <t>24+</t>
        </is>
      </c>
    </row>
    <row r="52">
      <c r="A52" s="298" t="inlineStr">
        <is>
          <t xml:space="preserve">   Profitability ARR</t>
        </is>
      </c>
      <c r="B52" s="299" t="inlineStr">
        <is>
          <t>$2.5M</t>
        </is>
      </c>
      <c r="C52" s="300" t="inlineStr">
        <is>
          <t>$1.5M</t>
        </is>
      </c>
      <c r="D52" s="301" t="inlineStr">
        <is>
          <t>$3.5M+</t>
        </is>
      </c>
    </row>
    <row r="53">
      <c r="A53" s="298" t="inlineStr">
        <is>
          <t xml:space="preserve">   Funding needed</t>
        </is>
      </c>
      <c r="B53" s="299" t="inlineStr">
        <is>
          <t>$1.5M</t>
        </is>
      </c>
      <c r="C53" s="300" t="inlineStr">
        <is>
          <t>$2.5M</t>
        </is>
      </c>
      <c r="D53" s="301" t="inlineStr">
        <is>
          <t>$800k</t>
        </is>
      </c>
    </row>
    <row r="56">
      <c r="A56" s="302" t="inlineStr">
        <is>
          <t>💡 РЕКОМЕНДАЦИИ ПО ИСПОЛЬЗОВАНИЮ</t>
        </is>
      </c>
    </row>
    <row r="57">
      <c r="A57" s="293" t="inlineStr">
        <is>
          <t>✓ Base Case - используйте для внутреннего планирования и бюджетирования</t>
        </is>
      </c>
    </row>
    <row r="58">
      <c r="A58" s="293" t="inlineStr">
        <is>
          <t>✓ Best Case - покажите инвесторам потенциал при благоприятных условиях</t>
        </is>
      </c>
    </row>
    <row r="59">
      <c r="A59" s="293" t="inlineStr">
        <is>
          <t>✓ Worst Case - используйте для стресс-тестирования и планирования рисков</t>
        </is>
      </c>
    </row>
    <row r="60">
      <c r="A60" s="293" t="inlineStr">
        <is>
          <t>✓ Регулярно пересматривайте сценарии на основе актуальных данных</t>
        </is>
      </c>
    </row>
    <row r="61">
      <c r="A61" s="293" t="inlineStr">
        <is>
          <t>✓ Фокусируйтесь на Base Case, но готовьтесь к Worst Case</t>
        </is>
      </c>
    </row>
  </sheetData>
  <mergeCells count="20">
    <mergeCell ref="A5:D5"/>
    <mergeCell ref="A17:D17"/>
    <mergeCell ref="B8:D8"/>
    <mergeCell ref="A38:D38"/>
    <mergeCell ref="A10:D10"/>
    <mergeCell ref="A44:D44"/>
    <mergeCell ref="A31:D31"/>
    <mergeCell ref="A58:D58"/>
    <mergeCell ref="A59:D59"/>
    <mergeCell ref="A60:D60"/>
    <mergeCell ref="B6:D6"/>
    <mergeCell ref="A36:D36"/>
    <mergeCell ref="A61:D61"/>
    <mergeCell ref="B7:D7"/>
    <mergeCell ref="A56:D56"/>
    <mergeCell ref="A12:D12"/>
    <mergeCell ref="A50:D50"/>
    <mergeCell ref="A26:D26"/>
    <mergeCell ref="A21:D21"/>
    <mergeCell ref="A57:D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style="255" min="1" max="1"/>
    <col width="25" customWidth="1" style="255" min="2" max="2"/>
    <col width="60" customWidth="1" style="255" min="3" max="3"/>
    <col width="12" customWidth="1" style="255" min="4" max="4"/>
    <col width="50" customWidth="1" style="255" min="5" max="5"/>
  </cols>
  <sheetData>
    <row r="1">
      <c r="A1" s="282" t="inlineStr">
        <is>
          <t>Healthy4U</t>
        </is>
      </c>
    </row>
    <row r="2">
      <c r="A2" s="283" t="inlineStr">
        <is>
          <t>KEY ASSUMPTIONS</t>
        </is>
      </c>
    </row>
    <row r="3">
      <c r="A3" s="284" t="inlineStr">
        <is>
          <t>Обоснование всех предположений финансовой модели</t>
        </is>
      </c>
    </row>
    <row r="5">
      <c r="A5" s="303" t="inlineStr">
        <is>
          <t>⚠️ ВАЖНО: Мы pre-revenue стартап. Все финансовые прогнозы основаны на предположениях ниже.</t>
        </is>
      </c>
    </row>
    <row r="7">
      <c r="A7" s="304" t="inlineStr">
        <is>
          <t>Параметр</t>
        </is>
      </c>
      <c r="B7" s="304" t="inlineStr">
        <is>
          <t>Значение/Диапазон</t>
        </is>
      </c>
      <c r="C7" s="304" t="inlineStr">
        <is>
          <t>Источник обоснования</t>
        </is>
      </c>
      <c r="D7" s="304" t="inlineStr">
        <is>
          <t>Confidence</t>
        </is>
      </c>
      <c r="E7" s="304" t="inlineStr">
        <is>
          <t>Как валидируем</t>
        </is>
      </c>
    </row>
    <row r="8" ht="50" customHeight="1" s="255">
      <c r="A8" s="292" t="inlineStr">
        <is>
          <t>PRICING &amp; REVENUE</t>
        </is>
      </c>
    </row>
    <row r="9" ht="50" customHeight="1" s="255">
      <c r="A9" s="305" t="inlineStr">
        <is>
          <t>ARPPU (Average Revenue Per User)</t>
        </is>
      </c>
      <c r="B9" s="306" t="inlineStr">
        <is>
          <t>$100/month</t>
        </is>
      </c>
      <c r="C9" s="305" t="inlineStr">
        <is>
          <t>Опрос 15 клиник: 80% готовы платить $80-120. Аналоги: $70-150. Экономия для клиники: $500/мес → наша цена = 20% от экономии (типично для B2B SaaS)</t>
        </is>
      </c>
      <c r="D9" s="307" t="inlineStr">
        <is>
          <t>Medium</t>
        </is>
      </c>
      <c r="E9" s="305" t="inlineStr">
        <is>
          <t>A/B тест pricing в первых 10 продажах. Интервью после каждой продажи</t>
        </is>
      </c>
    </row>
    <row r="10" ht="50" customHeight="1" s="255">
      <c r="A10" s="305" t="inlineStr">
        <is>
          <t>Tier Adoption</t>
        </is>
      </c>
      <c r="B10" s="306" t="inlineStr">
        <is>
          <t>Basic: 70%, Premium: 30%</t>
        </is>
      </c>
      <c r="C10" s="305" t="inlineStr">
        <is>
          <t>Assumption на основе B2B SaaS benchmarks. В пилоте все используют "базовый" функционал</t>
        </is>
      </c>
      <c r="D10" s="301" t="inlineStr">
        <is>
          <t>Low</t>
        </is>
      </c>
      <c r="E10" s="305" t="inlineStr">
        <is>
          <t>Отслеживание feature usage. Предложение premium после 3 месяцев использования</t>
        </is>
      </c>
    </row>
    <row r="11" ht="50" customHeight="1" s="255">
      <c r="A11" s="305" t="inlineStr">
        <is>
          <t>Upsell Growth</t>
        </is>
      </c>
      <c r="B11" s="306" t="inlineStr">
        <is>
          <t>$100 → $120 → $150 (over 24 months)</t>
        </is>
      </c>
      <c r="C11" s="305" t="inlineStr">
        <is>
          <t>Запланированные premium features. Benchmark: SaaS ARPPU растёт 15-25% годовых при successful upsell</t>
        </is>
      </c>
      <c r="D11" s="301" t="inlineStr">
        <is>
          <t>Low</t>
        </is>
      </c>
      <c r="E11" s="305" t="inlineStr">
        <is>
          <t>Quarterly upsell campaigns. Tracking conversion to premium tier</t>
        </is>
      </c>
    </row>
    <row r="12" ht="50" customHeight="1" s="255"/>
    <row r="13" ht="50" customHeight="1" s="255">
      <c r="A13" s="292" t="inlineStr">
        <is>
          <t>CUSTOMER ACQUISITION</t>
        </is>
      </c>
    </row>
    <row r="14" ht="50" customHeight="1" s="255">
      <c r="A14" s="305" t="inlineStr">
        <is>
          <t>Sales Cycle Length</t>
        </is>
      </c>
      <c r="B14" s="306" t="inlineStr">
        <is>
          <t>45 days (1.5 months)</t>
        </is>
      </c>
      <c r="C14" s="305" t="inlineStr">
        <is>
          <t>Healthcare procurement research + опыт пилота (2 месяца, но это было без urgency). B2B healthcare: 30-90 дней</t>
        </is>
      </c>
      <c r="D14" s="307" t="inlineStr">
        <is>
          <t>Medium</t>
        </is>
      </c>
      <c r="E14" s="305" t="inlineStr">
        <is>
          <t>Tracking каждой сделки: первый контакт → close. Цель: сократить до 30 дней</t>
        </is>
      </c>
    </row>
    <row r="15" ht="50" customHeight="1" s="255">
      <c r="A15" s="305" t="inlineStr">
        <is>
          <t>Lead → Demo Conversion</t>
        </is>
      </c>
      <c r="B15" s="306" t="inlineStr">
        <is>
          <t>20%</t>
        </is>
      </c>
      <c r="C15" s="305" t="inlineStr">
        <is>
          <t>Industry benchmark для outbound B2B SaaS: 15-25%. Пилот показал высокий интерес, используем mid-point</t>
        </is>
      </c>
      <c r="D15" s="307" t="inlineStr">
        <is>
          <t>Medium</t>
        </is>
      </c>
      <c r="E15" s="305" t="inlineStr">
        <is>
          <t>Weekly tracking conversion rates по каналам. Оптимизация worst performers</t>
        </is>
      </c>
    </row>
    <row r="16" ht="50" customHeight="1" s="255">
      <c r="A16" s="305" t="inlineStr">
        <is>
          <t>Demo → Customer Conversion</t>
        </is>
      </c>
      <c r="B16" s="306" t="inlineStr">
        <is>
          <t>20%</t>
        </is>
      </c>
      <c r="C16" s="305" t="inlineStr">
        <is>
          <t>B2B SaaS benchmark: 15-30%. У нас strong product (пилот NPS 8/10) → используем 20%</t>
        </is>
      </c>
      <c r="D16" s="307" t="inlineStr">
        <is>
          <t>Medium</t>
        </is>
      </c>
      <c r="E16" s="305" t="inlineStr">
        <is>
          <t>Анализ каждой lost deal. Improve sales materials. Target: 25% к M6</t>
        </is>
      </c>
    </row>
    <row r="17" ht="50" customHeight="1" s="255">
      <c r="A17" s="305" t="inlineStr">
        <is>
          <t>Sales Rep Capacity</t>
        </is>
      </c>
      <c r="B17" s="306" t="inlineStr">
        <is>
          <t>2-3 customers/month</t>
        </is>
      </c>
      <c r="C17" s="305" t="inlineStr">
        <is>
          <t>Расчёт: 30 calls/day × 20 days = 600 calls/month → 120 connects → 24 meetings → 5 demos → 1-2 closes. First rep: консервативно 2/month, scaling to 3</t>
        </is>
      </c>
      <c r="D17" s="307" t="inlineStr">
        <is>
          <t>Medium</t>
        </is>
      </c>
      <c r="E17" s="305" t="inlineStr">
        <is>
          <t>Weekly sales metrics. После 3 месяцев: adjust targets на основе actual data</t>
        </is>
      </c>
    </row>
    <row r="18" ht="50" customHeight="1" s="255">
      <c r="A18" s="305" t="inlineStr">
        <is>
          <t>CAC Target</t>
        </is>
      </c>
      <c r="B18" s="306" t="inlineStr">
        <is>
          <t>$150 (long-term)</t>
        </is>
      </c>
      <c r="C18" s="305" t="inlineStr">
        <is>
          <t>Расчёт от LTV:CAC = 4:1. LTV ~$10k (при 1% churn) → CAC = $2.5k / 4 = $625. Но мы aggressive target $150 через product-led growth + content</t>
        </is>
      </c>
      <c r="D18" s="301" t="inlineStr">
        <is>
          <t>Low</t>
        </is>
      </c>
      <c r="E18" s="305" t="inlineStr">
        <is>
          <t>Monthly CAC tracking. В первые 6 месяцев ожидаем $500-1000. Оптимизация каналов</t>
        </is>
      </c>
    </row>
    <row r="19" ht="50" customHeight="1" s="255"/>
    <row r="20" ht="50" customHeight="1" s="255">
      <c r="A20" s="292" t="inlineStr">
        <is>
          <t>RETENTION &amp; CHURN</t>
        </is>
      </c>
    </row>
    <row r="21" ht="50" customHeight="1" s="255">
      <c r="A21" s="305" t="inlineStr">
        <is>
          <t>Monthly Churn Rate</t>
        </is>
      </c>
      <c r="B21" s="306" t="inlineStr">
        <is>
          <t>1% (12% annual)</t>
        </is>
      </c>
      <c r="C21" s="305" t="inlineStr">
        <is>
          <t>B2B healthcare SaaS benchmark: 0.4-0.8% monthly. Используем 1% консервативно. НЕТ ДАННЫХ - пилот бесплатный</t>
        </is>
      </c>
      <c r="D21" s="301" t="inlineStr">
        <is>
          <t>Low</t>
        </is>
      </c>
      <c r="E21" s="305" t="inlineStr">
        <is>
          <t>Cohort analysis с первого paying customer. Surveys при cancellation. Target: &lt;0.7% к M12</t>
        </is>
      </c>
    </row>
    <row r="22" ht="50" customHeight="1" s="255">
      <c r="A22" s="305" t="inlineStr">
        <is>
          <t>Customer Lifetime</t>
        </is>
      </c>
      <c r="B22" s="306" t="inlineStr">
        <is>
          <t>100 months (~8 years)</t>
        </is>
      </c>
      <c r="C22" s="305" t="inlineStr">
        <is>
          <t>Расчёт: 1 / 0.01 churn = 100 месяцев. Для B2B с годовыми контрактами - realistic</t>
        </is>
      </c>
      <c r="D22" s="301" t="inlineStr">
        <is>
          <t>Low</t>
        </is>
      </c>
      <c r="E22" s="305" t="inlineStr">
        <is>
          <t>Tracking retention by cohort. Contract renewal rates. Churn reasons analysis</t>
        </is>
      </c>
    </row>
    <row r="23" ht="50" customHeight="1" s="255">
      <c r="A23" s="305" t="inlineStr">
        <is>
          <t>Contract Type</t>
        </is>
      </c>
      <c r="B23" s="306" t="inlineStr">
        <is>
          <t>Annual (80%), Monthly (20%)</t>
        </is>
      </c>
      <c r="C23" s="305" t="inlineStr">
        <is>
          <t>Healthcare предпочитает предсказуемость → годовые контракты. Но даём опцию monthly для малых клиник</t>
        </is>
      </c>
      <c r="D23" s="307" t="inlineStr">
        <is>
          <t>Medium</t>
        </is>
      </c>
      <c r="E23" s="305" t="inlineStr">
        <is>
          <t>First 20 sales: предлагаем оба варианта, смотрим preference</t>
        </is>
      </c>
    </row>
    <row r="24" ht="50" customHeight="1" s="255"/>
    <row r="25" ht="50" customHeight="1" s="255">
      <c r="A25" s="292" t="inlineStr">
        <is>
          <t>MARKET &amp; GROWTH</t>
        </is>
      </c>
    </row>
    <row r="26" ht="50" customHeight="1" s="255">
      <c r="A26" s="305" t="inlineStr">
        <is>
          <t>Total Addressable Market</t>
        </is>
      </c>
      <c r="B26" s="306" t="inlineStr">
        <is>
          <t>50,000 клиник в target regions</t>
        </is>
      </c>
      <c r="C26" s="305" t="inlineStr">
        <is>
          <t>Market research: [конкретный источник]. Фокус на клиники 20-200 сотрудников</t>
        </is>
      </c>
      <c r="D26" s="300" t="inlineStr">
        <is>
          <t>High</t>
        </is>
      </c>
      <c r="E26" s="305" t="inlineStr">
        <is>
          <t>Уже validated через desk research. Ongoing: сегментация рынка</t>
        </is>
      </c>
    </row>
    <row r="27" ht="50" customHeight="1" s="255">
      <c r="A27" s="305" t="inlineStr">
        <is>
          <t>Serviceable Market (5 years)</t>
        </is>
      </c>
      <c r="B27" s="306" t="inlineStr">
        <is>
          <t>5,000 клиник (10% TAM)</t>
        </is>
      </c>
      <c r="C27" s="305" t="inlineStr">
        <is>
          <t>Realistic penetration для B2B SaaS в niche. Top competitors имеют 2-5% market share</t>
        </is>
      </c>
      <c r="D27" s="307" t="inlineStr">
        <is>
          <t>Medium</t>
        </is>
      </c>
      <c r="E27" s="305" t="inlineStr">
        <is>
          <t>Track market share quarterly. Competitive analysis</t>
        </is>
      </c>
    </row>
    <row r="28" ht="50" customHeight="1" s="255">
      <c r="A28" s="305" t="inlineStr">
        <is>
          <t>Year 1 Target</t>
        </is>
      </c>
      <c r="B28" s="306" t="inlineStr">
        <is>
          <t>100 клиник (2% of SAM)</t>
        </is>
      </c>
      <c r="C28" s="305" t="inlineStr">
        <is>
          <t>Conservative first year target. Proof of GTM motion before aggressive scaling</t>
        </is>
      </c>
      <c r="D28" s="307" t="inlineStr">
        <is>
          <t>Medium</t>
        </is>
      </c>
      <c r="E28" s="305" t="inlineStr">
        <is>
          <t>Monthly tracking vs. target. Quarterly plan adjustments</t>
        </is>
      </c>
    </row>
    <row r="29" ht="50" customHeight="1" s="255">
      <c r="A29" s="305" t="inlineStr">
        <is>
          <t>Adoption Rate within Clinic</t>
        </is>
      </c>
      <c r="B29" s="306" t="inlineStr">
        <is>
          <t>70% of staff</t>
        </is>
      </c>
      <c r="C29" s="305" t="inlineStr">
        <is>
          <t>Пилот показал 75% adoption (15/20). Используем 70% для paying customers (может быть ниже сопротивление)</t>
        </is>
      </c>
      <c r="D29" s="300" t="inlineStr">
        <is>
          <t>High</t>
        </is>
      </c>
      <c r="E29" s="305" t="inlineStr">
        <is>
          <t>Track actual adoption in first 10 clinics. Improve onboarding based on data</t>
        </is>
      </c>
    </row>
    <row r="30" ht="50" customHeight="1" s="255"/>
    <row r="31" ht="50" customHeight="1" s="255">
      <c r="A31" s="292" t="inlineStr">
        <is>
          <t>OPERATIONAL</t>
        </is>
      </c>
    </row>
    <row r="32" ht="50" customHeight="1" s="255">
      <c r="A32" s="305" t="inlineStr">
        <is>
          <t>Onboarding Time</t>
        </is>
      </c>
      <c r="B32" s="306" t="inlineStr">
        <is>
          <t>2 weeks</t>
        </is>
      </c>
      <c r="C32" s="305" t="inlineStr">
        <is>
          <t>Пилот: 2 недели от договора до first value. Includes training, integration, setup</t>
        </is>
      </c>
      <c r="D32" s="300" t="inlineStr">
        <is>
          <t>High</t>
        </is>
      </c>
      <c r="E32" s="305" t="inlineStr">
        <is>
          <t>Already validated. Track time-to-value for each customer. Target: 1 week</t>
        </is>
      </c>
    </row>
    <row r="33" ht="50" customHeight="1" s="255">
      <c r="A33" s="305" t="inlineStr">
        <is>
          <t>Support Load</t>
        </is>
      </c>
      <c r="B33" s="306" t="inlineStr">
        <is>
          <t>2-3 tickets/month/customer</t>
        </is>
      </c>
      <c r="C33" s="305" t="inlineStr">
        <is>
          <t>Пилот: 2-3 support requests в месяц. Low-touch product → low support needs</t>
        </is>
      </c>
      <c r="D33" s="300" t="inlineStr">
        <is>
          <t>High</t>
        </is>
      </c>
      <c r="E33" s="305" t="inlineStr">
        <is>
          <t>Track support metrics. Build knowledge base to reduce tickets</t>
        </is>
      </c>
    </row>
    <row r="34" ht="50" customHeight="1" s="255">
      <c r="A34" s="305" t="inlineStr">
        <is>
          <t>Gross Margin</t>
        </is>
      </c>
      <c r="B34" s="306" t="inlineStr">
        <is>
          <t>80%</t>
        </is>
      </c>
      <c r="C34" s="305" t="inlineStr">
        <is>
          <t>Typical SaaS gross margin: 70-85%. Costs: servers, support. High margin business</t>
        </is>
      </c>
      <c r="D34" s="300" t="inlineStr">
        <is>
          <t>High</t>
        </is>
      </c>
      <c r="E34" s="305" t="inlineStr">
        <is>
          <t>Track actual costs. Should improve to 85%+ at scale</t>
        </is>
      </c>
    </row>
    <row r="35" ht="50" customHeight="1" s="255"/>
    <row r="36" ht="50" customHeight="1" s="255">
      <c r="A36" s="292" t="inlineStr">
        <is>
          <t>TEAM &amp; SCALING</t>
        </is>
      </c>
    </row>
    <row r="37" ht="50" customHeight="1" s="255">
      <c r="A37" s="305" t="inlineStr">
        <is>
          <t>Sales Hire Timeline</t>
        </is>
      </c>
      <c r="B37" s="306" t="inlineStr">
        <is>
          <t>1 rep at M0, +1 at M6, +1 at M12</t>
        </is>
      </c>
      <c r="C37" s="305" t="inlineStr">
        <is>
          <t>Start with 1 rep to validate sales process. Scale when proven (&gt;10 customers)</t>
        </is>
      </c>
      <c r="D37" s="300" t="inlineStr">
        <is>
          <t>High</t>
        </is>
      </c>
      <c r="E37" s="305" t="inlineStr">
        <is>
          <t>Hire when: previous rep consistently hits 3 customers/month for 2 months</t>
        </is>
      </c>
    </row>
    <row r="38" ht="50" customHeight="1" s="255">
      <c r="A38" s="305" t="inlineStr">
        <is>
          <t>Payback Period</t>
        </is>
      </c>
      <c r="B38" s="306" t="inlineStr">
        <is>
          <t>&lt; 12 months</t>
        </is>
      </c>
      <c r="C38" s="305" t="inlineStr">
        <is>
          <t>Target: CAC payback in &lt;12 months. At $150 CAC and $100 MRR = 1.5 months. Comfortable!</t>
        </is>
      </c>
      <c r="D38" s="301" t="inlineStr">
        <is>
          <t>Low</t>
        </is>
      </c>
      <c r="E38" s="305" t="inlineStr">
        <is>
          <t>Monthly calculation. Adjust marketing if payback &gt; 12 months</t>
        </is>
      </c>
    </row>
    <row r="39" ht="50" customHeight="1" s="255"/>
    <row r="40" ht="50" customHeight="1" s="255"/>
    <row r="41" ht="50" customHeight="1" s="255">
      <c r="A41" s="292" t="inlineStr">
        <is>
          <t>CONFIDENCE LEVELS</t>
        </is>
      </c>
    </row>
    <row r="42" ht="50" customHeight="1" s="255">
      <c r="A42" s="300" t="inlineStr">
        <is>
          <t>High</t>
        </is>
      </c>
      <c r="B42" s="298" t="inlineStr">
        <is>
          <t>Данные из пилота или подтверждённые исследования</t>
        </is>
      </c>
      <c r="C42" s="308" t="n"/>
      <c r="D42" s="308" t="n"/>
      <c r="E42" s="309" t="n"/>
    </row>
    <row r="43" ht="50" customHeight="1" s="255">
      <c r="A43" s="307" t="inlineStr">
        <is>
          <t>Medium</t>
        </is>
      </c>
      <c r="B43" s="298" t="inlineStr">
        <is>
          <t>Индустриальные бенчмарки или обоснованные estimates</t>
        </is>
      </c>
      <c r="C43" s="308" t="n"/>
      <c r="D43" s="308" t="n"/>
      <c r="E43" s="309" t="n"/>
    </row>
    <row r="44" ht="50" customHeight="1" s="255">
      <c r="A44" s="301" t="inlineStr">
        <is>
          <t>Low</t>
        </is>
      </c>
      <c r="B44" s="298" t="inlineStr">
        <is>
          <t>Educated guesses - будут validated в первые 6-12 месяцев</t>
        </is>
      </c>
      <c r="C44" s="308" t="n"/>
      <c r="D44" s="308" t="n"/>
      <c r="E44" s="309" t="n"/>
    </row>
    <row r="45" ht="50" customHeight="1" s="255"/>
    <row r="46" ht="50" customHeight="1" s="255"/>
    <row r="47" ht="50" customHeight="1" s="255">
      <c r="A47" s="310" t="inlineStr">
        <is>
          <t>📅 ПЛАН ОБНОВЛЕНИЯ ASSUMPTIONS</t>
        </is>
      </c>
    </row>
    <row r="48" ht="50" customHeight="1" s="255">
      <c r="A48" s="293" t="inlineStr">
        <is>
          <t>Месяц 1-3: Validate pricing, sales cycle, conversion rates с первыми 5 клиентами</t>
        </is>
      </c>
    </row>
    <row r="49" ht="50" customHeight="1" s="255">
      <c r="A49" s="293" t="inlineStr">
        <is>
          <t>Месяц 3-6: Update CAC на основе actual marketing spend и conversions</t>
        </is>
      </c>
    </row>
    <row r="50">
      <c r="A50" s="293" t="inlineStr">
        <is>
          <t>Месяц 6-12: Начинаем видеть early churn data, корректируем LTV assumptions</t>
        </is>
      </c>
    </row>
    <row r="51">
      <c r="A51" s="293" t="inlineStr">
        <is>
          <t>Месяц 12+: Mature data, можем строить predictive models</t>
        </is>
      </c>
    </row>
    <row r="52">
      <c r="A52" s="293" t="inlineStr"/>
    </row>
    <row r="53">
      <c r="A53" s="293" t="inlineStr">
        <is>
          <t>⚡ Обновление модели: ежемесячно на основе actual vs. assumed metrics</t>
        </is>
      </c>
    </row>
    <row r="54">
      <c r="A54" s="293" t="inlineStr">
        <is>
          <t>⚡ Presentation для investors: ежеквартально с updated assumptions</t>
        </is>
      </c>
    </row>
    <row r="56">
      <c r="A56" t="inlineStr"/>
      <c r="B56" t="inlineStr"/>
      <c r="C56" t="inlineStr"/>
      <c r="D56" t="inlineStr"/>
    </row>
    <row r="57">
      <c r="A57" s="311" t="inlineStr">
        <is>
          <t>PRICING (Updated 2026-01-27)</t>
        </is>
      </c>
      <c r="B57" s="311" t="inlineStr"/>
      <c r="C57" s="311" t="inlineStr"/>
      <c r="D57" s="311" t="inlineStr"/>
    </row>
    <row r="58">
      <c r="A58" s="312" t="inlineStr">
        <is>
          <t>Parameter</t>
        </is>
      </c>
      <c r="B58" s="312" t="inlineStr">
        <is>
          <t>Old Value</t>
        </is>
      </c>
      <c r="C58" s="312" t="inlineStr">
        <is>
          <t>New Value</t>
        </is>
      </c>
      <c r="D58" s="312" t="inlineStr">
        <is>
          <t>Notes</t>
        </is>
      </c>
    </row>
    <row r="59">
      <c r="A59" t="inlineStr">
        <is>
          <t>Doctor Professional Base</t>
        </is>
      </c>
      <c r="B59" t="inlineStr">
        <is>
          <t>$100</t>
        </is>
      </c>
      <c r="C59" t="inlineStr">
        <is>
          <t>$249</t>
        </is>
      </c>
      <c r="D59" t="inlineStr">
        <is>
          <t>Market-validated pricing</t>
        </is>
      </c>
    </row>
    <row r="60">
      <c r="A60" t="inlineStr">
        <is>
          <t>Early Adopter Tier 1 (30% off)</t>
        </is>
      </c>
      <c r="B60" t="inlineStr">
        <is>
          <t>$70</t>
        </is>
      </c>
      <c r="C60" t="inlineStr">
        <is>
          <t>$174</t>
        </is>
      </c>
      <c r="D60" t="inlineStr">
        <is>
          <t>Founder's Circle</t>
        </is>
      </c>
    </row>
    <row r="61">
      <c r="A61" t="inlineStr">
        <is>
          <t>Early Adopter Tier 2 (20% off)</t>
        </is>
      </c>
      <c r="B61" t="inlineStr">
        <is>
          <t>$80</t>
        </is>
      </c>
      <c r="C61" t="inlineStr">
        <is>
          <t>$199</t>
        </is>
      </c>
      <c r="D61" t="inlineStr">
        <is>
          <t>Early Adopter</t>
        </is>
      </c>
    </row>
    <row r="62">
      <c r="A62" t="inlineStr">
        <is>
          <t>Early Adopter Tier 3 (10% off)</t>
        </is>
      </c>
      <c r="B62" t="inlineStr">
        <is>
          <t>$90</t>
        </is>
      </c>
      <c r="C62" t="inlineStr">
        <is>
          <t>$224</t>
        </is>
      </c>
      <c r="D62" t="inlineStr">
        <is>
          <t>Launch Partner</t>
        </is>
      </c>
    </row>
    <row r="63">
      <c r="A63" t="inlineStr">
        <is>
          <t>Patient Premium (NEW)</t>
        </is>
      </c>
      <c r="B63" t="inlineStr">
        <is>
          <t>-</t>
        </is>
      </c>
      <c r="C63" t="inlineStr">
        <is>
          <t>$9.99</t>
        </is>
      </c>
      <c r="D63" t="inlineStr">
        <is>
          <t>B2C monetization</t>
        </is>
      </c>
    </row>
    <row r="64">
      <c r="A64" t="inlineStr">
        <is>
          <t>Revenue Share to Doctors (NEW)</t>
        </is>
      </c>
      <c r="B64" t="inlineStr">
        <is>
          <t>-</t>
        </is>
      </c>
      <c r="C64" t="inlineStr">
        <is>
          <t>25%</t>
        </is>
      </c>
      <c r="D64" t="inlineStr">
        <is>
          <t>$2.50 per Premium patient</t>
        </is>
      </c>
    </row>
    <row r="65">
      <c r="A65" t="inlineStr"/>
      <c r="B65" t="inlineStr"/>
      <c r="C65" t="inlineStr"/>
      <c r="D65" t="inlineStr"/>
    </row>
    <row r="66">
      <c r="A66" s="311" t="inlineStr">
        <is>
          <t>DOCTOR COGS (per month, 340 visits)</t>
        </is>
      </c>
      <c r="B66" s="311" t="inlineStr"/>
      <c r="C66" s="311" t="inlineStr"/>
      <c r="D66" s="311" t="inlineStr"/>
    </row>
    <row r="67">
      <c r="A67" s="312" t="inlineStr">
        <is>
          <t>Component</t>
        </is>
      </c>
      <c r="B67" s="312" t="inlineStr">
        <is>
          <t>Per Visit</t>
        </is>
      </c>
      <c r="C67" s="312" t="inlineStr">
        <is>
          <t>Monthly</t>
        </is>
      </c>
      <c r="D67" s="312" t="inlineStr">
        <is>
          <t>Notes</t>
        </is>
      </c>
    </row>
    <row r="68">
      <c r="A68" t="inlineStr">
        <is>
          <t>Whisper Transcription</t>
        </is>
      </c>
      <c r="B68" t="inlineStr">
        <is>
          <t>$0.09</t>
        </is>
      </c>
      <c r="C68" t="inlineStr">
        <is>
          <t>$30.60</t>
        </is>
      </c>
      <c r="D68" t="inlineStr">
        <is>
          <t>15-min avg visit</t>
        </is>
      </c>
    </row>
    <row r="69">
      <c r="A69" t="inlineStr">
        <is>
          <t>GPT-4o SOAP Notes</t>
        </is>
      </c>
      <c r="B69" t="inlineStr">
        <is>
          <t>$0.0155</t>
        </is>
      </c>
      <c r="C69" t="inlineStr">
        <is>
          <t>$5.27</t>
        </is>
      </c>
      <c r="D69" t="inlineStr">
        <is>
          <t>AI-generated</t>
        </is>
      </c>
    </row>
    <row r="70">
      <c r="A70" t="inlineStr">
        <is>
          <t>AI Clinical Consultant</t>
        </is>
      </c>
      <c r="B70" t="inlineStr">
        <is>
          <t>$0.0023</t>
        </is>
      </c>
      <c r="C70" t="inlineStr">
        <is>
          <t>$0.77</t>
        </is>
      </c>
      <c r="D70" t="inlineStr">
        <is>
          <t>30% of visits</t>
        </is>
      </c>
    </row>
    <row r="71">
      <c r="A71" t="inlineStr">
        <is>
          <t>Infrastructure</t>
        </is>
      </c>
      <c r="B71" t="inlineStr">
        <is>
          <t>-</t>
        </is>
      </c>
      <c r="C71" t="inlineStr">
        <is>
          <t>$0.50</t>
        </is>
      </c>
      <c r="D71" t="inlineStr">
        <is>
          <t>Fixed cost</t>
        </is>
      </c>
    </row>
    <row r="72">
      <c r="A72" t="inlineStr">
        <is>
          <t>Analytics &amp; Reports</t>
        </is>
      </c>
      <c r="B72" t="inlineStr">
        <is>
          <t>-</t>
        </is>
      </c>
      <c r="C72" t="inlineStr">
        <is>
          <t>$0.05</t>
        </is>
      </c>
      <c r="D72" t="inlineStr">
        <is>
          <t>Batch processing</t>
        </is>
      </c>
    </row>
    <row r="73">
      <c r="A73" t="inlineStr">
        <is>
          <t>TOTAL DOCTOR COGS</t>
        </is>
      </c>
      <c r="B73" t="inlineStr">
        <is>
          <t>$0.1055</t>
        </is>
      </c>
      <c r="C73" t="inlineStr">
        <is>
          <t>$37.19</t>
        </is>
      </c>
      <c r="D73" t="inlineStr">
        <is>
          <t>85% gross margin</t>
        </is>
      </c>
    </row>
    <row r="74">
      <c r="A74" t="inlineStr"/>
      <c r="B74" t="inlineStr"/>
      <c r="C74" t="inlineStr"/>
      <c r="D74" t="inlineStr"/>
    </row>
    <row r="75">
      <c r="A75" s="311" t="inlineStr">
        <is>
          <t>PATIENT COGS (optimized)</t>
        </is>
      </c>
      <c r="B75" s="311" t="inlineStr"/>
      <c r="C75" s="311" t="inlineStr"/>
      <c r="D75" s="311" t="inlineStr"/>
    </row>
    <row r="76">
      <c r="A76" s="312" t="inlineStr">
        <is>
          <t>User Type</t>
        </is>
      </c>
      <c r="B76" s="312" t="inlineStr">
        <is>
          <t>Monthly COGS</t>
        </is>
      </c>
      <c r="C76" s="312" t="inlineStr">
        <is>
          <t>Notes</t>
        </is>
      </c>
      <c r="D76" s="312" t="inlineStr"/>
    </row>
    <row r="77">
      <c r="A77" t="inlineStr">
        <is>
          <t>Free User</t>
        </is>
      </c>
      <c r="B77" t="inlineStr">
        <is>
          <t>$0.77</t>
        </is>
      </c>
      <c r="C77" t="inlineStr">
        <is>
          <t>50 msg, 10 photos, 5 labs</t>
        </is>
      </c>
      <c r="D77" t="inlineStr"/>
    </row>
    <row r="78">
      <c r="A78" t="inlineStr">
        <is>
          <t>Premium Typical</t>
        </is>
      </c>
      <c r="B78" t="inlineStr">
        <is>
          <t>$2.80</t>
        </is>
      </c>
      <c r="C78" t="inlineStr">
        <is>
          <t>200 msg, 60 photos</t>
        </is>
      </c>
      <c r="D78" t="inlineStr"/>
    </row>
    <row r="79">
      <c r="A79" t="inlineStr">
        <is>
          <t>Premium Weighted Avg</t>
        </is>
      </c>
      <c r="B79" t="inlineStr">
        <is>
          <t>$2.83</t>
        </is>
      </c>
      <c r="C79" t="inlineStr">
        <is>
          <t>72% margin before rev share</t>
        </is>
      </c>
      <c r="D79" t="inlineStr"/>
    </row>
    <row r="80">
      <c r="A80" t="inlineStr"/>
      <c r="B80" t="inlineStr"/>
      <c r="C80" t="inlineStr"/>
      <c r="D80" t="inlineStr"/>
    </row>
    <row r="81">
      <c r="A81" s="311" t="inlineStr">
        <is>
          <t>CONVERSION &amp; LIMITS</t>
        </is>
      </c>
      <c r="B81" s="311" t="inlineStr"/>
      <c r="C81" s="311" t="inlineStr"/>
      <c r="D81" s="311" t="inlineStr"/>
    </row>
    <row r="82">
      <c r="A82" s="312" t="inlineStr">
        <is>
          <t>Metric</t>
        </is>
      </c>
      <c r="B82" s="312" t="inlineStr">
        <is>
          <t>Value</t>
        </is>
      </c>
      <c r="C82" s="312" t="inlineStr">
        <is>
          <t>Notes</t>
        </is>
      </c>
      <c r="D82" s="312" t="inlineStr"/>
    </row>
    <row r="83">
      <c r="A83" t="inlineStr">
        <is>
          <t>Free to Premium Conversion</t>
        </is>
      </c>
      <c r="B83" t="inlineStr">
        <is>
          <t>10-15%</t>
        </is>
      </c>
      <c r="C83" t="inlineStr">
        <is>
          <t>Target: 12%</t>
        </is>
      </c>
      <c r="D83" t="inlineStr"/>
    </row>
    <row r="84">
      <c r="A84" t="inlineStr">
        <is>
          <t>Patients per Doctor</t>
        </is>
      </c>
      <c r="B84" t="inlineStr">
        <is>
          <t>100</t>
        </is>
      </c>
      <c r="C84" t="inlineStr">
        <is>
          <t>Conservative</t>
        </is>
      </c>
      <c r="D84" t="inlineStr"/>
    </row>
    <row r="85">
      <c r="A85" t="inlineStr">
        <is>
          <t>Doctor Visits Included</t>
        </is>
      </c>
      <c r="B85" t="inlineStr">
        <is>
          <t>600/month</t>
        </is>
      </c>
      <c r="C85" t="inlineStr">
        <is>
          <t>30 per day</t>
        </is>
      </c>
      <c r="D85" t="inlineStr"/>
    </row>
    <row r="86">
      <c r="A86" t="inlineStr">
        <is>
          <t>Patient Messages (Premium)</t>
        </is>
      </c>
      <c r="B86" t="inlineStr">
        <is>
          <t>500/month</t>
        </is>
      </c>
      <c r="C86" t="inlineStr">
        <is>
          <t>16 per day</t>
        </is>
      </c>
      <c r="D86" t="inlineStr"/>
    </row>
    <row r="87">
      <c r="A87" t="inlineStr">
        <is>
          <t>Patient Photos (Premium)</t>
        </is>
      </c>
      <c r="B87" t="inlineStr">
        <is>
          <t>150/month</t>
        </is>
      </c>
      <c r="C87" t="inlineStr">
        <is>
          <t>5 per day</t>
        </is>
      </c>
      <c r="D87" t="inlineStr"/>
    </row>
    <row r="88">
      <c r="A88" t="inlineStr">
        <is>
          <t>Patient Labs (Premium)</t>
        </is>
      </c>
      <c r="B88" t="inlineStr">
        <is>
          <t>20/month</t>
        </is>
      </c>
      <c r="C88" t="inlineStr"/>
      <c r="D88" t="inlineStr"/>
    </row>
  </sheetData>
  <mergeCells count="19">
    <mergeCell ref="A48:E48"/>
    <mergeCell ref="A49:E49"/>
    <mergeCell ref="A51:E51"/>
    <mergeCell ref="A36:E36"/>
    <mergeCell ref="A54:E54"/>
    <mergeCell ref="A25:E25"/>
    <mergeCell ref="A41:E41"/>
    <mergeCell ref="A50:E50"/>
    <mergeCell ref="B43:E43"/>
    <mergeCell ref="A47:E47"/>
    <mergeCell ref="A5:E5"/>
    <mergeCell ref="A8:E8"/>
    <mergeCell ref="B42:E42"/>
    <mergeCell ref="A53:E53"/>
    <mergeCell ref="A20:E20"/>
    <mergeCell ref="A52:E52"/>
    <mergeCell ref="B44:E44"/>
    <mergeCell ref="A13:E13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255" min="1" max="1"/>
    <col width="17" customWidth="1" style="255" min="2" max="2"/>
    <col width="25.25" customWidth="1" style="255" min="3" max="3"/>
    <col width="12.63" customWidth="1" style="255" min="4" max="4"/>
    <col width="21" customWidth="1" style="255" min="5" max="5"/>
    <col width="12.63" customWidth="1" style="255" min="6" max="6"/>
    <col width="29" customWidth="1" style="255" min="11" max="11"/>
  </cols>
  <sheetData>
    <row r="1" ht="24" customHeight="1" s="255">
      <c r="A1" s="42" t="n"/>
      <c r="B1" s="2" t="inlineStr">
        <is>
          <t>Сайт:</t>
        </is>
      </c>
      <c r="C1" s="3" t="inlineStr">
        <is>
          <t>https://anastasianikolaeva.com/</t>
        </is>
      </c>
      <c r="D1" s="2" t="inlineStr">
        <is>
          <t>Телеграм:</t>
        </is>
      </c>
      <c r="E1" s="3" t="inlineStr">
        <is>
          <t>https://t.me/anikolayeva</t>
        </is>
      </c>
      <c r="F1" s="4" t="n"/>
      <c r="G1" s="4" t="n"/>
      <c r="H1" s="4" t="n"/>
      <c r="I1" s="4" t="n"/>
      <c r="J1" s="4" t="n"/>
      <c r="K1" s="4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05" customHeight="1" s="255">
      <c r="A2" s="5" t="n"/>
      <c r="B2" s="6" t="n"/>
      <c r="C2" s="256" t="inlineStr">
        <is>
          <t>Материалы этого файла могут быть использованы только лицом, купившим данный материал на сайте https://anastasianikolaeva.com/,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https://anastasianikolaeva.com/</t>
        </is>
      </c>
      <c r="D2" s="257" t="n"/>
      <c r="E2" s="257" t="n"/>
      <c r="F2" s="257" t="n"/>
      <c r="G2" s="257" t="n"/>
      <c r="H2" s="257" t="n"/>
      <c r="I2" s="257" t="n"/>
      <c r="J2" s="257" t="n"/>
      <c r="K2" s="258" t="n"/>
    </row>
    <row r="3" ht="63.75" customHeight="1" s="255">
      <c r="A3" s="5" t="n"/>
      <c r="B3" s="259" t="inlineStr">
        <is>
    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здесь: 
https://anastasianikolaeva.com/#expressform</t>
        </is>
      </c>
      <c r="C3" s="257" t="n"/>
      <c r="D3" s="257" t="n"/>
      <c r="E3" s="257" t="n"/>
      <c r="F3" s="257" t="n"/>
      <c r="G3" s="257" t="n"/>
      <c r="H3" s="257" t="n"/>
      <c r="I3" s="257" t="n"/>
      <c r="J3" s="257" t="n"/>
      <c r="K3" s="258" t="n"/>
    </row>
    <row r="4" ht="28.5" customHeight="1" s="255">
      <c r="A4" s="11" t="n"/>
      <c r="B4" s="260" t="inlineStr">
        <is>
          <t>Финансовая модель</t>
        </is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2" t="n"/>
    </row>
    <row r="5" ht="15.75" customHeight="1" s="255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26.75" customHeight="1" s="255">
      <c r="A6" s="16" t="n"/>
      <c r="B6" s="263" t="inlineStr">
        <is>
      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      </is>
      </c>
      <c r="C6" s="264" t="n"/>
      <c r="D6" s="264" t="n"/>
      <c r="E6" s="264" t="n"/>
      <c r="F6" s="264" t="n"/>
      <c r="G6" s="264" t="n"/>
      <c r="H6" s="264" t="n"/>
      <c r="I6" s="264" t="n"/>
      <c r="J6" s="264" t="n"/>
      <c r="K6" s="265" t="n"/>
    </row>
    <row r="7" ht="15.75" customHeight="1" s="255"/>
    <row r="8" ht="15.75" customHeight="1" s="255"/>
    <row r="9" ht="28.5" customHeight="1" s="255">
      <c r="A9" s="11" t="n"/>
      <c r="B9" s="260" t="inlineStr">
        <is>
          <t>Инструкции</t>
        </is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2" t="n"/>
    </row>
    <row r="10" ht="15.75" customHeight="1" s="255"/>
    <row r="11" ht="47.25" customHeight="1" s="255">
      <c r="A11" s="42" t="n"/>
      <c r="B11" s="266" t="n">
        <v>1000</v>
      </c>
      <c r="C11" s="258" t="n"/>
      <c r="D11" s="267" t="inlineStr">
        <is>
          <t>Синим шрифтом выделены поля, куда вносятся данные.</t>
        </is>
      </c>
      <c r="E11" s="257" t="n"/>
      <c r="F11" s="257" t="n"/>
      <c r="G11" s="257" t="n"/>
      <c r="H11" s="257" t="n"/>
      <c r="I11" s="257" t="n"/>
      <c r="J11" s="257" t="n"/>
      <c r="K11" s="258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47.25" customHeight="1" s="255">
      <c r="A12" s="42" t="n"/>
      <c r="B12" s="268" t="n">
        <v>2000</v>
      </c>
      <c r="C12" s="258" t="n"/>
      <c r="D12" s="267" t="inlineStr">
        <is>
          <t>Черным шрифтом выделены поля, в которых вычисления производятся по формулам.</t>
        </is>
      </c>
      <c r="E12" s="257" t="n"/>
      <c r="F12" s="257" t="n"/>
      <c r="G12" s="257" t="n"/>
      <c r="H12" s="257" t="n"/>
      <c r="I12" s="257" t="n"/>
      <c r="J12" s="257" t="n"/>
      <c r="K12" s="258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40.5" customHeight="1" s="255">
      <c r="B13" s="268" t="inlineStr">
        <is>
          <t>Incorporation</t>
        </is>
      </c>
      <c r="C13" s="258" t="n"/>
      <c r="D13" s="267" t="inlineStr">
        <is>
          <t>В выпадающих списках заданы списки параметров, выбор которых влияет на расчеты в модели.</t>
        </is>
      </c>
      <c r="E13" s="257" t="n"/>
      <c r="F13" s="257" t="n"/>
      <c r="G13" s="257" t="n"/>
      <c r="H13" s="257" t="n"/>
      <c r="I13" s="257" t="n"/>
      <c r="J13" s="257" t="n"/>
      <c r="K13" s="258" t="n"/>
    </row>
    <row r="14" ht="47.25" customHeight="1" s="255">
      <c r="A14" s="42" t="n"/>
      <c r="B14" s="268" t="inlineStr">
        <is>
          <t>Вкладка "Setting"</t>
        </is>
      </c>
      <c r="C14" s="258" t="n"/>
      <c r="D14" s="267" t="inlineStr">
        <is>
      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      </is>
      </c>
      <c r="E14" s="257" t="n"/>
      <c r="F14" s="257" t="n"/>
      <c r="G14" s="257" t="n"/>
      <c r="H14" s="257" t="n"/>
      <c r="I14" s="257" t="n"/>
      <c r="J14" s="257" t="n"/>
      <c r="K14" s="258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86.25" customHeight="1" s="255">
      <c r="A15" s="42" t="n"/>
      <c r="B15" s="268" t="inlineStr">
        <is>
          <t>Вкладка "Roadmap"</t>
        </is>
      </c>
      <c r="C15" s="258" t="n"/>
      <c r="D15" s="267" t="inlineStr">
        <is>
      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      </is>
      </c>
      <c r="E15" s="257" t="n"/>
      <c r="F15" s="257" t="n"/>
      <c r="G15" s="257" t="n"/>
      <c r="H15" s="257" t="n"/>
      <c r="I15" s="257" t="n"/>
      <c r="J15" s="257" t="n"/>
      <c r="K15" s="258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79.5" customHeight="1" s="255">
      <c r="A16" s="42" t="n"/>
      <c r="B16" s="268" t="inlineStr">
        <is>
          <t>Вкладка "Payroll"</t>
        </is>
      </c>
      <c r="C16" s="258" t="n"/>
      <c r="D16" s="267" t="inlineStr">
        <is>
      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      </is>
      </c>
      <c r="E16" s="257" t="n"/>
      <c r="F16" s="257" t="n"/>
      <c r="G16" s="257" t="n"/>
      <c r="H16" s="257" t="n"/>
      <c r="I16" s="257" t="n"/>
      <c r="J16" s="257" t="n"/>
      <c r="K16" s="258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55.5" customHeight="1" s="255">
      <c r="A17" s="42" t="n"/>
      <c r="B17" s="268" t="inlineStr">
        <is>
          <t>Вкладка "Projections"</t>
        </is>
      </c>
      <c r="C17" s="258" t="n"/>
      <c r="D17" s="267" t="inlineStr">
        <is>
      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      </is>
      </c>
      <c r="E17" s="257" t="n"/>
      <c r="F17" s="257" t="n"/>
      <c r="G17" s="257" t="n"/>
      <c r="H17" s="257" t="n"/>
      <c r="I17" s="257" t="n"/>
      <c r="J17" s="257" t="n"/>
      <c r="K17" s="258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47.25" customHeight="1" s="255">
      <c r="A18" s="42" t="n"/>
      <c r="B18" s="268" t="inlineStr">
        <is>
          <t>Вкладка "Monthly Forecast"</t>
        </is>
      </c>
      <c r="C18" s="258" t="n"/>
      <c r="D18" s="267" t="inlineStr">
        <is>
      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      </is>
      </c>
      <c r="E18" s="257" t="n"/>
      <c r="F18" s="257" t="n"/>
      <c r="G18" s="257" t="n"/>
      <c r="H18" s="257" t="n"/>
      <c r="I18" s="257" t="n"/>
      <c r="J18" s="257" t="n"/>
      <c r="K18" s="258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47.25" customHeight="1" s="255">
      <c r="A19" s="24" t="n"/>
      <c r="B19" s="269" t="inlineStr">
        <is>
          <t>Вкладка "Unit Economics"</t>
        </is>
      </c>
      <c r="C19" s="258" t="n"/>
      <c r="D19" s="270" t="inlineStr">
        <is>
      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      </is>
      </c>
      <c r="E19" s="257" t="n"/>
      <c r="F19" s="257" t="n"/>
      <c r="G19" s="257" t="n"/>
      <c r="H19" s="257" t="n"/>
      <c r="I19" s="257" t="n"/>
      <c r="J19" s="257" t="n"/>
      <c r="K19" s="258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47.25" customHeight="1" s="255">
      <c r="A20" s="42" t="n"/>
      <c r="B20" s="268" t="inlineStr">
        <is>
          <t>Вкладка "P&amp;L and Cash Flow"</t>
        </is>
      </c>
      <c r="C20" s="258" t="n"/>
      <c r="D20" s="267" t="inlineStr">
        <is>
      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      </is>
      </c>
      <c r="E20" s="257" t="n"/>
      <c r="F20" s="257" t="n"/>
      <c r="G20" s="257" t="n"/>
      <c r="H20" s="257" t="n"/>
      <c r="I20" s="257" t="n"/>
      <c r="J20" s="257" t="n"/>
      <c r="K20" s="258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7.25" customHeight="1" s="255">
      <c r="A21" s="24" t="n"/>
      <c r="B21" s="269" t="inlineStr">
        <is>
          <t>Вкладка "For Pitchdeck"</t>
        </is>
      </c>
      <c r="C21" s="258" t="n"/>
      <c r="D21" s="270" t="inlineStr">
        <is>
      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      </is>
      </c>
      <c r="E21" s="257" t="n"/>
      <c r="F21" s="257" t="n"/>
      <c r="G21" s="257" t="n"/>
      <c r="H21" s="257" t="n"/>
      <c r="I21" s="257" t="n"/>
      <c r="J21" s="257" t="n"/>
      <c r="K21" s="258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7.25" customHeight="1" s="255">
      <c r="A22" s="42" t="n"/>
      <c r="B22" s="268" t="inlineStr">
        <is>
          <t>Вкладка "Cap Table"</t>
        </is>
      </c>
      <c r="C22" s="258" t="n"/>
      <c r="D22" s="270" t="inlineStr">
        <is>
      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      </is>
      </c>
      <c r="E22" s="257" t="n"/>
      <c r="F22" s="257" t="n"/>
      <c r="G22" s="257" t="n"/>
      <c r="H22" s="257" t="n"/>
      <c r="I22" s="257" t="n"/>
      <c r="J22" s="257" t="n"/>
      <c r="K22" s="258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56.25" customHeight="1" s="255">
      <c r="A23" s="42" t="n"/>
      <c r="B23" s="271" t="inlineStr">
        <is>
          <t>Вкладка "Dividends"</t>
        </is>
      </c>
      <c r="C23" s="265" t="n"/>
      <c r="D23" s="272" t="inlineStr">
        <is>
      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      </is>
      </c>
      <c r="E23" s="264" t="n"/>
      <c r="F23" s="264" t="n"/>
      <c r="G23" s="264" t="n"/>
      <c r="H23" s="264" t="n"/>
      <c r="I23" s="264" t="n"/>
      <c r="J23" s="264" t="n"/>
      <c r="K23" s="265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56.25" customHeight="1" s="255">
      <c r="A24" s="42" t="n"/>
      <c r="B24" s="271" t="inlineStr">
        <is>
          <t>Вкладка "Exit scenarios"</t>
        </is>
      </c>
      <c r="C24" s="265" t="n"/>
      <c r="D24" s="272" t="inlineStr">
        <is>
      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      </is>
      </c>
      <c r="E24" s="264" t="n"/>
      <c r="F24" s="264" t="n"/>
      <c r="G24" s="264" t="n"/>
      <c r="H24" s="264" t="n"/>
      <c r="I24" s="264" t="n"/>
      <c r="J24" s="264" t="n"/>
      <c r="K24" s="265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7.25" customHeight="1" s="255">
      <c r="A25" s="42" t="n"/>
      <c r="B25" s="268" t="inlineStr">
        <is>
          <t>Вкладка "Charts"</t>
        </is>
      </c>
      <c r="C25" s="258" t="n"/>
      <c r="D25" s="267" t="inlineStr">
        <is>
      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      </is>
      </c>
      <c r="E25" s="257" t="n"/>
      <c r="F25" s="257" t="n"/>
      <c r="G25" s="257" t="n"/>
      <c r="H25" s="257" t="n"/>
      <c r="I25" s="257" t="n"/>
      <c r="J25" s="257" t="n"/>
      <c r="K25" s="258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56.25" customHeight="1" s="255">
      <c r="A26" s="42" t="n"/>
      <c r="B26" s="268" t="inlineStr">
        <is>
          <t>Вкладка "Data for Charts"</t>
        </is>
      </c>
      <c r="C26" s="258" t="n"/>
      <c r="D26" s="267" t="inlineStr">
        <is>
      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      </is>
      </c>
      <c r="E26" s="257" t="n"/>
      <c r="F26" s="257" t="n"/>
      <c r="G26" s="257" t="n"/>
      <c r="H26" s="257" t="n"/>
      <c r="I26" s="257" t="n"/>
      <c r="J26" s="257" t="n"/>
      <c r="K26" s="258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37">
    <mergeCell ref="D20:K20"/>
    <mergeCell ref="D26:K26"/>
    <mergeCell ref="B16:C16"/>
    <mergeCell ref="B25:C25"/>
    <mergeCell ref="B9:K9"/>
    <mergeCell ref="D19:K19"/>
    <mergeCell ref="B22:C22"/>
    <mergeCell ref="B6:K6"/>
    <mergeCell ref="D22:K22"/>
    <mergeCell ref="B18:C18"/>
    <mergeCell ref="B12:C12"/>
    <mergeCell ref="C2:K2"/>
    <mergeCell ref="B21:C21"/>
    <mergeCell ref="D21:K21"/>
    <mergeCell ref="B4:K4"/>
    <mergeCell ref="B11:C11"/>
    <mergeCell ref="D11:K11"/>
    <mergeCell ref="B23:C23"/>
    <mergeCell ref="D13:K13"/>
    <mergeCell ref="B14:C14"/>
    <mergeCell ref="B17:C17"/>
    <mergeCell ref="B3:K3"/>
    <mergeCell ref="B13:C13"/>
    <mergeCell ref="D17:K17"/>
    <mergeCell ref="B19:C19"/>
    <mergeCell ref="D16:K16"/>
    <mergeCell ref="D12:K12"/>
    <mergeCell ref="D18:K18"/>
    <mergeCell ref="B24:C24"/>
    <mergeCell ref="B15:C15"/>
    <mergeCell ref="B26:C26"/>
    <mergeCell ref="D25:K25"/>
    <mergeCell ref="D15:K15"/>
    <mergeCell ref="B20:C20"/>
    <mergeCell ref="D24:K24"/>
    <mergeCell ref="D14:K14"/>
    <mergeCell ref="D23:K23"/>
  </mergeCells>
  <dataValidations count="1">
    <dataValidation sqref="B13" showDropDown="0" showInputMessage="0" showErrorMessage="1" allowBlank="1" type="list">
      <formula1>Roadmap!$A$7:$A$110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C2" r:id="rId3"/>
    <hyperlink xmlns:r="http://schemas.openxmlformats.org/officeDocument/2006/relationships" ref="B3" location="expressform" r:id="rId4"/>
  </hyperlinks>
  <printOptions horizontalCentered="1"/>
  <pageMargins left="0.7" right="0.7" top="0.75" bottom="0.75" header="0" footer="0"/>
  <pageSetup orientation="landscape" fitToHeight="0" pageOrder="overThenDown"/>
</worksheet>
</file>

<file path=xl/worksheets/sheet5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255" min="1" max="1"/>
    <col width="15.63" customWidth="1" style="255" min="2" max="2"/>
    <col width="12.63" customWidth="1" style="255" min="3" max="6"/>
  </cols>
  <sheetData>
    <row r="1" ht="15.75" customHeight="1" s="255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GENERAL SETTINGS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42" t="inlineStr">
        <is>
          <t>Company name</t>
        </is>
      </c>
      <c r="B4" s="32" t="inlineStr">
        <is>
          <t>Healthy4U</t>
        </is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42" t="inlineStr">
        <is>
          <t>Currency</t>
        </is>
      </c>
      <c r="B5" s="32" t="inlineStr">
        <is>
          <t>USD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inlineStr">
        <is>
          <t>Country of incorporation</t>
        </is>
      </c>
      <c r="B6" s="32" t="inlineStr">
        <is>
          <t>Israel</t>
        </is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42" t="inlineStr">
        <is>
          <t>Income tax rate</t>
        </is>
      </c>
      <c r="B7" s="58" t="n">
        <v>0.23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2" t="inlineStr">
        <is>
          <t>Payroll tax rate</t>
        </is>
      </c>
      <c r="B8" s="58" t="n">
        <v>0.35</v>
      </c>
      <c r="C8" s="42" t="n"/>
      <c r="D8" s="42" t="n"/>
      <c r="E8" s="42" t="n"/>
      <c r="F8" s="34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inlineStr">
        <is>
          <t>Tax Payment Month</t>
        </is>
      </c>
      <c r="B9" s="43" t="n">
        <v>3</v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inlineStr">
        <is>
          <t>Cash in bank at start</t>
        </is>
      </c>
      <c r="B10" s="54" t="n">
        <v>0</v>
      </c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75" header="0" footer="0"/>
  <pageSetup orientation="landscape" fitToHeight="0" pageOrder="overThenDown"/>
</worksheet>
</file>

<file path=xl/worksheets/sheet6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5" min="1" max="1"/>
    <col width="22.5" customWidth="1" style="255" min="2" max="2"/>
    <col width="12.63" customWidth="1" style="255" min="3" max="6"/>
  </cols>
  <sheetData>
    <row r="1" ht="31.5" customHeight="1" s="255">
      <c r="A1" s="37">
        <f>Settings!$B$4</f>
        <v/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ROADMAP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38" t="inlineStr">
        <is>
          <t>Growth driving events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39" t="inlineStr">
        <is>
          <t>Type</t>
        </is>
      </c>
      <c r="C6" s="39" t="inlineStr">
        <is>
          <t>Date</t>
        </is>
      </c>
      <c r="D6" s="49" t="inlineStr">
        <is>
          <t>Months after seed round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.75" customHeight="1" s="255">
      <c r="A7" s="43" t="inlineStr">
        <is>
          <t>Incorporation</t>
        </is>
      </c>
      <c r="B7" s="42" t="inlineStr">
        <is>
          <t>incorporation</t>
        </is>
      </c>
      <c r="C7" s="44" t="n">
        <v>45139</v>
      </c>
      <c r="D7" s="42" t="n">
        <v>0</v>
      </c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3" t="inlineStr">
        <is>
          <t>B2B solution: MVP release</t>
        </is>
      </c>
      <c r="B8" s="42" t="inlineStr">
        <is>
          <t>new product</t>
        </is>
      </c>
      <c r="C8" s="44" t="n">
        <v>45884</v>
      </c>
      <c r="D8" s="42" t="n">
        <v>0</v>
      </c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3" t="inlineStr">
        <is>
          <t>B2B solution: 5 clients</t>
        </is>
      </c>
      <c r="B9" s="42" t="inlineStr">
        <is>
          <t>monetization</t>
        </is>
      </c>
      <c r="C9" s="44" t="n">
        <v>45899</v>
      </c>
      <c r="D9" s="43" t="n">
        <v>0</v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3" t="inlineStr">
        <is>
          <t>Pre-seed round money transfer</t>
        </is>
      </c>
      <c r="B10" s="42" t="inlineStr">
        <is>
          <t>fundraising</t>
        </is>
      </c>
      <c r="C10" s="44" t="n">
        <v>45901</v>
      </c>
      <c r="D10" s="43" t="n">
        <v>0</v>
      </c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3" t="inlineStr">
        <is>
          <t>B2B solution: v.1 release</t>
        </is>
      </c>
      <c r="B11" s="42" t="inlineStr">
        <is>
          <t>new feature</t>
        </is>
      </c>
      <c r="C11" s="45">
        <f>if(D11&gt;0,EDATE($C$10,D11),"not set")</f>
        <v/>
      </c>
      <c r="D11" s="43" t="n">
        <v>2</v>
      </c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3" t="inlineStr">
        <is>
          <t>Android App for B2B</t>
        </is>
      </c>
      <c r="B12" s="42" t="inlineStr">
        <is>
          <t>new feature</t>
        </is>
      </c>
      <c r="C12" s="45">
        <f>if(D12&gt;0,EDATE($C$11,D12),"not set")</f>
        <v/>
      </c>
      <c r="D12" s="43" t="n">
        <v>4</v>
      </c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3" t="inlineStr">
        <is>
          <t>B2B solution: 50 clients</t>
        </is>
      </c>
      <c r="B13" s="42" t="inlineStr">
        <is>
          <t>monetization</t>
        </is>
      </c>
      <c r="C13" s="45">
        <f>if(D13&gt;0,EDATE($C$11,D13),"not set")</f>
        <v/>
      </c>
      <c r="D13" s="43" t="n">
        <v>6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3" t="inlineStr">
        <is>
          <t>B2B solution: 100 clients</t>
        </is>
      </c>
      <c r="B14" s="42" t="inlineStr">
        <is>
          <t>fundraising</t>
        </is>
      </c>
      <c r="C14" s="45">
        <f>if(D14&gt;0,EDATE($C$11,D14),"not set")</f>
        <v/>
      </c>
      <c r="D14" s="43" t="n">
        <v>9</v>
      </c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3" t="inlineStr">
        <is>
          <t>Seed round money transfer</t>
        </is>
      </c>
      <c r="B15" s="42" t="inlineStr">
        <is>
          <t>fundraising</t>
        </is>
      </c>
      <c r="C15" s="45">
        <f>if(D15&gt;0,EDATE($C$11,D15),"not set")</f>
        <v/>
      </c>
      <c r="D15" s="43" t="n">
        <v>10</v>
      </c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3" t="inlineStr">
        <is>
          <t>EU expansion</t>
        </is>
      </c>
      <c r="B16" s="42" t="inlineStr">
        <is>
          <t>new region</t>
        </is>
      </c>
      <c r="C16" s="45">
        <f>if(D16&gt;0,EDATE($C$11,D16),"not set")</f>
        <v/>
      </c>
      <c r="D16" s="43" t="n">
        <v>12</v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7:B16" showDropDown="0" showInputMessage="0" showErrorMessage="1" allowBlank="1" type="list">
      <formula1>"incorporation,fundraising,monetization,new feature,new region,new product"</formula1>
    </dataValidation>
  </dataValidations>
  <printOptions horizontalCentered="1"/>
  <pageMargins left="0.7" right="0.7" top="0.75" bottom="0.75" header="0" footer="0"/>
  <pageSetup orientation="landscape" fitToHeight="0" pageOrder="overThenDown"/>
</worksheet>
</file>

<file path=xl/worksheets/sheet7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AC243"/>
  <sheetViews>
    <sheetView workbookViewId="0">
      <selection activeCell="A1" sqref="A1"/>
    </sheetView>
  </sheetViews>
  <sheetFormatPr baseColWidth="8" defaultColWidth="12.63" defaultRowHeight="15" customHeight="1"/>
  <cols>
    <col width="31.13" customWidth="1" style="255" min="1" max="1"/>
    <col width="2.5" customWidth="1" style="255" min="2" max="2"/>
    <col width="2.63" customWidth="1" style="255" min="3" max="3"/>
    <col width="19.25" customWidth="1" style="255" min="4" max="4"/>
    <col width="16.88" customWidth="1" style="255" min="5" max="5"/>
    <col width="23.25" customWidth="1" style="255" min="6" max="6"/>
    <col width="17.88" customWidth="1" style="255" min="7" max="7"/>
    <col width="24.63" customWidth="1" style="255" min="8" max="8"/>
    <col width="20.38" customWidth="1" style="255" min="9" max="9"/>
    <col width="17.13" customWidth="1" style="255" min="10" max="10"/>
    <col outlineLevel="1" width="12.63" customWidth="1" style="255" min="11" max="11"/>
  </cols>
  <sheetData>
    <row r="1" ht="33" customHeight="1" s="255">
      <c r="A1" s="37">
        <f>Settings!$B$4</f>
        <v/>
      </c>
      <c r="B1" s="42" t="n"/>
      <c r="C1" s="42" t="n"/>
      <c r="D1" s="42" t="n"/>
      <c r="E1" s="46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</row>
    <row r="2" ht="23.25" customHeight="1" s="255">
      <c r="A2" s="29" t="inlineStr">
        <is>
          <t>PAYROLL</t>
        </is>
      </c>
      <c r="B2" s="30" t="n"/>
      <c r="C2" s="30" t="n"/>
      <c r="D2" s="30" t="n"/>
      <c r="E2" s="47" t="n"/>
      <c r="F2" s="30" t="n"/>
      <c r="G2" s="30" t="n"/>
      <c r="H2" s="29" t="n"/>
      <c r="I2" s="29" t="n"/>
      <c r="J2" s="29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</row>
    <row r="3" ht="15.75" customHeight="1" s="255">
      <c r="A3" s="42" t="n"/>
      <c r="B3" s="42" t="n"/>
      <c r="C3" s="42" t="n"/>
      <c r="D3" s="42" t="n"/>
      <c r="E3" s="46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</row>
    <row r="4" ht="39.75" customHeight="1" s="255">
      <c r="A4" s="42" t="n"/>
      <c r="B4" s="42" t="n"/>
      <c r="C4" s="42" t="n"/>
      <c r="D4" s="48" t="inlineStr">
        <is>
          <t>Monthly salary</t>
        </is>
      </c>
      <c r="E4" s="49" t="inlineStr">
        <is>
          <t>Payroll taxes</t>
        </is>
      </c>
      <c r="F4" s="49" t="inlineStr">
        <is>
          <t>Monthly cost to company</t>
        </is>
      </c>
      <c r="G4" s="49" t="inlineStr">
        <is>
          <t>Annaul salary</t>
        </is>
      </c>
      <c r="H4" s="49" t="inlineStr">
        <is>
          <t>Start event in the roadmap</t>
        </is>
      </c>
      <c r="I4" s="49" t="inlineStr">
        <is>
          <t>Hire date</t>
        </is>
      </c>
      <c r="J4" s="49" t="inlineStr">
        <is>
          <t>Annual salary increase</t>
        </is>
      </c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</row>
    <row r="5" ht="15.75" customHeight="1" s="255">
      <c r="A5" s="59" t="inlineStr">
        <is>
          <t>Administrative</t>
        </is>
      </c>
      <c r="B5" s="59" t="n"/>
      <c r="C5" s="59" t="n"/>
      <c r="D5" s="51" t="n"/>
      <c r="E5" s="52" t="n"/>
      <c r="F5" s="59" t="n"/>
      <c r="G5" s="59" t="n"/>
      <c r="H5" s="53" t="n"/>
      <c r="I5" s="59" t="n"/>
      <c r="J5" s="51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 ht="15.75" customHeight="1" s="255">
      <c r="A6" s="43" t="inlineStr">
        <is>
          <t>CEO</t>
        </is>
      </c>
      <c r="B6" s="42" t="n"/>
      <c r="C6" s="42" t="n"/>
      <c r="D6" s="54" t="n">
        <v>5000</v>
      </c>
      <c r="E6" s="55">
        <f>Settings!$B$8</f>
        <v/>
      </c>
      <c r="F6" s="56">
        <f>D6/(1-E6)</f>
        <v/>
      </c>
      <c r="G6" s="56">
        <f>D6*12</f>
        <v/>
      </c>
      <c r="H6" s="42" t="inlineStr">
        <is>
          <t>Pre-seed round money transfer</t>
        </is>
      </c>
      <c r="I6" s="57">
        <f>IFERROR(VLOOKUP(H6,Roadmap!$A$7:$D$110,3,0),"not set, choose the event")</f>
        <v/>
      </c>
      <c r="J6" s="58" t="n">
        <v>0.02</v>
      </c>
      <c r="K6" s="42" t="n">
        <v>12</v>
      </c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</row>
    <row r="7" ht="15.75" customHeight="1" s="255">
      <c r="A7" s="43" t="inlineStr">
        <is>
          <t>CFO</t>
        </is>
      </c>
      <c r="B7" s="42" t="n"/>
      <c r="C7" s="42" t="n"/>
      <c r="D7" s="54" t="n">
        <v>0</v>
      </c>
      <c r="E7" s="55">
        <f>Settings!$B$8</f>
        <v/>
      </c>
      <c r="F7" s="56">
        <f>D7/(1-E7)</f>
        <v/>
      </c>
      <c r="G7" s="56">
        <f>D7*12</f>
        <v/>
      </c>
      <c r="H7" s="42" t="inlineStr">
        <is>
          <t>B2B solution: 5 clients</t>
        </is>
      </c>
      <c r="I7" s="57">
        <f>IFERROR(VLOOKUP(H7,Roadmap!$A$7:$D$110,3,0),"not set, choose the event")</f>
        <v/>
      </c>
      <c r="J7" s="58" t="n">
        <v>0</v>
      </c>
      <c r="K7" s="42" t="n">
        <v>12</v>
      </c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55">
      <c r="A8" s="43" t="inlineStr">
        <is>
          <t>COO</t>
        </is>
      </c>
      <c r="B8" s="42" t="n"/>
      <c r="C8" s="42" t="n"/>
      <c r="D8" s="54" t="n">
        <v>0</v>
      </c>
      <c r="E8" s="55">
        <f>Settings!$B$8</f>
        <v/>
      </c>
      <c r="F8" s="56">
        <f>D8/(1-E8)</f>
        <v/>
      </c>
      <c r="G8" s="56">
        <f>D8*12</f>
        <v/>
      </c>
      <c r="H8" s="42" t="inlineStr">
        <is>
          <t>B2B solution: 100 clients</t>
        </is>
      </c>
      <c r="I8" s="57">
        <f>IFERROR(VLOOKUP(H8,Roadmap!$A$7:$D$110,3,0),"not set, choose the event")</f>
        <v/>
      </c>
      <c r="J8" s="58" t="n">
        <v>0</v>
      </c>
      <c r="K8" s="42" t="n">
        <v>12</v>
      </c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55">
      <c r="A9" s="43" t="inlineStr">
        <is>
          <t>HRD</t>
        </is>
      </c>
      <c r="B9" s="42" t="n"/>
      <c r="C9" s="42" t="n"/>
      <c r="D9" s="54" t="n">
        <v>0</v>
      </c>
      <c r="E9" s="55">
        <f>Settings!$B$8</f>
        <v/>
      </c>
      <c r="F9" s="56">
        <f>D9/(1-E9)</f>
        <v/>
      </c>
      <c r="G9" s="56">
        <f>D9*12</f>
        <v/>
      </c>
      <c r="H9" s="42" t="n"/>
      <c r="I9" s="57">
        <f>IFERROR(VLOOKUP(H9,Roadmap!$A$7:$D$110,3,0),"not set, choose the event")</f>
        <v/>
      </c>
      <c r="J9" s="58" t="n">
        <v>0</v>
      </c>
      <c r="K9" s="42" t="n">
        <v>12</v>
      </c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55">
      <c r="A10" s="43" t="inlineStr">
        <is>
          <t>Operations Coordinator / Office Manager</t>
        </is>
      </c>
      <c r="B10" s="42" t="n"/>
      <c r="C10" s="42" t="n"/>
      <c r="D10" s="54" t="n">
        <v>0</v>
      </c>
      <c r="E10" s="55">
        <f>Settings!$B$8</f>
        <v/>
      </c>
      <c r="F10" s="56">
        <f>D10/(1-E10)</f>
        <v/>
      </c>
      <c r="G10" s="56">
        <f>D10*12</f>
        <v/>
      </c>
      <c r="H10" s="42" t="n"/>
      <c r="I10" s="57">
        <f>IFERROR(VLOOKUP(H10,Roadmap!$A$7:$D$110,3,0),"not set, choose the event")</f>
        <v/>
      </c>
      <c r="J10" s="58" t="n">
        <v>0</v>
      </c>
      <c r="K10" s="42" t="n">
        <v>12</v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55">
      <c r="A11" s="43" t="inlineStr">
        <is>
          <t>Employee 1</t>
        </is>
      </c>
      <c r="B11" s="42" t="n"/>
      <c r="C11" s="42" t="n"/>
      <c r="D11" s="54" t="n">
        <v>0</v>
      </c>
      <c r="E11" s="55">
        <f>Settings!$B$8</f>
        <v/>
      </c>
      <c r="F11" s="56">
        <f>D11/(1-E11)</f>
        <v/>
      </c>
      <c r="G11" s="56">
        <f>D11*12</f>
        <v/>
      </c>
      <c r="H11" s="42" t="n"/>
      <c r="I11" s="57">
        <f>IFERROR(VLOOKUP(H11,Roadmap!$A$7:$D$110,3,0),"not set, choose the event")</f>
        <v/>
      </c>
      <c r="J11" s="58" t="n">
        <v>0</v>
      </c>
      <c r="K11" s="42" t="n">
        <v>12</v>
      </c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55">
      <c r="A12" s="43" t="inlineStr">
        <is>
          <t>Employee 2</t>
        </is>
      </c>
      <c r="B12" s="42" t="n"/>
      <c r="C12" s="42" t="n"/>
      <c r="D12" s="54" t="n">
        <v>0</v>
      </c>
      <c r="E12" s="55">
        <f>Settings!$B$8</f>
        <v/>
      </c>
      <c r="F12" s="56">
        <f>D12/(1-E12)</f>
        <v/>
      </c>
      <c r="G12" s="56">
        <f>D12*12</f>
        <v/>
      </c>
      <c r="H12" s="42" t="n"/>
      <c r="I12" s="57">
        <f>IFERROR(VLOOKUP(H12,Roadmap!$A$7:$D$110,3,0),"not set, choose the event")</f>
        <v/>
      </c>
      <c r="J12" s="58" t="n">
        <v>0</v>
      </c>
      <c r="K12" s="42" t="n">
        <v>12</v>
      </c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55">
      <c r="A13" s="43" t="inlineStr">
        <is>
          <t>Employee 3</t>
        </is>
      </c>
      <c r="B13" s="42" t="n"/>
      <c r="C13" s="42" t="n"/>
      <c r="D13" s="54" t="n">
        <v>0</v>
      </c>
      <c r="E13" s="55">
        <f>Settings!$B$8</f>
        <v/>
      </c>
      <c r="F13" s="56">
        <f>D13/(1-E13)</f>
        <v/>
      </c>
      <c r="G13" s="56">
        <f>D13*12</f>
        <v/>
      </c>
      <c r="H13" s="42" t="n"/>
      <c r="I13" s="57">
        <f>IFERROR(VLOOKUP(H13,Roadmap!$A$7:$D$110,3,0),"not set, choose the event")</f>
        <v/>
      </c>
      <c r="J13" s="58" t="n">
        <v>0</v>
      </c>
      <c r="K13" s="42" t="n">
        <v>12</v>
      </c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55">
      <c r="A14" s="43" t="inlineStr">
        <is>
          <t>Employee 4</t>
        </is>
      </c>
      <c r="B14" s="42" t="n"/>
      <c r="C14" s="42" t="n"/>
      <c r="D14" s="54" t="n">
        <v>0</v>
      </c>
      <c r="E14" s="55">
        <f>Settings!$B$8</f>
        <v/>
      </c>
      <c r="F14" s="56">
        <f>D14/(1-E14)</f>
        <v/>
      </c>
      <c r="G14" s="56">
        <f>D14*12</f>
        <v/>
      </c>
      <c r="H14" s="42" t="n"/>
      <c r="I14" s="57">
        <f>IFERROR(VLOOKUP(H14,Roadmap!$A$7:$D$110,3,0),"not set, choose the event")</f>
        <v/>
      </c>
      <c r="J14" s="58" t="n">
        <v>0</v>
      </c>
      <c r="K14" s="42" t="n">
        <v>12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</row>
    <row r="15" ht="15.75" customHeight="1" s="255">
      <c r="A15" s="42" t="n"/>
      <c r="B15" s="42" t="n"/>
      <c r="C15" s="42" t="n"/>
      <c r="D15" s="54" t="n"/>
      <c r="E15" s="55" t="n"/>
      <c r="F15" s="42" t="n"/>
      <c r="G15" s="42" t="n"/>
      <c r="H15" s="42" t="n"/>
      <c r="I15" s="57" t="n"/>
      <c r="J15" s="58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55">
      <c r="A16" s="59" t="inlineStr">
        <is>
          <t>IT</t>
        </is>
      </c>
      <c r="B16" s="59" t="n"/>
      <c r="C16" s="59" t="n"/>
      <c r="D16" s="54" t="n"/>
      <c r="E16" s="55" t="n"/>
      <c r="F16" s="42" t="n"/>
      <c r="G16" s="42" t="n"/>
      <c r="H16" s="42" t="n"/>
      <c r="I16" s="57" t="n"/>
      <c r="J16" s="58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 ht="15.75" customHeight="1" s="255">
      <c r="A17" s="43" t="inlineStr">
        <is>
          <t>CTO</t>
        </is>
      </c>
      <c r="B17" s="42" t="n"/>
      <c r="C17" s="42" t="n"/>
      <c r="D17" s="54" t="n">
        <v>10000</v>
      </c>
      <c r="E17" s="55">
        <f>Settings!$B$8</f>
        <v/>
      </c>
      <c r="F17" s="56">
        <f>D17/(1-E17)</f>
        <v/>
      </c>
      <c r="G17" s="56">
        <f>D17*12</f>
        <v/>
      </c>
      <c r="H17" s="42" t="inlineStr">
        <is>
          <t>Seed round money transfer</t>
        </is>
      </c>
      <c r="I17" s="57">
        <f>IFERROR(VLOOKUP(H17,Roadmap!$A$7:$D$110,3,0),"not set, choose the event")</f>
        <v/>
      </c>
      <c r="J17" s="58" t="n">
        <v>0</v>
      </c>
      <c r="K17" s="42" t="n">
        <v>12</v>
      </c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55">
      <c r="A18" s="43" t="inlineStr">
        <is>
          <t>Developer frontend</t>
        </is>
      </c>
      <c r="B18" s="42" t="n"/>
      <c r="C18" s="42" t="n"/>
      <c r="D18" s="54" t="n">
        <v>4000</v>
      </c>
      <c r="E18" s="55">
        <f>Settings!$B$8</f>
        <v/>
      </c>
      <c r="F18" s="56">
        <f>D18/(1-E18)</f>
        <v/>
      </c>
      <c r="G18" s="56">
        <f>D18*12</f>
        <v/>
      </c>
      <c r="H18" s="42" t="inlineStr">
        <is>
          <t>Seed round money transfer</t>
        </is>
      </c>
      <c r="I18" s="57">
        <f>IFERROR(VLOOKUP(H18,Roadmap!$A$7:$D$110,3,0),"not set, choose the event")</f>
        <v/>
      </c>
      <c r="J18" s="58" t="n">
        <v>0.04</v>
      </c>
      <c r="K18" s="42" t="n">
        <v>12</v>
      </c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55">
      <c r="A19" s="43" t="inlineStr">
        <is>
          <t>Developer backend</t>
        </is>
      </c>
      <c r="B19" s="42" t="n"/>
      <c r="C19" s="42" t="n"/>
      <c r="D19" s="54" t="n">
        <v>0</v>
      </c>
      <c r="E19" s="55">
        <f>Settings!$B$8</f>
        <v/>
      </c>
      <c r="F19" s="56">
        <f>D19/(1-E19)</f>
        <v/>
      </c>
      <c r="G19" s="56">
        <f>D19*12</f>
        <v/>
      </c>
      <c r="H19" s="42" t="n"/>
      <c r="I19" s="57">
        <f>IFERROR(VLOOKUP(H19,Roadmap!$A$7:$D$110,3,0),"not set, choose the event")</f>
        <v/>
      </c>
      <c r="J19" s="58" t="n">
        <v>0</v>
      </c>
      <c r="K19" s="42" t="n">
        <v>12</v>
      </c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55">
      <c r="A20" s="43" t="inlineStr">
        <is>
          <t>Developer fullstack</t>
        </is>
      </c>
      <c r="B20" s="42" t="n"/>
      <c r="C20" s="42" t="n"/>
      <c r="D20" s="54" t="n">
        <v>0</v>
      </c>
      <c r="E20" s="55">
        <f>Settings!$B$8</f>
        <v/>
      </c>
      <c r="F20" s="56">
        <f>D20/(1-E20)</f>
        <v/>
      </c>
      <c r="G20" s="56">
        <f>D20*12</f>
        <v/>
      </c>
      <c r="H20" s="42" t="n"/>
      <c r="I20" s="57">
        <f>IFERROR(VLOOKUP(H20,Roadmap!$A$7:$D$110,3,0),"not set, choose the event")</f>
        <v/>
      </c>
      <c r="J20" s="58" t="n">
        <v>0</v>
      </c>
      <c r="K20" s="42" t="n">
        <v>12</v>
      </c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55">
      <c r="A21" s="43" t="inlineStr">
        <is>
          <t>UX designer</t>
        </is>
      </c>
      <c r="B21" s="59" t="n"/>
      <c r="C21" s="42" t="n"/>
      <c r="D21" s="54" t="n">
        <v>3500</v>
      </c>
      <c r="E21" s="55">
        <f>Settings!$B$8</f>
        <v/>
      </c>
      <c r="F21" s="56">
        <f>D21/(1-E21)</f>
        <v/>
      </c>
      <c r="G21" s="56">
        <f>D21*12</f>
        <v/>
      </c>
      <c r="H21" s="42" t="n"/>
      <c r="I21" s="57">
        <f>IFERROR(VLOOKUP(H21,Roadmap!$A$7:$D$110,3,0),"not set, choose the event")</f>
        <v/>
      </c>
      <c r="J21" s="58" t="n">
        <v>0</v>
      </c>
      <c r="K21" s="42" t="n">
        <v>12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 ht="15.75" customHeight="1" s="255">
      <c r="A22" s="43" t="inlineStr">
        <is>
          <t>Product manager</t>
        </is>
      </c>
      <c r="B22" s="42" t="n"/>
      <c r="C22" s="42" t="n"/>
      <c r="D22" s="54" t="n">
        <v>0</v>
      </c>
      <c r="E22" s="55">
        <f>Settings!$B$8</f>
        <v/>
      </c>
      <c r="F22" s="56">
        <f>D22/(1-E22)</f>
        <v/>
      </c>
      <c r="G22" s="56">
        <f>D22*12</f>
        <v/>
      </c>
      <c r="H22" s="42" t="n"/>
      <c r="I22" s="57">
        <f>IFERROR(VLOOKUP(H22,Roadmap!$A$7:$D$110,3,0),"not set, choose the event")</f>
        <v/>
      </c>
      <c r="J22" s="58" t="n">
        <v>0</v>
      </c>
      <c r="K22" s="42" t="n">
        <v>12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55">
      <c r="A23" s="43" t="inlineStr">
        <is>
          <t>DevOps</t>
        </is>
      </c>
      <c r="B23" s="42" t="n"/>
      <c r="C23" s="42" t="n"/>
      <c r="D23" s="54" t="n">
        <v>0</v>
      </c>
      <c r="E23" s="55">
        <f>Settings!$B$8</f>
        <v/>
      </c>
      <c r="F23" s="56">
        <f>D23/(1-E23)</f>
        <v/>
      </c>
      <c r="G23" s="56">
        <f>D23*12</f>
        <v/>
      </c>
      <c r="H23" s="42" t="n"/>
      <c r="I23" s="57">
        <f>IFERROR(VLOOKUP(H23,Roadmap!$A$7:$D$110,3,0),"not set, choose the event")</f>
        <v/>
      </c>
      <c r="J23" s="58" t="n">
        <v>0</v>
      </c>
      <c r="K23" s="42" t="n">
        <v>12</v>
      </c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55">
      <c r="A24" s="43" t="inlineStr">
        <is>
          <t>Project Manager</t>
        </is>
      </c>
      <c r="B24" s="42" t="n"/>
      <c r="C24" s="42" t="n"/>
      <c r="D24" s="54" t="n">
        <v>0</v>
      </c>
      <c r="E24" s="55">
        <f>Settings!$B$8</f>
        <v/>
      </c>
      <c r="F24" s="56">
        <f>D24/(1-E24)</f>
        <v/>
      </c>
      <c r="G24" s="56">
        <f>D24*12</f>
        <v/>
      </c>
      <c r="H24" s="42" t="n"/>
      <c r="I24" s="57">
        <f>IFERROR(VLOOKUP(H24,Roadmap!$A$7:$D$110,3,0),"not set, choose the event")</f>
        <v/>
      </c>
      <c r="J24" s="58" t="n">
        <v>0</v>
      </c>
      <c r="K24" s="42" t="n">
        <v>12</v>
      </c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</row>
    <row r="25" ht="15.75" customHeight="1" s="255">
      <c r="A25" s="43" t="inlineStr">
        <is>
          <t>Developer cross-platform</t>
        </is>
      </c>
      <c r="B25" s="42" t="n"/>
      <c r="C25" s="42" t="n"/>
      <c r="D25" s="54" t="n">
        <v>0</v>
      </c>
      <c r="E25" s="55">
        <f>Settings!$B$8</f>
        <v/>
      </c>
      <c r="F25" s="56">
        <f>D25/(1-E25)</f>
        <v/>
      </c>
      <c r="G25" s="56">
        <f>D25*12</f>
        <v/>
      </c>
      <c r="H25" s="42" t="n"/>
      <c r="I25" s="57">
        <f>IFERROR(VLOOKUP(H25,Roadmap!$A$7:$D$110,3,0),"not set, choose the event")</f>
        <v/>
      </c>
      <c r="J25" s="58" t="n">
        <v>0</v>
      </c>
      <c r="K25" s="42" t="n">
        <v>12</v>
      </c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</row>
    <row r="26" ht="15.75" customHeight="1" s="255">
      <c r="A26" s="43" t="inlineStr">
        <is>
          <t>QA</t>
        </is>
      </c>
      <c r="B26" s="42" t="n"/>
      <c r="C26" s="42" t="n"/>
      <c r="D26" s="54" t="n">
        <v>0</v>
      </c>
      <c r="E26" s="55">
        <f>Settings!$B$8</f>
        <v/>
      </c>
      <c r="F26" s="56">
        <f>D26/(1-E26)</f>
        <v/>
      </c>
      <c r="G26" s="56">
        <f>D26*12</f>
        <v/>
      </c>
      <c r="H26" s="42" t="n"/>
      <c r="I26" s="57">
        <f>IFERROR(VLOOKUP(H26,Roadmap!$A$7:$D$110,3,0),"not set, choose the event")</f>
        <v/>
      </c>
      <c r="J26" s="58" t="n">
        <v>0</v>
      </c>
      <c r="K26" s="42" t="n">
        <v>12</v>
      </c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</row>
    <row r="27" ht="15.75" customHeight="1" s="255">
      <c r="A27" s="43" t="inlineStr">
        <is>
          <t>Security engineer</t>
        </is>
      </c>
      <c r="B27" s="42" t="n"/>
      <c r="C27" s="42" t="n"/>
      <c r="D27" s="54" t="n">
        <v>0</v>
      </c>
      <c r="E27" s="55">
        <f>Settings!$B$8</f>
        <v/>
      </c>
      <c r="F27" s="56">
        <f>D27/(1-E27)</f>
        <v/>
      </c>
      <c r="G27" s="56">
        <f>D27*12</f>
        <v/>
      </c>
      <c r="H27" s="42" t="n"/>
      <c r="I27" s="57">
        <f>IFERROR(VLOOKUP(H27,Roadmap!$A$7:$D$110,3,0),"not set, choose the event")</f>
        <v/>
      </c>
      <c r="J27" s="58" t="n">
        <v>0</v>
      </c>
      <c r="K27" s="42" t="n">
        <v>12</v>
      </c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</row>
    <row r="28" ht="15.75" customHeight="1" s="255">
      <c r="A28" s="43" t="inlineStr">
        <is>
          <t>Employee 4</t>
        </is>
      </c>
      <c r="B28" s="42" t="n"/>
      <c r="C28" s="42" t="n"/>
      <c r="D28" s="54" t="n">
        <v>0</v>
      </c>
      <c r="E28" s="55">
        <f>Settings!$B$8</f>
        <v/>
      </c>
      <c r="F28" s="56">
        <f>D28/(1-E28)</f>
        <v/>
      </c>
      <c r="G28" s="56">
        <f>D28*12</f>
        <v/>
      </c>
      <c r="H28" s="42" t="n"/>
      <c r="I28" s="57">
        <f>IFERROR(VLOOKUP(H28,Roadmap!$A$7:$D$110,3,0),"not set, choose the event")</f>
        <v/>
      </c>
      <c r="J28" s="58" t="n">
        <v>0</v>
      </c>
      <c r="K28" s="42" t="n">
        <v>12</v>
      </c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</row>
    <row r="29" ht="15.75" customHeight="1" s="255">
      <c r="A29" s="42" t="n"/>
      <c r="B29" s="42" t="n"/>
      <c r="C29" s="42" t="n"/>
      <c r="D29" s="54" t="n"/>
      <c r="E29" s="55" t="n"/>
      <c r="F29" s="42" t="n"/>
      <c r="G29" s="42" t="n"/>
      <c r="H29" s="42" t="n"/>
      <c r="I29" s="57" t="n"/>
      <c r="J29" s="58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</row>
    <row r="30" ht="15.75" customHeight="1" s="255">
      <c r="A30" s="59" t="inlineStr">
        <is>
          <t>Marketing</t>
        </is>
      </c>
      <c r="B30" s="59" t="n"/>
      <c r="C30" s="59" t="n"/>
      <c r="D30" s="54" t="n"/>
      <c r="E30" s="55" t="n"/>
      <c r="F30" s="42" t="n"/>
      <c r="G30" s="42" t="n"/>
      <c r="H30" s="42" t="n"/>
      <c r="I30" s="57" t="n"/>
      <c r="J30" s="58" t="n"/>
      <c r="K30" s="42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 ht="15.75" customHeight="1" s="255">
      <c r="A31" s="43" t="inlineStr">
        <is>
          <t>Head of Marketing</t>
        </is>
      </c>
      <c r="B31" s="42" t="n"/>
      <c r="C31" s="42" t="n"/>
      <c r="D31" s="54" t="n">
        <v>3000</v>
      </c>
      <c r="E31" s="55">
        <f>Settings!$B$8</f>
        <v/>
      </c>
      <c r="F31" s="56">
        <f>D31/(1-E31)</f>
        <v/>
      </c>
      <c r="G31" s="56">
        <f>D31*12</f>
        <v/>
      </c>
      <c r="H31" s="42" t="inlineStr">
        <is>
          <t>Seed round money transfer</t>
        </is>
      </c>
      <c r="I31" s="57">
        <f>IFERROR(VLOOKUP(H31,Roadmap!$A$7:$D$110,3,0),"not set, choose the event")</f>
        <v/>
      </c>
      <c r="J31" s="58" t="n">
        <v>0.04</v>
      </c>
      <c r="K31" s="42" t="n">
        <v>12</v>
      </c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</row>
    <row r="32" ht="15.75" customHeight="1" s="255">
      <c r="A32" s="43" t="inlineStr">
        <is>
          <t>Content Marketing Manager</t>
        </is>
      </c>
      <c r="B32" s="42" t="n"/>
      <c r="C32" s="42" t="n"/>
      <c r="D32" s="54" t="n">
        <v>0</v>
      </c>
      <c r="E32" s="55">
        <f>Settings!$B$8</f>
        <v/>
      </c>
      <c r="F32" s="56">
        <f>D32/(1-E32)</f>
        <v/>
      </c>
      <c r="G32" s="56">
        <f>D32*12</f>
        <v/>
      </c>
      <c r="H32" s="42" t="n"/>
      <c r="I32" s="57">
        <f>IFERROR(VLOOKUP(H32,Roadmap!$A$7:$D$110,3,0),"not set, choose the event")</f>
        <v/>
      </c>
      <c r="J32" s="58" t="n">
        <v>0</v>
      </c>
      <c r="K32" s="42" t="n">
        <v>12</v>
      </c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</row>
    <row r="33" ht="15.75" customHeight="1" s="255">
      <c r="A33" s="43" t="inlineStr">
        <is>
          <t>Performance Marketing Manager</t>
        </is>
      </c>
      <c r="B33" s="42" t="n"/>
      <c r="C33" s="42" t="n"/>
      <c r="D33" s="54" t="n">
        <v>0</v>
      </c>
      <c r="E33" s="55">
        <f>Settings!$B$8</f>
        <v/>
      </c>
      <c r="F33" s="56">
        <f>D33/(1-E33)</f>
        <v/>
      </c>
      <c r="G33" s="56">
        <f>D33*12</f>
        <v/>
      </c>
      <c r="H33" s="42" t="n"/>
      <c r="I33" s="57">
        <f>IFERROR(VLOOKUP(H33,Roadmap!$A$7:$D$110,3,0),"not set, choose the event")</f>
        <v/>
      </c>
      <c r="J33" s="58" t="n">
        <v>0</v>
      </c>
      <c r="K33" s="42" t="n">
        <v>12</v>
      </c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</row>
    <row r="34" ht="15.75" customHeight="1" s="255">
      <c r="A34" s="43" t="inlineStr">
        <is>
          <t>Community Manager / SMM</t>
        </is>
      </c>
      <c r="B34" s="42" t="n"/>
      <c r="C34" s="42" t="n"/>
      <c r="D34" s="54" t="n">
        <v>0</v>
      </c>
      <c r="E34" s="55">
        <f>Settings!$B$8</f>
        <v/>
      </c>
      <c r="F34" s="56">
        <f>D34/(1-E34)</f>
        <v/>
      </c>
      <c r="G34" s="56">
        <f>D34*12</f>
        <v/>
      </c>
      <c r="H34" s="42" t="n"/>
      <c r="I34" s="57">
        <f>IFERROR(VLOOKUP(H34,Roadmap!$A$7:$D$110,3,0),"not set, choose the event")</f>
        <v/>
      </c>
      <c r="J34" s="58" t="n">
        <v>0</v>
      </c>
      <c r="K34" s="42" t="n">
        <v>12</v>
      </c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</row>
    <row r="35" ht="15.75" customHeight="1" s="255">
      <c r="A35" s="43" t="inlineStr">
        <is>
          <t>PR / Comms Manager</t>
        </is>
      </c>
      <c r="B35" s="42" t="n"/>
      <c r="C35" s="42" t="n"/>
      <c r="D35" s="54" t="n">
        <v>0</v>
      </c>
      <c r="E35" s="55">
        <f>Settings!$B$8</f>
        <v/>
      </c>
      <c r="F35" s="56">
        <f>D35/(1-E35)</f>
        <v/>
      </c>
      <c r="G35" s="56">
        <f>D35*12</f>
        <v/>
      </c>
      <c r="H35" s="42" t="n"/>
      <c r="I35" s="57">
        <f>IFERROR(VLOOKUP(H35,Roadmap!$A$7:$D$110,3,0),"not set, choose the event")</f>
        <v/>
      </c>
      <c r="J35" s="58" t="n">
        <v>0</v>
      </c>
      <c r="K35" s="42" t="n">
        <v>12</v>
      </c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</row>
    <row r="36" ht="15.75" customHeight="1" s="255">
      <c r="A36" s="43" t="inlineStr">
        <is>
          <t>Marketing Designer</t>
        </is>
      </c>
      <c r="B36" s="42" t="n"/>
      <c r="C36" s="42" t="n"/>
      <c r="D36" s="54" t="n">
        <v>0</v>
      </c>
      <c r="E36" s="55">
        <f>Settings!$B$8</f>
        <v/>
      </c>
      <c r="F36" s="56">
        <f>D36/(1-E36)</f>
        <v/>
      </c>
      <c r="G36" s="56">
        <f>D36*12</f>
        <v/>
      </c>
      <c r="H36" s="42" t="n"/>
      <c r="I36" s="57">
        <f>IFERROR(VLOOKUP(H36,Roadmap!$A$7:$D$110,3,0),"not set, choose the event")</f>
        <v/>
      </c>
      <c r="J36" s="58" t="n">
        <v>0</v>
      </c>
      <c r="K36" s="42" t="n">
        <v>12</v>
      </c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</row>
    <row r="37" ht="15.75" customHeight="1" s="255">
      <c r="A37" s="43" t="inlineStr">
        <is>
          <t>Employee 3</t>
        </is>
      </c>
      <c r="B37" s="42" t="n"/>
      <c r="C37" s="42" t="n"/>
      <c r="D37" s="54" t="n">
        <v>0</v>
      </c>
      <c r="E37" s="55">
        <f>Settings!$B$8</f>
        <v/>
      </c>
      <c r="F37" s="56">
        <f>D37/(1-E37)</f>
        <v/>
      </c>
      <c r="G37" s="56">
        <f>D37*12</f>
        <v/>
      </c>
      <c r="H37" s="42" t="n"/>
      <c r="I37" s="57">
        <f>IFERROR(VLOOKUP(H37,Roadmap!$A$7:$D$110,3,0),"not set, choose the event")</f>
        <v/>
      </c>
      <c r="J37" s="58" t="n">
        <v>0</v>
      </c>
      <c r="K37" s="42" t="n">
        <v>12</v>
      </c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</row>
    <row r="38" ht="15.75" customHeight="1" s="255">
      <c r="A38" s="43" t="inlineStr">
        <is>
          <t>Employee 4</t>
        </is>
      </c>
      <c r="B38" s="42" t="n"/>
      <c r="C38" s="42" t="n"/>
      <c r="D38" s="54" t="n">
        <v>0</v>
      </c>
      <c r="E38" s="55">
        <f>Settings!$B$8</f>
        <v/>
      </c>
      <c r="F38" s="56">
        <f>D38/(1-E38)</f>
        <v/>
      </c>
      <c r="G38" s="56">
        <f>D38*12</f>
        <v/>
      </c>
      <c r="H38" s="42" t="n"/>
      <c r="I38" s="57">
        <f>IFERROR(VLOOKUP(H38,Roadmap!$A$7:$D$110,3,0),"not set, choose the event")</f>
        <v/>
      </c>
      <c r="J38" s="58" t="n">
        <v>0</v>
      </c>
      <c r="K38" s="42" t="n">
        <v>12</v>
      </c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</row>
    <row r="39" ht="15.75" customHeight="1" s="255">
      <c r="A39" s="42" t="n"/>
      <c r="B39" s="42" t="n"/>
      <c r="C39" s="42" t="n"/>
      <c r="D39" s="56" t="n"/>
      <c r="E39" s="46" t="n"/>
      <c r="F39" s="42" t="n"/>
      <c r="G39" s="42" t="n"/>
      <c r="H39" s="42" t="n"/>
      <c r="I39" s="57" t="n"/>
      <c r="J39" s="58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</row>
    <row r="40" ht="15.75" customHeight="1" s="255">
      <c r="A40" s="59" t="inlineStr">
        <is>
          <t>Sales</t>
        </is>
      </c>
      <c r="B40" s="42" t="n"/>
      <c r="C40" s="42" t="n"/>
      <c r="D40" s="56" t="n"/>
      <c r="E40" s="46" t="n"/>
      <c r="F40" s="42" t="n"/>
      <c r="G40" s="42" t="n"/>
      <c r="H40" s="42" t="n"/>
      <c r="I40" s="57" t="n"/>
      <c r="J40" s="58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</row>
    <row r="41" ht="15.75" customHeight="1" s="255">
      <c r="A41" s="43" t="inlineStr">
        <is>
          <t>Head of Sales</t>
        </is>
      </c>
      <c r="B41" s="42" t="n"/>
      <c r="C41" s="42" t="n"/>
      <c r="D41" s="54" t="n">
        <v>5000</v>
      </c>
      <c r="E41" s="55">
        <f>Settings!$B$8</f>
        <v/>
      </c>
      <c r="F41" s="56">
        <f>D41/(1-E41)</f>
        <v/>
      </c>
      <c r="G41" s="56">
        <f>D41*12</f>
        <v/>
      </c>
      <c r="H41" s="42" t="inlineStr">
        <is>
          <t>Incorporation</t>
        </is>
      </c>
      <c r="I41" s="57">
        <f>IFERROR(VLOOKUP(H41,Roadmap!$A$7:$D$110,3,0),"not set, choose the event")</f>
        <v/>
      </c>
      <c r="J41" s="58" t="n">
        <v>0.02</v>
      </c>
      <c r="K41" s="42" t="n">
        <v>12</v>
      </c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</row>
    <row r="42" ht="15.75" customHeight="1" s="255">
      <c r="A42" s="43" t="inlineStr">
        <is>
          <t>BDM</t>
        </is>
      </c>
      <c r="B42" s="42" t="n"/>
      <c r="C42" s="42" t="n"/>
      <c r="D42" s="54" t="n">
        <v>5000</v>
      </c>
      <c r="E42" s="55">
        <f>Settings!$B$8</f>
        <v/>
      </c>
      <c r="F42" s="56">
        <f>D42/(1-E42)</f>
        <v/>
      </c>
      <c r="G42" s="56">
        <f>D42*12</f>
        <v/>
      </c>
      <c r="H42" s="42" t="inlineStr">
        <is>
          <t>Incorporation</t>
        </is>
      </c>
      <c r="I42" s="57">
        <f>IFERROR(VLOOKUP(H42,Roadmap!$A$7:$D$110,3,0),"not set, choose the event")</f>
        <v/>
      </c>
      <c r="J42" s="58" t="n">
        <v>0.02</v>
      </c>
      <c r="K42" s="42" t="n">
        <v>12</v>
      </c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</row>
    <row r="43" ht="15.75" customHeight="1" s="255">
      <c r="A43" s="43" t="inlineStr">
        <is>
          <t>Partnerships Manager</t>
        </is>
      </c>
      <c r="B43" s="42" t="n"/>
      <c r="C43" s="42" t="n"/>
      <c r="D43" s="54" t="n">
        <v>1000</v>
      </c>
      <c r="E43" s="55">
        <f>Settings!$B$8</f>
        <v/>
      </c>
      <c r="F43" s="56">
        <f>D43/(1-E43)</f>
        <v/>
      </c>
      <c r="G43" s="56">
        <f>D43*12</f>
        <v/>
      </c>
      <c r="H43" s="42" t="inlineStr">
        <is>
          <t>Incorporation</t>
        </is>
      </c>
      <c r="I43" s="57">
        <f>IFERROR(VLOOKUP(H43,Roadmap!$A$7:$D$110,3,0),"not set, choose the event")</f>
        <v/>
      </c>
      <c r="J43" s="58" t="n">
        <v>0.02</v>
      </c>
      <c r="K43" s="42" t="n">
        <v>12</v>
      </c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</row>
    <row r="44" ht="15.75" customHeight="1" s="255">
      <c r="A44" s="43" t="inlineStr">
        <is>
          <t>Inbound Sales Manager</t>
        </is>
      </c>
      <c r="B44" s="42" t="n"/>
      <c r="C44" s="42" t="n"/>
      <c r="D44" s="54" t="n">
        <v>1000</v>
      </c>
      <c r="E44" s="55">
        <f>Settings!$B$8</f>
        <v/>
      </c>
      <c r="F44" s="56">
        <f>D44/(1-E44)</f>
        <v/>
      </c>
      <c r="G44" s="56">
        <f>D44*12</f>
        <v/>
      </c>
      <c r="H44" s="42" t="inlineStr">
        <is>
          <t>Incorporation</t>
        </is>
      </c>
      <c r="I44" s="57">
        <f>IFERROR(VLOOKUP(H44,Roadmap!$A$7:$D$110,3,0),"not set, choose the event")</f>
        <v/>
      </c>
      <c r="J44" s="58" t="n">
        <v>0.02</v>
      </c>
      <c r="K44" s="42" t="n">
        <v>12</v>
      </c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</row>
    <row r="45" ht="15.75" customHeight="1" s="255">
      <c r="A45" s="43" t="inlineStr">
        <is>
          <t>SDR</t>
        </is>
      </c>
      <c r="B45" s="42" t="n"/>
      <c r="C45" s="42" t="n"/>
      <c r="D45" s="54" t="n">
        <v>1000</v>
      </c>
      <c r="E45" s="55">
        <f>Settings!$B$8</f>
        <v/>
      </c>
      <c r="F45" s="56">
        <f>D45/(1-E45)</f>
        <v/>
      </c>
      <c r="G45" s="56">
        <f>D45*12</f>
        <v/>
      </c>
      <c r="H45" s="42" t="inlineStr">
        <is>
          <t>Incorporation</t>
        </is>
      </c>
      <c r="I45" s="57">
        <f>IFERROR(VLOOKUP(H45,Roadmap!$A$7:$D$110,3,0),"not set, choose the event")</f>
        <v/>
      </c>
      <c r="J45" s="58" t="n">
        <v>0.02</v>
      </c>
      <c r="K45" s="42" t="n">
        <v>12</v>
      </c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</row>
    <row r="46" ht="15.75" customHeight="1" s="255">
      <c r="A46" s="43" t="inlineStr">
        <is>
          <t>Employee</t>
        </is>
      </c>
      <c r="B46" s="42" t="n"/>
      <c r="C46" s="42" t="n"/>
      <c r="D46" s="54" t="n">
        <v>0</v>
      </c>
      <c r="E46" s="55">
        <f>Settings!$B$8</f>
        <v/>
      </c>
      <c r="F46" s="56">
        <f>D46/(1-E46)</f>
        <v/>
      </c>
      <c r="G46" s="56">
        <f>D46*12</f>
        <v/>
      </c>
      <c r="H46" s="42" t="inlineStr">
        <is>
          <t>Incorporation</t>
        </is>
      </c>
      <c r="I46" s="57">
        <f>IFERROR(VLOOKUP(H46,Roadmap!$A$7:$D$110,3,0),"not set, choose the event")</f>
        <v/>
      </c>
      <c r="J46" s="58" t="n">
        <v>0.02</v>
      </c>
      <c r="K46" s="42" t="n">
        <v>12</v>
      </c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</row>
    <row r="47" ht="15.75" customHeight="1" s="255">
      <c r="A47" s="42" t="n"/>
      <c r="B47" s="42" t="n"/>
      <c r="C47" s="42" t="n"/>
      <c r="D47" s="56" t="n"/>
      <c r="E47" s="46" t="n"/>
      <c r="F47" s="42" t="n"/>
      <c r="G47" s="42" t="n"/>
      <c r="H47" s="42" t="n"/>
      <c r="I47" s="57" t="n"/>
      <c r="J47" s="58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</row>
    <row r="48" ht="15.75" customHeight="1" s="255">
      <c r="A48" s="59" t="inlineStr">
        <is>
          <t>Customer Success &amp; Support</t>
        </is>
      </c>
      <c r="B48" s="59" t="n"/>
      <c r="C48" s="59" t="n"/>
      <c r="D48" s="60" t="n"/>
      <c r="E48" s="52" t="n"/>
      <c r="F48" s="42" t="n"/>
      <c r="G48" s="42" t="n"/>
      <c r="H48" s="42" t="n"/>
      <c r="I48" s="57" t="n"/>
      <c r="J48" s="58" t="n"/>
      <c r="K48" s="42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 ht="15.75" customHeight="1" s="255">
      <c r="A49" s="43" t="inlineStr">
        <is>
          <t xml:space="preserve">Head of Customer Success </t>
        </is>
      </c>
      <c r="B49" s="42" t="n"/>
      <c r="C49" s="42" t="n"/>
      <c r="D49" s="54" t="n">
        <v>1000</v>
      </c>
      <c r="E49" s="55">
        <f>Settings!$B$8</f>
        <v/>
      </c>
      <c r="F49" s="56">
        <f>D49/(1-E49)</f>
        <v/>
      </c>
      <c r="G49" s="56">
        <f>D49*12</f>
        <v/>
      </c>
      <c r="H49" s="42" t="inlineStr">
        <is>
          <t>Seed round money transfer</t>
        </is>
      </c>
      <c r="I49" s="57">
        <f>IFERROR(VLOOKUP(H49,Roadmap!$A$7:$D$110,3,0),"not set, choose the event")</f>
        <v/>
      </c>
      <c r="J49" s="58" t="n">
        <v>0</v>
      </c>
      <c r="K49" s="42" t="n">
        <v>12</v>
      </c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</row>
    <row r="50" ht="15.75" customHeight="1" s="255">
      <c r="A50" s="43" t="inlineStr">
        <is>
          <t>Customer Success / Account Manager</t>
        </is>
      </c>
      <c r="B50" s="42" t="n"/>
      <c r="C50" s="42" t="n"/>
      <c r="D50" s="54" t="n">
        <v>1000</v>
      </c>
      <c r="E50" s="55">
        <f>Settings!$B$8</f>
        <v/>
      </c>
      <c r="F50" s="56">
        <f>D50/(1-E50)</f>
        <v/>
      </c>
      <c r="G50" s="56">
        <f>D50*12</f>
        <v/>
      </c>
      <c r="H50" s="42" t="inlineStr">
        <is>
          <t>Seed round money transfer</t>
        </is>
      </c>
      <c r="I50" s="57">
        <f>IFERROR(VLOOKUP(H50,Roadmap!$A$7:$D$110,3,0),"not set, choose the event")</f>
        <v/>
      </c>
      <c r="J50" s="58" t="n">
        <v>0</v>
      </c>
      <c r="K50" s="42" t="n">
        <v>12</v>
      </c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</row>
    <row r="51" ht="15.75" customHeight="1" s="255">
      <c r="A51" s="43" t="inlineStr">
        <is>
          <t>Onboarding manager</t>
        </is>
      </c>
      <c r="B51" s="42" t="n"/>
      <c r="C51" s="42" t="n"/>
      <c r="D51" s="54" t="n">
        <v>0</v>
      </c>
      <c r="E51" s="55">
        <f>Settings!$B$8</f>
        <v/>
      </c>
      <c r="F51" s="56">
        <f>D51/(1-E51)</f>
        <v/>
      </c>
      <c r="G51" s="56">
        <f>D51*12</f>
        <v/>
      </c>
      <c r="H51" s="42" t="n"/>
      <c r="I51" s="57">
        <f>IFERROR(VLOOKUP(H51,Roadmap!$A$7:$D$110,3,0),"not set, choose the event")</f>
        <v/>
      </c>
      <c r="J51" s="58" t="n">
        <v>0</v>
      </c>
      <c r="K51" s="42" t="n">
        <v>12</v>
      </c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</row>
    <row r="52" ht="15.75" customHeight="1" s="255">
      <c r="A52" s="43" t="inlineStr">
        <is>
          <t>Technical Support Specialist 1</t>
        </is>
      </c>
      <c r="B52" s="42" t="n"/>
      <c r="C52" s="42" t="n"/>
      <c r="D52" s="54" t="n">
        <v>0</v>
      </c>
      <c r="E52" s="55">
        <f>Settings!$B$8</f>
        <v/>
      </c>
      <c r="F52" s="56">
        <f>D52/(1-E52)</f>
        <v/>
      </c>
      <c r="G52" s="56">
        <f>D52*12</f>
        <v/>
      </c>
      <c r="H52" s="42" t="n"/>
      <c r="I52" s="57">
        <f>IFERROR(VLOOKUP(H52,Roadmap!$A$7:$D$110,3,0),"not set, choose the event")</f>
        <v/>
      </c>
      <c r="J52" s="58" t="n">
        <v>0</v>
      </c>
      <c r="K52" s="42" t="n">
        <v>12</v>
      </c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</row>
    <row r="53" ht="15.75" customHeight="1" s="255">
      <c r="A53" s="43" t="inlineStr">
        <is>
          <t>Technical Support Specialist 2</t>
        </is>
      </c>
      <c r="B53" s="42" t="n"/>
      <c r="C53" s="42" t="n"/>
      <c r="D53" s="54" t="n">
        <v>0</v>
      </c>
      <c r="E53" s="55">
        <f>Settings!$B$8</f>
        <v/>
      </c>
      <c r="F53" s="56">
        <f>D53/(1-E53)</f>
        <v/>
      </c>
      <c r="G53" s="56">
        <f>D53*12</f>
        <v/>
      </c>
      <c r="H53" s="42" t="n"/>
      <c r="I53" s="57">
        <f>IFERROR(VLOOKUP(H53,Roadmap!$A$7:$D$110,3,0),"not set, choose the event")</f>
        <v/>
      </c>
      <c r="J53" s="58" t="n">
        <v>0</v>
      </c>
      <c r="K53" s="42" t="n">
        <v>12</v>
      </c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</row>
    <row r="54" ht="15.75" customHeight="1" s="255">
      <c r="A54" s="43" t="inlineStr">
        <is>
          <t>Project manager CS</t>
        </is>
      </c>
      <c r="B54" s="42" t="n"/>
      <c r="C54" s="42" t="n"/>
      <c r="D54" s="54" t="n">
        <v>0</v>
      </c>
      <c r="E54" s="55">
        <f>Settings!$B$8</f>
        <v/>
      </c>
      <c r="F54" s="56">
        <f>D54/(1-E54)</f>
        <v/>
      </c>
      <c r="G54" s="56">
        <f>D54*12</f>
        <v/>
      </c>
      <c r="H54" s="42" t="n"/>
      <c r="I54" s="57">
        <f>IFERROR(VLOOKUP(H54,Roadmap!$A$7:$D$110,3,0),"not set, choose the event")</f>
        <v/>
      </c>
      <c r="J54" s="58" t="n">
        <v>0</v>
      </c>
      <c r="K54" s="42" t="n">
        <v>12</v>
      </c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</row>
    <row r="55" ht="15.75" customHeight="1" s="255">
      <c r="A55" s="43" t="inlineStr">
        <is>
          <t xml:space="preserve">Account Manager </t>
        </is>
      </c>
      <c r="B55" s="42" t="n"/>
      <c r="C55" s="42" t="n"/>
      <c r="D55" s="54" t="n">
        <v>8000</v>
      </c>
      <c r="E55" s="55">
        <f>Settings!$B$8</f>
        <v/>
      </c>
      <c r="F55" s="56">
        <f>D55/(1-E55)</f>
        <v/>
      </c>
      <c r="G55" s="56">
        <f>D55*12</f>
        <v/>
      </c>
      <c r="H55" s="42" t="inlineStr">
        <is>
          <t>B2B solution: 50 clients</t>
        </is>
      </c>
      <c r="I55" s="57">
        <f>IFERROR(VLOOKUP(H55,Roadmap!$A$7:$D$110,3,0),"not set, choose the event")</f>
        <v/>
      </c>
      <c r="J55" s="58" t="n">
        <v>0</v>
      </c>
      <c r="K55" s="42" t="n">
        <v>12</v>
      </c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</row>
    <row r="56" ht="15.75" customHeight="1" s="255">
      <c r="A56" s="43" t="inlineStr">
        <is>
          <t>Employee 4</t>
        </is>
      </c>
      <c r="B56" s="42" t="n"/>
      <c r="C56" s="42" t="n"/>
      <c r="D56" s="54" t="n">
        <v>0</v>
      </c>
      <c r="E56" s="55">
        <f>Settings!$B$8</f>
        <v/>
      </c>
      <c r="F56" s="56">
        <f>D56/(1-E56)</f>
        <v/>
      </c>
      <c r="G56" s="56">
        <f>D56*12</f>
        <v/>
      </c>
      <c r="H56" s="42" t="n"/>
      <c r="I56" s="57">
        <f>IFERROR(VLOOKUP(H56,Roadmap!$A$7:$D$110,3,0),"not set, choose the event")</f>
        <v/>
      </c>
      <c r="J56" s="58" t="n">
        <v>0</v>
      </c>
      <c r="K56" s="42" t="n">
        <v>12</v>
      </c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</row>
    <row r="57" ht="15.75" customHeight="1" s="255">
      <c r="A57" s="42" t="n"/>
      <c r="B57" s="42" t="n"/>
      <c r="C57" s="42" t="n"/>
      <c r="D57" s="61" t="n"/>
      <c r="E57" s="46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</row>
    <row r="58" ht="15.75" customHeight="1" s="255">
      <c r="A58" s="42" t="n"/>
      <c r="B58" s="42" t="n"/>
      <c r="C58" s="42" t="n"/>
      <c r="D58" s="42" t="n"/>
      <c r="E58" s="46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</row>
    <row r="59" ht="15.75" customHeight="1" s="255">
      <c r="A59" s="42" t="n"/>
      <c r="B59" s="42" t="n"/>
      <c r="C59" s="42" t="n"/>
      <c r="D59" s="42" t="n"/>
      <c r="E59" s="46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</row>
    <row r="60" ht="15.75" customHeight="1" s="255">
      <c r="A60" s="42" t="n"/>
      <c r="B60" s="42" t="n"/>
      <c r="C60" s="42" t="n"/>
      <c r="D60" s="42" t="n"/>
      <c r="E60" s="46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</row>
    <row r="61" ht="15.75" customHeight="1" s="255">
      <c r="A61" s="42" t="n"/>
      <c r="B61" s="42" t="n"/>
      <c r="C61" s="42" t="n"/>
      <c r="D61" s="42" t="n"/>
      <c r="E61" s="46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</row>
    <row r="62" ht="15.75" customHeight="1" s="255">
      <c r="A62" s="42" t="n"/>
      <c r="B62" s="42" t="n"/>
      <c r="C62" s="42" t="n"/>
      <c r="D62" s="42" t="n"/>
      <c r="E62" s="46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</row>
    <row r="63" ht="15.75" customHeight="1" s="255">
      <c r="A63" s="42" t="n"/>
      <c r="B63" s="42" t="n"/>
      <c r="C63" s="42" t="n"/>
      <c r="D63" s="42" t="n"/>
      <c r="E63" s="46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</row>
    <row r="64" ht="15.75" customHeight="1" s="255">
      <c r="A64" s="42" t="n"/>
      <c r="B64" s="42" t="n"/>
      <c r="C64" s="42" t="n"/>
      <c r="D64" s="42" t="n"/>
      <c r="E64" s="46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</row>
    <row r="65" ht="15.75" customHeight="1" s="255">
      <c r="A65" s="42" t="n"/>
      <c r="B65" s="42" t="n"/>
      <c r="C65" s="42" t="n"/>
      <c r="D65" s="42" t="n"/>
      <c r="E65" s="46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</row>
    <row r="66" ht="15.75" customHeight="1" s="255">
      <c r="A66" s="42" t="n"/>
      <c r="B66" s="42" t="n"/>
      <c r="C66" s="42" t="n"/>
      <c r="D66" s="42" t="n"/>
      <c r="E66" s="46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</row>
    <row r="67" ht="15.75" customHeight="1" s="255">
      <c r="A67" s="42" t="n"/>
      <c r="B67" s="42" t="n"/>
      <c r="C67" s="42" t="n"/>
      <c r="D67" s="42" t="n"/>
      <c r="E67" s="46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</row>
    <row r="68" ht="15.75" customHeight="1" s="255">
      <c r="A68" s="42" t="n"/>
      <c r="B68" s="42" t="n"/>
      <c r="C68" s="42" t="n"/>
      <c r="D68" s="42" t="n"/>
      <c r="E68" s="46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</row>
    <row r="69" ht="15.75" customHeight="1" s="255">
      <c r="A69" s="42" t="n"/>
      <c r="B69" s="42" t="n"/>
      <c r="C69" s="42" t="n"/>
      <c r="D69" s="42" t="n"/>
      <c r="E69" s="46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 ht="15.75" customHeight="1" s="255">
      <c r="A70" s="42" t="n"/>
      <c r="B70" s="42" t="n"/>
      <c r="C70" s="42" t="n"/>
      <c r="D70" s="42" t="n"/>
      <c r="E70" s="46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 ht="15.75" customHeight="1" s="255">
      <c r="A71" s="42" t="n"/>
      <c r="B71" s="42" t="n"/>
      <c r="C71" s="42" t="n"/>
      <c r="D71" s="42" t="n"/>
      <c r="E71" s="46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 ht="15.75" customHeight="1" s="255">
      <c r="A72" s="42" t="n"/>
      <c r="B72" s="42" t="n"/>
      <c r="C72" s="42" t="n"/>
      <c r="D72" s="42" t="n"/>
      <c r="E72" s="46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 ht="15.75" customHeight="1" s="255">
      <c r="A73" s="42" t="n"/>
      <c r="B73" s="42" t="n"/>
      <c r="C73" s="42" t="n"/>
      <c r="D73" s="42" t="n"/>
      <c r="E73" s="46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</row>
    <row r="74" ht="15.75" customHeight="1" s="255">
      <c r="A74" s="42" t="n"/>
      <c r="B74" s="42" t="n"/>
      <c r="C74" s="42" t="n"/>
      <c r="D74" s="42" t="n"/>
      <c r="E74" s="46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</row>
    <row r="75" ht="15.75" customHeight="1" s="255">
      <c r="A75" s="42" t="n"/>
      <c r="B75" s="42" t="n"/>
      <c r="C75" s="42" t="n"/>
      <c r="D75" s="42" t="n"/>
      <c r="E75" s="46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</row>
    <row r="76" ht="15.75" customHeight="1" s="255">
      <c r="A76" s="42" t="n"/>
      <c r="B76" s="42" t="n"/>
      <c r="C76" s="42" t="n"/>
      <c r="D76" s="42" t="n"/>
      <c r="E76" s="46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</row>
    <row r="77" ht="15.75" customHeight="1" s="255">
      <c r="A77" s="42" t="n"/>
      <c r="B77" s="42" t="n"/>
      <c r="C77" s="42" t="n"/>
      <c r="D77" s="42" t="n"/>
      <c r="E77" s="46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</row>
    <row r="78" ht="15.75" customHeight="1" s="255">
      <c r="A78" s="42" t="n"/>
      <c r="B78" s="42" t="n"/>
      <c r="C78" s="42" t="n"/>
      <c r="D78" s="42" t="n"/>
      <c r="E78" s="46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</row>
    <row r="79" ht="15.75" customHeight="1" s="255">
      <c r="A79" s="42" t="n"/>
      <c r="B79" s="42" t="n"/>
      <c r="C79" s="42" t="n"/>
      <c r="D79" s="42" t="n"/>
      <c r="E79" s="46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</row>
    <row r="80" ht="15.75" customHeight="1" s="255">
      <c r="A80" s="42" t="n"/>
      <c r="B80" s="42" t="n"/>
      <c r="C80" s="42" t="n"/>
      <c r="D80" s="42" t="n"/>
      <c r="E80" s="46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</row>
    <row r="81" ht="15.75" customHeight="1" s="255">
      <c r="A81" s="42" t="n"/>
      <c r="B81" s="42" t="n"/>
      <c r="C81" s="42" t="n"/>
      <c r="D81" s="42" t="n"/>
      <c r="E81" s="46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</row>
    <row r="82" ht="15.75" customHeight="1" s="255">
      <c r="A82" s="42" t="n"/>
      <c r="B82" s="42" t="n"/>
      <c r="C82" s="42" t="n"/>
      <c r="D82" s="42" t="n"/>
      <c r="E82" s="46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</row>
    <row r="83" ht="15.75" customHeight="1" s="255">
      <c r="A83" s="42" t="n"/>
      <c r="B83" s="42" t="n"/>
      <c r="C83" s="42" t="n"/>
      <c r="D83" s="42" t="n"/>
      <c r="E83" s="46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</row>
    <row r="84" ht="15.75" customHeight="1" s="255">
      <c r="A84" s="42" t="n"/>
      <c r="B84" s="42" t="n"/>
      <c r="C84" s="42" t="n"/>
      <c r="D84" s="42" t="n"/>
      <c r="E84" s="46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</row>
    <row r="85" ht="15.75" customHeight="1" s="255">
      <c r="A85" s="42" t="n"/>
      <c r="B85" s="42" t="n"/>
      <c r="C85" s="42" t="n"/>
      <c r="D85" s="42" t="n"/>
      <c r="E85" s="46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 ht="15.75" customHeight="1" s="255">
      <c r="A86" s="42" t="n"/>
      <c r="B86" s="42" t="n"/>
      <c r="C86" s="42" t="n"/>
      <c r="D86" s="42" t="n"/>
      <c r="E86" s="46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</row>
    <row r="87" ht="15.75" customHeight="1" s="255">
      <c r="A87" s="42" t="n"/>
      <c r="B87" s="42" t="n"/>
      <c r="C87" s="42" t="n"/>
      <c r="D87" s="42" t="n"/>
      <c r="E87" s="46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</row>
    <row r="88" ht="15.75" customHeight="1" s="255">
      <c r="A88" s="42" t="n"/>
      <c r="B88" s="42" t="n"/>
      <c r="C88" s="42" t="n"/>
      <c r="D88" s="42" t="n"/>
      <c r="E88" s="46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</row>
    <row r="89" ht="15.75" customHeight="1" s="255">
      <c r="A89" s="42" t="n"/>
      <c r="B89" s="42" t="n"/>
      <c r="C89" s="42" t="n"/>
      <c r="D89" s="42" t="n"/>
      <c r="E89" s="46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</row>
    <row r="90" ht="15.75" customHeight="1" s="255">
      <c r="A90" s="42" t="n"/>
      <c r="B90" s="42" t="n"/>
      <c r="C90" s="42" t="n"/>
      <c r="D90" s="42" t="n"/>
      <c r="E90" s="46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</row>
    <row r="91" ht="15.75" customHeight="1" s="255">
      <c r="A91" s="42" t="n"/>
      <c r="B91" s="42" t="n"/>
      <c r="C91" s="42" t="n"/>
      <c r="D91" s="42" t="n"/>
      <c r="E91" s="46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</row>
    <row r="92" ht="15.75" customHeight="1" s="255">
      <c r="A92" s="42" t="n"/>
      <c r="B92" s="42" t="n"/>
      <c r="C92" s="42" t="n"/>
      <c r="D92" s="42" t="n"/>
      <c r="E92" s="46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</row>
    <row r="93" ht="15.75" customHeight="1" s="255">
      <c r="A93" s="42" t="n"/>
      <c r="B93" s="42" t="n"/>
      <c r="C93" s="42" t="n"/>
      <c r="D93" s="42" t="n"/>
      <c r="E93" s="46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</row>
    <row r="94" ht="15.75" customHeight="1" s="255">
      <c r="A94" s="42" t="n"/>
      <c r="B94" s="42" t="n"/>
      <c r="C94" s="42" t="n"/>
      <c r="D94" s="42" t="n"/>
      <c r="E94" s="46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</row>
    <row r="95" ht="15.75" customHeight="1" s="255">
      <c r="A95" s="42" t="n"/>
      <c r="B95" s="42" t="n"/>
      <c r="C95" s="42" t="n"/>
      <c r="D95" s="42" t="n"/>
      <c r="E95" s="46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</row>
    <row r="96" ht="15.75" customHeight="1" s="255">
      <c r="A96" s="42" t="n"/>
      <c r="B96" s="42" t="n"/>
      <c r="C96" s="42" t="n"/>
      <c r="D96" s="42" t="n"/>
      <c r="E96" s="46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</row>
    <row r="97" ht="15.75" customHeight="1" s="255">
      <c r="A97" s="42" t="n"/>
      <c r="B97" s="42" t="n"/>
      <c r="C97" s="42" t="n"/>
      <c r="D97" s="42" t="n"/>
      <c r="E97" s="46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</row>
    <row r="98" ht="15.75" customHeight="1" s="255">
      <c r="A98" s="42" t="n"/>
      <c r="B98" s="42" t="n"/>
      <c r="C98" s="42" t="n"/>
      <c r="D98" s="42" t="n"/>
      <c r="E98" s="46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</row>
    <row r="99" ht="15.75" customHeight="1" s="255">
      <c r="A99" s="42" t="n"/>
      <c r="B99" s="42" t="n"/>
      <c r="C99" s="42" t="n"/>
      <c r="D99" s="42" t="n"/>
      <c r="E99" s="46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</row>
    <row r="100" ht="15.75" customHeight="1" s="255">
      <c r="A100" s="42" t="n"/>
      <c r="B100" s="42" t="n"/>
      <c r="C100" s="42" t="n"/>
      <c r="D100" s="42" t="n"/>
      <c r="E100" s="46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</row>
    <row r="101" ht="15.75" customHeight="1" s="255">
      <c r="A101" s="42" t="n"/>
      <c r="B101" s="42" t="n"/>
      <c r="C101" s="42" t="n"/>
      <c r="D101" s="42" t="n"/>
      <c r="E101" s="46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</row>
    <row r="102" ht="15.75" customHeight="1" s="255">
      <c r="A102" s="42" t="n"/>
      <c r="B102" s="42" t="n"/>
      <c r="C102" s="42" t="n"/>
      <c r="D102" s="42" t="n"/>
      <c r="E102" s="46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</row>
    <row r="103" ht="15.75" customHeight="1" s="255">
      <c r="A103" s="42" t="n"/>
      <c r="B103" s="42" t="n"/>
      <c r="C103" s="42" t="n"/>
      <c r="D103" s="42" t="n"/>
      <c r="E103" s="46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</row>
    <row r="104" ht="15.75" customHeight="1" s="255">
      <c r="A104" s="42" t="n"/>
      <c r="B104" s="42" t="n"/>
      <c r="C104" s="42" t="n"/>
      <c r="D104" s="42" t="n"/>
      <c r="E104" s="46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</row>
    <row r="105" ht="15.75" customHeight="1" s="255">
      <c r="A105" s="42" t="n"/>
      <c r="B105" s="42" t="n"/>
      <c r="C105" s="42" t="n"/>
      <c r="D105" s="42" t="n"/>
      <c r="E105" s="46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</row>
    <row r="106" ht="15.75" customHeight="1" s="255">
      <c r="A106" s="42" t="n"/>
      <c r="B106" s="42" t="n"/>
      <c r="C106" s="42" t="n"/>
      <c r="D106" s="42" t="n"/>
      <c r="E106" s="46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</row>
    <row r="107" ht="15.75" customHeight="1" s="255">
      <c r="A107" s="42" t="n"/>
      <c r="B107" s="42" t="n"/>
      <c r="C107" s="42" t="n"/>
      <c r="D107" s="42" t="n"/>
      <c r="E107" s="46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</row>
    <row r="108" ht="15.75" customHeight="1" s="255">
      <c r="A108" s="42" t="n"/>
      <c r="B108" s="42" t="n"/>
      <c r="C108" s="42" t="n"/>
      <c r="D108" s="42" t="n"/>
      <c r="E108" s="46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</row>
    <row r="109" ht="15.75" customHeight="1" s="255">
      <c r="A109" s="42" t="n"/>
      <c r="B109" s="42" t="n"/>
      <c r="C109" s="42" t="n"/>
      <c r="D109" s="42" t="n"/>
      <c r="E109" s="46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</row>
    <row r="110" ht="15.75" customHeight="1" s="255">
      <c r="A110" s="42" t="n"/>
      <c r="B110" s="42" t="n"/>
      <c r="C110" s="42" t="n"/>
      <c r="D110" s="42" t="n"/>
      <c r="E110" s="46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</row>
    <row r="111" ht="15.75" customHeight="1" s="255">
      <c r="A111" s="42" t="n"/>
      <c r="B111" s="42" t="n"/>
      <c r="C111" s="42" t="n"/>
      <c r="D111" s="42" t="n"/>
      <c r="E111" s="46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</row>
    <row r="112" ht="15.75" customHeight="1" s="255">
      <c r="A112" s="42" t="n"/>
      <c r="B112" s="42" t="n"/>
      <c r="C112" s="42" t="n"/>
      <c r="D112" s="42" t="n"/>
      <c r="E112" s="46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</row>
    <row r="113" ht="15.75" customHeight="1" s="255">
      <c r="A113" s="42" t="n"/>
      <c r="B113" s="42" t="n"/>
      <c r="C113" s="42" t="n"/>
      <c r="D113" s="42" t="n"/>
      <c r="E113" s="46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</row>
    <row r="114" ht="15.75" customHeight="1" s="255">
      <c r="A114" s="42" t="n"/>
      <c r="B114" s="42" t="n"/>
      <c r="C114" s="42" t="n"/>
      <c r="D114" s="42" t="n"/>
      <c r="E114" s="46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</row>
    <row r="115" ht="15.75" customHeight="1" s="255">
      <c r="A115" s="42" t="n"/>
      <c r="B115" s="42" t="n"/>
      <c r="C115" s="42" t="n"/>
      <c r="D115" s="42" t="n"/>
      <c r="E115" s="46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</row>
    <row r="116" ht="15.75" customHeight="1" s="255">
      <c r="A116" s="42" t="n"/>
      <c r="B116" s="42" t="n"/>
      <c r="C116" s="42" t="n"/>
      <c r="D116" s="42" t="n"/>
      <c r="E116" s="46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</row>
    <row r="117" ht="15.75" customHeight="1" s="255">
      <c r="A117" s="42" t="n"/>
      <c r="B117" s="42" t="n"/>
      <c r="C117" s="42" t="n"/>
      <c r="D117" s="42" t="n"/>
      <c r="E117" s="46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</row>
    <row r="118" ht="15.75" customHeight="1" s="255">
      <c r="A118" s="42" t="n"/>
      <c r="B118" s="42" t="n"/>
      <c r="C118" s="42" t="n"/>
      <c r="D118" s="42" t="n"/>
      <c r="E118" s="46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</row>
    <row r="119" ht="15.75" customHeight="1" s="255">
      <c r="A119" s="42" t="n"/>
      <c r="B119" s="42" t="n"/>
      <c r="C119" s="42" t="n"/>
      <c r="D119" s="42" t="n"/>
      <c r="E119" s="46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</row>
    <row r="120" ht="15.75" customHeight="1" s="255">
      <c r="A120" s="42" t="n"/>
      <c r="B120" s="42" t="n"/>
      <c r="C120" s="42" t="n"/>
      <c r="D120" s="42" t="n"/>
      <c r="E120" s="46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</row>
    <row r="121" ht="15.75" customHeight="1" s="255">
      <c r="A121" s="42" t="n"/>
      <c r="B121" s="42" t="n"/>
      <c r="C121" s="42" t="n"/>
      <c r="D121" s="42" t="n"/>
      <c r="E121" s="46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</row>
    <row r="122" ht="15.75" customHeight="1" s="255">
      <c r="A122" s="42" t="n"/>
      <c r="B122" s="42" t="n"/>
      <c r="C122" s="42" t="n"/>
      <c r="D122" s="42" t="n"/>
      <c r="E122" s="46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</row>
    <row r="123" ht="15.75" customHeight="1" s="255">
      <c r="A123" s="42" t="n"/>
      <c r="B123" s="42" t="n"/>
      <c r="C123" s="42" t="n"/>
      <c r="D123" s="42" t="n"/>
      <c r="E123" s="46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</row>
    <row r="124" ht="15.75" customHeight="1" s="255">
      <c r="A124" s="42" t="n"/>
      <c r="B124" s="42" t="n"/>
      <c r="C124" s="42" t="n"/>
      <c r="D124" s="42" t="n"/>
      <c r="E124" s="46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</row>
    <row r="125" ht="15.75" customHeight="1" s="255">
      <c r="A125" s="42" t="n"/>
      <c r="B125" s="42" t="n"/>
      <c r="C125" s="42" t="n"/>
      <c r="D125" s="42" t="n"/>
      <c r="E125" s="46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</row>
    <row r="126" ht="15.75" customHeight="1" s="255">
      <c r="A126" s="42" t="n"/>
      <c r="B126" s="42" t="n"/>
      <c r="C126" s="42" t="n"/>
      <c r="D126" s="42" t="n"/>
      <c r="E126" s="46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</row>
    <row r="127" ht="15.75" customHeight="1" s="255">
      <c r="A127" s="42" t="n"/>
      <c r="B127" s="42" t="n"/>
      <c r="C127" s="42" t="n"/>
      <c r="D127" s="42" t="n"/>
      <c r="E127" s="46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</row>
    <row r="128" ht="15.75" customHeight="1" s="255">
      <c r="A128" s="42" t="n"/>
      <c r="B128" s="42" t="n"/>
      <c r="C128" s="42" t="n"/>
      <c r="D128" s="42" t="n"/>
      <c r="E128" s="46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</row>
    <row r="129" ht="15.75" customHeight="1" s="255">
      <c r="A129" s="42" t="n"/>
      <c r="B129" s="42" t="n"/>
      <c r="C129" s="42" t="n"/>
      <c r="D129" s="42" t="n"/>
      <c r="E129" s="46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</row>
    <row r="130" ht="15.75" customHeight="1" s="255">
      <c r="A130" s="42" t="n"/>
      <c r="B130" s="42" t="n"/>
      <c r="C130" s="42" t="n"/>
      <c r="D130" s="42" t="n"/>
      <c r="E130" s="46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</row>
    <row r="131" ht="15.75" customHeight="1" s="255">
      <c r="A131" s="42" t="n"/>
      <c r="B131" s="42" t="n"/>
      <c r="C131" s="42" t="n"/>
      <c r="D131" s="42" t="n"/>
      <c r="E131" s="46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</row>
    <row r="132" ht="15.75" customHeight="1" s="255">
      <c r="A132" s="42" t="n"/>
      <c r="B132" s="42" t="n"/>
      <c r="C132" s="42" t="n"/>
      <c r="D132" s="42" t="n"/>
      <c r="E132" s="46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</row>
    <row r="133" ht="15.75" customHeight="1" s="255">
      <c r="A133" s="42" t="n"/>
      <c r="B133" s="42" t="n"/>
      <c r="C133" s="42" t="n"/>
      <c r="D133" s="42" t="n"/>
      <c r="E133" s="46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</row>
    <row r="134" ht="15.75" customHeight="1" s="255">
      <c r="A134" s="42" t="n"/>
      <c r="B134" s="42" t="n"/>
      <c r="C134" s="42" t="n"/>
      <c r="D134" s="42" t="n"/>
      <c r="E134" s="46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</row>
    <row r="135" ht="15.75" customHeight="1" s="255">
      <c r="A135" s="42" t="n"/>
      <c r="B135" s="42" t="n"/>
      <c r="C135" s="42" t="n"/>
      <c r="D135" s="42" t="n"/>
      <c r="E135" s="46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</row>
    <row r="136" ht="15.75" customHeight="1" s="255">
      <c r="A136" s="42" t="n"/>
      <c r="B136" s="42" t="n"/>
      <c r="C136" s="42" t="n"/>
      <c r="D136" s="42" t="n"/>
      <c r="E136" s="46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</row>
    <row r="137" ht="15.75" customHeight="1" s="255">
      <c r="A137" s="42" t="n"/>
      <c r="B137" s="42" t="n"/>
      <c r="C137" s="42" t="n"/>
      <c r="D137" s="42" t="n"/>
      <c r="E137" s="46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</row>
    <row r="138" ht="15.75" customHeight="1" s="255">
      <c r="A138" s="42" t="n"/>
      <c r="B138" s="42" t="n"/>
      <c r="C138" s="42" t="n"/>
      <c r="D138" s="42" t="n"/>
      <c r="E138" s="46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</row>
    <row r="139" ht="15.75" customHeight="1" s="255">
      <c r="A139" s="42" t="n"/>
      <c r="B139" s="42" t="n"/>
      <c r="C139" s="42" t="n"/>
      <c r="D139" s="42" t="n"/>
      <c r="E139" s="46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</row>
    <row r="140" ht="15.75" customHeight="1" s="255">
      <c r="A140" s="42" t="n"/>
      <c r="B140" s="42" t="n"/>
      <c r="C140" s="42" t="n"/>
      <c r="D140" s="42" t="n"/>
      <c r="E140" s="46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</row>
    <row r="141" ht="15.75" customHeight="1" s="255">
      <c r="A141" s="42" t="n"/>
      <c r="B141" s="42" t="n"/>
      <c r="C141" s="42" t="n"/>
      <c r="D141" s="42" t="n"/>
      <c r="E141" s="46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</row>
    <row r="142" ht="15.75" customHeight="1" s="255">
      <c r="A142" s="42" t="n"/>
      <c r="B142" s="42" t="n"/>
      <c r="C142" s="42" t="n"/>
      <c r="D142" s="42" t="n"/>
      <c r="E142" s="46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</row>
    <row r="143" ht="15.75" customHeight="1" s="255">
      <c r="A143" s="42" t="n"/>
      <c r="B143" s="42" t="n"/>
      <c r="C143" s="42" t="n"/>
      <c r="D143" s="42" t="n"/>
      <c r="E143" s="46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</row>
    <row r="144" ht="15.75" customHeight="1" s="255">
      <c r="A144" s="42" t="n"/>
      <c r="B144" s="42" t="n"/>
      <c r="C144" s="42" t="n"/>
      <c r="D144" s="42" t="n"/>
      <c r="E144" s="46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</row>
    <row r="145" ht="15.75" customHeight="1" s="255">
      <c r="A145" s="42" t="n"/>
      <c r="B145" s="42" t="n"/>
      <c r="C145" s="42" t="n"/>
      <c r="D145" s="42" t="n"/>
      <c r="E145" s="46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</row>
    <row r="146" ht="15.75" customHeight="1" s="255">
      <c r="A146" s="42" t="n"/>
      <c r="B146" s="42" t="n"/>
      <c r="C146" s="42" t="n"/>
      <c r="D146" s="42" t="n"/>
      <c r="E146" s="46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</row>
    <row r="147" ht="15.75" customHeight="1" s="255">
      <c r="A147" s="42" t="n"/>
      <c r="B147" s="42" t="n"/>
      <c r="C147" s="42" t="n"/>
      <c r="D147" s="42" t="n"/>
      <c r="E147" s="46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</row>
    <row r="148" ht="15.75" customHeight="1" s="255">
      <c r="A148" s="42" t="n"/>
      <c r="B148" s="42" t="n"/>
      <c r="C148" s="42" t="n"/>
      <c r="D148" s="42" t="n"/>
      <c r="E148" s="46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</row>
    <row r="149" ht="15.75" customHeight="1" s="255">
      <c r="A149" s="42" t="n"/>
      <c r="B149" s="42" t="n"/>
      <c r="C149" s="42" t="n"/>
      <c r="D149" s="42" t="n"/>
      <c r="E149" s="46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</row>
    <row r="150" ht="15.75" customHeight="1" s="255">
      <c r="A150" s="42" t="n"/>
      <c r="B150" s="42" t="n"/>
      <c r="C150" s="42" t="n"/>
      <c r="D150" s="42" t="n"/>
      <c r="E150" s="46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</row>
    <row r="151" ht="15.75" customHeight="1" s="255">
      <c r="A151" s="42" t="n"/>
      <c r="B151" s="42" t="n"/>
      <c r="C151" s="42" t="n"/>
      <c r="D151" s="42" t="n"/>
      <c r="E151" s="46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</row>
    <row r="152" ht="15.75" customHeight="1" s="255">
      <c r="A152" s="42" t="n"/>
      <c r="B152" s="42" t="n"/>
      <c r="C152" s="42" t="n"/>
      <c r="D152" s="42" t="n"/>
      <c r="E152" s="46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</row>
    <row r="153" ht="15.75" customHeight="1" s="255">
      <c r="A153" s="42" t="n"/>
      <c r="B153" s="42" t="n"/>
      <c r="C153" s="42" t="n"/>
      <c r="D153" s="42" t="n"/>
      <c r="E153" s="46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</row>
    <row r="154" ht="15.75" customHeight="1" s="255">
      <c r="A154" s="42" t="n"/>
      <c r="B154" s="42" t="n"/>
      <c r="C154" s="42" t="n"/>
      <c r="D154" s="42" t="n"/>
      <c r="E154" s="46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</row>
    <row r="155" ht="15.75" customHeight="1" s="255">
      <c r="A155" s="42" t="n"/>
      <c r="B155" s="42" t="n"/>
      <c r="C155" s="42" t="n"/>
      <c r="D155" s="42" t="n"/>
      <c r="E155" s="46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</row>
    <row r="156" ht="15.75" customHeight="1" s="255">
      <c r="A156" s="42" t="n"/>
      <c r="B156" s="42" t="n"/>
      <c r="C156" s="42" t="n"/>
      <c r="D156" s="42" t="n"/>
      <c r="E156" s="46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</row>
    <row r="157" ht="15.75" customHeight="1" s="255">
      <c r="A157" s="42" t="n"/>
      <c r="B157" s="42" t="n"/>
      <c r="C157" s="42" t="n"/>
      <c r="D157" s="42" t="n"/>
      <c r="E157" s="46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</row>
    <row r="158" ht="15.75" customHeight="1" s="255">
      <c r="A158" s="42" t="n"/>
      <c r="B158" s="42" t="n"/>
      <c r="C158" s="42" t="n"/>
      <c r="D158" s="42" t="n"/>
      <c r="E158" s="46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</row>
    <row r="159" ht="15.75" customHeight="1" s="255">
      <c r="A159" s="42" t="n"/>
      <c r="B159" s="42" t="n"/>
      <c r="C159" s="42" t="n"/>
      <c r="D159" s="42" t="n"/>
      <c r="E159" s="46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</row>
    <row r="160" ht="15.75" customHeight="1" s="255">
      <c r="A160" s="42" t="n"/>
      <c r="B160" s="42" t="n"/>
      <c r="C160" s="42" t="n"/>
      <c r="D160" s="42" t="n"/>
      <c r="E160" s="46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</row>
    <row r="161" ht="15.75" customHeight="1" s="255">
      <c r="A161" s="42" t="n"/>
      <c r="B161" s="42" t="n"/>
      <c r="C161" s="42" t="n"/>
      <c r="D161" s="42" t="n"/>
      <c r="E161" s="46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</row>
    <row r="162" ht="15.75" customHeight="1" s="255">
      <c r="A162" s="42" t="n"/>
      <c r="B162" s="42" t="n"/>
      <c r="C162" s="42" t="n"/>
      <c r="D162" s="42" t="n"/>
      <c r="E162" s="46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</row>
    <row r="163" ht="15.75" customHeight="1" s="255">
      <c r="A163" s="42" t="n"/>
      <c r="B163" s="42" t="n"/>
      <c r="C163" s="42" t="n"/>
      <c r="D163" s="42" t="n"/>
      <c r="E163" s="46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</row>
    <row r="164" ht="15.75" customHeight="1" s="255">
      <c r="A164" s="42" t="n"/>
      <c r="B164" s="42" t="n"/>
      <c r="C164" s="42" t="n"/>
      <c r="D164" s="42" t="n"/>
      <c r="E164" s="46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</row>
    <row r="165" ht="15.75" customHeight="1" s="255">
      <c r="A165" s="42" t="n"/>
      <c r="B165" s="42" t="n"/>
      <c r="C165" s="42" t="n"/>
      <c r="D165" s="42" t="n"/>
      <c r="E165" s="46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</row>
    <row r="166" ht="15.75" customHeight="1" s="255">
      <c r="A166" s="42" t="n"/>
      <c r="B166" s="42" t="n"/>
      <c r="C166" s="42" t="n"/>
      <c r="D166" s="42" t="n"/>
      <c r="E166" s="46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</row>
    <row r="167" ht="15.75" customHeight="1" s="255">
      <c r="A167" s="42" t="n"/>
      <c r="B167" s="42" t="n"/>
      <c r="C167" s="42" t="n"/>
      <c r="D167" s="42" t="n"/>
      <c r="E167" s="46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</row>
    <row r="168" ht="15.75" customHeight="1" s="255">
      <c r="A168" s="42" t="n"/>
      <c r="B168" s="42" t="n"/>
      <c r="C168" s="42" t="n"/>
      <c r="D168" s="42" t="n"/>
      <c r="E168" s="46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</row>
    <row r="169" ht="15.75" customHeight="1" s="255">
      <c r="A169" s="42" t="n"/>
      <c r="B169" s="42" t="n"/>
      <c r="C169" s="42" t="n"/>
      <c r="D169" s="42" t="n"/>
      <c r="E169" s="46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</row>
    <row r="170" ht="15.75" customHeight="1" s="255">
      <c r="A170" s="42" t="n"/>
      <c r="B170" s="42" t="n"/>
      <c r="C170" s="42" t="n"/>
      <c r="D170" s="42" t="n"/>
      <c r="E170" s="46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</row>
    <row r="171" ht="15.75" customHeight="1" s="255">
      <c r="A171" s="42" t="n"/>
      <c r="B171" s="42" t="n"/>
      <c r="C171" s="42" t="n"/>
      <c r="D171" s="42" t="n"/>
      <c r="E171" s="46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</row>
    <row r="172" ht="15.75" customHeight="1" s="255">
      <c r="A172" s="42" t="n"/>
      <c r="B172" s="42" t="n"/>
      <c r="C172" s="42" t="n"/>
      <c r="D172" s="42" t="n"/>
      <c r="E172" s="46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</row>
    <row r="173" ht="15.75" customHeight="1" s="255">
      <c r="A173" s="42" t="n"/>
      <c r="B173" s="42" t="n"/>
      <c r="C173" s="42" t="n"/>
      <c r="D173" s="42" t="n"/>
      <c r="E173" s="46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</row>
    <row r="174" ht="15.75" customHeight="1" s="255">
      <c r="A174" s="42" t="n"/>
      <c r="B174" s="42" t="n"/>
      <c r="C174" s="42" t="n"/>
      <c r="D174" s="42" t="n"/>
      <c r="E174" s="46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</row>
    <row r="175" ht="15.75" customHeight="1" s="255">
      <c r="A175" s="42" t="n"/>
      <c r="B175" s="42" t="n"/>
      <c r="C175" s="42" t="n"/>
      <c r="D175" s="42" t="n"/>
      <c r="E175" s="46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</row>
    <row r="176" ht="15.75" customHeight="1" s="255">
      <c r="A176" s="42" t="n"/>
      <c r="B176" s="42" t="n"/>
      <c r="C176" s="42" t="n"/>
      <c r="D176" s="42" t="n"/>
      <c r="E176" s="46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</row>
    <row r="177" ht="15.75" customHeight="1" s="255">
      <c r="A177" s="42" t="n"/>
      <c r="B177" s="42" t="n"/>
      <c r="C177" s="42" t="n"/>
      <c r="D177" s="42" t="n"/>
      <c r="E177" s="46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</row>
    <row r="178" ht="15.75" customHeight="1" s="255">
      <c r="A178" s="42" t="n"/>
      <c r="B178" s="42" t="n"/>
      <c r="C178" s="42" t="n"/>
      <c r="D178" s="42" t="n"/>
      <c r="E178" s="46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</row>
    <row r="179" ht="15.75" customHeight="1" s="255">
      <c r="A179" s="42" t="n"/>
      <c r="B179" s="42" t="n"/>
      <c r="C179" s="42" t="n"/>
      <c r="D179" s="42" t="n"/>
      <c r="E179" s="46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</row>
    <row r="180" ht="15.75" customHeight="1" s="255">
      <c r="A180" s="42" t="n"/>
      <c r="B180" s="42" t="n"/>
      <c r="C180" s="42" t="n"/>
      <c r="D180" s="42" t="n"/>
      <c r="E180" s="46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</row>
    <row r="181" ht="15.75" customHeight="1" s="255">
      <c r="A181" s="42" t="n"/>
      <c r="B181" s="42" t="n"/>
      <c r="C181" s="42" t="n"/>
      <c r="D181" s="42" t="n"/>
      <c r="E181" s="46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</row>
    <row r="182" ht="15.75" customHeight="1" s="255">
      <c r="A182" s="42" t="n"/>
      <c r="B182" s="42" t="n"/>
      <c r="C182" s="42" t="n"/>
      <c r="D182" s="42" t="n"/>
      <c r="E182" s="46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</row>
    <row r="183" ht="15.75" customHeight="1" s="255">
      <c r="A183" s="42" t="n"/>
      <c r="B183" s="42" t="n"/>
      <c r="C183" s="42" t="n"/>
      <c r="D183" s="42" t="n"/>
      <c r="E183" s="46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</row>
    <row r="184" ht="15.75" customHeight="1" s="255">
      <c r="A184" s="42" t="n"/>
      <c r="B184" s="42" t="n"/>
      <c r="C184" s="42" t="n"/>
      <c r="D184" s="42" t="n"/>
      <c r="E184" s="46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</row>
    <row r="185" ht="15.75" customHeight="1" s="255">
      <c r="A185" s="42" t="n"/>
      <c r="B185" s="42" t="n"/>
      <c r="C185" s="42" t="n"/>
      <c r="D185" s="42" t="n"/>
      <c r="E185" s="46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</row>
    <row r="186" ht="15.75" customHeight="1" s="255">
      <c r="A186" s="42" t="n"/>
      <c r="B186" s="42" t="n"/>
      <c r="C186" s="42" t="n"/>
      <c r="D186" s="42" t="n"/>
      <c r="E186" s="46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</row>
    <row r="187" ht="15.75" customHeight="1" s="255">
      <c r="A187" s="42" t="n"/>
      <c r="B187" s="42" t="n"/>
      <c r="C187" s="42" t="n"/>
      <c r="D187" s="42" t="n"/>
      <c r="E187" s="46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</row>
    <row r="188" ht="15.75" customHeight="1" s="255">
      <c r="A188" s="42" t="n"/>
      <c r="B188" s="42" t="n"/>
      <c r="C188" s="42" t="n"/>
      <c r="D188" s="42" t="n"/>
      <c r="E188" s="46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</row>
    <row r="189" ht="15.75" customHeight="1" s="255">
      <c r="A189" s="42" t="n"/>
      <c r="B189" s="42" t="n"/>
      <c r="C189" s="42" t="n"/>
      <c r="D189" s="42" t="n"/>
      <c r="E189" s="46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</row>
    <row r="190" ht="15.75" customHeight="1" s="255">
      <c r="A190" s="42" t="n"/>
      <c r="B190" s="42" t="n"/>
      <c r="C190" s="42" t="n"/>
      <c r="D190" s="42" t="n"/>
      <c r="E190" s="46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</row>
    <row r="191" ht="15.75" customHeight="1" s="255">
      <c r="A191" s="42" t="n"/>
      <c r="B191" s="42" t="n"/>
      <c r="C191" s="42" t="n"/>
      <c r="D191" s="42" t="n"/>
      <c r="E191" s="46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</row>
    <row r="192" ht="15.75" customHeight="1" s="255">
      <c r="A192" s="42" t="n"/>
      <c r="B192" s="42" t="n"/>
      <c r="C192" s="42" t="n"/>
      <c r="D192" s="42" t="n"/>
      <c r="E192" s="46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</row>
    <row r="193" ht="15.75" customHeight="1" s="255">
      <c r="A193" s="42" t="n"/>
      <c r="B193" s="42" t="n"/>
      <c r="C193" s="42" t="n"/>
      <c r="D193" s="42" t="n"/>
      <c r="E193" s="46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</row>
    <row r="194" ht="15.75" customHeight="1" s="255">
      <c r="A194" s="42" t="n"/>
      <c r="B194" s="42" t="n"/>
      <c r="C194" s="42" t="n"/>
      <c r="D194" s="42" t="n"/>
      <c r="E194" s="46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</row>
    <row r="195" ht="15.75" customHeight="1" s="255">
      <c r="A195" s="42" t="n"/>
      <c r="B195" s="42" t="n"/>
      <c r="C195" s="42" t="n"/>
      <c r="D195" s="42" t="n"/>
      <c r="E195" s="46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</row>
    <row r="196" ht="15.75" customHeight="1" s="255">
      <c r="A196" s="42" t="n"/>
      <c r="B196" s="42" t="n"/>
      <c r="C196" s="42" t="n"/>
      <c r="D196" s="42" t="n"/>
      <c r="E196" s="46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</row>
    <row r="197" ht="15.75" customHeight="1" s="255">
      <c r="A197" s="42" t="n"/>
      <c r="B197" s="42" t="n"/>
      <c r="C197" s="42" t="n"/>
      <c r="D197" s="42" t="n"/>
      <c r="E197" s="46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</row>
    <row r="198" ht="15.75" customHeight="1" s="255">
      <c r="A198" s="42" t="n"/>
      <c r="B198" s="42" t="n"/>
      <c r="C198" s="42" t="n"/>
      <c r="D198" s="42" t="n"/>
      <c r="E198" s="46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</row>
    <row r="199" ht="15.75" customHeight="1" s="255">
      <c r="A199" s="42" t="n"/>
      <c r="B199" s="42" t="n"/>
      <c r="C199" s="42" t="n"/>
      <c r="D199" s="42" t="n"/>
      <c r="E199" s="46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</row>
    <row r="200" ht="15.75" customHeight="1" s="255">
      <c r="A200" s="42" t="n"/>
      <c r="B200" s="42" t="n"/>
      <c r="C200" s="42" t="n"/>
      <c r="D200" s="42" t="n"/>
      <c r="E200" s="46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</row>
    <row r="201" ht="15.75" customHeight="1" s="255">
      <c r="A201" s="42" t="n"/>
      <c r="B201" s="42" t="n"/>
      <c r="C201" s="42" t="n"/>
      <c r="D201" s="42" t="n"/>
      <c r="E201" s="46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</row>
    <row r="202" ht="15.75" customHeight="1" s="255">
      <c r="A202" s="42" t="n"/>
      <c r="B202" s="42" t="n"/>
      <c r="C202" s="42" t="n"/>
      <c r="D202" s="42" t="n"/>
      <c r="E202" s="46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</row>
    <row r="203" ht="15.75" customHeight="1" s="255">
      <c r="A203" s="42" t="n"/>
      <c r="B203" s="42" t="n"/>
      <c r="C203" s="42" t="n"/>
      <c r="D203" s="42" t="n"/>
      <c r="E203" s="46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</row>
    <row r="204" ht="15.75" customHeight="1" s="255">
      <c r="A204" s="42" t="n"/>
      <c r="B204" s="42" t="n"/>
      <c r="C204" s="42" t="n"/>
      <c r="D204" s="42" t="n"/>
      <c r="E204" s="46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</row>
    <row r="205" ht="15.75" customHeight="1" s="255">
      <c r="A205" s="42" t="n"/>
      <c r="B205" s="42" t="n"/>
      <c r="C205" s="42" t="n"/>
      <c r="D205" s="42" t="n"/>
      <c r="E205" s="46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</row>
    <row r="206" ht="15.75" customHeight="1" s="255">
      <c r="A206" s="42" t="n"/>
      <c r="B206" s="42" t="n"/>
      <c r="C206" s="42" t="n"/>
      <c r="D206" s="42" t="n"/>
      <c r="E206" s="46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</row>
    <row r="207" ht="15.75" customHeight="1" s="255">
      <c r="A207" s="42" t="n"/>
      <c r="B207" s="42" t="n"/>
      <c r="C207" s="42" t="n"/>
      <c r="D207" s="42" t="n"/>
      <c r="E207" s="46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</row>
    <row r="208" ht="15.75" customHeight="1" s="255">
      <c r="A208" s="42" t="n"/>
      <c r="B208" s="42" t="n"/>
      <c r="C208" s="42" t="n"/>
      <c r="D208" s="42" t="n"/>
      <c r="E208" s="46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</row>
    <row r="209" ht="15.75" customHeight="1" s="255">
      <c r="A209" s="42" t="n"/>
      <c r="B209" s="42" t="n"/>
      <c r="C209" s="42" t="n"/>
      <c r="D209" s="42" t="n"/>
      <c r="E209" s="46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</row>
    <row r="210" ht="15.75" customHeight="1" s="255">
      <c r="A210" s="42" t="n"/>
      <c r="B210" s="42" t="n"/>
      <c r="C210" s="42" t="n"/>
      <c r="D210" s="42" t="n"/>
      <c r="E210" s="46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</row>
    <row r="211" ht="15.75" customHeight="1" s="255">
      <c r="A211" s="42" t="n"/>
      <c r="B211" s="42" t="n"/>
      <c r="C211" s="42" t="n"/>
      <c r="D211" s="42" t="n"/>
      <c r="E211" s="46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</row>
    <row r="212" ht="15.75" customHeight="1" s="255">
      <c r="A212" s="42" t="n"/>
      <c r="B212" s="42" t="n"/>
      <c r="C212" s="42" t="n"/>
      <c r="D212" s="42" t="n"/>
      <c r="E212" s="46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</row>
    <row r="213" ht="15.75" customHeight="1" s="255">
      <c r="A213" s="42" t="n"/>
      <c r="B213" s="42" t="n"/>
      <c r="C213" s="42" t="n"/>
      <c r="D213" s="42" t="n"/>
      <c r="E213" s="46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</row>
    <row r="214" ht="15.75" customHeight="1" s="255">
      <c r="A214" s="42" t="n"/>
      <c r="B214" s="42" t="n"/>
      <c r="C214" s="42" t="n"/>
      <c r="D214" s="42" t="n"/>
      <c r="E214" s="46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</row>
    <row r="215" ht="15.75" customHeight="1" s="255">
      <c r="A215" s="42" t="n"/>
      <c r="B215" s="42" t="n"/>
      <c r="C215" s="42" t="n"/>
      <c r="D215" s="42" t="n"/>
      <c r="E215" s="46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</row>
    <row r="216" ht="15.75" customHeight="1" s="255">
      <c r="A216" s="42" t="n"/>
      <c r="B216" s="42" t="n"/>
      <c r="C216" s="42" t="n"/>
      <c r="D216" s="42" t="n"/>
      <c r="E216" s="46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</row>
    <row r="217" ht="15.75" customHeight="1" s="255">
      <c r="A217" s="42" t="n"/>
      <c r="B217" s="42" t="n"/>
      <c r="C217" s="42" t="n"/>
      <c r="D217" s="42" t="n"/>
      <c r="E217" s="46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</row>
    <row r="218" ht="15.75" customHeight="1" s="255">
      <c r="A218" s="42" t="n"/>
      <c r="B218" s="42" t="n"/>
      <c r="C218" s="42" t="n"/>
      <c r="D218" s="42" t="n"/>
      <c r="E218" s="46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</row>
    <row r="219" ht="15.75" customHeight="1" s="255">
      <c r="A219" s="42" t="n"/>
      <c r="B219" s="42" t="n"/>
      <c r="C219" s="42" t="n"/>
      <c r="D219" s="42" t="n"/>
      <c r="E219" s="46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</row>
    <row r="220" ht="15.75" customHeight="1" s="255">
      <c r="A220" s="42" t="n"/>
      <c r="B220" s="42" t="n"/>
      <c r="C220" s="42" t="n"/>
      <c r="D220" s="42" t="n"/>
      <c r="E220" s="46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</row>
    <row r="221" ht="15.75" customHeight="1" s="255">
      <c r="A221" s="42" t="n"/>
      <c r="B221" s="42" t="n"/>
      <c r="C221" s="42" t="n"/>
      <c r="D221" s="42" t="n"/>
      <c r="E221" s="46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</row>
    <row r="222" ht="15.75" customHeight="1" s="255">
      <c r="A222" s="42" t="n"/>
      <c r="B222" s="42" t="n"/>
      <c r="C222" s="42" t="n"/>
      <c r="D222" s="42" t="n"/>
      <c r="E222" s="46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</row>
    <row r="223" ht="15.75" customHeight="1" s="255">
      <c r="A223" s="42" t="n"/>
      <c r="B223" s="42" t="n"/>
      <c r="C223" s="42" t="n"/>
      <c r="D223" s="42" t="n"/>
      <c r="E223" s="46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</row>
    <row r="224" ht="15.75" customHeight="1" s="255">
      <c r="A224" s="42" t="n"/>
      <c r="B224" s="42" t="n"/>
      <c r="C224" s="42" t="n"/>
      <c r="D224" s="42" t="n"/>
      <c r="E224" s="46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</row>
    <row r="225" ht="15.75" customHeight="1" s="255">
      <c r="A225" s="42" t="n"/>
      <c r="B225" s="42" t="n"/>
      <c r="C225" s="42" t="n"/>
      <c r="D225" s="42" t="n"/>
      <c r="E225" s="46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</row>
    <row r="226" ht="15.75" customHeight="1" s="255">
      <c r="A226" s="42" t="n"/>
      <c r="B226" s="42" t="n"/>
      <c r="C226" s="42" t="n"/>
      <c r="D226" s="42" t="n"/>
      <c r="E226" s="46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</row>
    <row r="227" ht="15.75" customHeight="1" s="255">
      <c r="A227" s="42" t="n"/>
      <c r="B227" s="42" t="n"/>
      <c r="C227" s="42" t="n"/>
      <c r="D227" s="42" t="n"/>
      <c r="E227" s="46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</row>
    <row r="228" ht="15.75" customHeight="1" s="255">
      <c r="A228" s="42" t="n"/>
      <c r="B228" s="42" t="n"/>
      <c r="C228" s="42" t="n"/>
      <c r="D228" s="42" t="n"/>
      <c r="E228" s="46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</row>
    <row r="229" ht="15.75" customHeight="1" s="255">
      <c r="A229" s="42" t="n"/>
      <c r="B229" s="42" t="n"/>
      <c r="C229" s="42" t="n"/>
      <c r="D229" s="42" t="n"/>
      <c r="E229" s="46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</row>
    <row r="230" ht="15.75" customHeight="1" s="255">
      <c r="A230" s="42" t="n"/>
      <c r="B230" s="42" t="n"/>
      <c r="C230" s="42" t="n"/>
      <c r="D230" s="42" t="n"/>
      <c r="E230" s="46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</row>
    <row r="231" ht="15.75" customHeight="1" s="255">
      <c r="A231" s="42" t="n"/>
      <c r="B231" s="42" t="n"/>
      <c r="C231" s="42" t="n"/>
      <c r="D231" s="42" t="n"/>
      <c r="E231" s="46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</row>
    <row r="232" ht="15.75" customHeight="1" s="255">
      <c r="A232" s="42" t="n"/>
      <c r="B232" s="42" t="n"/>
      <c r="C232" s="42" t="n"/>
      <c r="D232" s="42" t="n"/>
      <c r="E232" s="46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</row>
    <row r="233" ht="15.75" customHeight="1" s="255">
      <c r="A233" s="42" t="n"/>
      <c r="B233" s="42" t="n"/>
      <c r="C233" s="42" t="n"/>
      <c r="D233" s="42" t="n"/>
      <c r="E233" s="46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</row>
    <row r="234" ht="15.75" customHeight="1" s="255">
      <c r="A234" s="42" t="n"/>
      <c r="B234" s="42" t="n"/>
      <c r="C234" s="42" t="n"/>
      <c r="D234" s="42" t="n"/>
      <c r="E234" s="46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</row>
    <row r="235" ht="15.75" customHeight="1" s="255">
      <c r="A235" s="42" t="n"/>
      <c r="B235" s="42" t="n"/>
      <c r="C235" s="42" t="n"/>
      <c r="D235" s="42" t="n"/>
      <c r="E235" s="46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</row>
    <row r="236" ht="15.75" customHeight="1" s="255">
      <c r="A236" s="42" t="n"/>
      <c r="B236" s="42" t="n"/>
      <c r="C236" s="42" t="n"/>
      <c r="D236" s="42" t="n"/>
      <c r="E236" s="46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</row>
    <row r="237" ht="15.75" customHeight="1" s="255">
      <c r="A237" s="42" t="n"/>
      <c r="B237" s="42" t="n"/>
      <c r="C237" s="42" t="n"/>
      <c r="D237" s="42" t="n"/>
      <c r="E237" s="46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</row>
    <row r="238" ht="15.75" customHeight="1" s="255">
      <c r="A238" s="42" t="n"/>
      <c r="B238" s="42" t="n"/>
      <c r="C238" s="42" t="n"/>
      <c r="D238" s="42" t="n"/>
      <c r="E238" s="46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</row>
    <row r="239" ht="15.75" customHeight="1" s="255">
      <c r="A239" s="42" t="n"/>
      <c r="B239" s="42" t="n"/>
      <c r="C239" s="42" t="n"/>
      <c r="D239" s="42" t="n"/>
      <c r="E239" s="46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</row>
    <row r="240" ht="15.75" customHeight="1" s="255">
      <c r="A240" s="42" t="n"/>
      <c r="B240" s="42" t="n"/>
      <c r="C240" s="42" t="n"/>
      <c r="D240" s="42" t="n"/>
      <c r="E240" s="46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</row>
    <row r="241" ht="15.75" customHeight="1" s="255">
      <c r="A241" s="42" t="n"/>
      <c r="B241" s="42" t="n"/>
      <c r="C241" s="42" t="n"/>
      <c r="D241" s="42" t="n"/>
      <c r="E241" s="46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</row>
    <row r="242" ht="15.75" customHeight="1" s="255">
      <c r="A242" s="42" t="n"/>
      <c r="B242" s="42" t="n"/>
      <c r="C242" s="42" t="n"/>
      <c r="D242" s="42" t="n"/>
      <c r="E242" s="46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</row>
    <row r="243" ht="15.75" customHeight="1" s="255">
      <c r="A243" s="42" t="n"/>
      <c r="B243" s="42" t="n"/>
      <c r="C243" s="42" t="n"/>
      <c r="D243" s="42" t="n"/>
      <c r="E243" s="46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</row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</sheetData>
  <dataValidations count="1">
    <dataValidation sqref="H6:H14 H17:H28 H31:H38 H41:H46 H49:H56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fitToWidth="0" pageOrder="overThenDown"/>
</worksheet>
</file>

<file path=xl/worksheets/sheet8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K25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12" customWidth="1" style="255" min="1" max="1"/>
    <col width="12" customWidth="1" style="255" min="2" max="2"/>
    <col width="12" customWidth="1" style="255" min="3" max="3"/>
    <col width="12" customWidth="1" style="255" min="4" max="4"/>
    <col width="12" customWidth="1" style="255" min="5" max="6"/>
    <col width="12" customWidth="1" style="255" min="6" max="6"/>
    <col width="12" customWidth="1" style="255" min="7" max="7"/>
    <col width="12" customWidth="1" style="255" min="8" max="8"/>
    <col width="12" customWidth="1" style="255" min="9" max="9"/>
    <col width="12" customWidth="1" style="255" min="10" max="10"/>
    <col width="12" customWidth="1" style="255" min="11" max="11"/>
    <col width="19.25" customWidth="1" style="255" min="12" max="12"/>
    <col width="13" customWidth="1" style="255" min="13" max="13"/>
  </cols>
  <sheetData>
    <row r="1" ht="33" customHeight="1" s="255">
      <c r="A1" s="313" t="inlineStr">
        <is>
          <t>Healthy4U Revenue Projections</t>
        </is>
      </c>
      <c r="B1" s="313" t="inlineStr"/>
      <c r="C1" s="313" t="inlineStr"/>
      <c r="D1" s="313" t="inlineStr"/>
      <c r="E1" s="313" t="inlineStr"/>
      <c r="F1" s="313" t="inlineStr"/>
      <c r="G1" s="313" t="inlineStr"/>
      <c r="H1" s="313" t="inlineStr"/>
      <c r="I1" s="313" t="inlineStr"/>
      <c r="J1" s="313" t="inlineStr"/>
      <c r="K1" s="313" t="inlineStr">
        <is>
          <t>Updated: 2026-01-27</t>
        </is>
      </c>
    </row>
    <row r="2" ht="23.25" customHeight="1" s="255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 ht="15.75" customHeight="1" s="255">
      <c r="A3" s="311" t="inlineStr">
        <is>
          <t>CONSERVATIVE SCENARIO (3 doctors by Month 3)</t>
        </is>
      </c>
      <c r="B3" s="311" t="inlineStr"/>
      <c r="C3" s="311" t="inlineStr"/>
      <c r="D3" s="311" t="inlineStr"/>
      <c r="E3" s="311" t="inlineStr"/>
      <c r="F3" s="311" t="inlineStr"/>
      <c r="G3" s="311" t="inlineStr"/>
      <c r="H3" s="311" t="inlineStr"/>
      <c r="I3" s="311" t="inlineStr"/>
      <c r="J3" s="311" t="inlineStr"/>
      <c r="K3" s="311" t="inlineStr"/>
    </row>
    <row r="4" ht="15.75" customHeight="1" s="255">
      <c r="A4" s="312" t="inlineStr">
        <is>
          <t>Month</t>
        </is>
      </c>
      <c r="B4" s="312" t="inlineStr">
        <is>
          <t>Doctors</t>
        </is>
      </c>
      <c r="C4" s="312" t="inlineStr">
        <is>
          <t>Doctor MRR</t>
        </is>
      </c>
      <c r="D4" s="312" t="inlineStr">
        <is>
          <t>Patients</t>
        </is>
      </c>
      <c r="E4" s="312" t="inlineStr">
        <is>
          <t>Patient MRR</t>
        </is>
      </c>
      <c r="F4" s="312" t="inlineStr">
        <is>
          <t>Rev Share</t>
        </is>
      </c>
      <c r="G4" s="312" t="inlineStr">
        <is>
          <t>Net Patient</t>
        </is>
      </c>
      <c r="H4" s="312" t="inlineStr">
        <is>
          <t>Total MRR</t>
        </is>
      </c>
      <c r="I4" s="312" t="inlineStr">
        <is>
          <t>Total COGS</t>
        </is>
      </c>
      <c r="J4" s="312" t="inlineStr">
        <is>
          <t>Profit</t>
        </is>
      </c>
      <c r="K4" s="312" t="inlineStr">
        <is>
          <t>Margin %</t>
        </is>
      </c>
    </row>
    <row r="5" ht="15.75" customHeight="1" s="255">
      <c r="A5" t="inlineStr">
        <is>
          <t>1</t>
        </is>
      </c>
      <c r="B5" t="inlineStr">
        <is>
          <t>1</t>
        </is>
      </c>
      <c r="C5" t="inlineStr">
        <is>
          <t>$174</t>
        </is>
      </c>
      <c r="D5" t="inlineStr">
        <is>
          <t>15</t>
        </is>
      </c>
      <c r="E5" t="inlineStr">
        <is>
          <t>$150</t>
        </is>
      </c>
      <c r="F5" t="inlineStr">
        <is>
          <t>-$38</t>
        </is>
      </c>
      <c r="G5" t="inlineStr">
        <is>
          <t>$112</t>
        </is>
      </c>
      <c r="H5" t="inlineStr">
        <is>
          <t>$286</t>
        </is>
      </c>
      <c r="I5" t="inlineStr">
        <is>
          <t>$80</t>
        </is>
      </c>
      <c r="J5" t="inlineStr">
        <is>
          <t>$206</t>
        </is>
      </c>
      <c r="K5" t="inlineStr">
        <is>
          <t>72%</t>
        </is>
      </c>
    </row>
    <row r="6" ht="15.75" customHeight="1" s="255">
      <c r="A6" t="inlineStr">
        <is>
          <t>2</t>
        </is>
      </c>
      <c r="B6" t="inlineStr">
        <is>
          <t>2</t>
        </is>
      </c>
      <c r="C6" t="inlineStr">
        <is>
          <t>$348</t>
        </is>
      </c>
      <c r="D6" t="inlineStr">
        <is>
          <t>30</t>
        </is>
      </c>
      <c r="E6" t="inlineStr">
        <is>
          <t>$300</t>
        </is>
      </c>
      <c r="F6" t="inlineStr">
        <is>
          <t>-$75</t>
        </is>
      </c>
      <c r="G6" t="inlineStr">
        <is>
          <t>$225</t>
        </is>
      </c>
      <c r="H6" t="inlineStr">
        <is>
          <t>$573</t>
        </is>
      </c>
      <c r="I6" t="inlineStr">
        <is>
          <t>$159</t>
        </is>
      </c>
      <c r="J6" t="inlineStr">
        <is>
          <t>$414</t>
        </is>
      </c>
      <c r="K6" t="inlineStr">
        <is>
          <t>72%</t>
        </is>
      </c>
    </row>
    <row r="7" ht="23.25" customHeight="1" s="255">
      <c r="A7" t="inlineStr">
        <is>
          <t>3</t>
        </is>
      </c>
      <c r="B7" t="inlineStr">
        <is>
          <t>3</t>
        </is>
      </c>
      <c r="C7" t="inlineStr">
        <is>
          <t>$547</t>
        </is>
      </c>
      <c r="D7" t="inlineStr">
        <is>
          <t>45</t>
        </is>
      </c>
      <c r="E7" t="inlineStr">
        <is>
          <t>$450</t>
        </is>
      </c>
      <c r="F7" t="inlineStr">
        <is>
          <t>-$113</t>
        </is>
      </c>
      <c r="G7" t="inlineStr">
        <is>
          <t>$337</t>
        </is>
      </c>
      <c r="H7" t="inlineStr">
        <is>
          <t>$884</t>
        </is>
      </c>
      <c r="I7" t="inlineStr">
        <is>
          <t>$239</t>
        </is>
      </c>
      <c r="J7" t="inlineStr">
        <is>
          <t>$645</t>
        </is>
      </c>
      <c r="K7" t="inlineStr">
        <is>
          <t>73%</t>
        </is>
      </c>
    </row>
    <row r="8" ht="15.75" customHeight="1" s="255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 ht="15.75" customHeight="1" s="255">
      <c r="A9" s="314" t="inlineStr">
        <is>
          <t>Q1 Total Revenue</t>
        </is>
      </c>
      <c r="B9" t="inlineStr"/>
      <c r="C9" t="inlineStr"/>
      <c r="D9" t="inlineStr"/>
      <c r="E9" t="inlineStr"/>
      <c r="F9" t="inlineStr"/>
      <c r="G9" t="inlineStr"/>
      <c r="H9" t="inlineStr">
        <is>
          <t>$1,743</t>
        </is>
      </c>
      <c r="I9" t="inlineStr"/>
      <c r="J9" t="inlineStr"/>
      <c r="K9" t="inlineStr"/>
    </row>
    <row r="10" ht="15.75" customHeight="1" s="255">
      <c r="A10" s="314" t="inlineStr">
        <is>
          <t>Month 3 ARR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$10,608</t>
        </is>
      </c>
      <c r="I10" t="inlineStr"/>
      <c r="J10" t="inlineStr"/>
      <c r="K10" t="inlineStr"/>
    </row>
    <row r="11" ht="15.75" customHeight="1" s="255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 ht="15.75" customHeight="1" s="255">
      <c r="A12" s="311" t="inlineStr">
        <is>
          <t>TARGET SCENARIO (5 doctors by Month 3)</t>
        </is>
      </c>
      <c r="B12" s="311" t="inlineStr"/>
      <c r="C12" s="311" t="inlineStr"/>
      <c r="D12" s="311" t="inlineStr"/>
      <c r="E12" s="311" t="inlineStr"/>
      <c r="F12" s="311" t="inlineStr"/>
      <c r="G12" s="311" t="inlineStr"/>
      <c r="H12" s="311" t="inlineStr"/>
      <c r="I12" s="311" t="inlineStr"/>
      <c r="J12" s="311" t="inlineStr"/>
      <c r="K12" s="311" t="inlineStr"/>
    </row>
    <row r="13" ht="15.75" customHeight="1" s="255">
      <c r="A13" s="312" t="inlineStr">
        <is>
          <t>Month</t>
        </is>
      </c>
      <c r="B13" s="312" t="inlineStr">
        <is>
          <t>Doctors</t>
        </is>
      </c>
      <c r="C13" s="312" t="inlineStr">
        <is>
          <t>Doctor MRR</t>
        </is>
      </c>
      <c r="D13" s="312" t="inlineStr">
        <is>
          <t>Patients</t>
        </is>
      </c>
      <c r="E13" s="312" t="inlineStr">
        <is>
          <t>Patient MRR</t>
        </is>
      </c>
      <c r="F13" s="312" t="inlineStr">
        <is>
          <t>Rev Share</t>
        </is>
      </c>
      <c r="G13" s="312" t="inlineStr">
        <is>
          <t>Net Patient</t>
        </is>
      </c>
      <c r="H13" s="312" t="inlineStr">
        <is>
          <t>Total MRR</t>
        </is>
      </c>
      <c r="I13" s="312" t="inlineStr">
        <is>
          <t>Total COGS</t>
        </is>
      </c>
      <c r="J13" s="312" t="inlineStr">
        <is>
          <t>Profit</t>
        </is>
      </c>
      <c r="K13" s="312" t="inlineStr">
        <is>
          <t>Margin %</t>
        </is>
      </c>
    </row>
    <row r="14" ht="15.75" customHeight="1" s="255">
      <c r="A14" t="inlineStr">
        <is>
          <t>1</t>
        </is>
      </c>
      <c r="B14" t="inlineStr">
        <is>
          <t>2</t>
        </is>
      </c>
      <c r="C14" t="inlineStr">
        <is>
          <t>$348</t>
        </is>
      </c>
      <c r="D14" t="inlineStr">
        <is>
          <t>30</t>
        </is>
      </c>
      <c r="E14" t="inlineStr">
        <is>
          <t>$300</t>
        </is>
      </c>
      <c r="F14" t="inlineStr">
        <is>
          <t>-$75</t>
        </is>
      </c>
      <c r="G14" t="inlineStr">
        <is>
          <t>$225</t>
        </is>
      </c>
      <c r="H14" t="inlineStr">
        <is>
          <t>$573</t>
        </is>
      </c>
      <c r="I14" t="inlineStr">
        <is>
          <t>$159</t>
        </is>
      </c>
      <c r="J14" t="inlineStr">
        <is>
          <t>$414</t>
        </is>
      </c>
      <c r="K14" t="inlineStr">
        <is>
          <t>72%</t>
        </is>
      </c>
    </row>
    <row r="15" ht="15.75" customHeight="1" s="255">
      <c r="A15" t="inlineStr">
        <is>
          <t>2</t>
        </is>
      </c>
      <c r="B15" t="inlineStr">
        <is>
          <t>4</t>
        </is>
      </c>
      <c r="C15" t="inlineStr">
        <is>
          <t>$721</t>
        </is>
      </c>
      <c r="D15" t="inlineStr">
        <is>
          <t>60</t>
        </is>
      </c>
      <c r="E15" t="inlineStr">
        <is>
          <t>$599</t>
        </is>
      </c>
      <c r="F15" t="inlineStr">
        <is>
          <t>-$150</t>
        </is>
      </c>
      <c r="G15" t="inlineStr">
        <is>
          <t>$449</t>
        </is>
      </c>
      <c r="H15" t="inlineStr">
        <is>
          <t>$1,170</t>
        </is>
      </c>
      <c r="I15" t="inlineStr">
        <is>
          <t>$319</t>
        </is>
      </c>
      <c r="J15" t="inlineStr">
        <is>
          <t>$852</t>
        </is>
      </c>
      <c r="K15" t="inlineStr">
        <is>
          <t>73%</t>
        </is>
      </c>
    </row>
    <row r="16" ht="15.75" customHeight="1" s="255">
      <c r="A16" t="inlineStr">
        <is>
          <t>3</t>
        </is>
      </c>
      <c r="B16" t="inlineStr">
        <is>
          <t>5</t>
        </is>
      </c>
      <c r="C16" t="inlineStr">
        <is>
          <t>$920</t>
        </is>
      </c>
      <c r="D16" t="inlineStr">
        <is>
          <t>75</t>
        </is>
      </c>
      <c r="E16" t="inlineStr">
        <is>
          <t>$749</t>
        </is>
      </c>
      <c r="F16" t="inlineStr">
        <is>
          <t>-$188</t>
        </is>
      </c>
      <c r="G16" t="inlineStr">
        <is>
          <t>$562</t>
        </is>
      </c>
      <c r="H16" t="inlineStr">
        <is>
          <t>$1,482</t>
        </is>
      </c>
      <c r="I16" t="inlineStr">
        <is>
          <t>$398</t>
        </is>
      </c>
      <c r="J16" t="inlineStr">
        <is>
          <t>$1,084</t>
        </is>
      </c>
      <c r="K16" t="inlineStr">
        <is>
          <t>73%</t>
        </is>
      </c>
    </row>
    <row r="17" ht="15.75" customHeight="1" s="255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 ht="15.75" customHeight="1" s="255">
      <c r="A18" s="314" t="inlineStr">
        <is>
          <t>Q1 Total Revenue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$3,225</t>
        </is>
      </c>
      <c r="I18" t="inlineStr"/>
      <c r="J18" t="inlineStr"/>
      <c r="K18" t="inlineStr"/>
    </row>
    <row r="19" ht="15.75" customHeight="1" s="255">
      <c r="A19" s="314" t="inlineStr">
        <is>
          <t>Month 3 ARR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$17,781</t>
        </is>
      </c>
      <c r="I19" t="inlineStr"/>
      <c r="J19" t="inlineStr"/>
      <c r="K19" t="inlineStr"/>
    </row>
    <row r="20" ht="15.75" customHeight="1" s="255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 ht="15.75" customHeight="1" s="255">
      <c r="A21" s="311" t="inlineStr">
        <is>
          <t>AGGRESSIVE SCENARIO (8 doctors by Month 6)</t>
        </is>
      </c>
      <c r="B21" s="311" t="inlineStr"/>
      <c r="C21" s="311" t="inlineStr"/>
      <c r="D21" s="311" t="inlineStr"/>
      <c r="E21" s="311" t="inlineStr"/>
      <c r="F21" s="311" t="inlineStr"/>
      <c r="G21" s="311" t="inlineStr"/>
      <c r="H21" s="311" t="inlineStr"/>
      <c r="I21" s="311" t="inlineStr"/>
      <c r="J21" s="311" t="inlineStr"/>
      <c r="K21" s="311" t="inlineStr"/>
    </row>
    <row r="22" ht="15.75" customHeight="1" s="255">
      <c r="A22" s="312" t="inlineStr">
        <is>
          <t>Month</t>
        </is>
      </c>
      <c r="B22" s="312" t="inlineStr">
        <is>
          <t>Doctors</t>
        </is>
      </c>
      <c r="C22" s="312" t="inlineStr">
        <is>
          <t>Doctor MRR</t>
        </is>
      </c>
      <c r="D22" s="312" t="inlineStr">
        <is>
          <t>Patients</t>
        </is>
      </c>
      <c r="E22" s="312" t="inlineStr">
        <is>
          <t>Patient MRR</t>
        </is>
      </c>
      <c r="F22" s="312" t="inlineStr">
        <is>
          <t>Rev Share</t>
        </is>
      </c>
      <c r="G22" s="312" t="inlineStr">
        <is>
          <t>Net Patient</t>
        </is>
      </c>
      <c r="H22" s="312" t="inlineStr">
        <is>
          <t>Total MRR</t>
        </is>
      </c>
      <c r="I22" s="312" t="inlineStr">
        <is>
          <t>Total COGS</t>
        </is>
      </c>
      <c r="J22" s="312" t="inlineStr">
        <is>
          <t>Profit</t>
        </is>
      </c>
      <c r="K22" s="312" t="inlineStr">
        <is>
          <t>Margin %</t>
        </is>
      </c>
    </row>
    <row r="23" ht="15.75" customHeight="1" s="255">
      <c r="A23" t="inlineStr">
        <is>
          <t>6</t>
        </is>
      </c>
      <c r="B23" t="inlineStr">
        <is>
          <t>8</t>
        </is>
      </c>
      <c r="C23" t="inlineStr">
        <is>
          <t>$1,880</t>
        </is>
      </c>
      <c r="D23" t="inlineStr">
        <is>
          <t>120</t>
        </is>
      </c>
      <c r="E23" t="inlineStr">
        <is>
          <t>$1,199</t>
        </is>
      </c>
      <c r="F23" t="inlineStr">
        <is>
          <t>-$300</t>
        </is>
      </c>
      <c r="G23" t="inlineStr">
        <is>
          <t>$899</t>
        </is>
      </c>
      <c r="H23" t="inlineStr">
        <is>
          <t>$2,779</t>
        </is>
      </c>
      <c r="I23" t="inlineStr">
        <is>
          <t>$637</t>
        </is>
      </c>
      <c r="J23" t="inlineStr">
        <is>
          <t>$2,142</t>
        </is>
      </c>
      <c r="K23" t="inlineStr">
        <is>
          <t>77%</t>
        </is>
      </c>
    </row>
    <row r="24" ht="15.75" customHeight="1" s="255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 ht="15.75" customHeight="1" s="255">
      <c r="A25" s="314" t="inlineStr">
        <is>
          <t>Month 6 ARR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$33,345</t>
        </is>
      </c>
      <c r="I25" t="inlineStr"/>
      <c r="J25" t="inlineStr"/>
      <c r="K25" t="inlineStr"/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22.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23.2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23.2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27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23.2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42 B56 C13 C19 C28 C76:C78 C82:C89 C94:C95 C98:C99 C102:C104 C108:C112 D120:D124 E19 E76:E78 H19 H76:H78 K19 K76:K78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paperSize="9" fitToHeight="0" pageOrder="overThenDown"/>
</worksheet>
</file>

<file path=xl/worksheets/sheet9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6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255" min="1" max="1"/>
    <col width="3.38" customWidth="1" style="255" min="2" max="2"/>
    <col width="28.88" customWidth="1" style="255" min="3" max="3"/>
    <col width="18.88" customWidth="1" style="255" min="4" max="4"/>
    <col width="3" customWidth="1" style="255" min="5" max="5"/>
    <col width="18.88" customWidth="1" style="255" min="6" max="6"/>
  </cols>
  <sheetData>
    <row r="1" ht="29.25" customHeight="1" s="255">
      <c r="A1" s="79" t="n"/>
      <c r="B1" s="80">
        <f>Settings!$B$4</f>
        <v/>
      </c>
      <c r="C1" s="81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3.25" customHeight="1" s="255">
      <c r="A2" s="82" t="n"/>
      <c r="B2" s="82" t="inlineStr">
        <is>
          <t>KEY INDICATORS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ht="15.75" customHeight="1" s="255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15.75" customHeight="1" s="255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75" customHeight="1" s="255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75" customHeight="1" s="255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75" customHeight="1" s="255">
      <c r="A7" s="79" t="n"/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75" customHeight="1" s="255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15.75" customHeight="1" s="255">
      <c r="A9" s="79" t="n"/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</row>
    <row r="10" ht="15.75" customHeight="1" s="255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</row>
    <row r="11" ht="15.75" customHeight="1" s="255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</row>
    <row r="12" ht="15.75" customHeight="1" s="255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</row>
    <row r="13" ht="15.75" customHeight="1" s="255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</row>
    <row r="14" ht="15.75" customHeight="1" s="255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</row>
    <row r="15" ht="15.75" customHeight="1" s="255">
      <c r="A15" s="79" t="n"/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</row>
    <row r="16" ht="15.75" customHeight="1" s="255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</row>
    <row r="17" ht="15.75" customHeight="1" s="255">
      <c r="A17" s="79" t="n"/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75" customHeight="1" s="255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75" customHeight="1" s="255">
      <c r="A19" s="79" t="n"/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23.25" customHeight="1" s="255">
      <c r="A20" s="83" t="n"/>
      <c r="B20" s="84" t="inlineStr">
        <is>
          <t>CAPITAL</t>
        </is>
      </c>
      <c r="C20" s="85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 ht="20.25" customHeight="1" s="255">
      <c r="A21" s="86" t="n"/>
      <c r="B21" s="87" t="n"/>
      <c r="C21" s="88" t="n"/>
      <c r="D21" s="89" t="n"/>
      <c r="E21" s="89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75" customHeight="1" s="255">
      <c r="A22" s="90" t="n"/>
      <c r="B22" s="91" t="n"/>
      <c r="C22" s="92" t="inlineStr">
        <is>
          <t>Months to reach 
break even</t>
        </is>
      </c>
      <c r="D22" s="93">
        <f>COUNTIF('P&amp;L | Cash Flow | Balance'!28:28,"&lt;=0")</f>
        <v/>
      </c>
      <c r="E22" s="94" t="n"/>
      <c r="F22" s="95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15.75" customHeight="1" s="255">
      <c r="A23" s="90" t="n"/>
      <c r="B23" s="91" t="n"/>
      <c r="C23" s="96" t="n"/>
      <c r="D23" s="97" t="n"/>
      <c r="E23" s="98" t="n"/>
      <c r="F23" s="9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4.5" customHeight="1" s="255">
      <c r="A24" s="90" t="n"/>
      <c r="B24" s="100" t="n"/>
      <c r="C24" s="101" t="inlineStr">
        <is>
          <t>Capital required</t>
        </is>
      </c>
      <c r="D24" s="102">
        <f>iferror(-MIN('P&amp;L | Cash Flow | Balance'!39:39),"-")</f>
        <v/>
      </c>
      <c r="E24" s="103" t="n"/>
      <c r="F24" s="9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15.75" customHeight="1" s="255">
      <c r="A25" s="79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23.25" customHeight="1" s="255">
      <c r="A26" s="82" t="n"/>
      <c r="B26" s="82" t="inlineStr">
        <is>
          <t>REVENUE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255">
      <c r="A27" s="79" t="n"/>
      <c r="B27" s="79" t="n"/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15.75" customHeight="1" s="255">
      <c r="A28" s="79" t="n"/>
      <c r="B28" s="79" t="n"/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15.75" customHeight="1" s="255">
      <c r="A29" s="79" t="n"/>
      <c r="B29" s="79" t="n"/>
      <c r="C29" s="79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15.75" customHeight="1" s="255">
      <c r="A30" s="79" t="n"/>
      <c r="B30" s="79" t="n"/>
      <c r="C30" s="79" t="n"/>
      <c r="D30" s="79" t="n"/>
      <c r="E30" s="79" t="n"/>
      <c r="F30" s="79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</row>
    <row r="31" ht="15.75" customHeight="1" s="255">
      <c r="A31" s="79" t="n"/>
      <c r="B31" s="79" t="n"/>
      <c r="C31" s="79" t="n"/>
      <c r="D31" s="79" t="n"/>
      <c r="E31" s="79" t="n"/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</row>
    <row r="32" ht="15.75" customHeight="1" s="255">
      <c r="A32" s="79" t="n"/>
      <c r="B32" s="79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</row>
    <row r="33" ht="15.75" customHeight="1" s="255">
      <c r="A33" s="79" t="n"/>
      <c r="B33" s="79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</row>
    <row r="34" ht="15.75" customHeight="1" s="255">
      <c r="A34" s="79" t="n"/>
      <c r="B34" s="79" t="n"/>
      <c r="C34" s="79" t="n"/>
      <c r="D34" s="79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</row>
    <row r="35" ht="15.75" customHeight="1" s="255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</row>
    <row r="36" ht="15.75" customHeight="1" s="255">
      <c r="A36" s="79" t="n"/>
      <c r="B36" s="79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</row>
    <row r="37" ht="15.75" customHeight="1" s="255">
      <c r="A37" s="79" t="n"/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</row>
    <row r="38" ht="15.75" customHeight="1" s="255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</row>
    <row r="39" ht="15.75" customHeight="1" s="255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</row>
    <row r="40" ht="15.75" customHeight="1" s="255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</row>
    <row r="41" ht="15.75" customHeight="1" s="255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</row>
    <row r="42" ht="15.75" customHeight="1" s="255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</row>
    <row r="43" ht="15.75" customHeight="1" s="255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 ht="15.75" customHeight="1" s="255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 ht="15.75" customHeight="1" s="255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 ht="15.75" customHeight="1" s="255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 ht="15.75" customHeight="1" s="255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 ht="15.75" customHeight="1" s="255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 ht="15.75" customHeight="1" s="255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 ht="15.75" customHeight="1" s="255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 ht="15.75" customHeight="1" s="255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 ht="15.75" customHeight="1" s="255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 ht="15.75" customHeight="1" s="255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 ht="15.75" customHeight="1" s="255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 ht="15.75" customHeight="1" s="2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 ht="15.75" customHeight="1" s="255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 ht="15.75" customHeight="1" s="255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 ht="15.75" customHeight="1" s="255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 ht="15.75" customHeight="1" s="255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 ht="15.75" customHeight="1" s="255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 ht="15.75" customHeight="1" s="255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 ht="15.75" customHeight="1" s="255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 ht="15.75" customHeight="1" s="255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 ht="15.75" customHeight="1" s="255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 ht="15.75" customHeight="1" s="25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 ht="15.75" customHeight="1" s="255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 ht="15.75" customHeight="1" s="255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 ht="15.75" customHeight="1" s="255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 ht="15.75" customHeight="1" s="255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 ht="15.75" customHeight="1" s="255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 ht="15.75" customHeight="1" s="255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 ht="15.75" customHeight="1" s="255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 ht="15.75" customHeight="1" s="255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 ht="15.75" customHeight="1" s="255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 ht="15.75" customHeight="1" s="25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 ht="15.75" customHeight="1" s="255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 ht="15.75" customHeight="1" s="255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 ht="15.75" customHeight="1" s="255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 ht="15.75" customHeight="1" s="255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 ht="15.75" customHeight="1" s="255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 ht="15.75" customHeight="1" s="255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 ht="15.75" customHeight="1" s="255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 ht="15.75" customHeight="1" s="255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 ht="15.75" customHeight="1" s="255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 ht="15.75" customHeight="1" s="25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 ht="15.75" customHeight="1" s="255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 ht="15.75" customHeight="1" s="255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 ht="15.75" customHeight="1" s="255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 ht="15.75" customHeight="1" s="255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 ht="15.75" customHeight="1" s="255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 ht="15.75" customHeight="1" s="255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 ht="15.75" customHeight="1" s="255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 ht="15.75" customHeight="1" s="255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 ht="15.75" customHeight="1" s="255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 ht="15.75" customHeight="1" s="25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 ht="15.75" customHeight="1" s="255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 ht="15.75" customHeight="1" s="255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 ht="15.75" customHeight="1" s="255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 ht="15.75" customHeight="1" s="255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 ht="15.75" customHeight="1" s="255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 ht="15.75" customHeight="1" s="255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 ht="15.75" customHeight="1" s="255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 ht="15.75" customHeight="1" s="255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 ht="15.75" customHeight="1" s="255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 ht="15.75" customHeight="1" s="25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 ht="15.75" customHeight="1" s="255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 ht="15.75" customHeight="1" s="255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 ht="15.75" customHeight="1" s="255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 ht="15.75" customHeight="1" s="255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 ht="15.75" customHeight="1" s="255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 ht="15.75" customHeight="1" s="255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 ht="15.75" customHeight="1" s="255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 ht="15.75" customHeight="1" s="255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 ht="15.75" customHeight="1" s="255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 ht="15.75" customHeight="1" s="25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 ht="15.75" customHeight="1" s="255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 ht="15.75" customHeight="1" s="255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 ht="15.75" customHeight="1" s="255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 ht="15.75" customHeight="1" s="255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 ht="15.75" customHeight="1" s="255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 ht="15.75" customHeight="1" s="255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 ht="15.75" customHeight="1" s="255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 ht="15.75" customHeight="1" s="255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 ht="15.75" customHeight="1" s="255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 ht="15.75" customHeight="1" s="25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 ht="15.75" customHeight="1" s="255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 ht="15.75" customHeight="1" s="255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 ht="15.75" customHeight="1" s="255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 ht="15.75" customHeight="1" s="255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 ht="15.75" customHeight="1" s="255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 ht="15.75" customHeight="1" s="255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 ht="15.75" customHeight="1" s="255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 ht="15.75" customHeight="1" s="255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 ht="15.75" customHeight="1" s="255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 ht="15.75" customHeight="1" s="25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 ht="15.75" customHeight="1" s="255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 ht="15.75" customHeight="1" s="255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 ht="15.75" customHeight="1" s="255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 ht="15.75" customHeight="1" s="255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 ht="15.75" customHeight="1" s="255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 ht="15.75" customHeight="1" s="255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 ht="15.75" customHeight="1" s="255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 ht="15.75" customHeight="1" s="255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 ht="15.75" customHeight="1" s="255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 ht="15.75" customHeight="1" s="25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 ht="15.75" customHeight="1" s="255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 ht="15.75" customHeight="1" s="255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 ht="15.75" customHeight="1" s="255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 ht="15.75" customHeight="1" s="255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 ht="15.75" customHeight="1" s="255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 ht="15.75" customHeight="1" s="255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 ht="15.75" customHeight="1" s="255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 ht="15.75" customHeight="1" s="255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 ht="15.75" customHeight="1" s="255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 ht="15.75" customHeight="1" s="2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 ht="15.75" customHeight="1" s="255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 ht="15.75" customHeight="1" s="255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 ht="15.75" customHeight="1" s="255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 ht="15.75" customHeight="1" s="255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 ht="15.75" customHeight="1" s="255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 ht="15.75" customHeight="1" s="255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 ht="15.75" customHeight="1" s="255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 ht="15.75" customHeight="1" s="255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 ht="15.75" customHeight="1" s="255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 ht="15.75" customHeight="1" s="25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 ht="15.75" customHeight="1" s="255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 ht="15.75" customHeight="1" s="255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 ht="15.75" customHeight="1" s="255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 ht="15.75" customHeight="1" s="255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 ht="15.75" customHeight="1" s="255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 ht="15.75" customHeight="1" s="255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 ht="15.75" customHeight="1" s="255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 ht="15.75" customHeight="1" s="255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 ht="15.75" customHeight="1" s="255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 ht="15.75" customHeight="1" s="25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 ht="15.75" customHeight="1" s="255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 ht="15.75" customHeight="1" s="255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 ht="15.75" customHeight="1" s="255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 ht="15.75" customHeight="1" s="255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 ht="15.75" customHeight="1" s="255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 ht="15.75" customHeight="1" s="255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 ht="15.75" customHeight="1" s="255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 ht="15.75" customHeight="1" s="255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 ht="15.75" customHeight="1" s="255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 ht="15.75" customHeight="1" s="25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 ht="15.75" customHeight="1" s="255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 ht="15.75" customHeight="1" s="255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 ht="15.75" customHeight="1" s="255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 ht="15.75" customHeight="1" s="255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 ht="15.75" customHeight="1" s="255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 ht="15.75" customHeight="1" s="255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 ht="15.75" customHeight="1" s="255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 ht="15.75" customHeight="1" s="255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 ht="15.75" customHeight="1" s="255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 ht="15.75" customHeight="1" s="25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 ht="15.75" customHeight="1" s="255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 ht="15.75" customHeight="1" s="255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 ht="15.75" customHeight="1" s="255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 ht="15.75" customHeight="1" s="255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 ht="15.75" customHeight="1" s="255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 ht="15.75" customHeight="1" s="255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 ht="15.75" customHeight="1" s="255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 ht="15.75" customHeight="1" s="255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 ht="15.75" customHeight="1" s="255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 ht="15.75" customHeight="1" s="25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 ht="15.75" customHeight="1" s="255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 ht="15.75" customHeight="1" s="255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 ht="15.75" customHeight="1" s="255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 ht="15.75" customHeight="1" s="255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 ht="15.75" customHeight="1" s="255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 ht="15.75" customHeight="1" s="255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 ht="15.75" customHeight="1" s="255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 ht="15.75" customHeight="1" s="255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 ht="15.75" customHeight="1" s="255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 ht="15.75" customHeight="1" s="25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 ht="15.75" customHeight="1" s="255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 ht="15.75" customHeight="1" s="255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 ht="15.75" customHeight="1" s="255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 ht="15.75" customHeight="1" s="255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 ht="15.75" customHeight="1" s="255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 ht="15.75" customHeight="1" s="255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 ht="15.75" customHeight="1" s="255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 ht="15.75" customHeight="1" s="255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 ht="15.75" customHeight="1" s="255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 ht="15.75" customHeight="1" s="25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 ht="15.75" customHeight="1" s="255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255" min="1" max="1"/>
    <col width="19.38" customWidth="1" style="255" min="2" max="2"/>
    <col width="12.63" customWidth="1" style="255" min="3" max="6"/>
  </cols>
  <sheetData>
    <row r="1" ht="15.75" customHeight="1" s="255">
      <c r="A1" s="42" t="n"/>
      <c r="B1" s="104" t="n"/>
      <c r="C1" s="104" t="n"/>
      <c r="D1" s="104" t="n"/>
      <c r="E1" s="104" t="n"/>
      <c r="F1" s="104" t="n"/>
      <c r="G1" s="104" t="n"/>
      <c r="H1" s="42" t="n"/>
      <c r="I1" s="104" t="n"/>
      <c r="J1" s="104" t="n"/>
      <c r="K1" s="104" t="n"/>
      <c r="L1" s="104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5.75" customHeight="1" s="255">
      <c r="A2" s="24" t="n"/>
      <c r="B2" s="105" t="n"/>
      <c r="C2" s="106">
        <f>YEAR('Monthly forecast'!E2)</f>
        <v/>
      </c>
      <c r="D2" s="106">
        <f>C2+1</f>
        <v/>
      </c>
      <c r="E2" s="106">
        <f>D2+1</f>
        <v/>
      </c>
      <c r="F2" s="106">
        <f>E2+1</f>
        <v/>
      </c>
      <c r="G2" s="107">
        <f>F2+1</f>
        <v/>
      </c>
      <c r="H2" s="24" t="n"/>
      <c r="I2" s="273" t="inlineStr">
        <is>
      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      </is>
      </c>
      <c r="L2" s="274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110" t="n"/>
      <c r="B3" s="111">
        <f>'P&amp;L | Cash Flow | Balance'!A6</f>
        <v/>
      </c>
      <c r="C3" s="112">
        <f>SUM(C4:C6)</f>
        <v/>
      </c>
      <c r="D3" s="112">
        <f>SUM(D4:D6)</f>
        <v/>
      </c>
      <c r="E3" s="112">
        <f>SUM(E4:E6)</f>
        <v/>
      </c>
      <c r="F3" s="112">
        <f>SUM(F4:F6)</f>
        <v/>
      </c>
      <c r="G3" s="113">
        <f>SUM(G4:G6)</f>
        <v/>
      </c>
      <c r="H3" s="24" t="n"/>
      <c r="L3" s="274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110" t="n"/>
      <c r="B4" s="61">
        <f>'P&amp;L | Cash Flow | Balance'!A7</f>
        <v/>
      </c>
      <c r="C4" s="114">
        <f>SUMIFS('P&amp;L | Cash Flow | Balance'!D7:CW7,'P&amp;L | Cash Flow | Balance'!D2:CW2,"&gt;="&amp;DATE(C2,1,1),'P&amp;L | Cash Flow | Balance'!D2:CW2,"&lt;="&amp;DATE(C2,12,31))</f>
        <v/>
      </c>
      <c r="D4" s="114">
        <f>SUMIFS('P&amp;L | Cash Flow | Balance'!E7:CX7,'P&amp;L | Cash Flow | Balance'!E2:CX2,"&gt;="&amp;DATE(D2,1,1),'P&amp;L | Cash Flow | Balance'!E2:CX2,"&lt;="&amp;DATE(D2,12,31))</f>
        <v/>
      </c>
      <c r="E4" s="114">
        <f>SUMIFS('P&amp;L | Cash Flow | Balance'!F7:CY7,'P&amp;L | Cash Flow | Balance'!F2:CY2,"&gt;="&amp;DATE(E2,1,1),'P&amp;L | Cash Flow | Balance'!F2:CY2,"&lt;="&amp;DATE(E2,12,31))</f>
        <v/>
      </c>
      <c r="F4" s="114">
        <f>SUMIFS('P&amp;L | Cash Flow | Balance'!G7:CZ7,'P&amp;L | Cash Flow | Balance'!G2:CZ2,"&gt;="&amp;DATE(F2,1,1),'P&amp;L | Cash Flow | Balance'!G2:CZ2,"&lt;="&amp;DATE(F2,12,31))</f>
        <v/>
      </c>
      <c r="G4" s="115">
        <f>SUMIFS('P&amp;L | Cash Flow | Balance'!H7:DA7,'P&amp;L | Cash Flow | Balance'!H2:DA2,"&gt;="&amp;DATE(G2,1,1),'P&amp;L | Cash Flow | Balance'!H2:DA2,"&lt;="&amp;DATE(G2,12,31))</f>
        <v/>
      </c>
      <c r="H4" s="24" t="n"/>
      <c r="L4" s="274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110" t="n"/>
      <c r="B5" s="61">
        <f>'P&amp;L | Cash Flow | Balance'!A8</f>
        <v/>
      </c>
      <c r="C5" s="114">
        <f>SUMIFS('P&amp;L | Cash Flow | Balance'!D8:CW8,'P&amp;L | Cash Flow | Balance'!D2:CW2,"&gt;="&amp;DATE(C2,1,1),'P&amp;L | Cash Flow | Balance'!D2:CW2,"&lt;="&amp;DATE(C2,12,31))</f>
        <v/>
      </c>
      <c r="D5" s="114">
        <f>SUMIFS('P&amp;L | Cash Flow | Balance'!E8:CX8,'P&amp;L | Cash Flow | Balance'!E2:CX2,"&gt;="&amp;DATE(D2,1,1),'P&amp;L | Cash Flow | Balance'!E2:CX2,"&lt;="&amp;DATE(D2,12,31))</f>
        <v/>
      </c>
      <c r="E5" s="114">
        <f>SUMIFS('P&amp;L | Cash Flow | Balance'!F8:CY8,'P&amp;L | Cash Flow | Balance'!F2:CY2,"&gt;="&amp;DATE(E2,1,1),'P&amp;L | Cash Flow | Balance'!F2:CY2,"&lt;="&amp;DATE(E2,12,31))</f>
        <v/>
      </c>
      <c r="F5" s="114">
        <f>SUMIFS('P&amp;L | Cash Flow | Balance'!G8:CZ8,'P&amp;L | Cash Flow | Balance'!G2:CZ2,"&gt;="&amp;DATE(F2,1,1),'P&amp;L | Cash Flow | Balance'!G2:CZ2,"&lt;="&amp;DATE(F2,12,31))</f>
        <v/>
      </c>
      <c r="G5" s="115">
        <f>SUMIFS('P&amp;L | Cash Flow | Balance'!H8:DA8,'P&amp;L | Cash Flow | Balance'!H2:DA2,"&gt;="&amp;DATE(G2,1,1),'P&amp;L | Cash Flow | Balance'!H2:DA2,"&lt;="&amp;DATE(G2,12,31))</f>
        <v/>
      </c>
      <c r="H5" s="24" t="n"/>
      <c r="L5" s="274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110" t="n"/>
      <c r="B6" s="61">
        <f>'P&amp;L | Cash Flow | Balance'!A9</f>
        <v/>
      </c>
      <c r="C6" s="114">
        <f>SUMIFS('P&amp;L | Cash Flow | Balance'!D9:CW9,'P&amp;L | Cash Flow | Balance'!D2:CW2,"&gt;="&amp;DATE(C2,1,1),'P&amp;L | Cash Flow | Balance'!D2:CW2,"&lt;="&amp;DATE(C2,12,31))</f>
        <v/>
      </c>
      <c r="D6" s="114">
        <f>SUMIFS('P&amp;L | Cash Flow | Balance'!E9:CX9,'P&amp;L | Cash Flow | Balance'!E2:CX2,"&gt;="&amp;DATE(D2,1,1),'P&amp;L | Cash Flow | Balance'!E2:CX2,"&lt;="&amp;DATE(D2,12,31))</f>
        <v/>
      </c>
      <c r="E6" s="114">
        <f>SUMIFS('P&amp;L | Cash Flow | Balance'!F9:CY9,'P&amp;L | Cash Flow | Balance'!F2:CY2,"&gt;="&amp;DATE(E2,1,1),'P&amp;L | Cash Flow | Balance'!F2:CY2,"&lt;="&amp;DATE(E2,12,31))</f>
        <v/>
      </c>
      <c r="F6" s="114">
        <f>SUMIFS('P&amp;L | Cash Flow | Balance'!G9:CZ9,'P&amp;L | Cash Flow | Balance'!G2:CZ2,"&gt;="&amp;DATE(F2,1,1),'P&amp;L | Cash Flow | Balance'!G2:CZ2,"&lt;="&amp;DATE(F2,12,31))</f>
        <v/>
      </c>
      <c r="G6" s="115">
        <f>SUMIFS('P&amp;L | Cash Flow | Balance'!H9:DA9,'P&amp;L | Cash Flow | Balance'!H2:DA2,"&gt;="&amp;DATE(G2,1,1),'P&amp;L | Cash Flow | Balance'!H2:DA2,"&lt;="&amp;DATE(G2,12,31))</f>
        <v/>
      </c>
      <c r="H6" s="24" t="n"/>
      <c r="L6" s="274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110" t="n"/>
      <c r="B7" s="111">
        <f>'P&amp;L | Cash Flow | Balance'!A17</f>
        <v/>
      </c>
      <c r="C7" s="112">
        <f>SUMIFS('P&amp;L | Cash Flow | Balance'!D17:CW17,'P&amp;L | Cash Flow | Balance'!D2:CW2,"&gt;="&amp;DATE(C2,1,1),'P&amp;L | Cash Flow | Balance'!D2:CW2,"&lt;="&amp;DATE(C2,12,31))</f>
        <v/>
      </c>
      <c r="D7" s="112">
        <f>SUMIFS('P&amp;L | Cash Flow | Balance'!E17:CX17,'P&amp;L | Cash Flow | Balance'!E2:CX2,"&gt;="&amp;DATE(D2,1,1),'P&amp;L | Cash Flow | Balance'!E2:CX2,"&lt;="&amp;DATE(D2,12,31))</f>
        <v/>
      </c>
      <c r="E7" s="112">
        <f>SUMIFS('P&amp;L | Cash Flow | Balance'!F17:CY17,'P&amp;L | Cash Flow | Balance'!F2:CY2,"&gt;="&amp;DATE(E2,1,1),'P&amp;L | Cash Flow | Balance'!F2:CY2,"&lt;="&amp;DATE(E2,12,31))</f>
        <v/>
      </c>
      <c r="F7" s="112">
        <f>SUMIFS('P&amp;L | Cash Flow | Balance'!G17:CZ17,'P&amp;L | Cash Flow | Balance'!G2:CZ2,"&gt;="&amp;DATE(F2,1,1),'P&amp;L | Cash Flow | Balance'!G2:CZ2,"&lt;="&amp;DATE(F2,12,31))</f>
        <v/>
      </c>
      <c r="G7" s="113">
        <f>SUMIFS('P&amp;L | Cash Flow | Balance'!H17:DA17,'P&amp;L | Cash Flow | Balance'!H2:DA2,"&gt;="&amp;DATE(G2,1,1),'P&amp;L | Cash Flow | Balance'!H2:DA2,"&lt;="&amp;DATE(G2,12,31))</f>
        <v/>
      </c>
      <c r="H7" s="24" t="n"/>
      <c r="L7" s="274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110" t="n"/>
      <c r="B8" s="116">
        <f>'P&amp;L | Cash Flow | Balance'!A28</f>
        <v/>
      </c>
      <c r="C8" s="117">
        <f>SUMIFS('P&amp;L | Cash Flow | Balance'!D28:CW28,'P&amp;L | Cash Flow | Balance'!D2:CW2,"&gt;="&amp;DATE(C2,1,1),'P&amp;L | Cash Flow | Balance'!D2:CW2,"&lt;="&amp;DATE(C2,12,31))</f>
        <v/>
      </c>
      <c r="D8" s="117">
        <f>SUMIFS('P&amp;L | Cash Flow | Balance'!E28:CX28,'P&amp;L | Cash Flow | Balance'!E2:CX2,"&gt;="&amp;DATE(D2,1,1),'P&amp;L | Cash Flow | Balance'!E2:CX2,"&lt;="&amp;DATE(D2,12,31))</f>
        <v/>
      </c>
      <c r="E8" s="117">
        <f>SUMIFS('P&amp;L | Cash Flow | Balance'!F28:CY28,'P&amp;L | Cash Flow | Balance'!F2:CY2,"&gt;="&amp;DATE(E2,1,1),'P&amp;L | Cash Flow | Balance'!F2:CY2,"&lt;="&amp;DATE(E2,12,31))</f>
        <v/>
      </c>
      <c r="F8" s="117">
        <f>SUMIFS('P&amp;L | Cash Flow | Balance'!G28:CZ28,'P&amp;L | Cash Flow | Balance'!G2:CZ2,"&gt;="&amp;DATE(F2,1,1),'P&amp;L | Cash Flow | Balance'!G2:CZ2,"&lt;="&amp;DATE(F2,12,31))</f>
        <v/>
      </c>
      <c r="G8" s="118">
        <f>SUMIFS('P&amp;L | Cash Flow | Balance'!H28:DA28,'P&amp;L | Cash Flow | Balance'!H2:DA2,"&gt;="&amp;DATE(G2,1,1),'P&amp;L | Cash Flow | Balance'!H2:DA2,"&lt;="&amp;DATE(G2,12,31))</f>
        <v/>
      </c>
      <c r="H8" s="24" t="n"/>
      <c r="I8" s="264" t="n"/>
      <c r="J8" s="264" t="n"/>
      <c r="K8" s="264" t="n"/>
      <c r="L8" s="265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">
    <mergeCell ref="I2:L8"/>
  </mergeCells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X3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 outlineLevelRow="2"/>
  <cols>
    <col width="29.38" customWidth="1" style="255" min="1" max="1"/>
    <col width="13.63" customWidth="1" style="255" min="2" max="2"/>
    <col width="2.88" customWidth="1" style="255" min="3" max="3"/>
    <col width="12.63" customWidth="1" style="255" min="4" max="6"/>
  </cols>
  <sheetData>
    <row r="1" ht="46.5" customHeight="1" s="255">
      <c r="A1" s="119">
        <f>Settings!B4</f>
        <v/>
      </c>
      <c r="B1" s="120" t="n"/>
      <c r="C1" s="120" t="n"/>
      <c r="D1" s="121" t="n"/>
      <c r="E1" s="120" t="n"/>
      <c r="F1" s="120" t="n"/>
      <c r="G1" s="121" t="n"/>
      <c r="H1" s="120" t="n"/>
      <c r="I1" s="120" t="n"/>
      <c r="J1" s="120" t="n"/>
      <c r="K1" s="120" t="n"/>
      <c r="L1" s="120" t="n"/>
      <c r="M1" s="120" t="n"/>
      <c r="N1" s="122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0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</row>
    <row r="2" ht="29.25" customHeight="1" s="255">
      <c r="A2" s="123" t="inlineStr">
        <is>
          <t>Month</t>
        </is>
      </c>
      <c r="B2" s="124" t="inlineStr">
        <is>
          <t>Expense category</t>
        </is>
      </c>
      <c r="C2" s="124" t="n"/>
      <c r="D2" s="125">
        <f>EDATE(E2,-1)</f>
        <v/>
      </c>
      <c r="E2" s="126">
        <f>Projections!$B$4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  <c r="CX2" s="126">
        <f>EDATE(CW2,1)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</row>
    <row r="4" ht="23.25" customHeight="1" s="255">
      <c r="A4" s="127" t="inlineStr">
        <is>
          <t>REVENUE</t>
        </is>
      </c>
      <c r="B4" s="30" t="n"/>
      <c r="C4" s="30" t="n"/>
      <c r="D4" s="128" t="n"/>
      <c r="E4" s="30" t="n"/>
      <c r="F4" s="30" t="n"/>
      <c r="G4" s="30" t="n"/>
      <c r="H4" s="30" t="n"/>
      <c r="I4" s="29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29" t="n"/>
      <c r="AD4" s="30" t="n"/>
      <c r="AE4" s="30" t="n"/>
      <c r="AF4" s="30" t="n"/>
      <c r="AG4" s="30" t="n"/>
      <c r="AH4" s="30" t="n"/>
      <c r="AI4" s="29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29" t="n"/>
      <c r="BD4" s="30" t="n"/>
      <c r="BE4" s="30" t="n"/>
      <c r="BF4" s="30" t="n"/>
      <c r="BG4" s="30" t="n"/>
      <c r="BH4" s="30" t="n"/>
      <c r="BI4" s="29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  <c r="CX4" s="105" t="n"/>
    </row>
    <row r="5" ht="15.75" customHeight="1" s="255">
      <c r="A5" s="5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  <c r="CX5" s="42" t="n"/>
    </row>
    <row r="6" ht="15.75" customHeight="1" s="255">
      <c r="A6" s="129" t="inlineStr">
        <is>
          <t>KEY INDICATORS</t>
        </is>
      </c>
      <c r="B6" s="167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167" t="n"/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7" t="n"/>
      <c r="AG6" s="167" t="n"/>
      <c r="AH6" s="167" t="n"/>
      <c r="AI6" s="167" t="n"/>
      <c r="AJ6" s="167" t="n"/>
      <c r="AK6" s="167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7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</row>
    <row r="7" outlineLevel="1" ht="15.75" customHeight="1" s="255">
      <c r="A7" s="5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2" t="n"/>
      <c r="CT7" s="42" t="n"/>
      <c r="CU7" s="42" t="n"/>
      <c r="CV7" s="42" t="n"/>
      <c r="CW7" s="42" t="n"/>
      <c r="CX7" s="42" t="n"/>
    </row>
    <row r="8" outlineLevel="1" ht="15.75" customHeight="1" s="255">
      <c r="A8" s="131" t="inlineStr">
        <is>
          <t>Traffic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>
        <f>N8*(1+Projections!$B$14)</f>
        <v/>
      </c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</row>
    <row r="9" outlineLevel="1" ht="15.75" customHeight="1" s="255">
      <c r="A9" s="132" t="inlineStr">
        <is>
          <t>Organic traffic</t>
        </is>
      </c>
      <c r="B9" s="133" t="n"/>
      <c r="C9" s="133" t="n"/>
      <c r="D9" s="133" t="n"/>
      <c r="E9" s="133">
        <f>IF(E2=Projections!$D$13,Projections!$B$13,IF(E2&gt;Projections!$D$13,MIN(D9*(1+Projections!$B$14),Projections!$B$15),0))</f>
        <v/>
      </c>
      <c r="F9" s="133">
        <f>IF(F2=Projections!$D$13,Projections!$B$13,IF(F2&gt;Projections!$D$13,MIN(E9*(1+Projections!$B$14),Projections!$B$15),0))</f>
        <v/>
      </c>
      <c r="G9" s="133">
        <f>IF(G2=Projections!$D$13,Projections!$B$13,IF(G2&gt;Projections!$D$13,MIN(F9*(1+Projections!$B$14),Projections!$B$15),0))</f>
        <v/>
      </c>
      <c r="H9" s="133">
        <f>IF(H2=Projections!$D$13,Projections!$B$13,IF(H2&gt;Projections!$D$13,MIN(G9*(1+Projections!$B$14),Projections!$B$15),0))</f>
        <v/>
      </c>
      <c r="I9" s="133">
        <f>IF(I2=Projections!$D$13,Projections!$B$13,IF(I2&gt;Projections!$D$13,MIN(H9*(1+Projections!$B$14),Projections!$B$15),0))</f>
        <v/>
      </c>
      <c r="J9" s="133">
        <f>IF(J2=Projections!$D$13,Projections!$B$13,IF(J2&gt;Projections!$D$13,MIN(I9*(1+Projections!$B$14),Projections!$B$15),0))</f>
        <v/>
      </c>
      <c r="K9" s="133">
        <f>IF(K2=Projections!$D$13,Projections!$B$13,IF(K2&gt;Projections!$D$13,MIN(J9*(1+Projections!$B$14),Projections!$B$15),0))</f>
        <v/>
      </c>
      <c r="L9" s="133">
        <f>IF(L2=Projections!$D$13,Projections!$B$13,IF(L2&gt;Projections!$D$13,MIN(K9*(1+Projections!$B$14),Projections!$B$15),0))</f>
        <v/>
      </c>
      <c r="M9" s="133">
        <f>IF(M2=Projections!$D$13,Projections!$B$13,IF(M2&gt;Projections!$D$13,MIN(L9*(1+Projections!$B$14),Projections!$B$15),0))</f>
        <v/>
      </c>
      <c r="N9" s="133">
        <f>IF(N2=Projections!$D$13,Projections!$B$13,IF(N2&gt;Projections!$D$13,MIN(M9*(1+Projections!$B$14),Projections!$B$15),0))</f>
        <v/>
      </c>
      <c r="O9" s="133">
        <f>IF(O2=Projections!$D$13,Projections!$B$13,IF(O2&gt;Projections!$D$13,MIN(N9*(1+Projections!$B$14),Projections!$B$15),0))</f>
        <v/>
      </c>
      <c r="P9" s="133">
        <f>IF(P2=Projections!$D$13,Projections!$B$13,IF(P2&gt;Projections!$D$13,MIN(O9*(1+Projections!$B$14),Projections!$B$15),0))</f>
        <v/>
      </c>
      <c r="Q9" s="133">
        <f>IF(Q2=Projections!$D$13,Projections!$B$13,IF(Q2&gt;Projections!$D$13,MIN(P9*(1+Projections!$B$14),Projections!$B$15),0))</f>
        <v/>
      </c>
      <c r="R9" s="133">
        <f>IF(R2=Projections!$D$13,Projections!$B$13,IF(R2&gt;Projections!$D$13,MIN(Q9*(1+Projections!$B$14),Projections!$B$15),0))</f>
        <v/>
      </c>
      <c r="S9" s="133">
        <f>IF(S2=Projections!$D$13,Projections!$B$13,IF(S2&gt;Projections!$D$13,MIN(R9*(1+Projections!$B$14),Projections!$B$15),0))</f>
        <v/>
      </c>
      <c r="T9" s="133">
        <f>IF(T2=Projections!$D$13,Projections!$B$13,IF(T2&gt;Projections!$D$13,MIN(S9*(1+Projections!$B$14),Projections!$B$15),0))</f>
        <v/>
      </c>
      <c r="U9" s="133">
        <f>IF(U2=Projections!$D$13,Projections!$B$13,IF(U2&gt;Projections!$D$13,MIN(T9*(1+Projections!$B$14),Projections!$B$15),0))</f>
        <v/>
      </c>
      <c r="V9" s="133">
        <f>IF(V2=Projections!$D$13,Projections!$B$13,IF(V2&gt;Projections!$D$13,MIN(U9*(1+Projections!$B$14),Projections!$B$15),0))</f>
        <v/>
      </c>
      <c r="W9" s="133">
        <f>IF(W2=Projections!$D$13,Projections!$B$13,IF(W2&gt;Projections!$D$13,MIN(V9*(1+Projections!$B$14),Projections!$B$15),0))</f>
        <v/>
      </c>
      <c r="X9" s="133">
        <f>IF(X2=Projections!$D$13,Projections!$B$13,IF(X2&gt;Projections!$D$13,MIN(W9*(1+Projections!$B$14),Projections!$B$15),0))</f>
        <v/>
      </c>
      <c r="Y9" s="133">
        <f>IF(Y2=Projections!$D$13,Projections!$B$13,IF(Y2&gt;Projections!$D$13,MIN(X9*(1+Projections!$B$14),Projections!$B$15),0))</f>
        <v/>
      </c>
      <c r="Z9" s="133">
        <f>IF(Z2=Projections!$D$13,Projections!$B$13,IF(Z2&gt;Projections!$D$13,MIN(Y9*(1+Projections!$B$14),Projections!$B$15),0))</f>
        <v/>
      </c>
      <c r="AA9" s="133">
        <f>IF(AA2=Projections!$D$13,Projections!$B$13,IF(AA2&gt;Projections!$D$13,MIN(Z9*(1+Projections!$B$14),Projections!$B$15),0))</f>
        <v/>
      </c>
      <c r="AB9" s="133">
        <f>IF(AB2=Projections!$D$13,Projections!$B$13,IF(AB2&gt;Projections!$D$13,MIN(AA9*(1+Projections!$B$14),Projections!$B$15),0))</f>
        <v/>
      </c>
      <c r="AC9" s="133">
        <f>IF(AC2=Projections!$D$13,Projections!$B$13,IF(AC2&gt;Projections!$D$13,MIN(AB9*(1+Projections!$B$14),Projections!$B$15),0))</f>
        <v/>
      </c>
      <c r="AD9" s="133">
        <f>IF(AD2=Projections!$D$13,Projections!$B$13,IF(AD2&gt;Projections!$D$13,MIN(AC9*(1+Projections!$B$14),Projections!$B$15),0))</f>
        <v/>
      </c>
      <c r="AE9" s="133">
        <f>IF(AE2=Projections!$D$13,Projections!$B$13,IF(AE2&gt;Projections!$D$13,MIN(AD9*(1+Projections!$B$14),Projections!$B$15),0))</f>
        <v/>
      </c>
      <c r="AF9" s="133">
        <f>IF(AF2=Projections!$D$13,Projections!$B$13,IF(AF2&gt;Projections!$D$13,MIN(AE9*(1+Projections!$B$14),Projections!$B$15),0))</f>
        <v/>
      </c>
      <c r="AG9" s="133">
        <f>IF(AG2=Projections!$D$13,Projections!$B$13,IF(AG2&gt;Projections!$D$13,MIN(AF9*(1+Projections!$B$14),Projections!$B$15),0))</f>
        <v/>
      </c>
      <c r="AH9" s="133">
        <f>IF(AH2=Projections!$D$13,Projections!$B$13,IF(AH2&gt;Projections!$D$13,MIN(AG9*(1+Projections!$B$14),Projections!$B$15),0))</f>
        <v/>
      </c>
      <c r="AI9" s="133">
        <f>IF(AI2=Projections!$D$13,Projections!$B$13,IF(AI2&gt;Projections!$D$13,MIN(AH9*(1+Projections!$B$14),Projections!$B$15),0))</f>
        <v/>
      </c>
      <c r="AJ9" s="133">
        <f>IF(AJ2=Projections!$D$13,Projections!$B$13,IF(AJ2&gt;Projections!$D$13,MIN(AI9*(1+Projections!$B$14),Projections!$B$15),0))</f>
        <v/>
      </c>
      <c r="AK9" s="133">
        <f>IF(AK2=Projections!$D$13,Projections!$B$13,IF(AK2&gt;Projections!$D$13,MIN(AJ9*(1+Projections!$B$14),Projections!$B$15),0))</f>
        <v/>
      </c>
      <c r="AL9" s="133">
        <f>IF(AL2=Projections!$D$13,Projections!$B$13,IF(AL2&gt;Projections!$D$13,MIN(AK9*(1+Projections!$B$14),Projections!$B$15),0))</f>
        <v/>
      </c>
      <c r="AM9" s="133">
        <f>IF(AM2=Projections!$D$13,Projections!$B$13,IF(AM2&gt;Projections!$D$13,MIN(AL9*(1+Projections!$B$14),Projections!$B$15),0))</f>
        <v/>
      </c>
      <c r="AN9" s="133">
        <f>IF(AN2=Projections!$D$13,Projections!$B$13,IF(AN2&gt;Projections!$D$13,MIN(AM9*(1+Projections!$B$14),Projections!$B$15),0))</f>
        <v/>
      </c>
      <c r="AO9" s="133">
        <f>IF(AO2=Projections!$D$13,Projections!$B$13,IF(AO2&gt;Projections!$D$13,MIN(AN9*(1+Projections!$B$14),Projections!$B$15),0))</f>
        <v/>
      </c>
      <c r="AP9" s="133">
        <f>IF(AP2=Projections!$D$13,Projections!$B$13,IF(AP2&gt;Projections!$D$13,MIN(AO9*(1+Projections!$B$14),Projections!$B$15),0))</f>
        <v/>
      </c>
      <c r="AQ9" s="133">
        <f>IF(AQ2=Projections!$D$13,Projections!$B$13,IF(AQ2&gt;Projections!$D$13,MIN(AP9*(1+Projections!$B$14),Projections!$B$15),0))</f>
        <v/>
      </c>
      <c r="AR9" s="133">
        <f>IF(AR2=Projections!$D$13,Projections!$B$13,IF(AR2&gt;Projections!$D$13,MIN(AQ9*(1+Projections!$B$14),Projections!$B$15),0))</f>
        <v/>
      </c>
      <c r="AS9" s="133">
        <f>IF(AS2=Projections!$D$13,Projections!$B$13,IF(AS2&gt;Projections!$D$13,MIN(AR9*(1+Projections!$B$14),Projections!$B$15),0))</f>
        <v/>
      </c>
      <c r="AT9" s="133">
        <f>IF(AT2=Projections!$D$13,Projections!$B$13,IF(AT2&gt;Projections!$D$13,MIN(AS9*(1+Projections!$B$14),Projections!$B$15),0))</f>
        <v/>
      </c>
      <c r="AU9" s="133">
        <f>IF(AU2=Projections!$D$13,Projections!$B$13,IF(AU2&gt;Projections!$D$13,MIN(AT9*(1+Projections!$B$14),Projections!$B$15),0))</f>
        <v/>
      </c>
      <c r="AV9" s="133">
        <f>IF(AV2=Projections!$D$13,Projections!$B$13,IF(AV2&gt;Projections!$D$13,MIN(AU9*(1+Projections!$B$14),Projections!$B$15),0))</f>
        <v/>
      </c>
      <c r="AW9" s="133">
        <f>IF(AW2=Projections!$D$13,Projections!$B$13,IF(AW2&gt;Projections!$D$13,MIN(AV9*(1+Projections!$B$14),Projections!$B$15),0))</f>
        <v/>
      </c>
      <c r="AX9" s="133">
        <f>IF(AX2=Projections!$D$13,Projections!$B$13,IF(AX2&gt;Projections!$D$13,MIN(AW9*(1+Projections!$B$14),Projections!$B$15),0))</f>
        <v/>
      </c>
      <c r="AY9" s="133">
        <f>IF(AY2=Projections!$D$13,Projections!$B$13,IF(AY2&gt;Projections!$D$13,MIN(AX9*(1+Projections!$B$14),Projections!$B$15),0))</f>
        <v/>
      </c>
      <c r="AZ9" s="133">
        <f>IF(AZ2=Projections!$D$13,Projections!$B$13,IF(AZ2&gt;Projections!$D$13,MIN(AY9*(1+Projections!$B$14),Projections!$B$15),0))</f>
        <v/>
      </c>
      <c r="BA9" s="133">
        <f>IF(BA2=Projections!$D$13,Projections!$B$13,IF(BA2&gt;Projections!$D$13,MIN(AZ9*(1+Projections!$B$14),Projections!$B$15),0))</f>
        <v/>
      </c>
      <c r="BB9" s="133">
        <f>IF(BB2=Projections!$D$13,Projections!$B$13,IF(BB2&gt;Projections!$D$13,MIN(BA9*(1+Projections!$B$14),Projections!$B$15),0))</f>
        <v/>
      </c>
      <c r="BC9" s="133">
        <f>IF(BC2=Projections!$D$13,Projections!$B$13,IF(BC2&gt;Projections!$D$13,MIN(BB9*(1+Projections!$B$14),Projections!$B$15),0))</f>
        <v/>
      </c>
      <c r="BD9" s="133">
        <f>IF(BD2=Projections!$D$13,Projections!$B$13,IF(BD2&gt;Projections!$D$13,MIN(BC9*(1+Projections!$B$14),Projections!$B$15),0))</f>
        <v/>
      </c>
      <c r="BE9" s="133">
        <f>IF(BE2=Projections!$D$13,Projections!$B$13,IF(BE2&gt;Projections!$D$13,MIN(BD9*(1+Projections!$B$14),Projections!$B$15),0))</f>
        <v/>
      </c>
      <c r="BF9" s="133">
        <f>IF(BF2=Projections!$D$13,Projections!$B$13,IF(BF2&gt;Projections!$D$13,MIN(BE9*(1+Projections!$B$14),Projections!$B$15),0))</f>
        <v/>
      </c>
      <c r="BG9" s="133">
        <f>IF(BG2=Projections!$D$13,Projections!$B$13,IF(BG2&gt;Projections!$D$13,MIN(BF9*(1+Projections!$B$14),Projections!$B$15),0))</f>
        <v/>
      </c>
      <c r="BH9" s="133">
        <f>IF(BH2=Projections!$D$13,Projections!$B$13,IF(BH2&gt;Projections!$D$13,MIN(BG9*(1+Projections!$B$14),Projections!$B$15),0))</f>
        <v/>
      </c>
      <c r="BI9" s="133">
        <f>IF(BI2=Projections!$D$13,Projections!$B$13,IF(BI2&gt;Projections!$D$13,MIN(BH9*(1+Projections!$B$14),Projections!$B$15),0))</f>
        <v/>
      </c>
      <c r="BJ9" s="133">
        <f>IF(BJ2=Projections!$D$13,Projections!$B$13,IF(BJ2&gt;Projections!$D$13,MIN(BI9*(1+Projections!$B$14),Projections!$B$15),0))</f>
        <v/>
      </c>
      <c r="BK9" s="133">
        <f>IF(BK2=Projections!$D$13,Projections!$B$13,IF(BK2&gt;Projections!$D$13,MIN(BJ9*(1+Projections!$B$14),Projections!$B$15),0))</f>
        <v/>
      </c>
      <c r="BL9" s="133">
        <f>IF(BL2=Projections!$D$13,Projections!$B$13,IF(BL2&gt;Projections!$D$13,MIN(BK9*(1+Projections!$B$14),Projections!$B$15),0))</f>
        <v/>
      </c>
      <c r="BM9" s="133">
        <f>IF(BM2=Projections!$D$13,Projections!$B$13,IF(BM2&gt;Projections!$D$13,MIN(BL9*(1+Projections!$B$14),Projections!$B$15),0))</f>
        <v/>
      </c>
      <c r="BN9" s="133">
        <f>IF(BN2=Projections!$D$13,Projections!$B$13,IF(BN2&gt;Projections!$D$13,MIN(BM9*(1+Projections!$B$14),Projections!$B$15),0))</f>
        <v/>
      </c>
      <c r="BO9" s="133">
        <f>IF(BO2=Projections!$D$13,Projections!$B$13,IF(BO2&gt;Projections!$D$13,MIN(BN9*(1+Projections!$B$14),Projections!$B$15),0))</f>
        <v/>
      </c>
      <c r="BP9" s="133">
        <f>IF(BP2=Projections!$D$13,Projections!$B$13,IF(BP2&gt;Projections!$D$13,MIN(BO9*(1+Projections!$B$14),Projections!$B$15),0))</f>
        <v/>
      </c>
      <c r="BQ9" s="133">
        <f>IF(BQ2=Projections!$D$13,Projections!$B$13,IF(BQ2&gt;Projections!$D$13,MIN(BP9*(1+Projections!$B$14),Projections!$B$15),0))</f>
        <v/>
      </c>
      <c r="BR9" s="133">
        <f>IF(BR2=Projections!$D$13,Projections!$B$13,IF(BR2&gt;Projections!$D$13,MIN(BQ9*(1+Projections!$B$14),Projections!$B$15),0))</f>
        <v/>
      </c>
      <c r="BS9" s="133">
        <f>IF(BS2=Projections!$D$13,Projections!$B$13,IF(BS2&gt;Projections!$D$13,MIN(BR9*(1+Projections!$B$14),Projections!$B$15),0))</f>
        <v/>
      </c>
      <c r="BT9" s="133">
        <f>IF(BT2=Projections!$D$13,Projections!$B$13,IF(BT2&gt;Projections!$D$13,MIN(BS9*(1+Projections!$B$14),Projections!$B$15),0))</f>
        <v/>
      </c>
      <c r="BU9" s="133">
        <f>IF(BU2=Projections!$D$13,Projections!$B$13,IF(BU2&gt;Projections!$D$13,MIN(BT9*(1+Projections!$B$14),Projections!$B$15),0))</f>
        <v/>
      </c>
      <c r="BV9" s="133">
        <f>IF(BV2=Projections!$D$13,Projections!$B$13,IF(BV2&gt;Projections!$D$13,MIN(BU9*(1+Projections!$B$14),Projections!$B$15),0))</f>
        <v/>
      </c>
      <c r="BW9" s="133">
        <f>IF(BW2=Projections!$D$13,Projections!$B$13,IF(BW2&gt;Projections!$D$13,MIN(BV9*(1+Projections!$B$14),Projections!$B$15),0))</f>
        <v/>
      </c>
      <c r="BX9" s="133">
        <f>IF(BX2=Projections!$D$13,Projections!$B$13,IF(BX2&gt;Projections!$D$13,MIN(BW9*(1+Projections!$B$14),Projections!$B$15),0))</f>
        <v/>
      </c>
      <c r="BY9" s="133">
        <f>IF(BY2=Projections!$D$13,Projections!$B$13,IF(BY2&gt;Projections!$D$13,MIN(BX9*(1+Projections!$B$14),Projections!$B$15),0))</f>
        <v/>
      </c>
      <c r="BZ9" s="133">
        <f>IF(BZ2=Projections!$D$13,Projections!$B$13,IF(BZ2&gt;Projections!$D$13,MIN(BY9*(1+Projections!$B$14),Projections!$B$15),0))</f>
        <v/>
      </c>
      <c r="CA9" s="133">
        <f>IF(CA2=Projections!$D$13,Projections!$B$13,IF(CA2&gt;Projections!$D$13,MIN(BZ9*(1+Projections!$B$14),Projections!$B$15),0))</f>
        <v/>
      </c>
      <c r="CB9" s="133">
        <f>IF(CB2=Projections!$D$13,Projections!$B$13,IF(CB2&gt;Projections!$D$13,MIN(CA9*(1+Projections!$B$14),Projections!$B$15),0))</f>
        <v/>
      </c>
      <c r="CC9" s="133">
        <f>IF(CC2=Projections!$D$13,Projections!$B$13,IF(CC2&gt;Projections!$D$13,MIN(CB9*(1+Projections!$B$14),Projections!$B$15),0))</f>
        <v/>
      </c>
      <c r="CD9" s="133">
        <f>IF(CD2=Projections!$D$13,Projections!$B$13,IF(CD2&gt;Projections!$D$13,MIN(CC9*(1+Projections!$B$14),Projections!$B$15),0))</f>
        <v/>
      </c>
      <c r="CE9" s="133">
        <f>IF(CE2=Projections!$D$13,Projections!$B$13,IF(CE2&gt;Projections!$D$13,MIN(CD9*(1+Projections!$B$14),Projections!$B$15),0))</f>
        <v/>
      </c>
      <c r="CF9" s="133">
        <f>IF(CF2=Projections!$D$13,Projections!$B$13,IF(CF2&gt;Projections!$D$13,MIN(CE9*(1+Projections!$B$14),Projections!$B$15),0))</f>
        <v/>
      </c>
      <c r="CG9" s="133">
        <f>IF(CG2=Projections!$D$13,Projections!$B$13,IF(CG2&gt;Projections!$D$13,MIN(CF9*(1+Projections!$B$14),Projections!$B$15),0))</f>
        <v/>
      </c>
      <c r="CH9" s="133">
        <f>IF(CH2=Projections!$D$13,Projections!$B$13,IF(CH2&gt;Projections!$D$13,MIN(CG9*(1+Projections!$B$14),Projections!$B$15),0))</f>
        <v/>
      </c>
      <c r="CI9" s="133">
        <f>IF(CI2=Projections!$D$13,Projections!$B$13,IF(CI2&gt;Projections!$D$13,MIN(CH9*(1+Projections!$B$14),Projections!$B$15),0))</f>
        <v/>
      </c>
      <c r="CJ9" s="133">
        <f>IF(CJ2=Projections!$D$13,Projections!$B$13,IF(CJ2&gt;Projections!$D$13,MIN(CI9*(1+Projections!$B$14),Projections!$B$15),0))</f>
        <v/>
      </c>
      <c r="CK9" s="133">
        <f>IF(CK2=Projections!$D$13,Projections!$B$13,IF(CK2&gt;Projections!$D$13,MIN(CJ9*(1+Projections!$B$14),Projections!$B$15),0))</f>
        <v/>
      </c>
      <c r="CL9" s="133">
        <f>IF(CL2=Projections!$D$13,Projections!$B$13,IF(CL2&gt;Projections!$D$13,MIN(CK9*(1+Projections!$B$14),Projections!$B$15),0))</f>
        <v/>
      </c>
      <c r="CM9" s="133">
        <f>IF(CM2=Projections!$D$13,Projections!$B$13,IF(CM2&gt;Projections!$D$13,MIN(CL9*(1+Projections!$B$14),Projections!$B$15),0))</f>
        <v/>
      </c>
      <c r="CN9" s="133">
        <f>IF(CN2=Projections!$D$13,Projections!$B$13,IF(CN2&gt;Projections!$D$13,MIN(CM9*(1+Projections!$B$14),Projections!$B$15),0))</f>
        <v/>
      </c>
      <c r="CO9" s="133">
        <f>IF(CO2=Projections!$D$13,Projections!$B$13,IF(CO2&gt;Projections!$D$13,MIN(CN9*(1+Projections!$B$14),Projections!$B$15),0))</f>
        <v/>
      </c>
      <c r="CP9" s="133">
        <f>IF(CP2=Projections!$D$13,Projections!$B$13,IF(CP2&gt;Projections!$D$13,MIN(CO9*(1+Projections!$B$14),Projections!$B$15),0))</f>
        <v/>
      </c>
      <c r="CQ9" s="133">
        <f>IF(CQ2=Projections!$D$13,Projections!$B$13,IF(CQ2&gt;Projections!$D$13,MIN(CP9*(1+Projections!$B$14),Projections!$B$15),0))</f>
        <v/>
      </c>
      <c r="CR9" s="133">
        <f>IF(CR2=Projections!$D$13,Projections!$B$13,IF(CR2&gt;Projections!$D$13,MIN(CQ9*(1+Projections!$B$14),Projections!$B$15),0))</f>
        <v/>
      </c>
      <c r="CS9" s="133">
        <f>IF(CS2=Projections!$D$13,Projections!$B$13,IF(CS2&gt;Projections!$D$13,MIN(CR9*(1+Projections!$B$14),Projections!$B$15),0))</f>
        <v/>
      </c>
      <c r="CT9" s="133">
        <f>IF(CT2=Projections!$D$13,Projections!$B$13,IF(CT2&gt;Projections!$D$13,MIN(CS9*(1+Projections!$B$14),Projections!$B$15),0))</f>
        <v/>
      </c>
      <c r="CU9" s="133">
        <f>IF(CU2=Projections!$D$13,Projections!$B$13,IF(CU2&gt;Projections!$D$13,MIN(CT9*(1+Projections!$B$14),Projections!$B$15),0))</f>
        <v/>
      </c>
      <c r="CV9" s="133">
        <f>IF(CV2=Projections!$D$13,Projections!$B$13,IF(CV2&gt;Projections!$D$13,MIN(CU9*(1+Projections!$B$14),Projections!$B$15),0))</f>
        <v/>
      </c>
      <c r="CW9" s="133">
        <f>IF(CW2=Projections!$D$13,Projections!$B$13,IF(CW2&gt;Projections!$D$13,MIN(CV9*(1+Projections!$B$14),Projections!$B$15),0))</f>
        <v/>
      </c>
      <c r="CX9" s="133">
        <f>IF(CX2=Projections!$D$13,Projections!$B$13,IF(CX2&gt;Projections!$D$13,MIN(CW9*(1+Projections!$B$14),Projections!$B$15),0))</f>
        <v/>
      </c>
    </row>
    <row r="10" outlineLevel="1" ht="15.75" customHeight="1" s="255">
      <c r="A10" s="134" t="inlineStr">
        <is>
          <t>CPC</t>
        </is>
      </c>
      <c r="B10" s="56" t="n"/>
      <c r="C10" s="56" t="n"/>
      <c r="D10" s="56" t="n"/>
      <c r="E10" s="56">
        <f>IF(E2=Projections!$D$19,Projections!$B$21,IF(E2&gt;Projections!$D$19,MAX(Projections!$B$23,D10*(1-Projections!$B$22)),0))</f>
        <v/>
      </c>
      <c r="F10" s="56">
        <f>IF(F2=Projections!$D$19,Projections!$B$21,IF(F2&gt;Projections!$D$19,MAX(Projections!$B$23,E10*(1-Projections!$B$22)),0))</f>
        <v/>
      </c>
      <c r="G10" s="56">
        <f>IF(G2=Projections!$D$19,Projections!$B$21,IF(G2&gt;Projections!$D$19,MAX(Projections!$B$23,F10*(1-Projections!$B$22)),0))</f>
        <v/>
      </c>
      <c r="H10" s="56">
        <f>IF(H2=Projections!$D$19,Projections!$B$21,IF(H2&gt;Projections!$D$19,MAX(Projections!$B$23,G10*(1-Projections!$B$22)),0))</f>
        <v/>
      </c>
      <c r="I10" s="56">
        <f>IF(I2=Projections!$D$19,Projections!$B$21,IF(I2&gt;Projections!$D$19,MAX(Projections!$B$23,H10*(1-Projections!$B$22)),0))</f>
        <v/>
      </c>
      <c r="J10" s="56">
        <f>IF(J2=Projections!$D$19,Projections!$B$21,IF(J2&gt;Projections!$D$19,MAX(Projections!$B$23,I10*(1-Projections!$B$22)),0))</f>
        <v/>
      </c>
      <c r="K10" s="56">
        <f>IF(K2=Projections!$D$19,Projections!$B$21,IF(K2&gt;Projections!$D$19,MAX(Projections!$B$23,J10*(1-Projections!$B$22)),0))</f>
        <v/>
      </c>
      <c r="L10" s="56">
        <f>IF(L2=Projections!$D$19,Projections!$B$21,IF(L2&gt;Projections!$D$19,MAX(Projections!$B$23,K10*(1-Projections!$B$22)),0))</f>
        <v/>
      </c>
      <c r="M10" s="56">
        <f>IF(M2=Projections!$D$19,Projections!$B$21,IF(M2&gt;Projections!$D$19,MAX(Projections!$B$23,L10*(1-Projections!$B$22)),0))</f>
        <v/>
      </c>
      <c r="N10" s="56">
        <f>IF(N2=Projections!$D$19,Projections!$B$21,IF(N2&gt;Projections!$D$19,MAX(Projections!$B$23,M10*(1-Projections!$B$22)),0))</f>
        <v/>
      </c>
      <c r="O10" s="56">
        <f>IF(O2=Projections!$D$19,Projections!$B$21,IF(O2&gt;Projections!$D$19,MAX(Projections!$B$23,N10*(1-Projections!$B$22)),0))</f>
        <v/>
      </c>
      <c r="P10" s="56">
        <f>IF(P2=Projections!$D$19,Projections!$B$21,IF(P2&gt;Projections!$D$19,MAX(Projections!$B$23,O10*(1-Projections!$B$22)),0))</f>
        <v/>
      </c>
      <c r="Q10" s="56">
        <f>IF(Q2=Projections!$D$19,Projections!$B$21,IF(Q2&gt;Projections!$D$19,MAX(Projections!$B$23,P10*(1-Projections!$B$22)),0))</f>
        <v/>
      </c>
      <c r="R10" s="56">
        <f>IF(R2=Projections!$D$19,Projections!$B$21,IF(R2&gt;Projections!$D$19,MAX(Projections!$B$23,Q10*(1-Projections!$B$22)),0))</f>
        <v/>
      </c>
      <c r="S10" s="56">
        <f>IF(S2=Projections!$D$19,Projections!$B$21,IF(S2&gt;Projections!$D$19,MAX(Projections!$B$23,R10*(1-Projections!$B$22)),0))</f>
        <v/>
      </c>
      <c r="T10" s="56">
        <f>IF(T2=Projections!$D$19,Projections!$B$21,IF(T2&gt;Projections!$D$19,MAX(Projections!$B$23,S10*(1-Projections!$B$22)),0))</f>
        <v/>
      </c>
      <c r="U10" s="56">
        <f>IF(U2=Projections!$D$19,Projections!$B$21,IF(U2&gt;Projections!$D$19,MAX(Projections!$B$23,T10*(1-Projections!$B$22)),0))</f>
        <v/>
      </c>
      <c r="V10" s="56">
        <f>IF(V2=Projections!$D$19,Projections!$B$21,IF(V2&gt;Projections!$D$19,MAX(Projections!$B$23,U10*(1-Projections!$B$22)),0))</f>
        <v/>
      </c>
      <c r="W10" s="56">
        <f>IF(W2=Projections!$D$19,Projections!$B$21,IF(W2&gt;Projections!$D$19,MAX(Projections!$B$23,V10*(1-Projections!$B$22)),0))</f>
        <v/>
      </c>
      <c r="X10" s="56">
        <f>IF(X2=Projections!$D$19,Projections!$B$21,IF(X2&gt;Projections!$D$19,MAX(Projections!$B$23,W10*(1-Projections!$B$22)),0))</f>
        <v/>
      </c>
      <c r="Y10" s="56">
        <f>IF(Y2=Projections!$D$19,Projections!$B$21,IF(Y2&gt;Projections!$D$19,MAX(Projections!$B$23,X10*(1-Projections!$B$22)),0))</f>
        <v/>
      </c>
      <c r="Z10" s="56">
        <f>IF(Z2=Projections!$D$19,Projections!$B$21,IF(Z2&gt;Projections!$D$19,MAX(Projections!$B$23,Y10*(1-Projections!$B$22)),0))</f>
        <v/>
      </c>
      <c r="AA10" s="56">
        <f>IF(AA2=Projections!$D$19,Projections!$B$21,IF(AA2&gt;Projections!$D$19,MAX(Projections!$B$23,Z10*(1-Projections!$B$22)),0))</f>
        <v/>
      </c>
      <c r="AB10" s="56">
        <f>IF(AB2=Projections!$D$19,Projections!$B$21,IF(AB2&gt;Projections!$D$19,MAX(Projections!$B$23,AA10*(1-Projections!$B$22)),0))</f>
        <v/>
      </c>
      <c r="AC10" s="56">
        <f>IF(AC2=Projections!$D$19,Projections!$B$21,IF(AC2&gt;Projections!$D$19,MAX(Projections!$B$23,AB10*(1-Projections!$B$22)),0))</f>
        <v/>
      </c>
      <c r="AD10" s="56">
        <f>IF(AD2=Projections!$D$19,Projections!$B$21,IF(AD2&gt;Projections!$D$19,MAX(Projections!$B$23,AC10*(1-Projections!$B$22)),0))</f>
        <v/>
      </c>
      <c r="AE10" s="56">
        <f>IF(AE2=Projections!$D$19,Projections!$B$21,IF(AE2&gt;Projections!$D$19,MAX(Projections!$B$23,AD10*(1-Projections!$B$22)),0))</f>
        <v/>
      </c>
      <c r="AF10" s="56">
        <f>IF(AF2=Projections!$D$19,Projections!$B$21,IF(AF2&gt;Projections!$D$19,MAX(Projections!$B$23,AE10*(1-Projections!$B$22)),0))</f>
        <v/>
      </c>
      <c r="AG10" s="56">
        <f>IF(AG2=Projections!$D$19,Projections!$B$21,IF(AG2&gt;Projections!$D$19,MAX(Projections!$B$23,AF10*(1-Projections!$B$22)),0))</f>
        <v/>
      </c>
      <c r="AH10" s="56">
        <f>IF(AH2=Projections!$D$19,Projections!$B$21,IF(AH2&gt;Projections!$D$19,MAX(Projections!$B$23,AG10*(1-Projections!$B$22)),0))</f>
        <v/>
      </c>
      <c r="AI10" s="56">
        <f>IF(AI2=Projections!$D$19,Projections!$B$21,IF(AI2&gt;Projections!$D$19,MAX(Projections!$B$23,AH10*(1-Projections!$B$22)),0))</f>
        <v/>
      </c>
      <c r="AJ10" s="56">
        <f>IF(AJ2=Projections!$D$19,Projections!$B$21,IF(AJ2&gt;Projections!$D$19,MAX(Projections!$B$23,AI10*(1-Projections!$B$22)),0))</f>
        <v/>
      </c>
      <c r="AK10" s="56">
        <f>IF(AK2=Projections!$D$19,Projections!$B$21,IF(AK2&gt;Projections!$D$19,MAX(Projections!$B$23,AJ10*(1-Projections!$B$22)),0))</f>
        <v/>
      </c>
      <c r="AL10" s="56">
        <f>IF(AL2=Projections!$D$19,Projections!$B$21,IF(AL2&gt;Projections!$D$19,MAX(Projections!$B$23,AK10*(1-Projections!$B$22)),0))</f>
        <v/>
      </c>
      <c r="AM10" s="56">
        <f>IF(AM2=Projections!$D$19,Projections!$B$21,IF(AM2&gt;Projections!$D$19,MAX(Projections!$B$23,AL10*(1-Projections!$B$22)),0))</f>
        <v/>
      </c>
      <c r="AN10" s="56">
        <f>IF(AN2=Projections!$D$19,Projections!$B$21,IF(AN2&gt;Projections!$D$19,MAX(Projections!$B$23,AM10*(1-Projections!$B$22)),0))</f>
        <v/>
      </c>
      <c r="AO10" s="56">
        <f>IF(AO2=Projections!$D$19,Projections!$B$21,IF(AO2&gt;Projections!$D$19,MAX(Projections!$B$23,AN10*(1-Projections!$B$22)),0))</f>
        <v/>
      </c>
      <c r="AP10" s="56">
        <f>IF(AP2=Projections!$D$19,Projections!$B$21,IF(AP2&gt;Projections!$D$19,MAX(Projections!$B$23,AO10*(1-Projections!$B$22)),0))</f>
        <v/>
      </c>
      <c r="AQ10" s="56">
        <f>IF(AQ2=Projections!$D$19,Projections!$B$21,IF(AQ2&gt;Projections!$D$19,MAX(Projections!$B$23,AP10*(1-Projections!$B$22)),0))</f>
        <v/>
      </c>
      <c r="AR10" s="56">
        <f>IF(AR2=Projections!$D$19,Projections!$B$21,IF(AR2&gt;Projections!$D$19,MAX(Projections!$B$23,AQ10*(1-Projections!$B$22)),0))</f>
        <v/>
      </c>
      <c r="AS10" s="56">
        <f>IF(AS2=Projections!$D$19,Projections!$B$21,IF(AS2&gt;Projections!$D$19,MAX(Projections!$B$23,AR10*(1-Projections!$B$22)),0))</f>
        <v/>
      </c>
      <c r="AT10" s="56">
        <f>IF(AT2=Projections!$D$19,Projections!$B$21,IF(AT2&gt;Projections!$D$19,MAX(Projections!$B$23,AS10*(1-Projections!$B$22)),0))</f>
        <v/>
      </c>
      <c r="AU10" s="56">
        <f>IF(AU2=Projections!$D$19,Projections!$B$21,IF(AU2&gt;Projections!$D$19,MAX(Projections!$B$23,AT10*(1-Projections!$B$22)),0))</f>
        <v/>
      </c>
      <c r="AV10" s="56">
        <f>IF(AV2=Projections!$D$19,Projections!$B$21,IF(AV2&gt;Projections!$D$19,MAX(Projections!$B$23,AU10*(1-Projections!$B$22)),0))</f>
        <v/>
      </c>
      <c r="AW10" s="56">
        <f>IF(AW2=Projections!$D$19,Projections!$B$21,IF(AW2&gt;Projections!$D$19,MAX(Projections!$B$23,AV10*(1-Projections!$B$22)),0))</f>
        <v/>
      </c>
      <c r="AX10" s="56">
        <f>IF(AX2=Projections!$D$19,Projections!$B$21,IF(AX2&gt;Projections!$D$19,MAX(Projections!$B$23,AW10*(1-Projections!$B$22)),0))</f>
        <v/>
      </c>
      <c r="AY10" s="56">
        <f>IF(AY2=Projections!$D$19,Projections!$B$21,IF(AY2&gt;Projections!$D$19,MAX(Projections!$B$23,AX10*(1-Projections!$B$22)),0))</f>
        <v/>
      </c>
      <c r="AZ10" s="56">
        <f>IF(AZ2=Projections!$D$19,Projections!$B$21,IF(AZ2&gt;Projections!$D$19,MAX(Projections!$B$23,AY10*(1-Projections!$B$22)),0))</f>
        <v/>
      </c>
      <c r="BA10" s="56">
        <f>IF(BA2=Projections!$D$19,Projections!$B$21,IF(BA2&gt;Projections!$D$19,MAX(Projections!$B$23,AZ10*(1-Projections!$B$22)),0))</f>
        <v/>
      </c>
      <c r="BB10" s="56">
        <f>IF(BB2=Projections!$D$19,Projections!$B$21,IF(BB2&gt;Projections!$D$19,MAX(Projections!$B$23,BA10*(1-Projections!$B$22)),0))</f>
        <v/>
      </c>
      <c r="BC10" s="56">
        <f>IF(BC2=Projections!$D$19,Projections!$B$21,IF(BC2&gt;Projections!$D$19,MAX(Projections!$B$23,BB10*(1-Projections!$B$22)),0))</f>
        <v/>
      </c>
      <c r="BD10" s="56">
        <f>IF(BD2=Projections!$D$19,Projections!$B$21,IF(BD2&gt;Projections!$D$19,MAX(Projections!$B$23,BC10*(1-Projections!$B$22)),0))</f>
        <v/>
      </c>
      <c r="BE10" s="56">
        <f>IF(BE2=Projections!$D$19,Projections!$B$21,IF(BE2&gt;Projections!$D$19,MAX(Projections!$B$23,BD10*(1-Projections!$B$22)),0))</f>
        <v/>
      </c>
      <c r="BF10" s="56">
        <f>IF(BF2=Projections!$D$19,Projections!$B$21,IF(BF2&gt;Projections!$D$19,MAX(Projections!$B$23,BE10*(1-Projections!$B$22)),0))</f>
        <v/>
      </c>
      <c r="BG10" s="56">
        <f>IF(BG2=Projections!$D$19,Projections!$B$21,IF(BG2&gt;Projections!$D$19,MAX(Projections!$B$23,BF10*(1-Projections!$B$22)),0))</f>
        <v/>
      </c>
      <c r="BH10" s="56">
        <f>IF(BH2=Projections!$D$19,Projections!$B$21,IF(BH2&gt;Projections!$D$19,MAX(Projections!$B$23,BG10*(1-Projections!$B$22)),0))</f>
        <v/>
      </c>
      <c r="BI10" s="56">
        <f>IF(BI2=Projections!$D$19,Projections!$B$21,IF(BI2&gt;Projections!$D$19,MAX(Projections!$B$23,BH10*(1-Projections!$B$22)),0))</f>
        <v/>
      </c>
      <c r="BJ10" s="56">
        <f>IF(BJ2=Projections!$D$19,Projections!$B$21,IF(BJ2&gt;Projections!$D$19,MAX(Projections!$B$23,BI10*(1-Projections!$B$22)),0))</f>
        <v/>
      </c>
      <c r="BK10" s="56">
        <f>IF(BK2=Projections!$D$19,Projections!$B$21,IF(BK2&gt;Projections!$D$19,MAX(Projections!$B$23,BJ10*(1-Projections!$B$22)),0))</f>
        <v/>
      </c>
      <c r="BL10" s="56">
        <f>IF(BL2=Projections!$D$19,Projections!$B$21,IF(BL2&gt;Projections!$D$19,MAX(Projections!$B$23,BK10*(1-Projections!$B$22)),0))</f>
        <v/>
      </c>
      <c r="BM10" s="56">
        <f>IF(BM2=Projections!$D$19,Projections!$B$21,IF(BM2&gt;Projections!$D$19,MAX(Projections!$B$23,BL10*(1-Projections!$B$22)),0))</f>
        <v/>
      </c>
      <c r="BN10" s="56">
        <f>IF(BN2=Projections!$D$19,Projections!$B$21,IF(BN2&gt;Projections!$D$19,MAX(Projections!$B$23,BM10*(1-Projections!$B$22)),0))</f>
        <v/>
      </c>
      <c r="BO10" s="56">
        <f>IF(BO2=Projections!$D$19,Projections!$B$21,IF(BO2&gt;Projections!$D$19,MAX(Projections!$B$23,BN10*(1-Projections!$B$22)),0))</f>
        <v/>
      </c>
      <c r="BP10" s="56">
        <f>IF(BP2=Projections!$D$19,Projections!$B$21,IF(BP2&gt;Projections!$D$19,MAX(Projections!$B$23,BO10*(1-Projections!$B$22)),0))</f>
        <v/>
      </c>
      <c r="BQ10" s="56">
        <f>IF(BQ2=Projections!$D$19,Projections!$B$21,IF(BQ2&gt;Projections!$D$19,MAX(Projections!$B$23,BP10*(1-Projections!$B$22)),0))</f>
        <v/>
      </c>
      <c r="BR10" s="56">
        <f>IF(BR2=Projections!$D$19,Projections!$B$21,IF(BR2&gt;Projections!$D$19,MAX(Projections!$B$23,BQ10*(1-Projections!$B$22)),0))</f>
        <v/>
      </c>
      <c r="BS10" s="56">
        <f>IF(BS2=Projections!$D$19,Projections!$B$21,IF(BS2&gt;Projections!$D$19,MAX(Projections!$B$23,BR10*(1-Projections!$B$22)),0))</f>
        <v/>
      </c>
      <c r="BT10" s="56">
        <f>IF(BT2=Projections!$D$19,Projections!$B$21,IF(BT2&gt;Projections!$D$19,MAX(Projections!$B$23,BS10*(1-Projections!$B$22)),0))</f>
        <v/>
      </c>
      <c r="BU10" s="56">
        <f>IF(BU2=Projections!$D$19,Projections!$B$21,IF(BU2&gt;Projections!$D$19,MAX(Projections!$B$23,BT10*(1-Projections!$B$22)),0))</f>
        <v/>
      </c>
      <c r="BV10" s="56">
        <f>IF(BV2=Projections!$D$19,Projections!$B$21,IF(BV2&gt;Projections!$D$19,MAX(Projections!$B$23,BU10*(1-Projections!$B$22)),0))</f>
        <v/>
      </c>
      <c r="BW10" s="56">
        <f>IF(BW2=Projections!$D$19,Projections!$B$21,IF(BW2&gt;Projections!$D$19,MAX(Projections!$B$23,BV10*(1-Projections!$B$22)),0))</f>
        <v/>
      </c>
      <c r="BX10" s="56">
        <f>IF(BX2=Projections!$D$19,Projections!$B$21,IF(BX2&gt;Projections!$D$19,MAX(Projections!$B$23,BW10*(1-Projections!$B$22)),0))</f>
        <v/>
      </c>
      <c r="BY10" s="56">
        <f>IF(BY2=Projections!$D$19,Projections!$B$21,IF(BY2&gt;Projections!$D$19,MAX(Projections!$B$23,BX10*(1-Projections!$B$22)),0))</f>
        <v/>
      </c>
      <c r="BZ10" s="56">
        <f>IF(BZ2=Projections!$D$19,Projections!$B$21,IF(BZ2&gt;Projections!$D$19,MAX(Projections!$B$23,BY10*(1-Projections!$B$22)),0))</f>
        <v/>
      </c>
      <c r="CA10" s="56">
        <f>IF(CA2=Projections!$D$19,Projections!$B$21,IF(CA2&gt;Projections!$D$19,MAX(Projections!$B$23,BZ10*(1-Projections!$B$22)),0))</f>
        <v/>
      </c>
      <c r="CB10" s="56">
        <f>IF(CB2=Projections!$D$19,Projections!$B$21,IF(CB2&gt;Projections!$D$19,MAX(Projections!$B$23,CA10*(1-Projections!$B$22)),0))</f>
        <v/>
      </c>
      <c r="CC10" s="56">
        <f>IF(CC2=Projections!$D$19,Projections!$B$21,IF(CC2&gt;Projections!$D$19,MAX(Projections!$B$23,CB10*(1-Projections!$B$22)),0))</f>
        <v/>
      </c>
      <c r="CD10" s="56">
        <f>IF(CD2=Projections!$D$19,Projections!$B$21,IF(CD2&gt;Projections!$D$19,MAX(Projections!$B$23,CC10*(1-Projections!$B$22)),0))</f>
        <v/>
      </c>
      <c r="CE10" s="56">
        <f>IF(CE2=Projections!$D$19,Projections!$B$21,IF(CE2&gt;Projections!$D$19,MAX(Projections!$B$23,CD10*(1-Projections!$B$22)),0))</f>
        <v/>
      </c>
      <c r="CF10" s="56">
        <f>IF(CF2=Projections!$D$19,Projections!$B$21,IF(CF2&gt;Projections!$D$19,MAX(Projections!$B$23,CE10*(1-Projections!$B$22)),0))</f>
        <v/>
      </c>
      <c r="CG10" s="56">
        <f>IF(CG2=Projections!$D$19,Projections!$B$21,IF(CG2&gt;Projections!$D$19,MAX(Projections!$B$23,CF10*(1-Projections!$B$22)),0))</f>
        <v/>
      </c>
      <c r="CH10" s="56">
        <f>IF(CH2=Projections!$D$19,Projections!$B$21,IF(CH2&gt;Projections!$D$19,MAX(Projections!$B$23,CG10*(1-Projections!$B$22)),0))</f>
        <v/>
      </c>
      <c r="CI10" s="56">
        <f>IF(CI2=Projections!$D$19,Projections!$B$21,IF(CI2&gt;Projections!$D$19,MAX(Projections!$B$23,CH10*(1-Projections!$B$22)),0))</f>
        <v/>
      </c>
      <c r="CJ10" s="56">
        <f>IF(CJ2=Projections!$D$19,Projections!$B$21,IF(CJ2&gt;Projections!$D$19,MAX(Projections!$B$23,CI10*(1-Projections!$B$22)),0))</f>
        <v/>
      </c>
      <c r="CK10" s="56">
        <f>IF(CK2=Projections!$D$19,Projections!$B$21,IF(CK2&gt;Projections!$D$19,MAX(Projections!$B$23,CJ10*(1-Projections!$B$22)),0))</f>
        <v/>
      </c>
      <c r="CL10" s="56">
        <f>IF(CL2=Projections!$D$19,Projections!$B$21,IF(CL2&gt;Projections!$D$19,MAX(Projections!$B$23,CK10*(1-Projections!$B$22)),0))</f>
        <v/>
      </c>
      <c r="CM10" s="56">
        <f>IF(CM2=Projections!$D$19,Projections!$B$21,IF(CM2&gt;Projections!$D$19,MAX(Projections!$B$23,CL10*(1-Projections!$B$22)),0))</f>
        <v/>
      </c>
      <c r="CN10" s="56">
        <f>IF(CN2=Projections!$D$19,Projections!$B$21,IF(CN2&gt;Projections!$D$19,MAX(Projections!$B$23,CM10*(1-Projections!$B$22)),0))</f>
        <v/>
      </c>
      <c r="CO10" s="56">
        <f>IF(CO2=Projections!$D$19,Projections!$B$21,IF(CO2&gt;Projections!$D$19,MAX(Projections!$B$23,CN10*(1-Projections!$B$22)),0))</f>
        <v/>
      </c>
      <c r="CP10" s="56">
        <f>IF(CP2=Projections!$D$19,Projections!$B$21,IF(CP2&gt;Projections!$D$19,MAX(Projections!$B$23,CO10*(1-Projections!$B$22)),0))</f>
        <v/>
      </c>
      <c r="CQ10" s="56">
        <f>IF(CQ2=Projections!$D$19,Projections!$B$21,IF(CQ2&gt;Projections!$D$19,MAX(Projections!$B$23,CP10*(1-Projections!$B$22)),0))</f>
        <v/>
      </c>
      <c r="CR10" s="56">
        <f>IF(CR2=Projections!$D$19,Projections!$B$21,IF(CR2&gt;Projections!$D$19,MAX(Projections!$B$23,CQ10*(1-Projections!$B$22)),0))</f>
        <v/>
      </c>
      <c r="CS10" s="56">
        <f>IF(CS2=Projections!$D$19,Projections!$B$21,IF(CS2&gt;Projections!$D$19,MAX(Projections!$B$23,CR10*(1-Projections!$B$22)),0))</f>
        <v/>
      </c>
      <c r="CT10" s="56">
        <f>IF(CT2=Projections!$D$19,Projections!$B$21,IF(CT2&gt;Projections!$D$19,MAX(Projections!$B$23,CS10*(1-Projections!$B$22)),0))</f>
        <v/>
      </c>
      <c r="CU10" s="56">
        <f>IF(CU2=Projections!$D$19,Projections!$B$21,IF(CU2&gt;Projections!$D$19,MAX(Projections!$B$23,CT10*(1-Projections!$B$22)),0))</f>
        <v/>
      </c>
      <c r="CV10" s="56">
        <f>IF(CV2=Projections!$D$19,Projections!$B$21,IF(CV2&gt;Projections!$D$19,MAX(Projections!$B$23,CU10*(1-Projections!$B$22)),0))</f>
        <v/>
      </c>
      <c r="CW10" s="56">
        <f>IF(CW2=Projections!$D$19,Projections!$B$21,IF(CW2&gt;Projections!$D$19,MAX(Projections!$B$23,CV10*(1-Projections!$B$22)),0))</f>
        <v/>
      </c>
      <c r="CX10" s="56">
        <f>IF(CX2=Projections!$D$19,Projections!$B$21,IF(CX2&gt;Projections!$D$19,MAX(Projections!$B$23,CW10*(1-Projections!$B$22)),0))</f>
        <v/>
      </c>
    </row>
    <row r="11" outlineLevel="1" ht="15.75" customHeight="1" s="255">
      <c r="A11" s="135" t="inlineStr">
        <is>
          <t>Paid traffic</t>
        </is>
      </c>
      <c r="B11" s="136" t="n"/>
      <c r="C11" s="136" t="n"/>
      <c r="D11" s="136" t="n"/>
      <c r="E11" s="136">
        <f>IFERROR(E65/E10,0)</f>
        <v/>
      </c>
      <c r="F11" s="136">
        <f>IFERROR(F65/F10,0)</f>
        <v/>
      </c>
      <c r="G11" s="136">
        <f>IFERROR(G65/G10,0)</f>
        <v/>
      </c>
      <c r="H11" s="136">
        <f>IFERROR(H65/H10,0)</f>
        <v/>
      </c>
      <c r="I11" s="136">
        <f>IFERROR(I65/I10,0)</f>
        <v/>
      </c>
      <c r="J11" s="136">
        <f>IFERROR(J65/J10,0)</f>
        <v/>
      </c>
      <c r="K11" s="136">
        <f>IFERROR(K65/K10,0)</f>
        <v/>
      </c>
      <c r="L11" s="136">
        <f>IFERROR(L65/L10,0)</f>
        <v/>
      </c>
      <c r="M11" s="136">
        <f>IFERROR(M65/M10,0)</f>
        <v/>
      </c>
      <c r="N11" s="136">
        <f>IFERROR(N65/N10,0)</f>
        <v/>
      </c>
      <c r="O11" s="136">
        <f>IFERROR(O65/O10,0)</f>
        <v/>
      </c>
      <c r="P11" s="136">
        <f>IFERROR(P65/P10,0)</f>
        <v/>
      </c>
      <c r="Q11" s="136">
        <f>IFERROR(Q65/Q10,0)</f>
        <v/>
      </c>
      <c r="R11" s="136">
        <f>IFERROR(R65/R10,0)</f>
        <v/>
      </c>
      <c r="S11" s="136">
        <f>IFERROR(S65/S10,0)</f>
        <v/>
      </c>
      <c r="T11" s="136">
        <f>IFERROR(T65/T10,0)</f>
        <v/>
      </c>
      <c r="U11" s="136">
        <f>IFERROR(U65/U10,0)</f>
        <v/>
      </c>
      <c r="V11" s="136">
        <f>IFERROR(V65/V10,0)</f>
        <v/>
      </c>
      <c r="W11" s="136">
        <f>IFERROR(W65/W10,0)</f>
        <v/>
      </c>
      <c r="X11" s="136">
        <f>IFERROR(X65/X10,0)</f>
        <v/>
      </c>
      <c r="Y11" s="136">
        <f>IFERROR(Y65/Y10,0)</f>
        <v/>
      </c>
      <c r="Z11" s="136">
        <f>IFERROR(Z65/Z10,0)</f>
        <v/>
      </c>
      <c r="AA11" s="136">
        <f>IFERROR(AA65/AA10,0)</f>
        <v/>
      </c>
      <c r="AB11" s="136">
        <f>IFERROR(AB65/AB10,0)</f>
        <v/>
      </c>
      <c r="AC11" s="136">
        <f>IFERROR(AC65/AC10,0)</f>
        <v/>
      </c>
      <c r="AD11" s="136">
        <f>IFERROR(AD65/AD10,0)</f>
        <v/>
      </c>
      <c r="AE11" s="136">
        <f>IFERROR(AE65/AE10,0)</f>
        <v/>
      </c>
      <c r="AF11" s="136">
        <f>IFERROR(AF65/AF10,0)</f>
        <v/>
      </c>
      <c r="AG11" s="136">
        <f>IFERROR(AG65/AG10,0)</f>
        <v/>
      </c>
      <c r="AH11" s="136">
        <f>IFERROR(AH65/AH10,0)</f>
        <v/>
      </c>
      <c r="AI11" s="136">
        <f>IFERROR(AI65/AI10,0)</f>
        <v/>
      </c>
      <c r="AJ11" s="136">
        <f>IFERROR(AJ65/AJ10,0)</f>
        <v/>
      </c>
      <c r="AK11" s="136">
        <f>IFERROR(AK65/AK10,0)</f>
        <v/>
      </c>
      <c r="AL11" s="136">
        <f>IFERROR(AL65/AL10,0)</f>
        <v/>
      </c>
      <c r="AM11" s="136">
        <f>IFERROR(AM65/AM10,0)</f>
        <v/>
      </c>
      <c r="AN11" s="136">
        <f>IFERROR(AN65/AN10,0)</f>
        <v/>
      </c>
      <c r="AO11" s="136">
        <f>IFERROR(AO65/AO10,0)</f>
        <v/>
      </c>
      <c r="AP11" s="136">
        <f>IFERROR(AP65/AP10,0)</f>
        <v/>
      </c>
      <c r="AQ11" s="136">
        <f>IFERROR(AQ65/AQ10,0)</f>
        <v/>
      </c>
      <c r="AR11" s="136">
        <f>IFERROR(AR65/AR10,0)</f>
        <v/>
      </c>
      <c r="AS11" s="136">
        <f>IFERROR(AS65/AS10,0)</f>
        <v/>
      </c>
      <c r="AT11" s="136">
        <f>IFERROR(AT65/AT10,0)</f>
        <v/>
      </c>
      <c r="AU11" s="136">
        <f>IFERROR(AU65/AU10,0)</f>
        <v/>
      </c>
      <c r="AV11" s="136">
        <f>IFERROR(AV65/AV10,0)</f>
        <v/>
      </c>
      <c r="AW11" s="136">
        <f>IFERROR(AW65/AW10,0)</f>
        <v/>
      </c>
      <c r="AX11" s="136">
        <f>IFERROR(AX65/AX10,0)</f>
        <v/>
      </c>
      <c r="AY11" s="136">
        <f>IFERROR(AY65/AY10,0)</f>
        <v/>
      </c>
      <c r="AZ11" s="136">
        <f>IFERROR(AZ65/AZ10,0)</f>
        <v/>
      </c>
      <c r="BA11" s="136">
        <f>IFERROR(BA65/BA10,0)</f>
        <v/>
      </c>
      <c r="BB11" s="136">
        <f>IFERROR(BB65/BB10,0)</f>
        <v/>
      </c>
      <c r="BC11" s="136">
        <f>IFERROR(BC65/BC10,0)</f>
        <v/>
      </c>
      <c r="BD11" s="136">
        <f>IFERROR(BD65/BD10,0)</f>
        <v/>
      </c>
      <c r="BE11" s="136">
        <f>IFERROR(BE65/BE10,0)</f>
        <v/>
      </c>
      <c r="BF11" s="136">
        <f>IFERROR(BF65/BF10,0)</f>
        <v/>
      </c>
      <c r="BG11" s="136">
        <f>IFERROR(BG65/BG10,0)</f>
        <v/>
      </c>
      <c r="BH11" s="136">
        <f>IFERROR(BH65/BH10,0)</f>
        <v/>
      </c>
      <c r="BI11" s="136">
        <f>IFERROR(BI65/BI10,0)</f>
        <v/>
      </c>
      <c r="BJ11" s="136">
        <f>IFERROR(BJ65/BJ10,0)</f>
        <v/>
      </c>
      <c r="BK11" s="136">
        <f>IFERROR(BK65/BK10,0)</f>
        <v/>
      </c>
      <c r="BL11" s="136">
        <f>IFERROR(BL65/BL10,0)</f>
        <v/>
      </c>
      <c r="BM11" s="136">
        <f>IFERROR(BM65/BM10,0)</f>
        <v/>
      </c>
      <c r="BN11" s="136">
        <f>IFERROR(BN65/BN10,0)</f>
        <v/>
      </c>
      <c r="BO11" s="136">
        <f>IFERROR(BO65/BO10,0)</f>
        <v/>
      </c>
      <c r="BP11" s="136">
        <f>IFERROR(BP65/BP10,0)</f>
        <v/>
      </c>
      <c r="BQ11" s="136">
        <f>IFERROR(BQ65/BQ10,0)</f>
        <v/>
      </c>
      <c r="BR11" s="136">
        <f>IFERROR(BR65/BR10,0)</f>
        <v/>
      </c>
      <c r="BS11" s="136">
        <f>IFERROR(BS65/BS10,0)</f>
        <v/>
      </c>
      <c r="BT11" s="136">
        <f>IFERROR(BT65/BT10,0)</f>
        <v/>
      </c>
      <c r="BU11" s="136">
        <f>IFERROR(BU65/BU10,0)</f>
        <v/>
      </c>
      <c r="BV11" s="136">
        <f>IFERROR(BV65/BV10,0)</f>
        <v/>
      </c>
      <c r="BW11" s="136">
        <f>IFERROR(BW65/BW10,0)</f>
        <v/>
      </c>
      <c r="BX11" s="136">
        <f>IFERROR(BX65/BX10,0)</f>
        <v/>
      </c>
      <c r="BY11" s="136">
        <f>IFERROR(BY65/BY10,0)</f>
        <v/>
      </c>
      <c r="BZ11" s="136">
        <f>IFERROR(BZ65/BZ10,0)</f>
        <v/>
      </c>
      <c r="CA11" s="136">
        <f>IFERROR(CA65/CA10,0)</f>
        <v/>
      </c>
      <c r="CB11" s="136">
        <f>IFERROR(CB65/CB10,0)</f>
        <v/>
      </c>
      <c r="CC11" s="136">
        <f>IFERROR(CC65/CC10,0)</f>
        <v/>
      </c>
      <c r="CD11" s="136">
        <f>IFERROR(CD65/CD10,0)</f>
        <v/>
      </c>
      <c r="CE11" s="136">
        <f>IFERROR(CE65/CE10,0)</f>
        <v/>
      </c>
      <c r="CF11" s="136">
        <f>IFERROR(CF65/CF10,0)</f>
        <v/>
      </c>
      <c r="CG11" s="136">
        <f>IFERROR(CG65/CG10,0)</f>
        <v/>
      </c>
      <c r="CH11" s="136">
        <f>IFERROR(CH65/CH10,0)</f>
        <v/>
      </c>
      <c r="CI11" s="136">
        <f>IFERROR(CI65/CI10,0)</f>
        <v/>
      </c>
      <c r="CJ11" s="136">
        <f>IFERROR(CJ65/CJ10,0)</f>
        <v/>
      </c>
      <c r="CK11" s="136">
        <f>IFERROR(CK65/CK10,0)</f>
        <v/>
      </c>
      <c r="CL11" s="136">
        <f>IFERROR(CL65/CL10,0)</f>
        <v/>
      </c>
      <c r="CM11" s="136">
        <f>IFERROR(CM65/CM10,0)</f>
        <v/>
      </c>
      <c r="CN11" s="136">
        <f>IFERROR(CN65/CN10,0)</f>
        <v/>
      </c>
      <c r="CO11" s="136">
        <f>IFERROR(CO65/CO10,0)</f>
        <v/>
      </c>
      <c r="CP11" s="136">
        <f>IFERROR(CP65/CP10,0)</f>
        <v/>
      </c>
      <c r="CQ11" s="136">
        <f>IFERROR(CQ65/CQ10,0)</f>
        <v/>
      </c>
      <c r="CR11" s="136">
        <f>IFERROR(CR65/CR10,0)</f>
        <v/>
      </c>
      <c r="CS11" s="136">
        <f>IFERROR(CS65/CS10,0)</f>
        <v/>
      </c>
      <c r="CT11" s="136">
        <f>IFERROR(CT65/CT10,0)</f>
        <v/>
      </c>
      <c r="CU11" s="136">
        <f>IFERROR(CU65/CU10,0)</f>
        <v/>
      </c>
      <c r="CV11" s="136">
        <f>IFERROR(CV65/CV10,0)</f>
        <v/>
      </c>
      <c r="CW11" s="136">
        <f>IFERROR(CW65/CW10,0)</f>
        <v/>
      </c>
      <c r="CX11" s="136">
        <f>IFERROR(CX65/CX10,0)</f>
        <v/>
      </c>
    </row>
    <row r="12" outlineLevel="1" ht="15.75" customHeight="1" s="255">
      <c r="A12" s="137" t="inlineStr">
        <is>
          <t>Total traffic</t>
        </is>
      </c>
      <c r="B12" s="138" t="n"/>
      <c r="C12" s="138" t="n"/>
      <c r="D12" s="138" t="n"/>
      <c r="E12" s="138">
        <f>SUM(E9:E11)</f>
        <v/>
      </c>
      <c r="F12" s="138">
        <f>SUM(F9:F11)</f>
        <v/>
      </c>
      <c r="G12" s="138">
        <f>SUM(G9:G11)</f>
        <v/>
      </c>
      <c r="H12" s="138">
        <f>SUM(H9:H11)</f>
        <v/>
      </c>
      <c r="I12" s="138">
        <f>SUM(I9:I11)</f>
        <v/>
      </c>
      <c r="J12" s="138">
        <f>SUM(J9:J11)</f>
        <v/>
      </c>
      <c r="K12" s="138">
        <f>SUM(K9:K11)</f>
        <v/>
      </c>
      <c r="L12" s="138">
        <f>SUM(L9:L11)</f>
        <v/>
      </c>
      <c r="M12" s="138">
        <f>SUM(M9:M11)</f>
        <v/>
      </c>
      <c r="N12" s="138">
        <f>SUM(N9:N11)</f>
        <v/>
      </c>
      <c r="O12" s="138">
        <f>SUM(O9:O11)</f>
        <v/>
      </c>
      <c r="P12" s="138">
        <f>SUM(P9:P11)</f>
        <v/>
      </c>
      <c r="Q12" s="138">
        <f>SUM(Q9:Q11)</f>
        <v/>
      </c>
      <c r="R12" s="138">
        <f>SUM(R9:R11)</f>
        <v/>
      </c>
      <c r="S12" s="138">
        <f>SUM(S9:S11)</f>
        <v/>
      </c>
      <c r="T12" s="138">
        <f>SUM(T9:T11)</f>
        <v/>
      </c>
      <c r="U12" s="138">
        <f>SUM(U9:U11)</f>
        <v/>
      </c>
      <c r="V12" s="138">
        <f>SUM(V9:V11)</f>
        <v/>
      </c>
      <c r="W12" s="138">
        <f>SUM(W9:W11)</f>
        <v/>
      </c>
      <c r="X12" s="138">
        <f>SUM(X9:X11)</f>
        <v/>
      </c>
      <c r="Y12" s="138">
        <f>SUM(Y9:Y11)</f>
        <v/>
      </c>
      <c r="Z12" s="138">
        <f>SUM(Z9:Z11)</f>
        <v/>
      </c>
      <c r="AA12" s="138">
        <f>SUM(AA9:AA11)</f>
        <v/>
      </c>
      <c r="AB12" s="138">
        <f>SUM(AB9:AB11)</f>
        <v/>
      </c>
      <c r="AC12" s="138">
        <f>SUM(AC9:AC11)</f>
        <v/>
      </c>
      <c r="AD12" s="138">
        <f>SUM(AD9:AD11)</f>
        <v/>
      </c>
      <c r="AE12" s="138">
        <f>SUM(AE9:AE11)</f>
        <v/>
      </c>
      <c r="AF12" s="138">
        <f>SUM(AF9:AF11)</f>
        <v/>
      </c>
      <c r="AG12" s="138">
        <f>SUM(AG9:AG11)</f>
        <v/>
      </c>
      <c r="AH12" s="138">
        <f>SUM(AH9:AH11)</f>
        <v/>
      </c>
      <c r="AI12" s="138">
        <f>SUM(AI9:AI11)</f>
        <v/>
      </c>
      <c r="AJ12" s="138">
        <f>SUM(AJ9:AJ11)</f>
        <v/>
      </c>
      <c r="AK12" s="138">
        <f>SUM(AK9:AK11)</f>
        <v/>
      </c>
      <c r="AL12" s="138">
        <f>SUM(AL9:AL11)</f>
        <v/>
      </c>
      <c r="AM12" s="138">
        <f>SUM(AM9:AM11)</f>
        <v/>
      </c>
      <c r="AN12" s="138">
        <f>SUM(AN9:AN11)</f>
        <v/>
      </c>
      <c r="AO12" s="138">
        <f>SUM(AO9:AO11)</f>
        <v/>
      </c>
      <c r="AP12" s="138">
        <f>SUM(AP9:AP11)</f>
        <v/>
      </c>
      <c r="AQ12" s="138">
        <f>SUM(AQ9:AQ11)</f>
        <v/>
      </c>
      <c r="AR12" s="138">
        <f>SUM(AR9:AR11)</f>
        <v/>
      </c>
      <c r="AS12" s="138">
        <f>SUM(AS9:AS11)</f>
        <v/>
      </c>
      <c r="AT12" s="138">
        <f>SUM(AT9:AT11)</f>
        <v/>
      </c>
      <c r="AU12" s="138">
        <f>SUM(AU9:AU11)</f>
        <v/>
      </c>
      <c r="AV12" s="138">
        <f>SUM(AV9:AV11)</f>
        <v/>
      </c>
      <c r="AW12" s="138">
        <f>SUM(AW9:AW11)</f>
        <v/>
      </c>
      <c r="AX12" s="138">
        <f>SUM(AX9:AX11)</f>
        <v/>
      </c>
      <c r="AY12" s="138">
        <f>SUM(AY9:AY11)</f>
        <v/>
      </c>
      <c r="AZ12" s="138">
        <f>SUM(AZ9:AZ11)</f>
        <v/>
      </c>
      <c r="BA12" s="138">
        <f>SUM(BA9:BA11)</f>
        <v/>
      </c>
      <c r="BB12" s="138">
        <f>SUM(BB9:BB11)</f>
        <v/>
      </c>
      <c r="BC12" s="138">
        <f>SUM(BC9:BC11)</f>
        <v/>
      </c>
      <c r="BD12" s="138">
        <f>SUM(BD9:BD11)</f>
        <v/>
      </c>
      <c r="BE12" s="138">
        <f>SUM(BE9:BE11)</f>
        <v/>
      </c>
      <c r="BF12" s="138">
        <f>SUM(BF9:BF11)</f>
        <v/>
      </c>
      <c r="BG12" s="138">
        <f>SUM(BG9:BG11)</f>
        <v/>
      </c>
      <c r="BH12" s="138">
        <f>SUM(BH9:BH11)</f>
        <v/>
      </c>
      <c r="BI12" s="138">
        <f>SUM(BI9:BI11)</f>
        <v/>
      </c>
      <c r="BJ12" s="138">
        <f>SUM(BJ9:BJ11)</f>
        <v/>
      </c>
      <c r="BK12" s="138">
        <f>SUM(BK9:BK11)</f>
        <v/>
      </c>
      <c r="BL12" s="138">
        <f>SUM(BL9:BL11)</f>
        <v/>
      </c>
      <c r="BM12" s="138">
        <f>SUM(BM9:BM11)</f>
        <v/>
      </c>
      <c r="BN12" s="138">
        <f>SUM(BN9:BN11)</f>
        <v/>
      </c>
      <c r="BO12" s="138">
        <f>SUM(BO9:BO11)</f>
        <v/>
      </c>
      <c r="BP12" s="138">
        <f>SUM(BP9:BP11)</f>
        <v/>
      </c>
      <c r="BQ12" s="138">
        <f>SUM(BQ9:BQ11)</f>
        <v/>
      </c>
      <c r="BR12" s="138">
        <f>SUM(BR9:BR11)</f>
        <v/>
      </c>
      <c r="BS12" s="138">
        <f>SUM(BS9:BS11)</f>
        <v/>
      </c>
      <c r="BT12" s="138">
        <f>SUM(BT9:BT11)</f>
        <v/>
      </c>
      <c r="BU12" s="138">
        <f>SUM(BU9:BU11)</f>
        <v/>
      </c>
      <c r="BV12" s="138">
        <f>SUM(BV9:BV11)</f>
        <v/>
      </c>
      <c r="BW12" s="138">
        <f>SUM(BW9:BW11)</f>
        <v/>
      </c>
      <c r="BX12" s="138">
        <f>SUM(BX9:BX11)</f>
        <v/>
      </c>
      <c r="BY12" s="138">
        <f>SUM(BY9:BY11)</f>
        <v/>
      </c>
      <c r="BZ12" s="138">
        <f>SUM(BZ9:BZ11)</f>
        <v/>
      </c>
      <c r="CA12" s="138">
        <f>SUM(CA9:CA11)</f>
        <v/>
      </c>
      <c r="CB12" s="138">
        <f>SUM(CB9:CB11)</f>
        <v/>
      </c>
      <c r="CC12" s="138">
        <f>SUM(CC9:CC11)</f>
        <v/>
      </c>
      <c r="CD12" s="138">
        <f>SUM(CD9:CD11)</f>
        <v/>
      </c>
      <c r="CE12" s="138">
        <f>SUM(CE9:CE11)</f>
        <v/>
      </c>
      <c r="CF12" s="138">
        <f>SUM(CF9:CF11)</f>
        <v/>
      </c>
      <c r="CG12" s="138">
        <f>SUM(CG9:CG11)</f>
        <v/>
      </c>
      <c r="CH12" s="138">
        <f>SUM(CH9:CH11)</f>
        <v/>
      </c>
      <c r="CI12" s="138">
        <f>SUM(CI9:CI11)</f>
        <v/>
      </c>
      <c r="CJ12" s="138">
        <f>SUM(CJ9:CJ11)</f>
        <v/>
      </c>
      <c r="CK12" s="138">
        <f>SUM(CK9:CK11)</f>
        <v/>
      </c>
      <c r="CL12" s="138">
        <f>SUM(CL9:CL11)</f>
        <v/>
      </c>
      <c r="CM12" s="138">
        <f>SUM(CM9:CM11)</f>
        <v/>
      </c>
      <c r="CN12" s="138">
        <f>SUM(CN9:CN11)</f>
        <v/>
      </c>
      <c r="CO12" s="138">
        <f>SUM(CO9:CO11)</f>
        <v/>
      </c>
      <c r="CP12" s="138">
        <f>SUM(CP9:CP11)</f>
        <v/>
      </c>
      <c r="CQ12" s="138">
        <f>SUM(CQ9:CQ11)</f>
        <v/>
      </c>
      <c r="CR12" s="138">
        <f>SUM(CR9:CR11)</f>
        <v/>
      </c>
      <c r="CS12" s="138">
        <f>SUM(CS9:CS11)</f>
        <v/>
      </c>
      <c r="CT12" s="138">
        <f>SUM(CT9:CT11)</f>
        <v/>
      </c>
      <c r="CU12" s="138">
        <f>SUM(CU9:CU11)</f>
        <v/>
      </c>
      <c r="CV12" s="138">
        <f>SUM(CV9:CV11)</f>
        <v/>
      </c>
      <c r="CW12" s="138">
        <f>SUM(CW9:CW11)</f>
        <v/>
      </c>
      <c r="CX12" s="138">
        <f>SUM(CX9:CX11)</f>
        <v/>
      </c>
    </row>
    <row r="13" outlineLevel="1" ht="15.75" customHeight="1" s="255">
      <c r="A13" s="136" t="n"/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  <c r="AY13" s="136" t="n"/>
      <c r="AZ13" s="136" t="n"/>
      <c r="BA13" s="136" t="n"/>
      <c r="BB13" s="136" t="n"/>
      <c r="BC13" s="136" t="n"/>
      <c r="BD13" s="136" t="n"/>
      <c r="BE13" s="136" t="n"/>
      <c r="BF13" s="136" t="n"/>
      <c r="BG13" s="136" t="n"/>
      <c r="BH13" s="136" t="n"/>
      <c r="BI13" s="136" t="n"/>
      <c r="BJ13" s="136" t="n"/>
      <c r="BK13" s="136" t="n"/>
      <c r="BL13" s="136" t="n"/>
      <c r="BM13" s="136" t="n"/>
      <c r="BN13" s="136" t="n"/>
      <c r="BO13" s="136" t="n"/>
      <c r="BP13" s="136" t="n"/>
      <c r="BQ13" s="136" t="n"/>
      <c r="BR13" s="136" t="n"/>
      <c r="BS13" s="136" t="n"/>
      <c r="BT13" s="136" t="n"/>
      <c r="BU13" s="136" t="n"/>
      <c r="BV13" s="136" t="n"/>
      <c r="BW13" s="136" t="n"/>
      <c r="BX13" s="136" t="n"/>
      <c r="BY13" s="136" t="n"/>
      <c r="BZ13" s="136" t="n"/>
      <c r="CA13" s="136" t="n"/>
      <c r="CB13" s="136" t="n"/>
      <c r="CC13" s="136" t="n"/>
      <c r="CD13" s="136" t="n"/>
      <c r="CE13" s="136" t="n"/>
      <c r="CF13" s="136" t="n"/>
      <c r="CG13" s="136" t="n"/>
      <c r="CH13" s="136" t="n"/>
      <c r="CI13" s="136" t="n"/>
      <c r="CJ13" s="136" t="n"/>
      <c r="CK13" s="136" t="n"/>
      <c r="CL13" s="136" t="n"/>
      <c r="CM13" s="136" t="n"/>
      <c r="CN13" s="136" t="n"/>
      <c r="CO13" s="136" t="n"/>
      <c r="CP13" s="136" t="n"/>
      <c r="CQ13" s="136" t="n"/>
      <c r="CR13" s="136" t="n"/>
      <c r="CS13" s="136" t="n"/>
      <c r="CT13" s="136" t="n"/>
      <c r="CU13" s="136" t="n"/>
      <c r="CV13" s="136" t="n"/>
      <c r="CW13" s="136" t="n"/>
      <c r="CX13" s="136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  <c r="CX14" s="42" t="n"/>
    </row>
    <row r="15" ht="15.75" customHeight="1" s="255">
      <c r="A15" s="167">
        <f>Projections!A33</f>
        <v/>
      </c>
      <c r="B15" s="167" t="n"/>
      <c r="C15" s="167" t="n"/>
      <c r="D15" s="167" t="n"/>
      <c r="E15" s="167" t="n"/>
      <c r="F15" s="167" t="n"/>
      <c r="G15" s="167" t="n"/>
      <c r="H15" s="167" t="n"/>
      <c r="I15" s="167" t="n"/>
      <c r="J15" s="167" t="n"/>
      <c r="K15" s="167" t="n"/>
      <c r="L15" s="167" t="n"/>
      <c r="M15" s="167" t="n"/>
      <c r="N15" s="167" t="n"/>
      <c r="O15" s="167" t="n"/>
      <c r="P15" s="167" t="n"/>
      <c r="Q15" s="167" t="n"/>
      <c r="R15" s="167" t="n"/>
      <c r="S15" s="167" t="n"/>
      <c r="T15" s="167" t="n"/>
      <c r="U15" s="167" t="n"/>
      <c r="V15" s="167" t="n"/>
      <c r="W15" s="167" t="n"/>
      <c r="X15" s="167" t="n"/>
      <c r="Y15" s="167" t="n"/>
      <c r="Z15" s="167" t="n"/>
      <c r="AA15" s="167" t="n"/>
      <c r="AB15" s="167" t="n"/>
      <c r="AC15" s="167" t="n"/>
      <c r="AD15" s="167" t="n"/>
      <c r="AE15" s="167" t="n"/>
      <c r="AF15" s="167" t="n"/>
      <c r="AG15" s="167" t="n"/>
      <c r="AH15" s="167" t="n"/>
      <c r="AI15" s="167" t="n"/>
      <c r="AJ15" s="167" t="n"/>
      <c r="AK15" s="167" t="n"/>
      <c r="AL15" s="167" t="n"/>
      <c r="AM15" s="167" t="n"/>
      <c r="AN15" s="167" t="n"/>
      <c r="AO15" s="167" t="n"/>
      <c r="AP15" s="167" t="n"/>
      <c r="AQ15" s="167" t="n"/>
      <c r="AR15" s="167" t="n"/>
      <c r="AS15" s="167" t="n"/>
      <c r="AT15" s="167" t="n"/>
      <c r="AU15" s="167" t="n"/>
      <c r="AV15" s="167" t="n"/>
      <c r="AW15" s="167" t="n"/>
      <c r="AX15" s="167" t="n"/>
      <c r="AY15" s="167" t="n"/>
      <c r="AZ15" s="167" t="n"/>
      <c r="BA15" s="167" t="n"/>
      <c r="BB15" s="167" t="n"/>
      <c r="BC15" s="167" t="n"/>
      <c r="BD15" s="167" t="n"/>
      <c r="BE15" s="167" t="n"/>
      <c r="BF15" s="167" t="n"/>
      <c r="BG15" s="167" t="n"/>
      <c r="BH15" s="167" t="n"/>
      <c r="BI15" s="167" t="n"/>
      <c r="BJ15" s="167" t="n"/>
      <c r="BK15" s="167" t="n"/>
      <c r="BL15" s="167" t="n"/>
      <c r="BM15" s="167" t="n"/>
      <c r="BN15" s="167" t="n"/>
      <c r="BO15" s="167" t="n"/>
      <c r="BP15" s="167" t="n"/>
      <c r="BQ15" s="167" t="n"/>
      <c r="BR15" s="167" t="n"/>
      <c r="BS15" s="167" t="n"/>
      <c r="BT15" s="167" t="n"/>
      <c r="BU15" s="167" t="n"/>
      <c r="BV15" s="167" t="n"/>
      <c r="BW15" s="167" t="n"/>
      <c r="BX15" s="167" t="n"/>
      <c r="BY15" s="167" t="n"/>
      <c r="BZ15" s="167" t="n"/>
      <c r="CA15" s="167" t="n"/>
      <c r="CB15" s="167" t="n"/>
      <c r="CC15" s="167" t="n"/>
      <c r="CD15" s="167" t="n"/>
      <c r="CE15" s="167" t="n"/>
      <c r="CF15" s="167" t="n"/>
      <c r="CG15" s="167" t="n"/>
      <c r="CH15" s="167" t="n"/>
      <c r="CI15" s="167" t="n"/>
      <c r="CJ15" s="167" t="n"/>
      <c r="CK15" s="167" t="n"/>
      <c r="CL15" s="167" t="n"/>
      <c r="CM15" s="167" t="n"/>
      <c r="CN15" s="167" t="n"/>
      <c r="CO15" s="167" t="n"/>
      <c r="CP15" s="167" t="n"/>
      <c r="CQ15" s="167" t="n"/>
      <c r="CR15" s="167" t="n"/>
      <c r="CS15" s="167" t="n"/>
      <c r="CT15" s="167" t="n"/>
      <c r="CU15" s="167" t="n"/>
      <c r="CV15" s="167" t="n"/>
      <c r="CW15" s="167" t="n"/>
      <c r="CX15" s="167" t="n"/>
    </row>
    <row r="16" outlineLevel="1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  <c r="CX16" s="42" t="n"/>
    </row>
    <row r="17" outlineLevel="1" ht="15.75" customHeight="1" s="255">
      <c r="A17" s="5" t="inlineStr">
        <is>
          <t>New subscribers</t>
        </is>
      </c>
      <c r="B17" s="42" t="n"/>
      <c r="C17" s="42" t="n"/>
      <c r="D17" s="139" t="n"/>
      <c r="E17" s="139">
        <f>if(E2&gt;=Projections!$D$28,E12*Projections!$B$36,0)</f>
        <v/>
      </c>
      <c r="F17" s="139">
        <f>if(F2&gt;=Projections!$D$28,F12*Projections!$B$36,0)</f>
        <v/>
      </c>
      <c r="G17" s="139">
        <f>if(G2&gt;=Projections!$D$28,G12*Projections!$B$36,0)</f>
        <v/>
      </c>
      <c r="H17" s="139">
        <f>if(H2&gt;=Projections!$D$28,H12*Projections!$B$36,0)</f>
        <v/>
      </c>
      <c r="I17" s="139">
        <f>if(I2&gt;=Projections!$D$28,I12*Projections!$B$36,0)</f>
        <v/>
      </c>
      <c r="J17" s="139">
        <f>if(J2&gt;=Projections!$D$28,J12*Projections!$B$36,0)</f>
        <v/>
      </c>
      <c r="K17" s="139">
        <f>if(K2&gt;=Projections!$D$28,K12*Projections!$B$36,0)</f>
        <v/>
      </c>
      <c r="L17" s="139">
        <f>if(L2&gt;=Projections!$D$28,L12*Projections!$B$36,0)</f>
        <v/>
      </c>
      <c r="M17" s="139">
        <f>if(M2&gt;=Projections!$D$28,M12*Projections!$B$36,0)</f>
        <v/>
      </c>
      <c r="N17" s="139">
        <f>if(N2&gt;=Projections!$D$28,N12*Projections!$B$36,0)</f>
        <v/>
      </c>
      <c r="O17" s="139">
        <f>if(O2&gt;=Projections!$D$28,O12*Projections!$B$36,0)</f>
        <v/>
      </c>
      <c r="P17" s="139">
        <f>if(P2&gt;=Projections!$D$28,P12*Projections!$B$36,0)</f>
        <v/>
      </c>
      <c r="Q17" s="139">
        <f>if(Q2&gt;=Projections!$D$28,Q12*Projections!$B$36,0)</f>
        <v/>
      </c>
      <c r="R17" s="139">
        <f>if(R2&gt;=Projections!$D$28,R12*Projections!$B$36,0)</f>
        <v/>
      </c>
      <c r="S17" s="139">
        <f>if(S2&gt;=Projections!$D$28,S12*Projections!$B$36,0)</f>
        <v/>
      </c>
      <c r="T17" s="139">
        <f>if(T2&gt;=Projections!$D$28,T12*Projections!$B$36,0)</f>
        <v/>
      </c>
      <c r="U17" s="139">
        <f>if(U2&gt;=Projections!$D$28,U12*Projections!$B$36,0)</f>
        <v/>
      </c>
      <c r="V17" s="139">
        <f>if(V2&gt;=Projections!$D$28,V12*Projections!$B$36,0)</f>
        <v/>
      </c>
      <c r="W17" s="139">
        <f>if(W2&gt;=Projections!$D$28,W12*Projections!$B$36,0)</f>
        <v/>
      </c>
      <c r="X17" s="139">
        <f>if(X2&gt;=Projections!$D$28,X12*Projections!$B$36,0)</f>
        <v/>
      </c>
      <c r="Y17" s="139">
        <f>if(Y2&gt;=Projections!$D$28,Y12*Projections!$B$36,0)</f>
        <v/>
      </c>
      <c r="Z17" s="139">
        <f>if(Z2&gt;=Projections!$D$28,Z12*Projections!$B$36,0)</f>
        <v/>
      </c>
      <c r="AA17" s="139">
        <f>if(AA2&gt;=Projections!$D$28,AA12*Projections!$B$36,0)</f>
        <v/>
      </c>
      <c r="AB17" s="139">
        <f>if(AB2&gt;=Projections!$D$28,AB12*Projections!$B$36,0)</f>
        <v/>
      </c>
      <c r="AC17" s="139">
        <f>if(AC2&gt;=Projections!$D$28,AC12*Projections!$B$36,0)</f>
        <v/>
      </c>
      <c r="AD17" s="139">
        <f>if(AD2&gt;=Projections!$D$28,AD12*Projections!$B$36,0)</f>
        <v/>
      </c>
      <c r="AE17" s="139">
        <f>if(AE2&gt;=Projections!$D$28,AE12*Projections!$B$36,0)</f>
        <v/>
      </c>
      <c r="AF17" s="139">
        <f>if(AF2&gt;=Projections!$D$28,AF12*Projections!$B$36,0)</f>
        <v/>
      </c>
      <c r="AG17" s="139">
        <f>if(AG2&gt;=Projections!$D$28,AG12*Projections!$B$36,0)</f>
        <v/>
      </c>
      <c r="AH17" s="139">
        <f>if(AH2&gt;=Projections!$D$28,AH12*Projections!$B$36,0)</f>
        <v/>
      </c>
      <c r="AI17" s="139">
        <f>if(AI2&gt;=Projections!$D$28,AI12*Projections!$B$36,0)</f>
        <v/>
      </c>
      <c r="AJ17" s="139">
        <f>if(AJ2&gt;=Projections!$D$28,AJ12*Projections!$B$36,0)</f>
        <v/>
      </c>
      <c r="AK17" s="139">
        <f>if(AK2&gt;=Projections!$D$28,AK12*Projections!$B$36,0)</f>
        <v/>
      </c>
      <c r="AL17" s="139">
        <f>if(AL2&gt;=Projections!$D$28,AL12*Projections!$B$36,0)</f>
        <v/>
      </c>
      <c r="AM17" s="139">
        <f>if(AM2&gt;=Projections!$D$28,AM12*Projections!$B$36,0)</f>
        <v/>
      </c>
      <c r="AN17" s="139">
        <f>if(AN2&gt;=Projections!$D$28,AN12*Projections!$B$36,0)</f>
        <v/>
      </c>
      <c r="AO17" s="139">
        <f>if(AO2&gt;=Projections!$D$28,AO12*Projections!$B$36,0)</f>
        <v/>
      </c>
      <c r="AP17" s="139">
        <f>if(AP2&gt;=Projections!$D$28,AP12*Projections!$B$36,0)</f>
        <v/>
      </c>
      <c r="AQ17" s="139">
        <f>if(AQ2&gt;=Projections!$D$28,AQ12*Projections!$B$36,0)</f>
        <v/>
      </c>
      <c r="AR17" s="139">
        <f>if(AR2&gt;=Projections!$D$28,AR12*Projections!$B$36,0)</f>
        <v/>
      </c>
      <c r="AS17" s="139">
        <f>if(AS2&gt;=Projections!$D$28,AS12*Projections!$B$36,0)</f>
        <v/>
      </c>
      <c r="AT17" s="139">
        <f>if(AT2&gt;=Projections!$D$28,AT12*Projections!$B$36,0)</f>
        <v/>
      </c>
      <c r="AU17" s="139">
        <f>if(AU2&gt;=Projections!$D$28,AU12*Projections!$B$36,0)</f>
        <v/>
      </c>
      <c r="AV17" s="139">
        <f>if(AV2&gt;=Projections!$D$28,AV12*Projections!$B$36,0)</f>
        <v/>
      </c>
      <c r="AW17" s="139">
        <f>if(AW2&gt;=Projections!$D$28,AW12*Projections!$B$36,0)</f>
        <v/>
      </c>
      <c r="AX17" s="139">
        <f>if(AX2&gt;=Projections!$D$28,AX12*Projections!$B$36,0)</f>
        <v/>
      </c>
      <c r="AY17" s="139">
        <f>if(AY2&gt;=Projections!$D$28,AY12*Projections!$B$36,0)</f>
        <v/>
      </c>
      <c r="AZ17" s="139">
        <f>if(AZ2&gt;=Projections!$D$28,AZ12*Projections!$B$36,0)</f>
        <v/>
      </c>
      <c r="BA17" s="139">
        <f>if(BA2&gt;=Projections!$D$28,BA12*Projections!$B$36,0)</f>
        <v/>
      </c>
      <c r="BB17" s="139">
        <f>if(BB2&gt;=Projections!$D$28,BB12*Projections!$B$36,0)</f>
        <v/>
      </c>
      <c r="BC17" s="139">
        <f>if(BC2&gt;=Projections!$D$28,BC12*Projections!$B$36,0)</f>
        <v/>
      </c>
      <c r="BD17" s="139">
        <f>if(BD2&gt;=Projections!$D$28,BD12*Projections!$B$36,0)</f>
        <v/>
      </c>
      <c r="BE17" s="139">
        <f>if(BE2&gt;=Projections!$D$28,BE12*Projections!$B$36,0)</f>
        <v/>
      </c>
      <c r="BF17" s="139">
        <f>if(BF2&gt;=Projections!$D$28,BF12*Projections!$B$36,0)</f>
        <v/>
      </c>
      <c r="BG17" s="139">
        <f>if(BG2&gt;=Projections!$D$28,BG12*Projections!$B$36,0)</f>
        <v/>
      </c>
      <c r="BH17" s="139">
        <f>if(BH2&gt;=Projections!$D$28,BH12*Projections!$B$36,0)</f>
        <v/>
      </c>
      <c r="BI17" s="139">
        <f>if(BI2&gt;=Projections!$D$28,BI12*Projections!$B$36,0)</f>
        <v/>
      </c>
      <c r="BJ17" s="139">
        <f>if(BJ2&gt;=Projections!$D$28,BJ12*Projections!$B$36,0)</f>
        <v/>
      </c>
      <c r="BK17" s="139">
        <f>if(BK2&gt;=Projections!$D$28,BK12*Projections!$B$36,0)</f>
        <v/>
      </c>
      <c r="BL17" s="139">
        <f>if(BL2&gt;=Projections!$D$28,BL12*Projections!$B$36,0)</f>
        <v/>
      </c>
      <c r="BM17" s="139">
        <f>if(BM2&gt;=Projections!$D$28,BM12*Projections!$B$36,0)</f>
        <v/>
      </c>
      <c r="BN17" s="139">
        <f>if(BN2&gt;=Projections!$D$28,BN12*Projections!$B$36,0)</f>
        <v/>
      </c>
      <c r="BO17" s="139">
        <f>if(BO2&gt;=Projections!$D$28,BO12*Projections!$B$36,0)</f>
        <v/>
      </c>
      <c r="BP17" s="139">
        <f>if(BP2&gt;=Projections!$D$28,BP12*Projections!$B$36,0)</f>
        <v/>
      </c>
      <c r="BQ17" s="139">
        <f>if(BQ2&gt;=Projections!$D$28,BQ12*Projections!$B$36,0)</f>
        <v/>
      </c>
      <c r="BR17" s="139">
        <f>if(BR2&gt;=Projections!$D$28,BR12*Projections!$B$36,0)</f>
        <v/>
      </c>
      <c r="BS17" s="139">
        <f>if(BS2&gt;=Projections!$D$28,BS12*Projections!$B$36,0)</f>
        <v/>
      </c>
      <c r="BT17" s="139">
        <f>if(BT2&gt;=Projections!$D$28,BT12*Projections!$B$36,0)</f>
        <v/>
      </c>
      <c r="BU17" s="139">
        <f>if(BU2&gt;=Projections!$D$28,BU12*Projections!$B$36,0)</f>
        <v/>
      </c>
      <c r="BV17" s="139">
        <f>if(BV2&gt;=Projections!$D$28,BV12*Projections!$B$36,0)</f>
        <v/>
      </c>
      <c r="BW17" s="139">
        <f>if(BW2&gt;=Projections!$D$28,BW12*Projections!$B$36,0)</f>
        <v/>
      </c>
      <c r="BX17" s="139">
        <f>if(BX2&gt;=Projections!$D$28,BX12*Projections!$B$36,0)</f>
        <v/>
      </c>
      <c r="BY17" s="139">
        <f>if(BY2&gt;=Projections!$D$28,BY12*Projections!$B$36,0)</f>
        <v/>
      </c>
      <c r="BZ17" s="139">
        <f>if(BZ2&gt;=Projections!$D$28,BZ12*Projections!$B$36,0)</f>
        <v/>
      </c>
      <c r="CA17" s="139">
        <f>if(CA2&gt;=Projections!$D$28,CA12*Projections!$B$36,0)</f>
        <v/>
      </c>
      <c r="CB17" s="139">
        <f>if(CB2&gt;=Projections!$D$28,CB12*Projections!$B$36,0)</f>
        <v/>
      </c>
      <c r="CC17" s="139">
        <f>if(CC2&gt;=Projections!$D$28,CC12*Projections!$B$36,0)</f>
        <v/>
      </c>
      <c r="CD17" s="139">
        <f>if(CD2&gt;=Projections!$D$28,CD12*Projections!$B$36,0)</f>
        <v/>
      </c>
      <c r="CE17" s="139">
        <f>if(CE2&gt;=Projections!$D$28,CE12*Projections!$B$36,0)</f>
        <v/>
      </c>
      <c r="CF17" s="139">
        <f>if(CF2&gt;=Projections!$D$28,CF12*Projections!$B$36,0)</f>
        <v/>
      </c>
      <c r="CG17" s="139">
        <f>if(CG2&gt;=Projections!$D$28,CG12*Projections!$B$36,0)</f>
        <v/>
      </c>
      <c r="CH17" s="139">
        <f>if(CH2&gt;=Projections!$D$28,CH12*Projections!$B$36,0)</f>
        <v/>
      </c>
      <c r="CI17" s="139">
        <f>if(CI2&gt;=Projections!$D$28,CI12*Projections!$B$36,0)</f>
        <v/>
      </c>
      <c r="CJ17" s="139">
        <f>if(CJ2&gt;=Projections!$D$28,CJ12*Projections!$B$36,0)</f>
        <v/>
      </c>
      <c r="CK17" s="139">
        <f>if(CK2&gt;=Projections!$D$28,CK12*Projections!$B$36,0)</f>
        <v/>
      </c>
      <c r="CL17" s="139">
        <f>if(CL2&gt;=Projections!$D$28,CL12*Projections!$B$36,0)</f>
        <v/>
      </c>
      <c r="CM17" s="139">
        <f>if(CM2&gt;=Projections!$D$28,CM12*Projections!$B$36,0)</f>
        <v/>
      </c>
      <c r="CN17" s="139">
        <f>if(CN2&gt;=Projections!$D$28,CN12*Projections!$B$36,0)</f>
        <v/>
      </c>
      <c r="CO17" s="139">
        <f>if(CO2&gt;=Projections!$D$28,CO12*Projections!$B$36,0)</f>
        <v/>
      </c>
      <c r="CP17" s="139">
        <f>if(CP2&gt;=Projections!$D$28,CP12*Projections!$B$36,0)</f>
        <v/>
      </c>
      <c r="CQ17" s="139">
        <f>if(CQ2&gt;=Projections!$D$28,CQ12*Projections!$B$36,0)</f>
        <v/>
      </c>
      <c r="CR17" s="139">
        <f>if(CR2&gt;=Projections!$D$28,CR12*Projections!$B$36,0)</f>
        <v/>
      </c>
      <c r="CS17" s="139">
        <f>if(CS2&gt;=Projections!$D$28,CS12*Projections!$B$36,0)</f>
        <v/>
      </c>
      <c r="CT17" s="139">
        <f>if(CT2&gt;=Projections!$D$28,CT12*Projections!$B$36,0)</f>
        <v/>
      </c>
      <c r="CU17" s="139">
        <f>if(CU2&gt;=Projections!$D$28,CU12*Projections!$B$36,0)</f>
        <v/>
      </c>
      <c r="CV17" s="139">
        <f>if(CV2&gt;=Projections!$D$28,CV12*Projections!$B$36,0)</f>
        <v/>
      </c>
      <c r="CW17" s="139">
        <f>if(CW2&gt;=Projections!$D$28,CW12*Projections!$B$36,0)</f>
        <v/>
      </c>
      <c r="CX17" s="139">
        <f>if(CX2&gt;=Projections!$D$28,CX12*Projections!$B$36,0)</f>
        <v/>
      </c>
    </row>
    <row r="18" outlineLevel="1" ht="15.75" customHeight="1" s="255">
      <c r="A18" s="5" t="inlineStr">
        <is>
          <t>Churn rate</t>
        </is>
      </c>
      <c r="B18" s="42" t="n"/>
      <c r="C18" s="42" t="n"/>
      <c r="D18" s="42" t="n"/>
      <c r="E18" s="34">
        <f>IF(E2&gt;=Projections!$D$28,Projections!$B$30,0)</f>
        <v/>
      </c>
      <c r="F18" s="34">
        <f>IF(F2&gt;=Projections!$D$28,Projections!$B$30,0)</f>
        <v/>
      </c>
      <c r="G18" s="34">
        <f>IF(G2&gt;=Projections!$D$28,Projections!$B$30,0)</f>
        <v/>
      </c>
      <c r="H18" s="34">
        <f>IF(H2&gt;=Projections!$D$28,Projections!$B$30,0)</f>
        <v/>
      </c>
      <c r="I18" s="34">
        <f>IF(I2&gt;=Projections!$D$28,Projections!$B$30,0)</f>
        <v/>
      </c>
      <c r="J18" s="34">
        <f>IF(J2&gt;=Projections!$D$28,Projections!$B$30,0)</f>
        <v/>
      </c>
      <c r="K18" s="34">
        <f>IF(K2&gt;=Projections!$D$28,Projections!$B$30,0)</f>
        <v/>
      </c>
      <c r="L18" s="34">
        <f>IF(L2&gt;=Projections!$D$28,Projections!$B$30,0)</f>
        <v/>
      </c>
      <c r="M18" s="34">
        <f>IF(M2&gt;=Projections!$D$28,Projections!$B$30,0)</f>
        <v/>
      </c>
      <c r="N18" s="34">
        <f>IF(N2&gt;=Projections!$D$28,Projections!$B$30,0)</f>
        <v/>
      </c>
      <c r="O18" s="34">
        <f>IF(O2&gt;=Projections!$D$28,Projections!$B$30,0)</f>
        <v/>
      </c>
      <c r="P18" s="34">
        <f>IF(P2&gt;=Projections!$D$28,Projections!$B$30,0)</f>
        <v/>
      </c>
      <c r="Q18" s="34">
        <f>IF(Q2&gt;=Projections!$D$28,Projections!$B$30,0)</f>
        <v/>
      </c>
      <c r="R18" s="34">
        <f>IF(R2&gt;=Projections!$D$28,Projections!$B$30,0)</f>
        <v/>
      </c>
      <c r="S18" s="34">
        <f>IF(S2&gt;=Projections!$D$28,Projections!$B$30,0)</f>
        <v/>
      </c>
      <c r="T18" s="34">
        <f>IF(T2&gt;=Projections!$D$28,Projections!$B$30,0)</f>
        <v/>
      </c>
      <c r="U18" s="34">
        <f>IF(U2&gt;=Projections!$D$28,Projections!$B$30,0)</f>
        <v/>
      </c>
      <c r="V18" s="34">
        <f>IF(V2&gt;=Projections!$D$28,Projections!$B$30,0)</f>
        <v/>
      </c>
      <c r="W18" s="34">
        <f>IF(W2&gt;=Projections!$D$28,Projections!$B$30,0)</f>
        <v/>
      </c>
      <c r="X18" s="34">
        <f>IF(X2&gt;=Projections!$D$28,Projections!$B$30,0)</f>
        <v/>
      </c>
      <c r="Y18" s="34">
        <f>IF(Y2&gt;=Projections!$D$28,Projections!$B$30,0)</f>
        <v/>
      </c>
      <c r="Z18" s="34">
        <f>IF(Z2&gt;=Projections!$D$28,Projections!$B$30,0)</f>
        <v/>
      </c>
      <c r="AA18" s="34">
        <f>IF(AA2&gt;=Projections!$D$28,Projections!$B$30,0)</f>
        <v/>
      </c>
      <c r="AB18" s="34">
        <f>IF(AB2&gt;=Projections!$D$28,Projections!$B$30,0)</f>
        <v/>
      </c>
      <c r="AC18" s="34">
        <f>IF(AC2&gt;=Projections!$D$28,Projections!$B$30,0)</f>
        <v/>
      </c>
      <c r="AD18" s="34">
        <f>IF(AD2&gt;=Projections!$D$28,Projections!$B$30,0)</f>
        <v/>
      </c>
      <c r="AE18" s="34">
        <f>IF(AE2&gt;=Projections!$D$28,Projections!$B$30,0)</f>
        <v/>
      </c>
      <c r="AF18" s="34">
        <f>IF(AF2&gt;=Projections!$D$28,Projections!$B$30,0)</f>
        <v/>
      </c>
      <c r="AG18" s="34">
        <f>IF(AG2&gt;=Projections!$D$28,Projections!$B$30,0)</f>
        <v/>
      </c>
      <c r="AH18" s="34">
        <f>IF(AH2&gt;=Projections!$D$28,Projections!$B$30,0)</f>
        <v/>
      </c>
      <c r="AI18" s="34">
        <f>IF(AI2&gt;=Projections!$D$28,Projections!$B$30,0)</f>
        <v/>
      </c>
      <c r="AJ18" s="34">
        <f>IF(AJ2&gt;=Projections!$D$28,Projections!$B$30,0)</f>
        <v/>
      </c>
      <c r="AK18" s="34">
        <f>IF(AK2&gt;=Projections!$D$28,Projections!$B$30,0)</f>
        <v/>
      </c>
      <c r="AL18" s="34">
        <f>IF(AL2&gt;=Projections!$D$28,Projections!$B$30,0)</f>
        <v/>
      </c>
      <c r="AM18" s="34">
        <f>IF(AM2&gt;=Projections!$D$28,Projections!$B$30,0)</f>
        <v/>
      </c>
      <c r="AN18" s="34">
        <f>IF(AN2&gt;=Projections!$D$28,Projections!$B$30,0)</f>
        <v/>
      </c>
      <c r="AO18" s="34">
        <f>IF(AO2&gt;=Projections!$D$28,Projections!$B$30,0)</f>
        <v/>
      </c>
      <c r="AP18" s="34">
        <f>IF(AP2&gt;=Projections!$D$28,Projections!$B$30,0)</f>
        <v/>
      </c>
      <c r="AQ18" s="34">
        <f>IF(AQ2&gt;=Projections!$D$28,Projections!$B$30,0)</f>
        <v/>
      </c>
      <c r="AR18" s="34">
        <f>IF(AR2&gt;=Projections!$D$28,Projections!$B$30,0)</f>
        <v/>
      </c>
      <c r="AS18" s="34">
        <f>IF(AS2&gt;=Projections!$D$28,Projections!$B$30,0)</f>
        <v/>
      </c>
      <c r="AT18" s="34">
        <f>IF(AT2&gt;=Projections!$D$28,Projections!$B$30,0)</f>
        <v/>
      </c>
      <c r="AU18" s="34">
        <f>IF(AU2&gt;=Projections!$D$28,Projections!$B$30,0)</f>
        <v/>
      </c>
      <c r="AV18" s="34">
        <f>IF(AV2&gt;=Projections!$D$28,Projections!$B$30,0)</f>
        <v/>
      </c>
      <c r="AW18" s="34">
        <f>IF(AW2&gt;=Projections!$D$28,Projections!$B$30,0)</f>
        <v/>
      </c>
      <c r="AX18" s="34">
        <f>IF(AX2&gt;=Projections!$D$28,Projections!$B$30,0)</f>
        <v/>
      </c>
      <c r="AY18" s="34">
        <f>IF(AY2&gt;=Projections!$D$28,Projections!$B$30,0)</f>
        <v/>
      </c>
      <c r="AZ18" s="34">
        <f>IF(AZ2&gt;=Projections!$D$28,Projections!$B$30,0)</f>
        <v/>
      </c>
      <c r="BA18" s="34">
        <f>IF(BA2&gt;=Projections!$D$28,Projections!$B$30,0)</f>
        <v/>
      </c>
      <c r="BB18" s="34">
        <f>IF(BB2&gt;=Projections!$D$28,Projections!$B$30,0)</f>
        <v/>
      </c>
      <c r="BC18" s="34">
        <f>IF(BC2&gt;=Projections!$D$28,Projections!$B$30,0)</f>
        <v/>
      </c>
      <c r="BD18" s="34">
        <f>IF(BD2&gt;=Projections!$D$28,Projections!$B$30,0)</f>
        <v/>
      </c>
      <c r="BE18" s="34">
        <f>IF(BE2&gt;=Projections!$D$28,Projections!$B$30,0)</f>
        <v/>
      </c>
      <c r="BF18" s="34">
        <f>IF(BF2&gt;=Projections!$D$28,Projections!$B$30,0)</f>
        <v/>
      </c>
      <c r="BG18" s="34">
        <f>IF(BG2&gt;=Projections!$D$28,Projections!$B$30,0)</f>
        <v/>
      </c>
      <c r="BH18" s="34">
        <f>IF(BH2&gt;=Projections!$D$28,Projections!$B$30,0)</f>
        <v/>
      </c>
      <c r="BI18" s="34">
        <f>IF(BI2&gt;=Projections!$D$28,Projections!$B$30,0)</f>
        <v/>
      </c>
      <c r="BJ18" s="34">
        <f>IF(BJ2&gt;=Projections!$D$28,Projections!$B$30,0)</f>
        <v/>
      </c>
      <c r="BK18" s="34">
        <f>IF(BK2&gt;=Projections!$D$28,Projections!$B$30,0)</f>
        <v/>
      </c>
      <c r="BL18" s="34">
        <f>IF(BL2&gt;=Projections!$D$28,Projections!$B$30,0)</f>
        <v/>
      </c>
      <c r="BM18" s="34">
        <f>IF(BM2&gt;=Projections!$D$28,Projections!$B$30,0)</f>
        <v/>
      </c>
      <c r="BN18" s="34">
        <f>IF(BN2&gt;=Projections!$D$28,Projections!$B$30,0)</f>
        <v/>
      </c>
      <c r="BO18" s="34">
        <f>IF(BO2&gt;=Projections!$D$28,Projections!$B$30,0)</f>
        <v/>
      </c>
      <c r="BP18" s="34">
        <f>IF(BP2&gt;=Projections!$D$28,Projections!$B$30,0)</f>
        <v/>
      </c>
      <c r="BQ18" s="34">
        <f>IF(BQ2&gt;=Projections!$D$28,Projections!$B$30,0)</f>
        <v/>
      </c>
      <c r="BR18" s="34">
        <f>IF(BR2&gt;=Projections!$D$28,Projections!$B$30,0)</f>
        <v/>
      </c>
      <c r="BS18" s="34">
        <f>IF(BS2&gt;=Projections!$D$28,Projections!$B$30,0)</f>
        <v/>
      </c>
      <c r="BT18" s="34">
        <f>IF(BT2&gt;=Projections!$D$28,Projections!$B$30,0)</f>
        <v/>
      </c>
      <c r="BU18" s="34">
        <f>IF(BU2&gt;=Projections!$D$28,Projections!$B$30,0)</f>
        <v/>
      </c>
      <c r="BV18" s="34">
        <f>IF(BV2&gt;=Projections!$D$28,Projections!$B$30,0)</f>
        <v/>
      </c>
      <c r="BW18" s="34">
        <f>IF(BW2&gt;=Projections!$D$28,Projections!$B$30,0)</f>
        <v/>
      </c>
      <c r="BX18" s="34">
        <f>IF(BX2&gt;=Projections!$D$28,Projections!$B$30,0)</f>
        <v/>
      </c>
      <c r="BY18" s="34">
        <f>IF(BY2&gt;=Projections!$D$28,Projections!$B$30,0)</f>
        <v/>
      </c>
      <c r="BZ18" s="34">
        <f>IF(BZ2&gt;=Projections!$D$28,Projections!$B$30,0)</f>
        <v/>
      </c>
      <c r="CA18" s="34">
        <f>IF(CA2&gt;=Projections!$D$28,Projections!$B$30,0)</f>
        <v/>
      </c>
      <c r="CB18" s="34">
        <f>IF(CB2&gt;=Projections!$D$28,Projections!$B$30,0)</f>
        <v/>
      </c>
      <c r="CC18" s="34">
        <f>IF(CC2&gt;=Projections!$D$28,Projections!$B$30,0)</f>
        <v/>
      </c>
      <c r="CD18" s="34">
        <f>IF(CD2&gt;=Projections!$D$28,Projections!$B$30,0)</f>
        <v/>
      </c>
      <c r="CE18" s="34">
        <f>IF(CE2&gt;=Projections!$D$28,Projections!$B$30,0)</f>
        <v/>
      </c>
      <c r="CF18" s="34">
        <f>IF(CF2&gt;=Projections!$D$28,Projections!$B$30,0)</f>
        <v/>
      </c>
      <c r="CG18" s="34">
        <f>IF(CG2&gt;=Projections!$D$28,Projections!$B$30,0)</f>
        <v/>
      </c>
      <c r="CH18" s="34">
        <f>IF(CH2&gt;=Projections!$D$28,Projections!$B$30,0)</f>
        <v/>
      </c>
      <c r="CI18" s="34">
        <f>IF(CI2&gt;=Projections!$D$28,Projections!$B$30,0)</f>
        <v/>
      </c>
      <c r="CJ18" s="34">
        <f>IF(CJ2&gt;=Projections!$D$28,Projections!$B$30,0)</f>
        <v/>
      </c>
      <c r="CK18" s="34">
        <f>IF(CK2&gt;=Projections!$D$28,Projections!$B$30,0)</f>
        <v/>
      </c>
      <c r="CL18" s="34">
        <f>IF(CL2&gt;=Projections!$D$28,Projections!$B$30,0)</f>
        <v/>
      </c>
      <c r="CM18" s="34">
        <f>IF(CM2&gt;=Projections!$D$28,Projections!$B$30,0)</f>
        <v/>
      </c>
      <c r="CN18" s="34">
        <f>IF(CN2&gt;=Projections!$D$28,Projections!$B$30,0)</f>
        <v/>
      </c>
      <c r="CO18" s="34">
        <f>IF(CO2&gt;=Projections!$D$28,Projections!$B$30,0)</f>
        <v/>
      </c>
      <c r="CP18" s="34">
        <f>IF(CP2&gt;=Projections!$D$28,Projections!$B$30,0)</f>
        <v/>
      </c>
      <c r="CQ18" s="34">
        <f>IF(CQ2&gt;=Projections!$D$28,Projections!$B$30,0)</f>
        <v/>
      </c>
      <c r="CR18" s="34">
        <f>IF(CR2&gt;=Projections!$D$28,Projections!$B$30,0)</f>
        <v/>
      </c>
      <c r="CS18" s="34">
        <f>IF(CS2&gt;=Projections!$D$28,Projections!$B$30,0)</f>
        <v/>
      </c>
      <c r="CT18" s="34">
        <f>IF(CT2&gt;=Projections!$D$28,Projections!$B$30,0)</f>
        <v/>
      </c>
      <c r="CU18" s="34">
        <f>IF(CU2&gt;=Projections!$D$28,Projections!$B$30,0)</f>
        <v/>
      </c>
      <c r="CV18" s="34">
        <f>IF(CV2&gt;=Projections!$D$28,Projections!$B$30,0)</f>
        <v/>
      </c>
      <c r="CW18" s="34">
        <f>IF(CW2&gt;=Projections!$D$28,Projections!$B$30,0)</f>
        <v/>
      </c>
      <c r="CX18" s="34">
        <f>IF(CX2&gt;=Projections!$D$28,Projections!$B$30,0)</f>
        <v/>
      </c>
    </row>
    <row r="19" outlineLevel="1" ht="15.75" customHeight="1" s="255">
      <c r="A19" s="140" t="inlineStr">
        <is>
          <t>Lost subscribers</t>
        </is>
      </c>
      <c r="B19" s="139" t="n"/>
      <c r="C19" s="139" t="n"/>
      <c r="D19" s="139" t="n"/>
      <c r="E19" s="139">
        <f>D20*E18</f>
        <v/>
      </c>
      <c r="F19" s="139">
        <f>E20*F18</f>
        <v/>
      </c>
      <c r="G19" s="139">
        <f>F20*G18</f>
        <v/>
      </c>
      <c r="H19" s="139">
        <f>G20*H18</f>
        <v/>
      </c>
      <c r="I19" s="139">
        <f>H20*I18</f>
        <v/>
      </c>
      <c r="J19" s="139">
        <f>I20*J18</f>
        <v/>
      </c>
      <c r="K19" s="139">
        <f>J20*K18</f>
        <v/>
      </c>
      <c r="L19" s="139">
        <f>K20*L18</f>
        <v/>
      </c>
      <c r="M19" s="139">
        <f>L20*M18</f>
        <v/>
      </c>
      <c r="N19" s="139">
        <f>M20*N18</f>
        <v/>
      </c>
      <c r="O19" s="139">
        <f>N20*O18</f>
        <v/>
      </c>
      <c r="P19" s="139">
        <f>O20*P18</f>
        <v/>
      </c>
      <c r="Q19" s="139">
        <f>P20*Q18</f>
        <v/>
      </c>
      <c r="R19" s="139">
        <f>Q20*R18</f>
        <v/>
      </c>
      <c r="S19" s="139">
        <f>R20*S18</f>
        <v/>
      </c>
      <c r="T19" s="139">
        <f>S20*T18</f>
        <v/>
      </c>
      <c r="U19" s="139">
        <f>T20*U18</f>
        <v/>
      </c>
      <c r="V19" s="139">
        <f>U20*V18</f>
        <v/>
      </c>
      <c r="W19" s="139">
        <f>V20*W18</f>
        <v/>
      </c>
      <c r="X19" s="139">
        <f>W20*X18</f>
        <v/>
      </c>
      <c r="Y19" s="139">
        <f>X20*Y18</f>
        <v/>
      </c>
      <c r="Z19" s="139">
        <f>Y20*Z18</f>
        <v/>
      </c>
      <c r="AA19" s="139">
        <f>Z20*AA18</f>
        <v/>
      </c>
      <c r="AB19" s="139">
        <f>AA20*AB18</f>
        <v/>
      </c>
      <c r="AC19" s="139">
        <f>AB20*AC18</f>
        <v/>
      </c>
      <c r="AD19" s="139">
        <f>AC20*AD18</f>
        <v/>
      </c>
      <c r="AE19" s="139">
        <f>AD20*AE18</f>
        <v/>
      </c>
      <c r="AF19" s="139">
        <f>AE20*AF18</f>
        <v/>
      </c>
      <c r="AG19" s="139">
        <f>AF20*AG18</f>
        <v/>
      </c>
      <c r="AH19" s="139">
        <f>AG20*AH18</f>
        <v/>
      </c>
      <c r="AI19" s="139">
        <f>AH20*AI18</f>
        <v/>
      </c>
      <c r="AJ19" s="139">
        <f>AI20*AJ18</f>
        <v/>
      </c>
      <c r="AK19" s="139">
        <f>AJ20*AK18</f>
        <v/>
      </c>
      <c r="AL19" s="139">
        <f>AK20*AL18</f>
        <v/>
      </c>
      <c r="AM19" s="139">
        <f>AL20*AM18</f>
        <v/>
      </c>
      <c r="AN19" s="139">
        <f>AM20*AN18</f>
        <v/>
      </c>
      <c r="AO19" s="139">
        <f>AN20*AO18</f>
        <v/>
      </c>
      <c r="AP19" s="139">
        <f>AO20*AP18</f>
        <v/>
      </c>
      <c r="AQ19" s="139">
        <f>AP20*AQ18</f>
        <v/>
      </c>
      <c r="AR19" s="139">
        <f>AQ20*AR18</f>
        <v/>
      </c>
      <c r="AS19" s="139">
        <f>AR20*AS18</f>
        <v/>
      </c>
      <c r="AT19" s="139">
        <f>AS20*AT18</f>
        <v/>
      </c>
      <c r="AU19" s="139">
        <f>AT20*AU18</f>
        <v/>
      </c>
      <c r="AV19" s="139">
        <f>AU20*AV18</f>
        <v/>
      </c>
      <c r="AW19" s="139">
        <f>AV20*AW18</f>
        <v/>
      </c>
      <c r="AX19" s="139">
        <f>AW20*AX18</f>
        <v/>
      </c>
      <c r="AY19" s="139">
        <f>AX20*AY18</f>
        <v/>
      </c>
      <c r="AZ19" s="139">
        <f>AY20*AZ18</f>
        <v/>
      </c>
      <c r="BA19" s="139">
        <f>AZ20*BA18</f>
        <v/>
      </c>
      <c r="BB19" s="139">
        <f>BA20*BB18</f>
        <v/>
      </c>
      <c r="BC19" s="139">
        <f>BB20*BC18</f>
        <v/>
      </c>
      <c r="BD19" s="139">
        <f>BC20*BD18</f>
        <v/>
      </c>
      <c r="BE19" s="139">
        <f>BD20*BE18</f>
        <v/>
      </c>
      <c r="BF19" s="139">
        <f>BE20*BF18</f>
        <v/>
      </c>
      <c r="BG19" s="139">
        <f>BF20*BG18</f>
        <v/>
      </c>
      <c r="BH19" s="139">
        <f>BG20*BH18</f>
        <v/>
      </c>
      <c r="BI19" s="139">
        <f>BH20*BI18</f>
        <v/>
      </c>
      <c r="BJ19" s="139">
        <f>BI20*BJ18</f>
        <v/>
      </c>
      <c r="BK19" s="139">
        <f>BJ20*BK18</f>
        <v/>
      </c>
      <c r="BL19" s="139">
        <f>BK20*BL18</f>
        <v/>
      </c>
      <c r="BM19" s="139">
        <f>BL20*BM18</f>
        <v/>
      </c>
      <c r="BN19" s="139">
        <f>BM20*BN18</f>
        <v/>
      </c>
      <c r="BO19" s="139">
        <f>BN20*BO18</f>
        <v/>
      </c>
      <c r="BP19" s="139">
        <f>BO20*BP18</f>
        <v/>
      </c>
      <c r="BQ19" s="139">
        <f>BP20*BQ18</f>
        <v/>
      </c>
      <c r="BR19" s="139">
        <f>BQ20*BR18</f>
        <v/>
      </c>
      <c r="BS19" s="139">
        <f>BR20*BS18</f>
        <v/>
      </c>
      <c r="BT19" s="139">
        <f>BS20*BT18</f>
        <v/>
      </c>
      <c r="BU19" s="139">
        <f>BT20*BU18</f>
        <v/>
      </c>
      <c r="BV19" s="139">
        <f>BU20*BV18</f>
        <v/>
      </c>
      <c r="BW19" s="139">
        <f>BV20*BW18</f>
        <v/>
      </c>
      <c r="BX19" s="139">
        <f>BW20*BX18</f>
        <v/>
      </c>
      <c r="BY19" s="139">
        <f>BX20*BY18</f>
        <v/>
      </c>
      <c r="BZ19" s="139">
        <f>BY20*BZ18</f>
        <v/>
      </c>
      <c r="CA19" s="139">
        <f>BZ20*CA18</f>
        <v/>
      </c>
      <c r="CB19" s="139">
        <f>CA20*CB18</f>
        <v/>
      </c>
      <c r="CC19" s="139">
        <f>CB20*CC18</f>
        <v/>
      </c>
      <c r="CD19" s="139">
        <f>CC20*CD18</f>
        <v/>
      </c>
      <c r="CE19" s="139">
        <f>CD20*CE18</f>
        <v/>
      </c>
      <c r="CF19" s="139">
        <f>CE20*CF18</f>
        <v/>
      </c>
      <c r="CG19" s="139">
        <f>CF20*CG18</f>
        <v/>
      </c>
      <c r="CH19" s="139">
        <f>CG20*CH18</f>
        <v/>
      </c>
      <c r="CI19" s="139">
        <f>CH20*CI18</f>
        <v/>
      </c>
      <c r="CJ19" s="139">
        <f>CI20*CJ18</f>
        <v/>
      </c>
      <c r="CK19" s="139">
        <f>CJ20*CK18</f>
        <v/>
      </c>
      <c r="CL19" s="139">
        <f>CK20*CL18</f>
        <v/>
      </c>
      <c r="CM19" s="139">
        <f>CL20*CM18</f>
        <v/>
      </c>
      <c r="CN19" s="139">
        <f>CM20*CN18</f>
        <v/>
      </c>
      <c r="CO19" s="139">
        <f>CN20*CO18</f>
        <v/>
      </c>
      <c r="CP19" s="139">
        <f>CO20*CP18</f>
        <v/>
      </c>
      <c r="CQ19" s="139">
        <f>CP20*CQ18</f>
        <v/>
      </c>
      <c r="CR19" s="139">
        <f>CQ20*CR18</f>
        <v/>
      </c>
      <c r="CS19" s="139">
        <f>CR20*CS18</f>
        <v/>
      </c>
      <c r="CT19" s="139">
        <f>CS20*CT18</f>
        <v/>
      </c>
      <c r="CU19" s="139">
        <f>CT20*CU18</f>
        <v/>
      </c>
      <c r="CV19" s="139">
        <f>CU20*CV18</f>
        <v/>
      </c>
      <c r="CW19" s="139">
        <f>CV20*CW18</f>
        <v/>
      </c>
      <c r="CX19" s="139">
        <f>CW20*CX18</f>
        <v/>
      </c>
    </row>
    <row r="20" outlineLevel="1" ht="15.75" customHeight="1" s="255">
      <c r="A20" s="5" t="inlineStr">
        <is>
          <t>Subscribers - End of the period</t>
        </is>
      </c>
      <c r="B20" s="42" t="n"/>
      <c r="C20" s="42" t="n"/>
      <c r="D20" s="42" t="n"/>
      <c r="E20" s="139">
        <f>D20+E17-E19</f>
        <v/>
      </c>
      <c r="F20" s="139">
        <f>E20+F17-F19</f>
        <v/>
      </c>
      <c r="G20" s="139">
        <f>F20+G17-G19</f>
        <v/>
      </c>
      <c r="H20" s="139">
        <f>G20+H17-H19</f>
        <v/>
      </c>
      <c r="I20" s="139">
        <f>H20+I17-I19</f>
        <v/>
      </c>
      <c r="J20" s="139">
        <f>I20+J17-J19</f>
        <v/>
      </c>
      <c r="K20" s="139">
        <f>J20+K17-K19</f>
        <v/>
      </c>
      <c r="L20" s="139">
        <f>K20+L17-L19</f>
        <v/>
      </c>
      <c r="M20" s="139">
        <f>L20+M17-M19</f>
        <v/>
      </c>
      <c r="N20" s="139">
        <f>M20+N17-N19</f>
        <v/>
      </c>
      <c r="O20" s="139">
        <f>N20+O17-O19</f>
        <v/>
      </c>
      <c r="P20" s="139">
        <f>O20+P17-P19</f>
        <v/>
      </c>
      <c r="Q20" s="139">
        <f>P20+Q17-Q19</f>
        <v/>
      </c>
      <c r="R20" s="139">
        <f>Q20+R17-R19</f>
        <v/>
      </c>
      <c r="S20" s="139">
        <f>R20+S17-S19</f>
        <v/>
      </c>
      <c r="T20" s="139">
        <f>S20+T17-T19</f>
        <v/>
      </c>
      <c r="U20" s="139">
        <f>T20+U17-U19</f>
        <v/>
      </c>
      <c r="V20" s="139">
        <f>U20+V17-V19</f>
        <v/>
      </c>
      <c r="W20" s="139">
        <f>V20+W17-W19</f>
        <v/>
      </c>
      <c r="X20" s="139">
        <f>W20+X17-X19</f>
        <v/>
      </c>
      <c r="Y20" s="139">
        <f>X20+Y17-Y19</f>
        <v/>
      </c>
      <c r="Z20" s="139">
        <f>Y20+Z17-Z19</f>
        <v/>
      </c>
      <c r="AA20" s="139">
        <f>Z20+AA17-AA19</f>
        <v/>
      </c>
      <c r="AB20" s="139">
        <f>AA20+AB17-AB19</f>
        <v/>
      </c>
      <c r="AC20" s="139">
        <f>AB20+AC17-AC19</f>
        <v/>
      </c>
      <c r="AD20" s="139">
        <f>AC20+AD17-AD19</f>
        <v/>
      </c>
      <c r="AE20" s="139">
        <f>AD20+AE17-AE19</f>
        <v/>
      </c>
      <c r="AF20" s="139">
        <f>AE20+AF17-AF19</f>
        <v/>
      </c>
      <c r="AG20" s="139">
        <f>AF20+AG17-AG19</f>
        <v/>
      </c>
      <c r="AH20" s="139">
        <f>AG20+AH17-AH19</f>
        <v/>
      </c>
      <c r="AI20" s="139">
        <f>AH20+AI17-AI19</f>
        <v/>
      </c>
      <c r="AJ20" s="139">
        <f>AI20+AJ17-AJ19</f>
        <v/>
      </c>
      <c r="AK20" s="139">
        <f>AJ20+AK17-AK19</f>
        <v/>
      </c>
      <c r="AL20" s="139">
        <f>AK20+AL17-AL19</f>
        <v/>
      </c>
      <c r="AM20" s="139">
        <f>AL20+AM17-AM19</f>
        <v/>
      </c>
      <c r="AN20" s="139">
        <f>AM20+AN17-AN19</f>
        <v/>
      </c>
      <c r="AO20" s="139">
        <f>AN20+AO17-AO19</f>
        <v/>
      </c>
      <c r="AP20" s="139">
        <f>AO20+AP17-AP19</f>
        <v/>
      </c>
      <c r="AQ20" s="139">
        <f>AP20+AQ17-AQ19</f>
        <v/>
      </c>
      <c r="AR20" s="139">
        <f>AQ20+AR17-AR19</f>
        <v/>
      </c>
      <c r="AS20" s="139">
        <f>AR20+AS17-AS19</f>
        <v/>
      </c>
      <c r="AT20" s="139">
        <f>AS20+AT17-AT19</f>
        <v/>
      </c>
      <c r="AU20" s="139">
        <f>AT20+AU17-AU19</f>
        <v/>
      </c>
      <c r="AV20" s="139">
        <f>AU20+AV17-AV19</f>
        <v/>
      </c>
      <c r="AW20" s="139">
        <f>AV20+AW17-AW19</f>
        <v/>
      </c>
      <c r="AX20" s="139">
        <f>AW20+AX17-AX19</f>
        <v/>
      </c>
      <c r="AY20" s="139">
        <f>AX20+AY17-AY19</f>
        <v/>
      </c>
      <c r="AZ20" s="139">
        <f>AY20+AZ17-AZ19</f>
        <v/>
      </c>
      <c r="BA20" s="139">
        <f>AZ20+BA17-BA19</f>
        <v/>
      </c>
      <c r="BB20" s="139">
        <f>BA20+BB17-BB19</f>
        <v/>
      </c>
      <c r="BC20" s="139">
        <f>BB20+BC17-BC19</f>
        <v/>
      </c>
      <c r="BD20" s="139">
        <f>BC20+BD17-BD19</f>
        <v/>
      </c>
      <c r="BE20" s="139">
        <f>BD20+BE17-BE19</f>
        <v/>
      </c>
      <c r="BF20" s="139">
        <f>BE20+BF17-BF19</f>
        <v/>
      </c>
      <c r="BG20" s="139">
        <f>BF20+BG17-BG19</f>
        <v/>
      </c>
      <c r="BH20" s="139">
        <f>BG20+BH17-BH19</f>
        <v/>
      </c>
      <c r="BI20" s="139">
        <f>BH20+BI17-BI19</f>
        <v/>
      </c>
      <c r="BJ20" s="139">
        <f>BI20+BJ17-BJ19</f>
        <v/>
      </c>
      <c r="BK20" s="139">
        <f>BJ20+BK17-BK19</f>
        <v/>
      </c>
      <c r="BL20" s="139">
        <f>BK20+BL17-BL19</f>
        <v/>
      </c>
      <c r="BM20" s="139">
        <f>BL20+BM17-BM19</f>
        <v/>
      </c>
      <c r="BN20" s="139">
        <f>BM20+BN17-BN19</f>
        <v/>
      </c>
      <c r="BO20" s="139">
        <f>BN20+BO17-BO19</f>
        <v/>
      </c>
      <c r="BP20" s="139">
        <f>BO20+BP17-BP19</f>
        <v/>
      </c>
      <c r="BQ20" s="139">
        <f>BP20+BQ17-BQ19</f>
        <v/>
      </c>
      <c r="BR20" s="139">
        <f>BQ20+BR17-BR19</f>
        <v/>
      </c>
      <c r="BS20" s="139">
        <f>BR20+BS17-BS19</f>
        <v/>
      </c>
      <c r="BT20" s="139">
        <f>BS20+BT17-BT19</f>
        <v/>
      </c>
      <c r="BU20" s="139">
        <f>BT20+BU17-BU19</f>
        <v/>
      </c>
      <c r="BV20" s="139">
        <f>BU20+BV17-BV19</f>
        <v/>
      </c>
      <c r="BW20" s="139">
        <f>BV20+BW17-BW19</f>
        <v/>
      </c>
      <c r="BX20" s="139">
        <f>BW20+BX17-BX19</f>
        <v/>
      </c>
      <c r="BY20" s="139">
        <f>BX20+BY17-BY19</f>
        <v/>
      </c>
      <c r="BZ20" s="139">
        <f>BY20+BZ17-BZ19</f>
        <v/>
      </c>
      <c r="CA20" s="139">
        <f>BZ20+CA17-CA19</f>
        <v/>
      </c>
      <c r="CB20" s="139">
        <f>CA20+CB17-CB19</f>
        <v/>
      </c>
      <c r="CC20" s="139">
        <f>CB20+CC17-CC19</f>
        <v/>
      </c>
      <c r="CD20" s="139">
        <f>CC20+CD17-CD19</f>
        <v/>
      </c>
      <c r="CE20" s="139">
        <f>CD20+CE17-CE19</f>
        <v/>
      </c>
      <c r="CF20" s="139">
        <f>CE20+CF17-CF19</f>
        <v/>
      </c>
      <c r="CG20" s="139">
        <f>CF20+CG17-CG19</f>
        <v/>
      </c>
      <c r="CH20" s="139">
        <f>CG20+CH17-CH19</f>
        <v/>
      </c>
      <c r="CI20" s="139">
        <f>CH20+CI17-CI19</f>
        <v/>
      </c>
      <c r="CJ20" s="139">
        <f>CI20+CJ17-CJ19</f>
        <v/>
      </c>
      <c r="CK20" s="139">
        <f>CJ20+CK17-CK19</f>
        <v/>
      </c>
      <c r="CL20" s="139">
        <f>CK20+CL17-CL19</f>
        <v/>
      </c>
      <c r="CM20" s="139">
        <f>CL20+CM17-CM19</f>
        <v/>
      </c>
      <c r="CN20" s="139">
        <f>CM20+CN17-CN19</f>
        <v/>
      </c>
      <c r="CO20" s="139">
        <f>CN20+CO17-CO19</f>
        <v/>
      </c>
      <c r="CP20" s="139">
        <f>CO20+CP17-CP19</f>
        <v/>
      </c>
      <c r="CQ20" s="139">
        <f>CP20+CQ17-CQ19</f>
        <v/>
      </c>
      <c r="CR20" s="139">
        <f>CQ20+CR17-CR19</f>
        <v/>
      </c>
      <c r="CS20" s="139">
        <f>CR20+CS17-CS19</f>
        <v/>
      </c>
      <c r="CT20" s="139">
        <f>CS20+CT17-CT19</f>
        <v/>
      </c>
      <c r="CU20" s="139">
        <f>CT20+CU17-CU19</f>
        <v/>
      </c>
      <c r="CV20" s="139">
        <f>CU20+CV17-CV19</f>
        <v/>
      </c>
      <c r="CW20" s="139">
        <f>CV20+CW17-CW19</f>
        <v/>
      </c>
      <c r="CX20" s="139">
        <f>CW20+CX17-CX19</f>
        <v/>
      </c>
    </row>
    <row r="21" outlineLevel="1" ht="15.75" customHeight="1" s="255">
      <c r="A21" s="5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  <c r="CX21" s="42" t="n"/>
    </row>
    <row r="22" outlineLevel="1" ht="15.75" customHeight="1" s="255">
      <c r="A22" s="131" t="inlineStr">
        <is>
          <t>Gross revenue Self-service</t>
        </is>
      </c>
      <c r="B22" s="59" t="n"/>
      <c r="C22" s="59" t="n"/>
      <c r="D22" s="59" t="n"/>
      <c r="E22" s="60">
        <f>E20*Projections!$B$28</f>
        <v/>
      </c>
      <c r="F22" s="60">
        <f>F20*Projections!$B$28</f>
        <v/>
      </c>
      <c r="G22" s="60">
        <f>G20*Projections!$B$28</f>
        <v/>
      </c>
      <c r="H22" s="60">
        <f>H20*Projections!$B$28</f>
        <v/>
      </c>
      <c r="I22" s="60">
        <f>I20*Projections!$B$28</f>
        <v/>
      </c>
      <c r="J22" s="60">
        <f>J20*Projections!$B$28</f>
        <v/>
      </c>
      <c r="K22" s="60">
        <f>K20*Projections!$B$28</f>
        <v/>
      </c>
      <c r="L22" s="60">
        <f>L20*Projections!$B$28</f>
        <v/>
      </c>
      <c r="M22" s="60">
        <f>M20*Projections!$B$28</f>
        <v/>
      </c>
      <c r="N22" s="60">
        <f>N20*Projections!$B$28</f>
        <v/>
      </c>
      <c r="O22" s="60">
        <f>O20*Projections!$B$28</f>
        <v/>
      </c>
      <c r="P22" s="60">
        <f>P20*Projections!$B$28</f>
        <v/>
      </c>
      <c r="Q22" s="60">
        <f>Q20*Projections!$B$28</f>
        <v/>
      </c>
      <c r="R22" s="60">
        <f>R20*Projections!$B$28</f>
        <v/>
      </c>
      <c r="S22" s="60">
        <f>S20*Projections!$B$28</f>
        <v/>
      </c>
      <c r="T22" s="60">
        <f>T20*Projections!$B$28</f>
        <v/>
      </c>
      <c r="U22" s="60">
        <f>U20*Projections!$B$28</f>
        <v/>
      </c>
      <c r="V22" s="60">
        <f>V20*Projections!$B$28</f>
        <v/>
      </c>
      <c r="W22" s="60">
        <f>W20*Projections!$B$28</f>
        <v/>
      </c>
      <c r="X22" s="60">
        <f>X20*Projections!$B$28</f>
        <v/>
      </c>
      <c r="Y22" s="60">
        <f>Y20*Projections!$B$28</f>
        <v/>
      </c>
      <c r="Z22" s="60">
        <f>Z20*Projections!$B$28</f>
        <v/>
      </c>
      <c r="AA22" s="60">
        <f>AA20*Projections!$B$28</f>
        <v/>
      </c>
      <c r="AB22" s="60">
        <f>AB20*Projections!$B$28</f>
        <v/>
      </c>
      <c r="AC22" s="60">
        <f>AC20*Projections!$B$28</f>
        <v/>
      </c>
      <c r="AD22" s="60">
        <f>AD20*Projections!$B$28</f>
        <v/>
      </c>
      <c r="AE22" s="60">
        <f>AE20*Projections!$B$28</f>
        <v/>
      </c>
      <c r="AF22" s="60">
        <f>AF20*Projections!$B$28</f>
        <v/>
      </c>
      <c r="AG22" s="60">
        <f>AG20*Projections!$B$28</f>
        <v/>
      </c>
      <c r="AH22" s="60">
        <f>AH20*Projections!$B$28</f>
        <v/>
      </c>
      <c r="AI22" s="60">
        <f>AI20*Projections!$B$28</f>
        <v/>
      </c>
      <c r="AJ22" s="60">
        <f>AJ20*Projections!$B$28</f>
        <v/>
      </c>
      <c r="AK22" s="60">
        <f>AK20*Projections!$B$28</f>
        <v/>
      </c>
      <c r="AL22" s="60">
        <f>AL20*Projections!$B$28</f>
        <v/>
      </c>
      <c r="AM22" s="60">
        <f>AM20*Projections!$B$28</f>
        <v/>
      </c>
      <c r="AN22" s="60">
        <f>AN20*Projections!$B$28</f>
        <v/>
      </c>
      <c r="AO22" s="60">
        <f>AO20*Projections!$B$28</f>
        <v/>
      </c>
      <c r="AP22" s="60">
        <f>AP20*Projections!$B$28</f>
        <v/>
      </c>
      <c r="AQ22" s="60">
        <f>AQ20*Projections!$B$28</f>
        <v/>
      </c>
      <c r="AR22" s="60">
        <f>AR20*Projections!$B$28</f>
        <v/>
      </c>
      <c r="AS22" s="60">
        <f>AS20*Projections!$B$28</f>
        <v/>
      </c>
      <c r="AT22" s="60">
        <f>AT20*Projections!$B$28</f>
        <v/>
      </c>
      <c r="AU22" s="60">
        <f>AU20*Projections!$B$28</f>
        <v/>
      </c>
      <c r="AV22" s="60">
        <f>AV20*Projections!$B$28</f>
        <v/>
      </c>
      <c r="AW22" s="60">
        <f>AW20*Projections!$B$28</f>
        <v/>
      </c>
      <c r="AX22" s="60">
        <f>AX20*Projections!$B$28</f>
        <v/>
      </c>
      <c r="AY22" s="60">
        <f>AY20*Projections!$B$28</f>
        <v/>
      </c>
      <c r="AZ22" s="60">
        <f>AZ20*Projections!$B$28</f>
        <v/>
      </c>
      <c r="BA22" s="60">
        <f>BA20*Projections!$B$28</f>
        <v/>
      </c>
      <c r="BB22" s="60">
        <f>BB20*Projections!$B$28</f>
        <v/>
      </c>
      <c r="BC22" s="60">
        <f>BC20*Projections!$B$28</f>
        <v/>
      </c>
      <c r="BD22" s="60">
        <f>BD20*Projections!$B$28</f>
        <v/>
      </c>
      <c r="BE22" s="60">
        <f>BE20*Projections!$B$28</f>
        <v/>
      </c>
      <c r="BF22" s="60">
        <f>BF20*Projections!$B$28</f>
        <v/>
      </c>
      <c r="BG22" s="60">
        <f>BG20*Projections!$B$28</f>
        <v/>
      </c>
      <c r="BH22" s="60">
        <f>BH20*Projections!$B$28</f>
        <v/>
      </c>
      <c r="BI22" s="60">
        <f>BI20*Projections!$B$28</f>
        <v/>
      </c>
      <c r="BJ22" s="60">
        <f>BJ20*Projections!$B$28</f>
        <v/>
      </c>
      <c r="BK22" s="60">
        <f>BK20*Projections!$B$28</f>
        <v/>
      </c>
      <c r="BL22" s="60">
        <f>BL20*Projections!$B$28</f>
        <v/>
      </c>
      <c r="BM22" s="60">
        <f>BM20*Projections!$B$28</f>
        <v/>
      </c>
      <c r="BN22" s="60">
        <f>BN20*Projections!$B$28</f>
        <v/>
      </c>
      <c r="BO22" s="60">
        <f>BO20*Projections!$B$28</f>
        <v/>
      </c>
      <c r="BP22" s="60">
        <f>BP20*Projections!$B$28</f>
        <v/>
      </c>
      <c r="BQ22" s="60">
        <f>BQ20*Projections!$B$28</f>
        <v/>
      </c>
      <c r="BR22" s="60">
        <f>BR20*Projections!$B$28</f>
        <v/>
      </c>
      <c r="BS22" s="60">
        <f>BS20*Projections!$B$28</f>
        <v/>
      </c>
      <c r="BT22" s="60">
        <f>BT20*Projections!$B$28</f>
        <v/>
      </c>
      <c r="BU22" s="60">
        <f>BU20*Projections!$B$28</f>
        <v/>
      </c>
      <c r="BV22" s="60">
        <f>BV20*Projections!$B$28</f>
        <v/>
      </c>
      <c r="BW22" s="60">
        <f>BW20*Projections!$B$28</f>
        <v/>
      </c>
      <c r="BX22" s="60">
        <f>BX20*Projections!$B$28</f>
        <v/>
      </c>
      <c r="BY22" s="60">
        <f>BY20*Projections!$B$28</f>
        <v/>
      </c>
      <c r="BZ22" s="60">
        <f>BZ20*Projections!$B$28</f>
        <v/>
      </c>
      <c r="CA22" s="60">
        <f>CA20*Projections!$B$28</f>
        <v/>
      </c>
      <c r="CB22" s="60">
        <f>CB20*Projections!$B$28</f>
        <v/>
      </c>
      <c r="CC22" s="60">
        <f>CC20*Projections!$B$28</f>
        <v/>
      </c>
      <c r="CD22" s="60">
        <f>CD20*Projections!$B$28</f>
        <v/>
      </c>
      <c r="CE22" s="60">
        <f>CE20*Projections!$B$28</f>
        <v/>
      </c>
      <c r="CF22" s="60">
        <f>CF20*Projections!$B$28</f>
        <v/>
      </c>
      <c r="CG22" s="60">
        <f>CG20*Projections!$B$28</f>
        <v/>
      </c>
      <c r="CH22" s="60">
        <f>CH20*Projections!$B$28</f>
        <v/>
      </c>
      <c r="CI22" s="60">
        <f>CI20*Projections!$B$28</f>
        <v/>
      </c>
      <c r="CJ22" s="60">
        <f>CJ20*Projections!$B$28</f>
        <v/>
      </c>
      <c r="CK22" s="60">
        <f>CK20*Projections!$B$28</f>
        <v/>
      </c>
      <c r="CL22" s="60">
        <f>CL20*Projections!$B$28</f>
        <v/>
      </c>
      <c r="CM22" s="60">
        <f>CM20*Projections!$B$28</f>
        <v/>
      </c>
      <c r="CN22" s="60">
        <f>CN20*Projections!$B$28</f>
        <v/>
      </c>
      <c r="CO22" s="60">
        <f>CO20*Projections!$B$28</f>
        <v/>
      </c>
      <c r="CP22" s="60">
        <f>CP20*Projections!$B$28</f>
        <v/>
      </c>
      <c r="CQ22" s="60">
        <f>CQ20*Projections!$B$28</f>
        <v/>
      </c>
      <c r="CR22" s="60">
        <f>CR20*Projections!$B$28</f>
        <v/>
      </c>
      <c r="CS22" s="60">
        <f>CS20*Projections!$B$28</f>
        <v/>
      </c>
      <c r="CT22" s="60">
        <f>CT20*Projections!$B$28</f>
        <v/>
      </c>
      <c r="CU22" s="60">
        <f>CU20*Projections!$B$28</f>
        <v/>
      </c>
      <c r="CV22" s="60">
        <f>CV20*Projections!$B$28</f>
        <v/>
      </c>
      <c r="CW22" s="60">
        <f>CW20*Projections!$B$28</f>
        <v/>
      </c>
      <c r="CX22" s="60">
        <f>CX20*Projections!$B$28</f>
        <v/>
      </c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  <c r="CX23" s="42" t="n"/>
    </row>
    <row r="24" ht="15.75" customHeight="1" s="255">
      <c r="A24" s="167">
        <f>Projections!A39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  <c r="CX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</row>
    <row r="26" ht="15.75" customHeight="1" s="255">
      <c r="A26" s="135" t="inlineStr">
        <is>
          <t>Leads</t>
        </is>
      </c>
      <c r="B26" s="136" t="n"/>
      <c r="C26" s="136" t="n"/>
      <c r="D26" s="136" t="n"/>
      <c r="E26" s="139">
        <f>if(E2&gt;=Projections!$C$42,E12*Projections!$B$45,0)</f>
        <v/>
      </c>
      <c r="F26" s="139">
        <f>if(F2&gt;=Projections!$C$42,F12*Projections!$B$45,0)</f>
        <v/>
      </c>
      <c r="G26" s="139">
        <f>if(G2&gt;=Projections!$C$42,G12*Projections!$B$45,0)</f>
        <v/>
      </c>
      <c r="H26" s="139">
        <f>if(H2&gt;=Projections!$C$42,H12*Projections!$B$45,0)</f>
        <v/>
      </c>
      <c r="I26" s="139">
        <f>if(I2&gt;=Projections!$C$42,I12*Projections!$B$45,0)</f>
        <v/>
      </c>
      <c r="J26" s="139">
        <f>if(J2&gt;=Projections!$C$42,J12*Projections!$B$45,0)</f>
        <v/>
      </c>
      <c r="K26" s="139">
        <f>if(K2&gt;=Projections!$C$42,K12*Projections!$B$45,0)</f>
        <v/>
      </c>
      <c r="L26" s="139">
        <f>if(L2&gt;=Projections!$C$42,L12*Projections!$B$45,0)</f>
        <v/>
      </c>
      <c r="M26" s="139">
        <f>if(M2&gt;=Projections!$C$42,M12*Projections!$B$45,0)</f>
        <v/>
      </c>
      <c r="N26" s="139">
        <f>if(N2&gt;=Projections!$C$42,N12*Projections!$B$45,0)</f>
        <v/>
      </c>
      <c r="O26" s="139">
        <f>if(O2&gt;=Projections!$C$42,O12*Projections!$B$45,0)</f>
        <v/>
      </c>
      <c r="P26" s="139">
        <f>if(P2&gt;=Projections!$C$42,P12*Projections!$B$45,0)</f>
        <v/>
      </c>
      <c r="Q26" s="139">
        <f>if(Q2&gt;=Projections!$C$42,Q12*Projections!$B$45,0)</f>
        <v/>
      </c>
      <c r="R26" s="139">
        <f>if(R2&gt;=Projections!$C$42,R12*Projections!$B$45,0)</f>
        <v/>
      </c>
      <c r="S26" s="139">
        <f>if(S2&gt;=Projections!$C$42,S12*Projections!$B$45,0)</f>
        <v/>
      </c>
      <c r="T26" s="139">
        <f>if(T2&gt;=Projections!$C$42,T12*Projections!$B$45,0)</f>
        <v/>
      </c>
      <c r="U26" s="139">
        <f>if(U2&gt;=Projections!$C$42,U12*Projections!$B$45,0)</f>
        <v/>
      </c>
      <c r="V26" s="139">
        <f>if(V2&gt;=Projections!$C$42,V12*Projections!$B$45,0)</f>
        <v/>
      </c>
      <c r="W26" s="139">
        <f>if(W2&gt;=Projections!$C$42,W12*Projections!$B$45,0)</f>
        <v/>
      </c>
      <c r="X26" s="139">
        <f>if(X2&gt;=Projections!$C$42,X12*Projections!$B$45,0)</f>
        <v/>
      </c>
      <c r="Y26" s="139">
        <f>if(Y2&gt;=Projections!$C$42,Y12*Projections!$B$45,0)</f>
        <v/>
      </c>
      <c r="Z26" s="139">
        <f>if(Z2&gt;=Projections!$C$42,Z12*Projections!$B$45,0)</f>
        <v/>
      </c>
      <c r="AA26" s="139">
        <f>if(AA2&gt;=Projections!$C$42,AA12*Projections!$B$45,0)</f>
        <v/>
      </c>
      <c r="AB26" s="139">
        <f>if(AB2&gt;=Projections!$C$42,AB12*Projections!$B$45,0)</f>
        <v/>
      </c>
      <c r="AC26" s="139">
        <f>if(AC2&gt;=Projections!$C$42,AC12*Projections!$B$45,0)</f>
        <v/>
      </c>
      <c r="AD26" s="139">
        <f>if(AD2&gt;=Projections!$C$42,AD12*Projections!$B$45,0)</f>
        <v/>
      </c>
      <c r="AE26" s="139">
        <f>if(AE2&gt;=Projections!$C$42,AE12*Projections!$B$45,0)</f>
        <v/>
      </c>
      <c r="AF26" s="139">
        <f>if(AF2&gt;=Projections!$C$42,AF12*Projections!$B$45,0)</f>
        <v/>
      </c>
      <c r="AG26" s="139">
        <f>if(AG2&gt;=Projections!$C$42,AG12*Projections!$B$45,0)</f>
        <v/>
      </c>
      <c r="AH26" s="139">
        <f>if(AH2&gt;=Projections!$C$42,AH12*Projections!$B$45,0)</f>
        <v/>
      </c>
      <c r="AI26" s="139">
        <f>if(AI2&gt;=Projections!$C$42,AI12*Projections!$B$45,0)</f>
        <v/>
      </c>
      <c r="AJ26" s="139">
        <f>if(AJ2&gt;=Projections!$C$42,AJ12*Projections!$B$45,0)</f>
        <v/>
      </c>
      <c r="AK26" s="139">
        <f>if(AK2&gt;=Projections!$C$42,AK12*Projections!$B$45,0)</f>
        <v/>
      </c>
      <c r="AL26" s="139">
        <f>if(AL2&gt;=Projections!$C$42,AL12*Projections!$B$45,0)</f>
        <v/>
      </c>
      <c r="AM26" s="139">
        <f>if(AM2&gt;=Projections!$C$42,AM12*Projections!$B$45,0)</f>
        <v/>
      </c>
      <c r="AN26" s="139">
        <f>if(AN2&gt;=Projections!$C$42,AN12*Projections!$B$45,0)</f>
        <v/>
      </c>
      <c r="AO26" s="139">
        <f>if(AO2&gt;=Projections!$C$42,AO12*Projections!$B$45,0)</f>
        <v/>
      </c>
      <c r="AP26" s="139">
        <f>if(AP2&gt;=Projections!$C$42,AP12*Projections!$B$45,0)</f>
        <v/>
      </c>
      <c r="AQ26" s="139">
        <f>if(AQ2&gt;=Projections!$C$42,AQ12*Projections!$B$45,0)</f>
        <v/>
      </c>
      <c r="AR26" s="139">
        <f>if(AR2&gt;=Projections!$C$42,AR12*Projections!$B$45,0)</f>
        <v/>
      </c>
      <c r="AS26" s="139">
        <f>if(AS2&gt;=Projections!$C$42,AS12*Projections!$B$45,0)</f>
        <v/>
      </c>
      <c r="AT26" s="139">
        <f>if(AT2&gt;=Projections!$C$42,AT12*Projections!$B$45,0)</f>
        <v/>
      </c>
      <c r="AU26" s="139">
        <f>if(AU2&gt;=Projections!$C$42,AU12*Projections!$B$45,0)</f>
        <v/>
      </c>
      <c r="AV26" s="139">
        <f>if(AV2&gt;=Projections!$C$42,AV12*Projections!$B$45,0)</f>
        <v/>
      </c>
      <c r="AW26" s="139">
        <f>if(AW2&gt;=Projections!$C$42,AW12*Projections!$B$45,0)</f>
        <v/>
      </c>
      <c r="AX26" s="139">
        <f>if(AX2&gt;=Projections!$C$42,AX12*Projections!$B$45,0)</f>
        <v/>
      </c>
      <c r="AY26" s="139">
        <f>if(AY2&gt;=Projections!$C$42,AY12*Projections!$B$45,0)</f>
        <v/>
      </c>
      <c r="AZ26" s="139">
        <f>if(AZ2&gt;=Projections!$C$42,AZ12*Projections!$B$45,0)</f>
        <v/>
      </c>
      <c r="BA26" s="139">
        <f>if(BA2&gt;=Projections!$C$42,BA12*Projections!$B$45,0)</f>
        <v/>
      </c>
      <c r="BB26" s="139">
        <f>if(BB2&gt;=Projections!$C$42,BB12*Projections!$B$45,0)</f>
        <v/>
      </c>
      <c r="BC26" s="139">
        <f>if(BC2&gt;=Projections!$C$42,BC12*Projections!$B$45,0)</f>
        <v/>
      </c>
      <c r="BD26" s="139">
        <f>if(BD2&gt;=Projections!$C$42,BD12*Projections!$B$45,0)</f>
        <v/>
      </c>
      <c r="BE26" s="139">
        <f>if(BE2&gt;=Projections!$C$42,BE12*Projections!$B$45,0)</f>
        <v/>
      </c>
      <c r="BF26" s="139">
        <f>if(BF2&gt;=Projections!$C$42,BF12*Projections!$B$45,0)</f>
        <v/>
      </c>
      <c r="BG26" s="139">
        <f>if(BG2&gt;=Projections!$C$42,BG12*Projections!$B$45,0)</f>
        <v/>
      </c>
      <c r="BH26" s="139">
        <f>if(BH2&gt;=Projections!$C$42,BH12*Projections!$B$45,0)</f>
        <v/>
      </c>
      <c r="BI26" s="139">
        <f>if(BI2&gt;=Projections!$C$42,BI12*Projections!$B$45,0)</f>
        <v/>
      </c>
      <c r="BJ26" s="139">
        <f>if(BJ2&gt;=Projections!$C$42,BJ12*Projections!$B$45,0)</f>
        <v/>
      </c>
      <c r="BK26" s="139">
        <f>if(BK2&gt;=Projections!$C$42,BK12*Projections!$B$45,0)</f>
        <v/>
      </c>
      <c r="BL26" s="139">
        <f>if(BL2&gt;=Projections!$C$42,BL12*Projections!$B$45,0)</f>
        <v/>
      </c>
      <c r="BM26" s="139">
        <f>if(BM2&gt;=Projections!$C$42,BM12*Projections!$B$45,0)</f>
        <v/>
      </c>
      <c r="BN26" s="139">
        <f>if(BN2&gt;=Projections!$C$42,BN12*Projections!$B$45,0)</f>
        <v/>
      </c>
      <c r="BO26" s="139">
        <f>if(BO2&gt;=Projections!$C$42,BO12*Projections!$B$45,0)</f>
        <v/>
      </c>
      <c r="BP26" s="139">
        <f>if(BP2&gt;=Projections!$C$42,BP12*Projections!$B$45,0)</f>
        <v/>
      </c>
      <c r="BQ26" s="139">
        <f>if(BQ2&gt;=Projections!$C$42,BQ12*Projections!$B$45,0)</f>
        <v/>
      </c>
      <c r="BR26" s="139">
        <f>if(BR2&gt;=Projections!$C$42,BR12*Projections!$B$45,0)</f>
        <v/>
      </c>
      <c r="BS26" s="139">
        <f>if(BS2&gt;=Projections!$C$42,BS12*Projections!$B$45,0)</f>
        <v/>
      </c>
      <c r="BT26" s="139">
        <f>if(BT2&gt;=Projections!$C$42,BT12*Projections!$B$45,0)</f>
        <v/>
      </c>
      <c r="BU26" s="139">
        <f>if(BU2&gt;=Projections!$C$42,BU12*Projections!$B$45,0)</f>
        <v/>
      </c>
      <c r="BV26" s="139">
        <f>if(BV2&gt;=Projections!$C$42,BV12*Projections!$B$45,0)</f>
        <v/>
      </c>
      <c r="BW26" s="139">
        <f>if(BW2&gt;=Projections!$C$42,BW12*Projections!$B$45,0)</f>
        <v/>
      </c>
      <c r="BX26" s="139">
        <f>if(BX2&gt;=Projections!$C$42,BX12*Projections!$B$45,0)</f>
        <v/>
      </c>
      <c r="BY26" s="139">
        <f>if(BY2&gt;=Projections!$C$42,BY12*Projections!$B$45,0)</f>
        <v/>
      </c>
      <c r="BZ26" s="139">
        <f>if(BZ2&gt;=Projections!$C$42,BZ12*Projections!$B$45,0)</f>
        <v/>
      </c>
      <c r="CA26" s="139">
        <f>if(CA2&gt;=Projections!$C$42,CA12*Projections!$B$45,0)</f>
        <v/>
      </c>
      <c r="CB26" s="139">
        <f>if(CB2&gt;=Projections!$C$42,CB12*Projections!$B$45,0)</f>
        <v/>
      </c>
      <c r="CC26" s="139">
        <f>if(CC2&gt;=Projections!$C$42,CC12*Projections!$B$45,0)</f>
        <v/>
      </c>
      <c r="CD26" s="139">
        <f>if(CD2&gt;=Projections!$C$42,CD12*Projections!$B$45,0)</f>
        <v/>
      </c>
      <c r="CE26" s="139">
        <f>if(CE2&gt;=Projections!$C$42,CE12*Projections!$B$45,0)</f>
        <v/>
      </c>
      <c r="CF26" s="139">
        <f>if(CF2&gt;=Projections!$C$42,CF12*Projections!$B$45,0)</f>
        <v/>
      </c>
      <c r="CG26" s="139">
        <f>if(CG2&gt;=Projections!$C$42,CG12*Projections!$B$45,0)</f>
        <v/>
      </c>
      <c r="CH26" s="139">
        <f>if(CH2&gt;=Projections!$C$42,CH12*Projections!$B$45,0)</f>
        <v/>
      </c>
      <c r="CI26" s="139">
        <f>if(CI2&gt;=Projections!$C$42,CI12*Projections!$B$45,0)</f>
        <v/>
      </c>
      <c r="CJ26" s="139">
        <f>if(CJ2&gt;=Projections!$C$42,CJ12*Projections!$B$45,0)</f>
        <v/>
      </c>
      <c r="CK26" s="139">
        <f>if(CK2&gt;=Projections!$C$42,CK12*Projections!$B$45,0)</f>
        <v/>
      </c>
      <c r="CL26" s="139">
        <f>if(CL2&gt;=Projections!$C$42,CL12*Projections!$B$45,0)</f>
        <v/>
      </c>
      <c r="CM26" s="139">
        <f>if(CM2&gt;=Projections!$C$42,CM12*Projections!$B$45,0)</f>
        <v/>
      </c>
      <c r="CN26" s="139">
        <f>if(CN2&gt;=Projections!$C$42,CN12*Projections!$B$45,0)</f>
        <v/>
      </c>
      <c r="CO26" s="139">
        <f>if(CO2&gt;=Projections!$C$42,CO12*Projections!$B$45,0)</f>
        <v/>
      </c>
      <c r="CP26" s="139">
        <f>if(CP2&gt;=Projections!$C$42,CP12*Projections!$B$45,0)</f>
        <v/>
      </c>
      <c r="CQ26" s="139">
        <f>if(CQ2&gt;=Projections!$C$42,CQ12*Projections!$B$45,0)</f>
        <v/>
      </c>
      <c r="CR26" s="139">
        <f>if(CR2&gt;=Projections!$C$42,CR12*Projections!$B$45,0)</f>
        <v/>
      </c>
      <c r="CS26" s="139">
        <f>if(CS2&gt;=Projections!$C$42,CS12*Projections!$B$45,0)</f>
        <v/>
      </c>
      <c r="CT26" s="139">
        <f>if(CT2&gt;=Projections!$C$42,CT12*Projections!$B$45,0)</f>
        <v/>
      </c>
      <c r="CU26" s="139">
        <f>if(CU2&gt;=Projections!$C$42,CU12*Projections!$B$45,0)</f>
        <v/>
      </c>
      <c r="CV26" s="139">
        <f>if(CV2&gt;=Projections!$C$42,CV12*Projections!$B$45,0)</f>
        <v/>
      </c>
      <c r="CW26" s="139">
        <f>if(CW2&gt;=Projections!$C$42,CW12*Projections!$B$45,0)</f>
        <v/>
      </c>
      <c r="CX26" s="139">
        <f>if(CX2&gt;=Projections!$C$42,CX12*Projections!$B$45,0)</f>
        <v/>
      </c>
    </row>
    <row r="27" ht="15.75" customHeight="1" s="255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6" t="n"/>
      <c r="AC27" s="136" t="n"/>
      <c r="AD27" s="136" t="n"/>
      <c r="AE27" s="136" t="n"/>
      <c r="AF27" s="136" t="n"/>
      <c r="AG27" s="136" t="n"/>
      <c r="AH27" s="136" t="n"/>
      <c r="AI27" s="136" t="n"/>
      <c r="AJ27" s="136" t="n"/>
      <c r="AK27" s="136" t="n"/>
      <c r="AL27" s="136" t="n"/>
      <c r="AM27" s="136" t="n"/>
      <c r="AN27" s="136" t="n"/>
      <c r="AO27" s="136" t="n"/>
      <c r="AP27" s="136" t="n"/>
      <c r="AQ27" s="136" t="n"/>
      <c r="AR27" s="136" t="n"/>
      <c r="AS27" s="136" t="n"/>
      <c r="AT27" s="136" t="n"/>
      <c r="AU27" s="136" t="n"/>
      <c r="AV27" s="136" t="n"/>
      <c r="AW27" s="136" t="n"/>
      <c r="AX27" s="136" t="n"/>
      <c r="AY27" s="136" t="n"/>
      <c r="AZ27" s="136" t="n"/>
      <c r="BA27" s="136" t="n"/>
      <c r="BB27" s="136" t="n"/>
      <c r="BC27" s="136" t="n"/>
      <c r="BD27" s="136" t="n"/>
      <c r="BE27" s="136" t="n"/>
      <c r="BF27" s="136" t="n"/>
      <c r="BG27" s="136" t="n"/>
      <c r="BH27" s="136" t="n"/>
      <c r="BI27" s="136" t="n"/>
      <c r="BJ27" s="136" t="n"/>
      <c r="BK27" s="136" t="n"/>
      <c r="BL27" s="136" t="n"/>
      <c r="BM27" s="136" t="n"/>
      <c r="BN27" s="136" t="n"/>
      <c r="BO27" s="136" t="n"/>
      <c r="BP27" s="136" t="n"/>
      <c r="BQ27" s="136" t="n"/>
      <c r="BR27" s="136" t="n"/>
      <c r="BS27" s="136" t="n"/>
      <c r="BT27" s="136" t="n"/>
      <c r="BU27" s="136" t="n"/>
      <c r="BV27" s="136" t="n"/>
      <c r="BW27" s="136" t="n"/>
      <c r="BX27" s="136" t="n"/>
      <c r="BY27" s="136" t="n"/>
      <c r="BZ27" s="136" t="n"/>
      <c r="CA27" s="136" t="n"/>
      <c r="CB27" s="136" t="n"/>
      <c r="CC27" s="136" t="n"/>
      <c r="CD27" s="136" t="n"/>
      <c r="CE27" s="136" t="n"/>
      <c r="CF27" s="136" t="n"/>
      <c r="CG27" s="136" t="n"/>
      <c r="CH27" s="136" t="n"/>
      <c r="CI27" s="136" t="n"/>
      <c r="CJ27" s="136" t="n"/>
      <c r="CK27" s="136" t="n"/>
      <c r="CL27" s="136" t="n"/>
      <c r="CM27" s="136" t="n"/>
      <c r="CN27" s="136" t="n"/>
      <c r="CO27" s="136" t="n"/>
      <c r="CP27" s="136" t="n"/>
      <c r="CQ27" s="136" t="n"/>
      <c r="CR27" s="136" t="n"/>
      <c r="CS27" s="136" t="n"/>
      <c r="CT27" s="136" t="n"/>
      <c r="CU27" s="136" t="n"/>
      <c r="CV27" s="136" t="n"/>
      <c r="CW27" s="136" t="n"/>
      <c r="CX27" s="136" t="n"/>
    </row>
    <row r="28" outlineLevel="1" ht="15.75" customHeight="1" s="255">
      <c r="A28" s="5" t="inlineStr">
        <is>
          <t>New subscribers</t>
        </is>
      </c>
      <c r="B28" s="42" t="n"/>
      <c r="C28" s="42" t="n"/>
      <c r="D28" s="139" t="n"/>
      <c r="E28" s="139">
        <f>IFERROR(E26*Projections!$B$50,0)</f>
        <v/>
      </c>
      <c r="F28" s="139">
        <f>IFERROR(F26*Projections!$B$50,0)</f>
        <v/>
      </c>
      <c r="G28" s="139">
        <f>IFERROR(G26*Projections!$B$50,0)</f>
        <v/>
      </c>
      <c r="H28" s="139">
        <f>IFERROR(H26*Projections!$B$50,0)</f>
        <v/>
      </c>
      <c r="I28" s="139">
        <f>IFERROR(I26*Projections!$B$50,0)</f>
        <v/>
      </c>
      <c r="J28" s="139">
        <f>IFERROR(J26*Projections!$B$50,0)</f>
        <v/>
      </c>
      <c r="K28" s="139">
        <f>IFERROR(K26*Projections!$B$50,0)</f>
        <v/>
      </c>
      <c r="L28" s="139">
        <f>IFERROR(L26*Projections!$B$50,0)</f>
        <v/>
      </c>
      <c r="M28" s="139">
        <f>IFERROR(M26*Projections!$B$50,0)</f>
        <v/>
      </c>
      <c r="N28" s="139">
        <f>IFERROR(N26*Projections!$B$50,0)</f>
        <v/>
      </c>
      <c r="O28" s="139">
        <f>IFERROR(O26*Projections!$B$50,0)</f>
        <v/>
      </c>
      <c r="P28" s="139">
        <f>IFERROR(P26*Projections!$B$50,0)</f>
        <v/>
      </c>
      <c r="Q28" s="139">
        <f>IFERROR(Q26*Projections!$B$50,0)</f>
        <v/>
      </c>
      <c r="R28" s="139">
        <f>IFERROR(R26*Projections!$B$50,0)</f>
        <v/>
      </c>
      <c r="S28" s="139">
        <f>IFERROR(S26*Projections!$B$50,0)</f>
        <v/>
      </c>
      <c r="T28" s="139">
        <f>IFERROR(T26*Projections!$B$50,0)</f>
        <v/>
      </c>
      <c r="U28" s="139">
        <f>IFERROR(U26*Projections!$B$50,0)</f>
        <v/>
      </c>
      <c r="V28" s="139">
        <f>IFERROR(V26*Projections!$B$50,0)</f>
        <v/>
      </c>
      <c r="W28" s="139">
        <f>IFERROR(W26*Projections!$B$50,0)</f>
        <v/>
      </c>
      <c r="X28" s="139">
        <f>IFERROR(X26*Projections!$B$50,0)</f>
        <v/>
      </c>
      <c r="Y28" s="139">
        <f>IFERROR(Y26*Projections!$B$50,0)</f>
        <v/>
      </c>
      <c r="Z28" s="139">
        <f>IFERROR(Z26*Projections!$B$50,0)</f>
        <v/>
      </c>
      <c r="AA28" s="139">
        <f>IFERROR(AA26*Projections!$B$50,0)</f>
        <v/>
      </c>
      <c r="AB28" s="139">
        <f>IFERROR(AB26*Projections!$B$50,0)</f>
        <v/>
      </c>
      <c r="AC28" s="139">
        <f>IFERROR(AC26*Projections!$B$50,0)</f>
        <v/>
      </c>
      <c r="AD28" s="139">
        <f>IFERROR(AD26*Projections!$B$50,0)</f>
        <v/>
      </c>
      <c r="AE28" s="139">
        <f>IFERROR(AE26*Projections!$B$50,0)</f>
        <v/>
      </c>
      <c r="AF28" s="139">
        <f>IFERROR(AF26*Projections!$B$50,0)</f>
        <v/>
      </c>
      <c r="AG28" s="139">
        <f>IFERROR(AG26*Projections!$B$50,0)</f>
        <v/>
      </c>
      <c r="AH28" s="139">
        <f>IFERROR(AH26*Projections!$B$50,0)</f>
        <v/>
      </c>
      <c r="AI28" s="139">
        <f>IFERROR(AI26*Projections!$B$50,0)</f>
        <v/>
      </c>
      <c r="AJ28" s="139">
        <f>IFERROR(AJ26*Projections!$B$50,0)</f>
        <v/>
      </c>
      <c r="AK28" s="139">
        <f>IFERROR(AK26*Projections!$B$50,0)</f>
        <v/>
      </c>
      <c r="AL28" s="139">
        <f>IFERROR(AL26*Projections!$B$50,0)</f>
        <v/>
      </c>
      <c r="AM28" s="139">
        <f>IFERROR(AM26*Projections!$B$50,0)</f>
        <v/>
      </c>
      <c r="AN28" s="139">
        <f>IFERROR(AN26*Projections!$B$50,0)</f>
        <v/>
      </c>
      <c r="AO28" s="139">
        <f>IFERROR(AO26*Projections!$B$50,0)</f>
        <v/>
      </c>
      <c r="AP28" s="139">
        <f>IFERROR(AP26*Projections!$B$50,0)</f>
        <v/>
      </c>
      <c r="AQ28" s="139">
        <f>IFERROR(AQ26*Projections!$B$50,0)</f>
        <v/>
      </c>
      <c r="AR28" s="139">
        <f>IFERROR(AR26*Projections!$B$50,0)</f>
        <v/>
      </c>
      <c r="AS28" s="139">
        <f>IFERROR(AS26*Projections!$B$50,0)</f>
        <v/>
      </c>
      <c r="AT28" s="139">
        <f>IFERROR(AT26*Projections!$B$50,0)</f>
        <v/>
      </c>
      <c r="AU28" s="139">
        <f>IFERROR(AU26*Projections!$B$50,0)</f>
        <v/>
      </c>
      <c r="AV28" s="139">
        <f>IFERROR(AV26*Projections!$B$50,0)</f>
        <v/>
      </c>
      <c r="AW28" s="139">
        <f>IFERROR(AW26*Projections!$B$50,0)</f>
        <v/>
      </c>
      <c r="AX28" s="139">
        <f>IFERROR(AX26*Projections!$B$50,0)</f>
        <v/>
      </c>
      <c r="AY28" s="139">
        <f>IFERROR(AY26*Projections!$B$50,0)</f>
        <v/>
      </c>
      <c r="AZ28" s="139">
        <f>IFERROR(AZ26*Projections!$B$50,0)</f>
        <v/>
      </c>
      <c r="BA28" s="139">
        <f>IFERROR(BA26*Projections!$B$50,0)</f>
        <v/>
      </c>
      <c r="BB28" s="139">
        <f>IFERROR(BB26*Projections!$B$50,0)</f>
        <v/>
      </c>
      <c r="BC28" s="139">
        <f>IFERROR(BC26*Projections!$B$50,0)</f>
        <v/>
      </c>
      <c r="BD28" s="139">
        <f>IFERROR(BD26*Projections!$B$50,0)</f>
        <v/>
      </c>
      <c r="BE28" s="139">
        <f>IFERROR(BE26*Projections!$B$50,0)</f>
        <v/>
      </c>
      <c r="BF28" s="139">
        <f>IFERROR(BF26*Projections!$B$50,0)</f>
        <v/>
      </c>
      <c r="BG28" s="139">
        <f>IFERROR(BG26*Projections!$B$50,0)</f>
        <v/>
      </c>
      <c r="BH28" s="139">
        <f>IFERROR(BH26*Projections!$B$50,0)</f>
        <v/>
      </c>
      <c r="BI28" s="139">
        <f>IFERROR(BI26*Projections!$B$50,0)</f>
        <v/>
      </c>
      <c r="BJ28" s="139">
        <f>IFERROR(BJ26*Projections!$B$50,0)</f>
        <v/>
      </c>
      <c r="BK28" s="139">
        <f>IFERROR(BK26*Projections!$B$50,0)</f>
        <v/>
      </c>
      <c r="BL28" s="139">
        <f>IFERROR(BL26*Projections!$B$50,0)</f>
        <v/>
      </c>
      <c r="BM28" s="139">
        <f>IFERROR(BM26*Projections!$B$50,0)</f>
        <v/>
      </c>
      <c r="BN28" s="139">
        <f>IFERROR(BN26*Projections!$B$50,0)</f>
        <v/>
      </c>
      <c r="BO28" s="139">
        <f>IFERROR(BO26*Projections!$B$50,0)</f>
        <v/>
      </c>
      <c r="BP28" s="139">
        <f>IFERROR(BP26*Projections!$B$50,0)</f>
        <v/>
      </c>
      <c r="BQ28" s="139">
        <f>IFERROR(BQ26*Projections!$B$50,0)</f>
        <v/>
      </c>
      <c r="BR28" s="139">
        <f>IFERROR(BR26*Projections!$B$50,0)</f>
        <v/>
      </c>
      <c r="BS28" s="139">
        <f>IFERROR(BS26*Projections!$B$50,0)</f>
        <v/>
      </c>
      <c r="BT28" s="139">
        <f>IFERROR(BT26*Projections!$B$50,0)</f>
        <v/>
      </c>
      <c r="BU28" s="139">
        <f>IFERROR(BU26*Projections!$B$50,0)</f>
        <v/>
      </c>
      <c r="BV28" s="139">
        <f>IFERROR(BV26*Projections!$B$50,0)</f>
        <v/>
      </c>
      <c r="BW28" s="139">
        <f>IFERROR(BW26*Projections!$B$50,0)</f>
        <v/>
      </c>
      <c r="BX28" s="139">
        <f>IFERROR(BX26*Projections!$B$50,0)</f>
        <v/>
      </c>
      <c r="BY28" s="139">
        <f>IFERROR(BY26*Projections!$B$50,0)</f>
        <v/>
      </c>
      <c r="BZ28" s="139">
        <f>IFERROR(BZ26*Projections!$B$50,0)</f>
        <v/>
      </c>
      <c r="CA28" s="139">
        <f>IFERROR(CA26*Projections!$B$50,0)</f>
        <v/>
      </c>
      <c r="CB28" s="139">
        <f>IFERROR(CB26*Projections!$B$50,0)</f>
        <v/>
      </c>
      <c r="CC28" s="139">
        <f>IFERROR(CC26*Projections!$B$50,0)</f>
        <v/>
      </c>
      <c r="CD28" s="139">
        <f>IFERROR(CD26*Projections!$B$50,0)</f>
        <v/>
      </c>
      <c r="CE28" s="139">
        <f>IFERROR(CE26*Projections!$B$50,0)</f>
        <v/>
      </c>
      <c r="CF28" s="139">
        <f>IFERROR(CF26*Projections!$B$50,0)</f>
        <v/>
      </c>
      <c r="CG28" s="139">
        <f>IFERROR(CG26*Projections!$B$50,0)</f>
        <v/>
      </c>
      <c r="CH28" s="139">
        <f>IFERROR(CH26*Projections!$B$50,0)</f>
        <v/>
      </c>
      <c r="CI28" s="139">
        <f>IFERROR(CI26*Projections!$B$50,0)</f>
        <v/>
      </c>
      <c r="CJ28" s="139">
        <f>IFERROR(CJ26*Projections!$B$50,0)</f>
        <v/>
      </c>
      <c r="CK28" s="139">
        <f>IFERROR(CK26*Projections!$B$50,0)</f>
        <v/>
      </c>
      <c r="CL28" s="139">
        <f>IFERROR(CL26*Projections!$B$50,0)</f>
        <v/>
      </c>
      <c r="CM28" s="139">
        <f>IFERROR(CM26*Projections!$B$50,0)</f>
        <v/>
      </c>
      <c r="CN28" s="139">
        <f>IFERROR(CN26*Projections!$B$50,0)</f>
        <v/>
      </c>
      <c r="CO28" s="139">
        <f>IFERROR(CO26*Projections!$B$50,0)</f>
        <v/>
      </c>
      <c r="CP28" s="139">
        <f>IFERROR(CP26*Projections!$B$50,0)</f>
        <v/>
      </c>
      <c r="CQ28" s="139">
        <f>IFERROR(CQ26*Projections!$B$50,0)</f>
        <v/>
      </c>
      <c r="CR28" s="139">
        <f>IFERROR(CR26*Projections!$B$50,0)</f>
        <v/>
      </c>
      <c r="CS28" s="139">
        <f>IFERROR(CS26*Projections!$B$50,0)</f>
        <v/>
      </c>
      <c r="CT28" s="139">
        <f>IFERROR(CT26*Projections!$B$50,0)</f>
        <v/>
      </c>
      <c r="CU28" s="139">
        <f>IFERROR(CU26*Projections!$B$50,0)</f>
        <v/>
      </c>
      <c r="CV28" s="139">
        <f>IFERROR(CV26*Projections!$B$50,0)</f>
        <v/>
      </c>
      <c r="CW28" s="139">
        <f>IFERROR(CW26*Projections!$B$50,0)</f>
        <v/>
      </c>
      <c r="CX28" s="139">
        <f>IFERROR(CX26*Projections!$B$50,0)</f>
        <v/>
      </c>
    </row>
    <row r="29" outlineLevel="1" ht="15.75" customHeight="1" s="255">
      <c r="A29" s="5" t="inlineStr">
        <is>
          <t>Churn rate</t>
        </is>
      </c>
      <c r="B29" s="42" t="n"/>
      <c r="C29" s="42" t="n"/>
      <c r="D29" s="42" t="n"/>
      <c r="E29" s="34">
        <f>IF(E2&gt;=Projections!$D$28,Projections!$B$30,0)</f>
        <v/>
      </c>
      <c r="F29" s="34">
        <f>IF(F2&gt;=Projections!$D$28,Projections!$B$30,0)</f>
        <v/>
      </c>
      <c r="G29" s="34">
        <f>IF(G2&gt;=Projections!$D$28,Projections!$B$30,0)</f>
        <v/>
      </c>
      <c r="H29" s="34">
        <f>IF(H2&gt;=Projections!$D$28,Projections!$B$30,0)</f>
        <v/>
      </c>
      <c r="I29" s="34">
        <f>IF(I2&gt;=Projections!$D$28,Projections!$B$30,0)</f>
        <v/>
      </c>
      <c r="J29" s="34">
        <f>IF(J2&gt;=Projections!$D$28,Projections!$B$30,0)</f>
        <v/>
      </c>
      <c r="K29" s="34">
        <f>IF(K2&gt;=Projections!$D$28,Projections!$B$30,0)</f>
        <v/>
      </c>
      <c r="L29" s="34">
        <f>IF(L2&gt;=Projections!$D$28,Projections!$B$30,0)</f>
        <v/>
      </c>
      <c r="M29" s="34">
        <f>IF(M2&gt;=Projections!$D$28,Projections!$B$30,0)</f>
        <v/>
      </c>
      <c r="N29" s="34">
        <f>IF(N2&gt;=Projections!$D$28,Projections!$B$30,0)</f>
        <v/>
      </c>
      <c r="O29" s="34">
        <f>IF(O2&gt;=Projections!$D$28,Projections!$B$30,0)</f>
        <v/>
      </c>
      <c r="P29" s="34">
        <f>IF(P2&gt;=Projections!$D$28,Projections!$B$30,0)</f>
        <v/>
      </c>
      <c r="Q29" s="34">
        <f>IF(Q2&gt;=Projections!$D$28,Projections!$B$30,0)</f>
        <v/>
      </c>
      <c r="R29" s="34">
        <f>IF(R2&gt;=Projections!$D$28,Projections!$B$30,0)</f>
        <v/>
      </c>
      <c r="S29" s="34">
        <f>IF(S2&gt;=Projections!$D$28,Projections!$B$30,0)</f>
        <v/>
      </c>
      <c r="T29" s="34">
        <f>IF(T2&gt;=Projections!$D$28,Projections!$B$30,0)</f>
        <v/>
      </c>
      <c r="U29" s="34">
        <f>IF(U2&gt;=Projections!$D$28,Projections!$B$30,0)</f>
        <v/>
      </c>
      <c r="V29" s="34">
        <f>IF(V2&gt;=Projections!$D$28,Projections!$B$30,0)</f>
        <v/>
      </c>
      <c r="W29" s="34">
        <f>IF(W2&gt;=Projections!$D$28,Projections!$B$30,0)</f>
        <v/>
      </c>
      <c r="X29" s="34">
        <f>IF(X2&gt;=Projections!$D$28,Projections!$B$30,0)</f>
        <v/>
      </c>
      <c r="Y29" s="34">
        <f>IF(Y2&gt;=Projections!$D$28,Projections!$B$30,0)</f>
        <v/>
      </c>
      <c r="Z29" s="34">
        <f>IF(Z2&gt;=Projections!$D$28,Projections!$B$30,0)</f>
        <v/>
      </c>
      <c r="AA29" s="34">
        <f>IF(AA2&gt;=Projections!$D$28,Projections!$B$30,0)</f>
        <v/>
      </c>
      <c r="AB29" s="34">
        <f>IF(AB2&gt;=Projections!$D$28,Projections!$B$30,0)</f>
        <v/>
      </c>
      <c r="AC29" s="34">
        <f>IF(AC2&gt;=Projections!$D$28,Projections!$B$30,0)</f>
        <v/>
      </c>
      <c r="AD29" s="34">
        <f>IF(AD2&gt;=Projections!$D$28,Projections!$B$30,0)</f>
        <v/>
      </c>
      <c r="AE29" s="34">
        <f>IF(AE2&gt;=Projections!$D$28,Projections!$B$30,0)</f>
        <v/>
      </c>
      <c r="AF29" s="34">
        <f>IF(AF2&gt;=Projections!$D$28,Projections!$B$30,0)</f>
        <v/>
      </c>
      <c r="AG29" s="34">
        <f>IF(AG2&gt;=Projections!$D$28,Projections!$B$30,0)</f>
        <v/>
      </c>
      <c r="AH29" s="34">
        <f>IF(AH2&gt;=Projections!$D$28,Projections!$B$30,0)</f>
        <v/>
      </c>
      <c r="AI29" s="34">
        <f>IF(AI2&gt;=Projections!$D$28,Projections!$B$30,0)</f>
        <v/>
      </c>
      <c r="AJ29" s="34">
        <f>IF(AJ2&gt;=Projections!$D$28,Projections!$B$30,0)</f>
        <v/>
      </c>
      <c r="AK29" s="34">
        <f>IF(AK2&gt;=Projections!$D$28,Projections!$B$30,0)</f>
        <v/>
      </c>
      <c r="AL29" s="34">
        <f>IF(AL2&gt;=Projections!$D$28,Projections!$B$30,0)</f>
        <v/>
      </c>
      <c r="AM29" s="34">
        <f>IF(AM2&gt;=Projections!$D$28,Projections!$B$30,0)</f>
        <v/>
      </c>
      <c r="AN29" s="34">
        <f>IF(AN2&gt;=Projections!$D$28,Projections!$B$30,0)</f>
        <v/>
      </c>
      <c r="AO29" s="34">
        <f>IF(AO2&gt;=Projections!$D$28,Projections!$B$30,0)</f>
        <v/>
      </c>
      <c r="AP29" s="34">
        <f>IF(AP2&gt;=Projections!$D$28,Projections!$B$30,0)</f>
        <v/>
      </c>
      <c r="AQ29" s="34">
        <f>IF(AQ2&gt;=Projections!$D$28,Projections!$B$30,0)</f>
        <v/>
      </c>
      <c r="AR29" s="34">
        <f>IF(AR2&gt;=Projections!$D$28,Projections!$B$30,0)</f>
        <v/>
      </c>
      <c r="AS29" s="34">
        <f>IF(AS2&gt;=Projections!$D$28,Projections!$B$30,0)</f>
        <v/>
      </c>
      <c r="AT29" s="34">
        <f>IF(AT2&gt;=Projections!$D$28,Projections!$B$30,0)</f>
        <v/>
      </c>
      <c r="AU29" s="34">
        <f>IF(AU2&gt;=Projections!$D$28,Projections!$B$30,0)</f>
        <v/>
      </c>
      <c r="AV29" s="34">
        <f>IF(AV2&gt;=Projections!$D$28,Projections!$B$30,0)</f>
        <v/>
      </c>
      <c r="AW29" s="34">
        <f>IF(AW2&gt;=Projections!$D$28,Projections!$B$30,0)</f>
        <v/>
      </c>
      <c r="AX29" s="34">
        <f>IF(AX2&gt;=Projections!$D$28,Projections!$B$30,0)</f>
        <v/>
      </c>
      <c r="AY29" s="34">
        <f>IF(AY2&gt;=Projections!$D$28,Projections!$B$30,0)</f>
        <v/>
      </c>
      <c r="AZ29" s="34">
        <f>IF(AZ2&gt;=Projections!$D$28,Projections!$B$30,0)</f>
        <v/>
      </c>
      <c r="BA29" s="34">
        <f>IF(BA2&gt;=Projections!$D$28,Projections!$B$30,0)</f>
        <v/>
      </c>
      <c r="BB29" s="34">
        <f>IF(BB2&gt;=Projections!$D$28,Projections!$B$30,0)</f>
        <v/>
      </c>
      <c r="BC29" s="34">
        <f>IF(BC2&gt;=Projections!$D$28,Projections!$B$30,0)</f>
        <v/>
      </c>
      <c r="BD29" s="34">
        <f>IF(BD2&gt;=Projections!$D$28,Projections!$B$30,0)</f>
        <v/>
      </c>
      <c r="BE29" s="34">
        <f>IF(BE2&gt;=Projections!$D$28,Projections!$B$30,0)</f>
        <v/>
      </c>
      <c r="BF29" s="34">
        <f>IF(BF2&gt;=Projections!$D$28,Projections!$B$30,0)</f>
        <v/>
      </c>
      <c r="BG29" s="34">
        <f>IF(BG2&gt;=Projections!$D$28,Projections!$B$30,0)</f>
        <v/>
      </c>
      <c r="BH29" s="34">
        <f>IF(BH2&gt;=Projections!$D$28,Projections!$B$30,0)</f>
        <v/>
      </c>
      <c r="BI29" s="34">
        <f>IF(BI2&gt;=Projections!$D$28,Projections!$B$30,0)</f>
        <v/>
      </c>
      <c r="BJ29" s="34">
        <f>IF(BJ2&gt;=Projections!$D$28,Projections!$B$30,0)</f>
        <v/>
      </c>
      <c r="BK29" s="34">
        <f>IF(BK2&gt;=Projections!$D$28,Projections!$B$30,0)</f>
        <v/>
      </c>
      <c r="BL29" s="34">
        <f>IF(BL2&gt;=Projections!$D$28,Projections!$B$30,0)</f>
        <v/>
      </c>
      <c r="BM29" s="34">
        <f>IF(BM2&gt;=Projections!$D$28,Projections!$B$30,0)</f>
        <v/>
      </c>
      <c r="BN29" s="34">
        <f>IF(BN2&gt;=Projections!$D$28,Projections!$B$30,0)</f>
        <v/>
      </c>
      <c r="BO29" s="34">
        <f>IF(BO2&gt;=Projections!$D$28,Projections!$B$30,0)</f>
        <v/>
      </c>
      <c r="BP29" s="34">
        <f>IF(BP2&gt;=Projections!$D$28,Projections!$B$30,0)</f>
        <v/>
      </c>
      <c r="BQ29" s="34">
        <f>IF(BQ2&gt;=Projections!$D$28,Projections!$B$30,0)</f>
        <v/>
      </c>
      <c r="BR29" s="34">
        <f>IF(BR2&gt;=Projections!$D$28,Projections!$B$30,0)</f>
        <v/>
      </c>
      <c r="BS29" s="34">
        <f>IF(BS2&gt;=Projections!$D$28,Projections!$B$30,0)</f>
        <v/>
      </c>
      <c r="BT29" s="34">
        <f>IF(BT2&gt;=Projections!$D$28,Projections!$B$30,0)</f>
        <v/>
      </c>
      <c r="BU29" s="34">
        <f>IF(BU2&gt;=Projections!$D$28,Projections!$B$30,0)</f>
        <v/>
      </c>
      <c r="BV29" s="34">
        <f>IF(BV2&gt;=Projections!$D$28,Projections!$B$30,0)</f>
        <v/>
      </c>
      <c r="BW29" s="34">
        <f>IF(BW2&gt;=Projections!$D$28,Projections!$B$30,0)</f>
        <v/>
      </c>
      <c r="BX29" s="34">
        <f>IF(BX2&gt;=Projections!$D$28,Projections!$B$30,0)</f>
        <v/>
      </c>
      <c r="BY29" s="34">
        <f>IF(BY2&gt;=Projections!$D$28,Projections!$B$30,0)</f>
        <v/>
      </c>
      <c r="BZ29" s="34">
        <f>IF(BZ2&gt;=Projections!$D$28,Projections!$B$30,0)</f>
        <v/>
      </c>
      <c r="CA29" s="34">
        <f>IF(CA2&gt;=Projections!$D$28,Projections!$B$30,0)</f>
        <v/>
      </c>
      <c r="CB29" s="34">
        <f>IF(CB2&gt;=Projections!$D$28,Projections!$B$30,0)</f>
        <v/>
      </c>
      <c r="CC29" s="34">
        <f>IF(CC2&gt;=Projections!$D$28,Projections!$B$30,0)</f>
        <v/>
      </c>
      <c r="CD29" s="34">
        <f>IF(CD2&gt;=Projections!$D$28,Projections!$B$30,0)</f>
        <v/>
      </c>
      <c r="CE29" s="34">
        <f>IF(CE2&gt;=Projections!$D$28,Projections!$B$30,0)</f>
        <v/>
      </c>
      <c r="CF29" s="34">
        <f>IF(CF2&gt;=Projections!$D$28,Projections!$B$30,0)</f>
        <v/>
      </c>
      <c r="CG29" s="34">
        <f>IF(CG2&gt;=Projections!$D$28,Projections!$B$30,0)</f>
        <v/>
      </c>
      <c r="CH29" s="34">
        <f>IF(CH2&gt;=Projections!$D$28,Projections!$B$30,0)</f>
        <v/>
      </c>
      <c r="CI29" s="34">
        <f>IF(CI2&gt;=Projections!$D$28,Projections!$B$30,0)</f>
        <v/>
      </c>
      <c r="CJ29" s="34">
        <f>IF(CJ2&gt;=Projections!$D$28,Projections!$B$30,0)</f>
        <v/>
      </c>
      <c r="CK29" s="34">
        <f>IF(CK2&gt;=Projections!$D$28,Projections!$B$30,0)</f>
        <v/>
      </c>
      <c r="CL29" s="34">
        <f>IF(CL2&gt;=Projections!$D$28,Projections!$B$30,0)</f>
        <v/>
      </c>
      <c r="CM29" s="34">
        <f>IF(CM2&gt;=Projections!$D$28,Projections!$B$30,0)</f>
        <v/>
      </c>
      <c r="CN29" s="34">
        <f>IF(CN2&gt;=Projections!$D$28,Projections!$B$30,0)</f>
        <v/>
      </c>
      <c r="CO29" s="34">
        <f>IF(CO2&gt;=Projections!$D$28,Projections!$B$30,0)</f>
        <v/>
      </c>
      <c r="CP29" s="34">
        <f>IF(CP2&gt;=Projections!$D$28,Projections!$B$30,0)</f>
        <v/>
      </c>
      <c r="CQ29" s="34">
        <f>IF(CQ2&gt;=Projections!$D$28,Projections!$B$30,0)</f>
        <v/>
      </c>
      <c r="CR29" s="34">
        <f>IF(CR2&gt;=Projections!$D$28,Projections!$B$30,0)</f>
        <v/>
      </c>
      <c r="CS29" s="34">
        <f>IF(CS2&gt;=Projections!$D$28,Projections!$B$30,0)</f>
        <v/>
      </c>
      <c r="CT29" s="34">
        <f>IF(CT2&gt;=Projections!$D$28,Projections!$B$30,0)</f>
        <v/>
      </c>
      <c r="CU29" s="34">
        <f>IF(CU2&gt;=Projections!$D$28,Projections!$B$30,0)</f>
        <v/>
      </c>
      <c r="CV29" s="34">
        <f>IF(CV2&gt;=Projections!$D$28,Projections!$B$30,0)</f>
        <v/>
      </c>
      <c r="CW29" s="34">
        <f>IF(CW2&gt;=Projections!$D$28,Projections!$B$30,0)</f>
        <v/>
      </c>
      <c r="CX29" s="34">
        <f>IF(CX2&gt;=Projections!$D$28,Projections!$B$30,0)</f>
        <v/>
      </c>
    </row>
    <row r="30" outlineLevel="1" ht="15.75" customHeight="1" s="255">
      <c r="A30" s="140" t="inlineStr">
        <is>
          <t>Lost subscribers</t>
        </is>
      </c>
      <c r="B30" s="139" t="n"/>
      <c r="C30" s="139" t="n"/>
      <c r="D30" s="139" t="n"/>
      <c r="E30" s="139">
        <f>D31*E29</f>
        <v/>
      </c>
      <c r="F30" s="139">
        <f>E31*F29</f>
        <v/>
      </c>
      <c r="G30" s="139">
        <f>F31*G29</f>
        <v/>
      </c>
      <c r="H30" s="139">
        <f>G31*H29</f>
        <v/>
      </c>
      <c r="I30" s="139">
        <f>H31*I29</f>
        <v/>
      </c>
      <c r="J30" s="139">
        <f>I31*J29</f>
        <v/>
      </c>
      <c r="K30" s="139">
        <f>J31*K29</f>
        <v/>
      </c>
      <c r="L30" s="139">
        <f>K31*L29</f>
        <v/>
      </c>
      <c r="M30" s="139">
        <f>L31*M29</f>
        <v/>
      </c>
      <c r="N30" s="139">
        <f>M31*N29</f>
        <v/>
      </c>
      <c r="O30" s="139">
        <f>N31*O29</f>
        <v/>
      </c>
      <c r="P30" s="139">
        <f>O31*P29</f>
        <v/>
      </c>
      <c r="Q30" s="139">
        <f>P31*Q29</f>
        <v/>
      </c>
      <c r="R30" s="139">
        <f>Q31*R29</f>
        <v/>
      </c>
      <c r="S30" s="139">
        <f>R31*S29</f>
        <v/>
      </c>
      <c r="T30" s="139">
        <f>S31*T29</f>
        <v/>
      </c>
      <c r="U30" s="139">
        <f>T31*U29</f>
        <v/>
      </c>
      <c r="V30" s="139">
        <f>U31*V29</f>
        <v/>
      </c>
      <c r="W30" s="139">
        <f>V31*W29</f>
        <v/>
      </c>
      <c r="X30" s="139">
        <f>W31*X29</f>
        <v/>
      </c>
      <c r="Y30" s="139">
        <f>X31*Y29</f>
        <v/>
      </c>
      <c r="Z30" s="139">
        <f>Y31*Z29</f>
        <v/>
      </c>
      <c r="AA30" s="139">
        <f>Z31*AA29</f>
        <v/>
      </c>
      <c r="AB30" s="139">
        <f>AA31*AB29</f>
        <v/>
      </c>
      <c r="AC30" s="139">
        <f>AB31*AC29</f>
        <v/>
      </c>
      <c r="AD30" s="139">
        <f>AC31*AD29</f>
        <v/>
      </c>
      <c r="AE30" s="139">
        <f>AD31*AE29</f>
        <v/>
      </c>
      <c r="AF30" s="139">
        <f>AE31*AF29</f>
        <v/>
      </c>
      <c r="AG30" s="139">
        <f>AF31*AG29</f>
        <v/>
      </c>
      <c r="AH30" s="139">
        <f>AG31*AH29</f>
        <v/>
      </c>
      <c r="AI30" s="139">
        <f>AH31*AI29</f>
        <v/>
      </c>
      <c r="AJ30" s="139">
        <f>AI31*AJ29</f>
        <v/>
      </c>
      <c r="AK30" s="139">
        <f>AJ31*AK29</f>
        <v/>
      </c>
      <c r="AL30" s="139">
        <f>AK31*AL29</f>
        <v/>
      </c>
      <c r="AM30" s="139">
        <f>AL31*AM29</f>
        <v/>
      </c>
      <c r="AN30" s="139">
        <f>AM31*AN29</f>
        <v/>
      </c>
      <c r="AO30" s="139">
        <f>AN31*AO29</f>
        <v/>
      </c>
      <c r="AP30" s="139">
        <f>AO31*AP29</f>
        <v/>
      </c>
      <c r="AQ30" s="139">
        <f>AP31*AQ29</f>
        <v/>
      </c>
      <c r="AR30" s="139">
        <f>AQ31*AR29</f>
        <v/>
      </c>
      <c r="AS30" s="139">
        <f>AR31*AS29</f>
        <v/>
      </c>
      <c r="AT30" s="139">
        <f>AS31*AT29</f>
        <v/>
      </c>
      <c r="AU30" s="139">
        <f>AT31*AU29</f>
        <v/>
      </c>
      <c r="AV30" s="139">
        <f>AU31*AV29</f>
        <v/>
      </c>
      <c r="AW30" s="139">
        <f>AV31*AW29</f>
        <v/>
      </c>
      <c r="AX30" s="139">
        <f>AW31*AX29</f>
        <v/>
      </c>
      <c r="AY30" s="139">
        <f>AX31*AY29</f>
        <v/>
      </c>
      <c r="AZ30" s="139">
        <f>AY31*AZ29</f>
        <v/>
      </c>
      <c r="BA30" s="139">
        <f>AZ31*BA29</f>
        <v/>
      </c>
      <c r="BB30" s="139">
        <f>BA31*BB29</f>
        <v/>
      </c>
      <c r="BC30" s="139">
        <f>BB31*BC29</f>
        <v/>
      </c>
      <c r="BD30" s="139">
        <f>BC31*BD29</f>
        <v/>
      </c>
      <c r="BE30" s="139">
        <f>BD31*BE29</f>
        <v/>
      </c>
      <c r="BF30" s="139">
        <f>BE31*BF29</f>
        <v/>
      </c>
      <c r="BG30" s="139">
        <f>BF31*BG29</f>
        <v/>
      </c>
      <c r="BH30" s="139">
        <f>BG31*BH29</f>
        <v/>
      </c>
      <c r="BI30" s="139">
        <f>BH31*BI29</f>
        <v/>
      </c>
      <c r="BJ30" s="139">
        <f>BI31*BJ29</f>
        <v/>
      </c>
      <c r="BK30" s="139">
        <f>BJ31*BK29</f>
        <v/>
      </c>
      <c r="BL30" s="139">
        <f>BK31*BL29</f>
        <v/>
      </c>
      <c r="BM30" s="139">
        <f>BL31*BM29</f>
        <v/>
      </c>
      <c r="BN30" s="139">
        <f>BM31*BN29</f>
        <v/>
      </c>
      <c r="BO30" s="139">
        <f>BN31*BO29</f>
        <v/>
      </c>
      <c r="BP30" s="139">
        <f>BO31*BP29</f>
        <v/>
      </c>
      <c r="BQ30" s="139">
        <f>BP31*BQ29</f>
        <v/>
      </c>
      <c r="BR30" s="139">
        <f>BQ31*BR29</f>
        <v/>
      </c>
      <c r="BS30" s="139">
        <f>BR31*BS29</f>
        <v/>
      </c>
      <c r="BT30" s="139">
        <f>BS31*BT29</f>
        <v/>
      </c>
      <c r="BU30" s="139">
        <f>BT31*BU29</f>
        <v/>
      </c>
      <c r="BV30" s="139">
        <f>BU31*BV29</f>
        <v/>
      </c>
      <c r="BW30" s="139">
        <f>BV31*BW29</f>
        <v/>
      </c>
      <c r="BX30" s="139">
        <f>BW31*BX29</f>
        <v/>
      </c>
      <c r="BY30" s="139">
        <f>BX31*BY29</f>
        <v/>
      </c>
      <c r="BZ30" s="139">
        <f>BY31*BZ29</f>
        <v/>
      </c>
      <c r="CA30" s="139">
        <f>BZ31*CA29</f>
        <v/>
      </c>
      <c r="CB30" s="139">
        <f>CA31*CB29</f>
        <v/>
      </c>
      <c r="CC30" s="139">
        <f>CB31*CC29</f>
        <v/>
      </c>
      <c r="CD30" s="139">
        <f>CC31*CD29</f>
        <v/>
      </c>
      <c r="CE30" s="139">
        <f>CD31*CE29</f>
        <v/>
      </c>
      <c r="CF30" s="139">
        <f>CE31*CF29</f>
        <v/>
      </c>
      <c r="CG30" s="139">
        <f>CF31*CG29</f>
        <v/>
      </c>
      <c r="CH30" s="139">
        <f>CG31*CH29</f>
        <v/>
      </c>
      <c r="CI30" s="139">
        <f>CH31*CI29</f>
        <v/>
      </c>
      <c r="CJ30" s="139">
        <f>CI31*CJ29</f>
        <v/>
      </c>
      <c r="CK30" s="139">
        <f>CJ31*CK29</f>
        <v/>
      </c>
      <c r="CL30" s="139">
        <f>CK31*CL29</f>
        <v/>
      </c>
      <c r="CM30" s="139">
        <f>CL31*CM29</f>
        <v/>
      </c>
      <c r="CN30" s="139">
        <f>CM31*CN29</f>
        <v/>
      </c>
      <c r="CO30" s="139">
        <f>CN31*CO29</f>
        <v/>
      </c>
      <c r="CP30" s="139">
        <f>CO31*CP29</f>
        <v/>
      </c>
      <c r="CQ30" s="139">
        <f>CP31*CQ29</f>
        <v/>
      </c>
      <c r="CR30" s="139">
        <f>CQ31*CR29</f>
        <v/>
      </c>
      <c r="CS30" s="139">
        <f>CR31*CS29</f>
        <v/>
      </c>
      <c r="CT30" s="139">
        <f>CS31*CT29</f>
        <v/>
      </c>
      <c r="CU30" s="139">
        <f>CT31*CU29</f>
        <v/>
      </c>
      <c r="CV30" s="139">
        <f>CU31*CV29</f>
        <v/>
      </c>
      <c r="CW30" s="139">
        <f>CV31*CW29</f>
        <v/>
      </c>
      <c r="CX30" s="139">
        <f>CW31*CX29</f>
        <v/>
      </c>
    </row>
    <row r="31" outlineLevel="1" ht="15.75" customHeight="1" s="255">
      <c r="A31" s="5" t="inlineStr">
        <is>
          <t>Subscribers - End of the period</t>
        </is>
      </c>
      <c r="B31" s="42" t="n"/>
      <c r="C31" s="42" t="n"/>
      <c r="D31" s="42" t="n"/>
      <c r="E31" s="139">
        <f>D31+E28-E30</f>
        <v/>
      </c>
      <c r="F31" s="139">
        <f>E31+F28-F30</f>
        <v/>
      </c>
      <c r="G31" s="139">
        <f>F31+G28-G30</f>
        <v/>
      </c>
      <c r="H31" s="139">
        <f>G31+H28-H30</f>
        <v/>
      </c>
      <c r="I31" s="139">
        <f>H31+I28-I30</f>
        <v/>
      </c>
      <c r="J31" s="139">
        <f>I31+J28-J30</f>
        <v/>
      </c>
      <c r="K31" s="139">
        <f>J31+K28-K30</f>
        <v/>
      </c>
      <c r="L31" s="139">
        <f>K31+L28-L30</f>
        <v/>
      </c>
      <c r="M31" s="139">
        <f>L31+M28-M30</f>
        <v/>
      </c>
      <c r="N31" s="139">
        <f>M31+N28-N30</f>
        <v/>
      </c>
      <c r="O31" s="139">
        <f>N31+O28-O30</f>
        <v/>
      </c>
      <c r="P31" s="139">
        <f>O31+P28-P30</f>
        <v/>
      </c>
      <c r="Q31" s="139">
        <f>P31+Q28-Q30</f>
        <v/>
      </c>
      <c r="R31" s="139">
        <f>Q31+R28-R30</f>
        <v/>
      </c>
      <c r="S31" s="139">
        <f>R31+S28-S30</f>
        <v/>
      </c>
      <c r="T31" s="139">
        <f>S31+T28-T30</f>
        <v/>
      </c>
      <c r="U31" s="139">
        <f>T31+U28-U30</f>
        <v/>
      </c>
      <c r="V31" s="139">
        <f>U31+V28-V30</f>
        <v/>
      </c>
      <c r="W31" s="139">
        <f>V31+W28-W30</f>
        <v/>
      </c>
      <c r="X31" s="139">
        <f>W31+X28-X30</f>
        <v/>
      </c>
      <c r="Y31" s="139">
        <f>X31+Y28-Y30</f>
        <v/>
      </c>
      <c r="Z31" s="139">
        <f>Y31+Z28-Z30</f>
        <v/>
      </c>
      <c r="AA31" s="139">
        <f>Z31+AA28-AA30</f>
        <v/>
      </c>
      <c r="AB31" s="139">
        <f>AA31+AB28-AB30</f>
        <v/>
      </c>
      <c r="AC31" s="139">
        <f>AB31+AC28-AC30</f>
        <v/>
      </c>
      <c r="AD31" s="139">
        <f>AC31+AD28-AD30</f>
        <v/>
      </c>
      <c r="AE31" s="139">
        <f>AD31+AE28-AE30</f>
        <v/>
      </c>
      <c r="AF31" s="139">
        <f>AE31+AF28-AF30</f>
        <v/>
      </c>
      <c r="AG31" s="139">
        <f>AF31+AG28-AG30</f>
        <v/>
      </c>
      <c r="AH31" s="139">
        <f>AG31+AH28-AH30</f>
        <v/>
      </c>
      <c r="AI31" s="139">
        <f>AH31+AI28-AI30</f>
        <v/>
      </c>
      <c r="AJ31" s="139">
        <f>AI31+AJ28-AJ30</f>
        <v/>
      </c>
      <c r="AK31" s="139">
        <f>AJ31+AK28-AK30</f>
        <v/>
      </c>
      <c r="AL31" s="139">
        <f>AK31+AL28-AL30</f>
        <v/>
      </c>
      <c r="AM31" s="139">
        <f>AL31+AM28-AM30</f>
        <v/>
      </c>
      <c r="AN31" s="139">
        <f>AM31+AN28-AN30</f>
        <v/>
      </c>
      <c r="AO31" s="139">
        <f>AN31+AO28-AO30</f>
        <v/>
      </c>
      <c r="AP31" s="139">
        <f>AO31+AP28-AP30</f>
        <v/>
      </c>
      <c r="AQ31" s="139">
        <f>AP31+AQ28-AQ30</f>
        <v/>
      </c>
      <c r="AR31" s="139">
        <f>AQ31+AR28-AR30</f>
        <v/>
      </c>
      <c r="AS31" s="139">
        <f>AR31+AS28-AS30</f>
        <v/>
      </c>
      <c r="AT31" s="139">
        <f>AS31+AT28-AT30</f>
        <v/>
      </c>
      <c r="AU31" s="139">
        <f>AT31+AU28-AU30</f>
        <v/>
      </c>
      <c r="AV31" s="139">
        <f>AU31+AV28-AV30</f>
        <v/>
      </c>
      <c r="AW31" s="139">
        <f>AV31+AW28-AW30</f>
        <v/>
      </c>
      <c r="AX31" s="139">
        <f>AW31+AX28-AX30</f>
        <v/>
      </c>
      <c r="AY31" s="139">
        <f>AX31+AY28-AY30</f>
        <v/>
      </c>
      <c r="AZ31" s="139">
        <f>AY31+AZ28-AZ30</f>
        <v/>
      </c>
      <c r="BA31" s="139">
        <f>AZ31+BA28-BA30</f>
        <v/>
      </c>
      <c r="BB31" s="139">
        <f>BA31+BB28-BB30</f>
        <v/>
      </c>
      <c r="BC31" s="139">
        <f>BB31+BC28-BC30</f>
        <v/>
      </c>
      <c r="BD31" s="139">
        <f>BC31+BD28-BD30</f>
        <v/>
      </c>
      <c r="BE31" s="139">
        <f>BD31+BE28-BE30</f>
        <v/>
      </c>
      <c r="BF31" s="139">
        <f>BE31+BF28-BF30</f>
        <v/>
      </c>
      <c r="BG31" s="139">
        <f>BF31+BG28-BG30</f>
        <v/>
      </c>
      <c r="BH31" s="139">
        <f>BG31+BH28-BH30</f>
        <v/>
      </c>
      <c r="BI31" s="139">
        <f>BH31+BI28-BI30</f>
        <v/>
      </c>
      <c r="BJ31" s="139">
        <f>BI31+BJ28-BJ30</f>
        <v/>
      </c>
      <c r="BK31" s="139">
        <f>BJ31+BK28-BK30</f>
        <v/>
      </c>
      <c r="BL31" s="139">
        <f>BK31+BL28-BL30</f>
        <v/>
      </c>
      <c r="BM31" s="139">
        <f>BL31+BM28-BM30</f>
        <v/>
      </c>
      <c r="BN31" s="139">
        <f>BM31+BN28-BN30</f>
        <v/>
      </c>
      <c r="BO31" s="139">
        <f>BN31+BO28-BO30</f>
        <v/>
      </c>
      <c r="BP31" s="139">
        <f>BO31+BP28-BP30</f>
        <v/>
      </c>
      <c r="BQ31" s="139">
        <f>BP31+BQ28-BQ30</f>
        <v/>
      </c>
      <c r="BR31" s="139">
        <f>BQ31+BR28-BR30</f>
        <v/>
      </c>
      <c r="BS31" s="139">
        <f>BR31+BS28-BS30</f>
        <v/>
      </c>
      <c r="BT31" s="139">
        <f>BS31+BT28-BT30</f>
        <v/>
      </c>
      <c r="BU31" s="139">
        <f>BT31+BU28-BU30</f>
        <v/>
      </c>
      <c r="BV31" s="139">
        <f>BU31+BV28-BV30</f>
        <v/>
      </c>
      <c r="BW31" s="139">
        <f>BV31+BW28-BW30</f>
        <v/>
      </c>
      <c r="BX31" s="139">
        <f>BW31+BX28-BX30</f>
        <v/>
      </c>
      <c r="BY31" s="139">
        <f>BX31+BY28-BY30</f>
        <v/>
      </c>
      <c r="BZ31" s="139">
        <f>BY31+BZ28-BZ30</f>
        <v/>
      </c>
      <c r="CA31" s="139">
        <f>BZ31+CA28-CA30</f>
        <v/>
      </c>
      <c r="CB31" s="139">
        <f>CA31+CB28-CB30</f>
        <v/>
      </c>
      <c r="CC31" s="139">
        <f>CB31+CC28-CC30</f>
        <v/>
      </c>
      <c r="CD31" s="139">
        <f>CC31+CD28-CD30</f>
        <v/>
      </c>
      <c r="CE31" s="139">
        <f>CD31+CE28-CE30</f>
        <v/>
      </c>
      <c r="CF31" s="139">
        <f>CE31+CF28-CF30</f>
        <v/>
      </c>
      <c r="CG31" s="139">
        <f>CF31+CG28-CG30</f>
        <v/>
      </c>
      <c r="CH31" s="139">
        <f>CG31+CH28-CH30</f>
        <v/>
      </c>
      <c r="CI31" s="139">
        <f>CH31+CI28-CI30</f>
        <v/>
      </c>
      <c r="CJ31" s="139">
        <f>CI31+CJ28-CJ30</f>
        <v/>
      </c>
      <c r="CK31" s="139">
        <f>CJ31+CK28-CK30</f>
        <v/>
      </c>
      <c r="CL31" s="139">
        <f>CK31+CL28-CL30</f>
        <v/>
      </c>
      <c r="CM31" s="139">
        <f>CL31+CM28-CM30</f>
        <v/>
      </c>
      <c r="CN31" s="139">
        <f>CM31+CN28-CN30</f>
        <v/>
      </c>
      <c r="CO31" s="139">
        <f>CN31+CO28-CO30</f>
        <v/>
      </c>
      <c r="CP31" s="139">
        <f>CO31+CP28-CP30</f>
        <v/>
      </c>
      <c r="CQ31" s="139">
        <f>CP31+CQ28-CQ30</f>
        <v/>
      </c>
      <c r="CR31" s="139">
        <f>CQ31+CR28-CR30</f>
        <v/>
      </c>
      <c r="CS31" s="139">
        <f>CR31+CS28-CS30</f>
        <v/>
      </c>
      <c r="CT31" s="139">
        <f>CS31+CT28-CT30</f>
        <v/>
      </c>
      <c r="CU31" s="139">
        <f>CT31+CU28-CU30</f>
        <v/>
      </c>
      <c r="CV31" s="139">
        <f>CU31+CV28-CV30</f>
        <v/>
      </c>
      <c r="CW31" s="139">
        <f>CV31+CW28-CW30</f>
        <v/>
      </c>
      <c r="CX31" s="139">
        <f>CW31+CX28-CX30</f>
        <v/>
      </c>
    </row>
    <row r="32" ht="15.75" customHeight="1" s="255">
      <c r="A32" s="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</row>
    <row r="33" ht="15.75" customHeight="1" s="255">
      <c r="A33" s="131" t="inlineStr">
        <is>
          <t>Gross revenue Inbound Sales</t>
        </is>
      </c>
      <c r="B33" s="42" t="n"/>
      <c r="C33" s="42" t="n"/>
      <c r="D33" s="42" t="n"/>
      <c r="E33" s="60">
        <f>E31*Projections!$B$28</f>
        <v/>
      </c>
      <c r="F33" s="60">
        <f>F31*Projections!$B$28</f>
        <v/>
      </c>
      <c r="G33" s="60">
        <f>G31*Projections!$B$28</f>
        <v/>
      </c>
      <c r="H33" s="60">
        <f>H31*Projections!$B$28</f>
        <v/>
      </c>
      <c r="I33" s="60">
        <f>I31*Projections!$B$28</f>
        <v/>
      </c>
      <c r="J33" s="60">
        <f>J31*Projections!$B$28</f>
        <v/>
      </c>
      <c r="K33" s="60">
        <f>K31*Projections!$B$28</f>
        <v/>
      </c>
      <c r="L33" s="60">
        <f>L31*Projections!$B$28</f>
        <v/>
      </c>
      <c r="M33" s="60">
        <f>M31*Projections!$B$28</f>
        <v/>
      </c>
      <c r="N33" s="60">
        <f>N31*Projections!$B$28</f>
        <v/>
      </c>
      <c r="O33" s="60">
        <f>O31*Projections!$B$28</f>
        <v/>
      </c>
      <c r="P33" s="60">
        <f>P31*Projections!$B$28</f>
        <v/>
      </c>
      <c r="Q33" s="60">
        <f>Q31*Projections!$B$28</f>
        <v/>
      </c>
      <c r="R33" s="60">
        <f>R31*Projections!$B$28</f>
        <v/>
      </c>
      <c r="S33" s="60">
        <f>S31*Projections!$B$28</f>
        <v/>
      </c>
      <c r="T33" s="60">
        <f>T31*Projections!$B$28</f>
        <v/>
      </c>
      <c r="U33" s="60">
        <f>U31*Projections!$B$28</f>
        <v/>
      </c>
      <c r="V33" s="60">
        <f>V31*Projections!$B$28</f>
        <v/>
      </c>
      <c r="W33" s="60">
        <f>W31*Projections!$B$28</f>
        <v/>
      </c>
      <c r="X33" s="60">
        <f>X31*Projections!$B$28</f>
        <v/>
      </c>
      <c r="Y33" s="60">
        <f>Y31*Projections!$B$28</f>
        <v/>
      </c>
      <c r="Z33" s="60">
        <f>Z31*Projections!$B$28</f>
        <v/>
      </c>
      <c r="AA33" s="60">
        <f>AA31*Projections!$B$28</f>
        <v/>
      </c>
      <c r="AB33" s="60">
        <f>AB31*Projections!$B$28</f>
        <v/>
      </c>
      <c r="AC33" s="60">
        <f>AC31*Projections!$B$28</f>
        <v/>
      </c>
      <c r="AD33" s="60">
        <f>AD31*Projections!$B$28</f>
        <v/>
      </c>
      <c r="AE33" s="60">
        <f>AE31*Projections!$B$28</f>
        <v/>
      </c>
      <c r="AF33" s="60">
        <f>AF31*Projections!$B$28</f>
        <v/>
      </c>
      <c r="AG33" s="60">
        <f>AG31*Projections!$B$28</f>
        <v/>
      </c>
      <c r="AH33" s="60">
        <f>AH31*Projections!$B$28</f>
        <v/>
      </c>
      <c r="AI33" s="60">
        <f>AI31*Projections!$B$28</f>
        <v/>
      </c>
      <c r="AJ33" s="60">
        <f>AJ31*Projections!$B$28</f>
        <v/>
      </c>
      <c r="AK33" s="60">
        <f>AK31*Projections!$B$28</f>
        <v/>
      </c>
      <c r="AL33" s="60">
        <f>AL31*Projections!$B$28</f>
        <v/>
      </c>
      <c r="AM33" s="60">
        <f>AM31*Projections!$B$28</f>
        <v/>
      </c>
      <c r="AN33" s="60">
        <f>AN31*Projections!$B$28</f>
        <v/>
      </c>
      <c r="AO33" s="60">
        <f>AO31*Projections!$B$28</f>
        <v/>
      </c>
      <c r="AP33" s="60">
        <f>AP31*Projections!$B$28</f>
        <v/>
      </c>
      <c r="AQ33" s="60">
        <f>AQ31*Projections!$B$28</f>
        <v/>
      </c>
      <c r="AR33" s="60">
        <f>AR31*Projections!$B$28</f>
        <v/>
      </c>
      <c r="AS33" s="60">
        <f>AS31*Projections!$B$28</f>
        <v/>
      </c>
      <c r="AT33" s="60">
        <f>AT31*Projections!$B$28</f>
        <v/>
      </c>
      <c r="AU33" s="60">
        <f>AU31*Projections!$B$28</f>
        <v/>
      </c>
      <c r="AV33" s="60">
        <f>AV31*Projections!$B$28</f>
        <v/>
      </c>
      <c r="AW33" s="60">
        <f>AW31*Projections!$B$28</f>
        <v/>
      </c>
      <c r="AX33" s="60">
        <f>AX31*Projections!$B$28</f>
        <v/>
      </c>
      <c r="AY33" s="60">
        <f>AY31*Projections!$B$28</f>
        <v/>
      </c>
      <c r="AZ33" s="60">
        <f>AZ31*Projections!$B$28</f>
        <v/>
      </c>
      <c r="BA33" s="60">
        <f>BA31*Projections!$B$28</f>
        <v/>
      </c>
      <c r="BB33" s="60">
        <f>BB31*Projections!$B$28</f>
        <v/>
      </c>
      <c r="BC33" s="60">
        <f>BC31*Projections!$B$28</f>
        <v/>
      </c>
      <c r="BD33" s="60">
        <f>BD31*Projections!$B$28</f>
        <v/>
      </c>
      <c r="BE33" s="60">
        <f>BE31*Projections!$B$28</f>
        <v/>
      </c>
      <c r="BF33" s="60">
        <f>BF31*Projections!$B$28</f>
        <v/>
      </c>
      <c r="BG33" s="60">
        <f>BG31*Projections!$B$28</f>
        <v/>
      </c>
      <c r="BH33" s="60">
        <f>BH31*Projections!$B$28</f>
        <v/>
      </c>
      <c r="BI33" s="60">
        <f>BI31*Projections!$B$28</f>
        <v/>
      </c>
      <c r="BJ33" s="60">
        <f>BJ31*Projections!$B$28</f>
        <v/>
      </c>
      <c r="BK33" s="60">
        <f>BK31*Projections!$B$28</f>
        <v/>
      </c>
      <c r="BL33" s="60">
        <f>BL31*Projections!$B$28</f>
        <v/>
      </c>
      <c r="BM33" s="60">
        <f>BM31*Projections!$B$28</f>
        <v/>
      </c>
      <c r="BN33" s="60">
        <f>BN31*Projections!$B$28</f>
        <v/>
      </c>
      <c r="BO33" s="60">
        <f>BO31*Projections!$B$28</f>
        <v/>
      </c>
      <c r="BP33" s="60">
        <f>BP31*Projections!$B$28</f>
        <v/>
      </c>
      <c r="BQ33" s="60">
        <f>BQ31*Projections!$B$28</f>
        <v/>
      </c>
      <c r="BR33" s="60">
        <f>BR31*Projections!$B$28</f>
        <v/>
      </c>
      <c r="BS33" s="60">
        <f>BS31*Projections!$B$28</f>
        <v/>
      </c>
      <c r="BT33" s="60">
        <f>BT31*Projections!$B$28</f>
        <v/>
      </c>
      <c r="BU33" s="60">
        <f>BU31*Projections!$B$28</f>
        <v/>
      </c>
      <c r="BV33" s="60">
        <f>BV31*Projections!$B$28</f>
        <v/>
      </c>
      <c r="BW33" s="60">
        <f>BW31*Projections!$B$28</f>
        <v/>
      </c>
      <c r="BX33" s="60">
        <f>BX31*Projections!$B$28</f>
        <v/>
      </c>
      <c r="BY33" s="60">
        <f>BY31*Projections!$B$28</f>
        <v/>
      </c>
      <c r="BZ33" s="60">
        <f>BZ31*Projections!$B$28</f>
        <v/>
      </c>
      <c r="CA33" s="60">
        <f>CA31*Projections!$B$28</f>
        <v/>
      </c>
      <c r="CB33" s="60">
        <f>CB31*Projections!$B$28</f>
        <v/>
      </c>
      <c r="CC33" s="60">
        <f>CC31*Projections!$B$28</f>
        <v/>
      </c>
      <c r="CD33" s="60">
        <f>CD31*Projections!$B$28</f>
        <v/>
      </c>
      <c r="CE33" s="60">
        <f>CE31*Projections!$B$28</f>
        <v/>
      </c>
      <c r="CF33" s="60">
        <f>CF31*Projections!$B$28</f>
        <v/>
      </c>
      <c r="CG33" s="60">
        <f>CG31*Projections!$B$28</f>
        <v/>
      </c>
      <c r="CH33" s="60">
        <f>CH31*Projections!$B$28</f>
        <v/>
      </c>
      <c r="CI33" s="60">
        <f>CI31*Projections!$B$28</f>
        <v/>
      </c>
      <c r="CJ33" s="60">
        <f>CJ31*Projections!$B$28</f>
        <v/>
      </c>
      <c r="CK33" s="60">
        <f>CK31*Projections!$B$28</f>
        <v/>
      </c>
      <c r="CL33" s="60">
        <f>CL31*Projections!$B$28</f>
        <v/>
      </c>
      <c r="CM33" s="60">
        <f>CM31*Projections!$B$28</f>
        <v/>
      </c>
      <c r="CN33" s="60">
        <f>CN31*Projections!$B$28</f>
        <v/>
      </c>
      <c r="CO33" s="60">
        <f>CO31*Projections!$B$28</f>
        <v/>
      </c>
      <c r="CP33" s="60">
        <f>CP31*Projections!$B$28</f>
        <v/>
      </c>
      <c r="CQ33" s="60">
        <f>CQ31*Projections!$B$28</f>
        <v/>
      </c>
      <c r="CR33" s="60">
        <f>CR31*Projections!$B$28</f>
        <v/>
      </c>
      <c r="CS33" s="60">
        <f>CS31*Projections!$B$28</f>
        <v/>
      </c>
      <c r="CT33" s="60">
        <f>CT31*Projections!$B$28</f>
        <v/>
      </c>
      <c r="CU33" s="60">
        <f>CU31*Projections!$B$28</f>
        <v/>
      </c>
      <c r="CV33" s="60">
        <f>CV31*Projections!$B$28</f>
        <v/>
      </c>
      <c r="CW33" s="60">
        <f>CW31*Projections!$B$28</f>
        <v/>
      </c>
      <c r="CX33" s="60">
        <f>CX31*Projections!$B$28</f>
        <v/>
      </c>
    </row>
    <row r="34" ht="15.75" customHeight="1" s="255"/>
    <row r="35" ht="15.75" customHeight="1" s="255">
      <c r="A35" s="167">
        <f>Projections!A53</f>
        <v/>
      </c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  <c r="CL35" s="59" t="n"/>
      <c r="CM35" s="59" t="n"/>
      <c r="CN35" s="59" t="n"/>
      <c r="CO35" s="59" t="n"/>
      <c r="CP35" s="59" t="n"/>
      <c r="CQ35" s="59" t="n"/>
      <c r="CR35" s="59" t="n"/>
      <c r="CS35" s="59" t="n"/>
      <c r="CT35" s="59" t="n"/>
      <c r="CU35" s="59" t="n"/>
      <c r="CV35" s="59" t="n"/>
      <c r="CW35" s="59" t="n"/>
      <c r="CX35" s="59" t="n"/>
    </row>
    <row r="36" ht="15.75" customHeight="1" s="255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</row>
    <row r="37" outlineLevel="1" ht="15.75" customHeight="1" s="255">
      <c r="A37" s="5" t="inlineStr">
        <is>
          <t>New subscribers</t>
        </is>
      </c>
      <c r="B37" s="42" t="n"/>
      <c r="C37" s="42" t="n"/>
      <c r="D37" s="139" t="n"/>
      <c r="E37" s="139">
        <f>E87*Projections!$B$62</f>
        <v/>
      </c>
      <c r="F37" s="139">
        <f>F87*Projections!$B$62</f>
        <v/>
      </c>
      <c r="G37" s="139">
        <f>G87*Projections!$B$62</f>
        <v/>
      </c>
      <c r="H37" s="139">
        <f>H87*Projections!$B$62</f>
        <v/>
      </c>
      <c r="I37" s="139">
        <f>I87*Projections!$B$62</f>
        <v/>
      </c>
      <c r="J37" s="139">
        <f>J87*Projections!$B$62</f>
        <v/>
      </c>
      <c r="K37" s="139">
        <f>K87*Projections!$B$62</f>
        <v/>
      </c>
      <c r="L37" s="139">
        <f>L87*Projections!$B$62</f>
        <v/>
      </c>
      <c r="M37" s="139">
        <f>M87*Projections!$B$62</f>
        <v/>
      </c>
      <c r="N37" s="139">
        <f>N87*Projections!$B$62</f>
        <v/>
      </c>
      <c r="O37" s="139">
        <f>O87*Projections!$B$62</f>
        <v/>
      </c>
      <c r="P37" s="139">
        <f>P87*Projections!$B$62</f>
        <v/>
      </c>
      <c r="Q37" s="139">
        <f>Q87*Projections!$B$62</f>
        <v/>
      </c>
      <c r="R37" s="139">
        <f>R87*Projections!$B$62</f>
        <v/>
      </c>
      <c r="S37" s="139">
        <f>S87*Projections!$B$62</f>
        <v/>
      </c>
      <c r="T37" s="139">
        <f>T87*Projections!$B$62</f>
        <v/>
      </c>
      <c r="U37" s="139">
        <f>U87*Projections!$B$62</f>
        <v/>
      </c>
      <c r="V37" s="139">
        <f>V87*Projections!$B$62</f>
        <v/>
      </c>
      <c r="W37" s="139">
        <f>W87*Projections!$B$62</f>
        <v/>
      </c>
      <c r="X37" s="139">
        <f>X87*Projections!$B$62</f>
        <v/>
      </c>
      <c r="Y37" s="139">
        <f>Y87*Projections!$B$62</f>
        <v/>
      </c>
      <c r="Z37" s="139">
        <f>Z87*Projections!$B$62</f>
        <v/>
      </c>
      <c r="AA37" s="139">
        <f>AA87*Projections!$B$62</f>
        <v/>
      </c>
      <c r="AB37" s="139">
        <f>AB87*Projections!$B$62</f>
        <v/>
      </c>
      <c r="AC37" s="139">
        <f>AC87*Projections!$B$62</f>
        <v/>
      </c>
      <c r="AD37" s="139">
        <f>AD87*Projections!$B$62</f>
        <v/>
      </c>
      <c r="AE37" s="139">
        <f>AE87*Projections!$B$62</f>
        <v/>
      </c>
      <c r="AF37" s="139">
        <f>AF87*Projections!$B$62</f>
        <v/>
      </c>
      <c r="AG37" s="139">
        <f>AG87*Projections!$B$62</f>
        <v/>
      </c>
      <c r="AH37" s="139">
        <f>AH87*Projections!$B$62</f>
        <v/>
      </c>
      <c r="AI37" s="139">
        <f>AI87*Projections!$B$62</f>
        <v/>
      </c>
      <c r="AJ37" s="139">
        <f>AJ87*Projections!$B$62</f>
        <v/>
      </c>
      <c r="AK37" s="139">
        <f>AK87*Projections!$B$62</f>
        <v/>
      </c>
      <c r="AL37" s="139">
        <f>AL87*Projections!$B$62</f>
        <v/>
      </c>
      <c r="AM37" s="139">
        <f>AM87*Projections!$B$62</f>
        <v/>
      </c>
      <c r="AN37" s="139">
        <f>AN87*Projections!$B$62</f>
        <v/>
      </c>
      <c r="AO37" s="139">
        <f>AO87*Projections!$B$62</f>
        <v/>
      </c>
      <c r="AP37" s="139">
        <f>AP87*Projections!$B$62</f>
        <v/>
      </c>
      <c r="AQ37" s="139">
        <f>AQ87*Projections!$B$62</f>
        <v/>
      </c>
      <c r="AR37" s="139">
        <f>AR87*Projections!$B$62</f>
        <v/>
      </c>
      <c r="AS37" s="139">
        <f>AS87*Projections!$B$62</f>
        <v/>
      </c>
      <c r="AT37" s="139">
        <f>AT87*Projections!$B$62</f>
        <v/>
      </c>
      <c r="AU37" s="139">
        <f>AU87*Projections!$B$62</f>
        <v/>
      </c>
      <c r="AV37" s="139">
        <f>AV87*Projections!$B$62</f>
        <v/>
      </c>
      <c r="AW37" s="139">
        <f>AW87*Projections!$B$62</f>
        <v/>
      </c>
      <c r="AX37" s="139">
        <f>AX87*Projections!$B$62</f>
        <v/>
      </c>
      <c r="AY37" s="139">
        <f>AY87*Projections!$B$62</f>
        <v/>
      </c>
      <c r="AZ37" s="139">
        <f>AZ87*Projections!$B$62</f>
        <v/>
      </c>
      <c r="BA37" s="139">
        <f>BA87*Projections!$B$62</f>
        <v/>
      </c>
      <c r="BB37" s="139">
        <f>BB87*Projections!$B$62</f>
        <v/>
      </c>
      <c r="BC37" s="139">
        <f>BC87*Projections!$B$62</f>
        <v/>
      </c>
      <c r="BD37" s="139">
        <f>BD87*Projections!$B$62</f>
        <v/>
      </c>
      <c r="BE37" s="139">
        <f>BE87*Projections!$B$62</f>
        <v/>
      </c>
      <c r="BF37" s="139">
        <f>BF87*Projections!$B$62</f>
        <v/>
      </c>
      <c r="BG37" s="139">
        <f>BG87*Projections!$B$62</f>
        <v/>
      </c>
      <c r="BH37" s="139">
        <f>BH87*Projections!$B$62</f>
        <v/>
      </c>
      <c r="BI37" s="139">
        <f>BI87*Projections!$B$62</f>
        <v/>
      </c>
      <c r="BJ37" s="139">
        <f>BJ87*Projections!$B$62</f>
        <v/>
      </c>
      <c r="BK37" s="139">
        <f>BK87*Projections!$B$62</f>
        <v/>
      </c>
      <c r="BL37" s="139">
        <f>BL87*Projections!$B$62</f>
        <v/>
      </c>
      <c r="BM37" s="139">
        <f>BM87*Projections!$B$62</f>
        <v/>
      </c>
      <c r="BN37" s="139">
        <f>BN87*Projections!$B$62</f>
        <v/>
      </c>
      <c r="BO37" s="139">
        <f>BO87*Projections!$B$62</f>
        <v/>
      </c>
      <c r="BP37" s="139">
        <f>BP87*Projections!$B$62</f>
        <v/>
      </c>
      <c r="BQ37" s="139">
        <f>BQ87*Projections!$B$62</f>
        <v/>
      </c>
      <c r="BR37" s="139">
        <f>BR87*Projections!$B$62</f>
        <v/>
      </c>
      <c r="BS37" s="139">
        <f>BS87*Projections!$B$62</f>
        <v/>
      </c>
      <c r="BT37" s="139">
        <f>BT87*Projections!$B$62</f>
        <v/>
      </c>
      <c r="BU37" s="139">
        <f>BU87*Projections!$B$62</f>
        <v/>
      </c>
      <c r="BV37" s="139">
        <f>BV87*Projections!$B$62</f>
        <v/>
      </c>
      <c r="BW37" s="139">
        <f>BW87*Projections!$B$62</f>
        <v/>
      </c>
      <c r="BX37" s="139">
        <f>BX87*Projections!$B$62</f>
        <v/>
      </c>
      <c r="BY37" s="139">
        <f>BY87*Projections!$B$62</f>
        <v/>
      </c>
      <c r="BZ37" s="139">
        <f>BZ87*Projections!$B$62</f>
        <v/>
      </c>
      <c r="CA37" s="139">
        <f>CA87*Projections!$B$62</f>
        <v/>
      </c>
      <c r="CB37" s="139">
        <f>CB87*Projections!$B$62</f>
        <v/>
      </c>
      <c r="CC37" s="139">
        <f>CC87*Projections!$B$62</f>
        <v/>
      </c>
      <c r="CD37" s="139">
        <f>CD87*Projections!$B$62</f>
        <v/>
      </c>
      <c r="CE37" s="139">
        <f>CE87*Projections!$B$62</f>
        <v/>
      </c>
      <c r="CF37" s="139">
        <f>CF87*Projections!$B$62</f>
        <v/>
      </c>
      <c r="CG37" s="139">
        <f>CG87*Projections!$B$62</f>
        <v/>
      </c>
      <c r="CH37" s="139">
        <f>CH87*Projections!$B$62</f>
        <v/>
      </c>
      <c r="CI37" s="139">
        <f>CI87*Projections!$B$62</f>
        <v/>
      </c>
      <c r="CJ37" s="139">
        <f>CJ87*Projections!$B$62</f>
        <v/>
      </c>
      <c r="CK37" s="139">
        <f>CK87*Projections!$B$62</f>
        <v/>
      </c>
      <c r="CL37" s="139">
        <f>CL87*Projections!$B$62</f>
        <v/>
      </c>
      <c r="CM37" s="139">
        <f>CM87*Projections!$B$62</f>
        <v/>
      </c>
      <c r="CN37" s="139">
        <f>CN87*Projections!$B$62</f>
        <v/>
      </c>
      <c r="CO37" s="139">
        <f>CO87*Projections!$B$62</f>
        <v/>
      </c>
      <c r="CP37" s="139">
        <f>CP87*Projections!$B$62</f>
        <v/>
      </c>
      <c r="CQ37" s="139">
        <f>CQ87*Projections!$B$62</f>
        <v/>
      </c>
      <c r="CR37" s="139">
        <f>CR87*Projections!$B$62</f>
        <v/>
      </c>
      <c r="CS37" s="139">
        <f>CS87*Projections!$B$62</f>
        <v/>
      </c>
      <c r="CT37" s="139">
        <f>CT87*Projections!$B$62</f>
        <v/>
      </c>
      <c r="CU37" s="139">
        <f>CU87*Projections!$B$62</f>
        <v/>
      </c>
      <c r="CV37" s="139">
        <f>CV87*Projections!$B$62</f>
        <v/>
      </c>
      <c r="CW37" s="139">
        <f>CW87*Projections!$B$62</f>
        <v/>
      </c>
      <c r="CX37" s="139">
        <f>CX87*Projections!$B$62</f>
        <v/>
      </c>
    </row>
    <row r="38" outlineLevel="1" ht="15.75" customHeight="1" s="255">
      <c r="A38" s="5" t="inlineStr">
        <is>
          <t>Churn rate</t>
        </is>
      </c>
      <c r="B38" s="42" t="n"/>
      <c r="C38" s="42" t="n"/>
      <c r="D38" s="42" t="n"/>
      <c r="E38" s="34">
        <f>IF(E2&gt;=Projections!$D$28,Projections!$B$30,0)</f>
        <v/>
      </c>
      <c r="F38" s="34">
        <f>IF(F2&gt;=Projections!$D$28,Projections!$B$30,0)</f>
        <v/>
      </c>
      <c r="G38" s="34">
        <f>IF(G2&gt;=Projections!$D$28,Projections!$B$30,0)</f>
        <v/>
      </c>
      <c r="H38" s="34">
        <f>IF(H2&gt;=Projections!$D$28,Projections!$B$30,0)</f>
        <v/>
      </c>
      <c r="I38" s="34">
        <f>IF(I2&gt;=Projections!$D$28,Projections!$B$30,0)</f>
        <v/>
      </c>
      <c r="J38" s="34">
        <f>IF(J2&gt;=Projections!$D$28,Projections!$B$30,0)</f>
        <v/>
      </c>
      <c r="K38" s="34">
        <f>IF(K2&gt;=Projections!$D$28,Projections!$B$30,0)</f>
        <v/>
      </c>
      <c r="L38" s="34">
        <f>IF(L2&gt;=Projections!$D$28,Projections!$B$30,0)</f>
        <v/>
      </c>
      <c r="M38" s="34">
        <f>IF(M2&gt;=Projections!$D$28,Projections!$B$30,0)</f>
        <v/>
      </c>
      <c r="N38" s="34">
        <f>IF(N2&gt;=Projections!$D$28,Projections!$B$30,0)</f>
        <v/>
      </c>
      <c r="O38" s="34">
        <f>IF(O2&gt;=Projections!$D$28,Projections!$B$30,0)</f>
        <v/>
      </c>
      <c r="P38" s="34">
        <f>IF(P2&gt;=Projections!$D$28,Projections!$B$30,0)</f>
        <v/>
      </c>
      <c r="Q38" s="34">
        <f>IF(Q2&gt;=Projections!$D$28,Projections!$B$30,0)</f>
        <v/>
      </c>
      <c r="R38" s="34">
        <f>IF(R2&gt;=Projections!$D$28,Projections!$B$30,0)</f>
        <v/>
      </c>
      <c r="S38" s="34">
        <f>IF(S2&gt;=Projections!$D$28,Projections!$B$30,0)</f>
        <v/>
      </c>
      <c r="T38" s="34">
        <f>IF(T2&gt;=Projections!$D$28,Projections!$B$30,0)</f>
        <v/>
      </c>
      <c r="U38" s="34">
        <f>IF(U2&gt;=Projections!$D$28,Projections!$B$30,0)</f>
        <v/>
      </c>
      <c r="V38" s="34">
        <f>IF(V2&gt;=Projections!$D$28,Projections!$B$30,0)</f>
        <v/>
      </c>
      <c r="W38" s="34">
        <f>IF(W2&gt;=Projections!$D$28,Projections!$B$30,0)</f>
        <v/>
      </c>
      <c r="X38" s="34">
        <f>IF(X2&gt;=Projections!$D$28,Projections!$B$30,0)</f>
        <v/>
      </c>
      <c r="Y38" s="34">
        <f>IF(Y2&gt;=Projections!$D$28,Projections!$B$30,0)</f>
        <v/>
      </c>
      <c r="Z38" s="34">
        <f>IF(Z2&gt;=Projections!$D$28,Projections!$B$30,0)</f>
        <v/>
      </c>
      <c r="AA38" s="34">
        <f>IF(AA2&gt;=Projections!$D$28,Projections!$B$30,0)</f>
        <v/>
      </c>
      <c r="AB38" s="34">
        <f>IF(AB2&gt;=Projections!$D$28,Projections!$B$30,0)</f>
        <v/>
      </c>
      <c r="AC38" s="34">
        <f>IF(AC2&gt;=Projections!$D$28,Projections!$B$30,0)</f>
        <v/>
      </c>
      <c r="AD38" s="34">
        <f>IF(AD2&gt;=Projections!$D$28,Projections!$B$30,0)</f>
        <v/>
      </c>
      <c r="AE38" s="34">
        <f>IF(AE2&gt;=Projections!$D$28,Projections!$B$30,0)</f>
        <v/>
      </c>
      <c r="AF38" s="34">
        <f>IF(AF2&gt;=Projections!$D$28,Projections!$B$30,0)</f>
        <v/>
      </c>
      <c r="AG38" s="34">
        <f>IF(AG2&gt;=Projections!$D$28,Projections!$B$30,0)</f>
        <v/>
      </c>
      <c r="AH38" s="34">
        <f>IF(AH2&gt;=Projections!$D$28,Projections!$B$30,0)</f>
        <v/>
      </c>
      <c r="AI38" s="34">
        <f>IF(AI2&gt;=Projections!$D$28,Projections!$B$30,0)</f>
        <v/>
      </c>
      <c r="AJ38" s="34">
        <f>IF(AJ2&gt;=Projections!$D$28,Projections!$B$30,0)</f>
        <v/>
      </c>
      <c r="AK38" s="34">
        <f>IF(AK2&gt;=Projections!$D$28,Projections!$B$30,0)</f>
        <v/>
      </c>
      <c r="AL38" s="34">
        <f>IF(AL2&gt;=Projections!$D$28,Projections!$B$30,0)</f>
        <v/>
      </c>
      <c r="AM38" s="34">
        <f>IF(AM2&gt;=Projections!$D$28,Projections!$B$30,0)</f>
        <v/>
      </c>
      <c r="AN38" s="34">
        <f>IF(AN2&gt;=Projections!$D$28,Projections!$B$30,0)</f>
        <v/>
      </c>
      <c r="AO38" s="34">
        <f>IF(AO2&gt;=Projections!$D$28,Projections!$B$30,0)</f>
        <v/>
      </c>
      <c r="AP38" s="34">
        <f>IF(AP2&gt;=Projections!$D$28,Projections!$B$30,0)</f>
        <v/>
      </c>
      <c r="AQ38" s="34">
        <f>IF(AQ2&gt;=Projections!$D$28,Projections!$B$30,0)</f>
        <v/>
      </c>
      <c r="AR38" s="34">
        <f>IF(AR2&gt;=Projections!$D$28,Projections!$B$30,0)</f>
        <v/>
      </c>
      <c r="AS38" s="34">
        <f>IF(AS2&gt;=Projections!$D$28,Projections!$B$30,0)</f>
        <v/>
      </c>
      <c r="AT38" s="34">
        <f>IF(AT2&gt;=Projections!$D$28,Projections!$B$30,0)</f>
        <v/>
      </c>
      <c r="AU38" s="34">
        <f>IF(AU2&gt;=Projections!$D$28,Projections!$B$30,0)</f>
        <v/>
      </c>
      <c r="AV38" s="34">
        <f>IF(AV2&gt;=Projections!$D$28,Projections!$B$30,0)</f>
        <v/>
      </c>
      <c r="AW38" s="34">
        <f>IF(AW2&gt;=Projections!$D$28,Projections!$B$30,0)</f>
        <v/>
      </c>
      <c r="AX38" s="34">
        <f>IF(AX2&gt;=Projections!$D$28,Projections!$B$30,0)</f>
        <v/>
      </c>
      <c r="AY38" s="34">
        <f>IF(AY2&gt;=Projections!$D$28,Projections!$B$30,0)</f>
        <v/>
      </c>
      <c r="AZ38" s="34">
        <f>IF(AZ2&gt;=Projections!$D$28,Projections!$B$30,0)</f>
        <v/>
      </c>
      <c r="BA38" s="34">
        <f>IF(BA2&gt;=Projections!$D$28,Projections!$B$30,0)</f>
        <v/>
      </c>
      <c r="BB38" s="34">
        <f>IF(BB2&gt;=Projections!$D$28,Projections!$B$30,0)</f>
        <v/>
      </c>
      <c r="BC38" s="34">
        <f>IF(BC2&gt;=Projections!$D$28,Projections!$B$30,0)</f>
        <v/>
      </c>
      <c r="BD38" s="34">
        <f>IF(BD2&gt;=Projections!$D$28,Projections!$B$30,0)</f>
        <v/>
      </c>
      <c r="BE38" s="34">
        <f>IF(BE2&gt;=Projections!$D$28,Projections!$B$30,0)</f>
        <v/>
      </c>
      <c r="BF38" s="34">
        <f>IF(BF2&gt;=Projections!$D$28,Projections!$B$30,0)</f>
        <v/>
      </c>
      <c r="BG38" s="34">
        <f>IF(BG2&gt;=Projections!$D$28,Projections!$B$30,0)</f>
        <v/>
      </c>
      <c r="BH38" s="34">
        <f>IF(BH2&gt;=Projections!$D$28,Projections!$B$30,0)</f>
        <v/>
      </c>
      <c r="BI38" s="34">
        <f>IF(BI2&gt;=Projections!$D$28,Projections!$B$30,0)</f>
        <v/>
      </c>
      <c r="BJ38" s="34">
        <f>IF(BJ2&gt;=Projections!$D$28,Projections!$B$30,0)</f>
        <v/>
      </c>
      <c r="BK38" s="34">
        <f>IF(BK2&gt;=Projections!$D$28,Projections!$B$30,0)</f>
        <v/>
      </c>
      <c r="BL38" s="34">
        <f>IF(BL2&gt;=Projections!$D$28,Projections!$B$30,0)</f>
        <v/>
      </c>
      <c r="BM38" s="34">
        <f>IF(BM2&gt;=Projections!$D$28,Projections!$B$30,0)</f>
        <v/>
      </c>
      <c r="BN38" s="34">
        <f>IF(BN2&gt;=Projections!$D$28,Projections!$B$30,0)</f>
        <v/>
      </c>
      <c r="BO38" s="34">
        <f>IF(BO2&gt;=Projections!$D$28,Projections!$B$30,0)</f>
        <v/>
      </c>
      <c r="BP38" s="34">
        <f>IF(BP2&gt;=Projections!$D$28,Projections!$B$30,0)</f>
        <v/>
      </c>
      <c r="BQ38" s="34">
        <f>IF(BQ2&gt;=Projections!$D$28,Projections!$B$30,0)</f>
        <v/>
      </c>
      <c r="BR38" s="34">
        <f>IF(BR2&gt;=Projections!$D$28,Projections!$B$30,0)</f>
        <v/>
      </c>
      <c r="BS38" s="34">
        <f>IF(BS2&gt;=Projections!$D$28,Projections!$B$30,0)</f>
        <v/>
      </c>
      <c r="BT38" s="34">
        <f>IF(BT2&gt;=Projections!$D$28,Projections!$B$30,0)</f>
        <v/>
      </c>
      <c r="BU38" s="34">
        <f>IF(BU2&gt;=Projections!$D$28,Projections!$B$30,0)</f>
        <v/>
      </c>
      <c r="BV38" s="34">
        <f>IF(BV2&gt;=Projections!$D$28,Projections!$B$30,0)</f>
        <v/>
      </c>
      <c r="BW38" s="34">
        <f>IF(BW2&gt;=Projections!$D$28,Projections!$B$30,0)</f>
        <v/>
      </c>
      <c r="BX38" s="34">
        <f>IF(BX2&gt;=Projections!$D$28,Projections!$B$30,0)</f>
        <v/>
      </c>
      <c r="BY38" s="34">
        <f>IF(BY2&gt;=Projections!$D$28,Projections!$B$30,0)</f>
        <v/>
      </c>
      <c r="BZ38" s="34">
        <f>IF(BZ2&gt;=Projections!$D$28,Projections!$B$30,0)</f>
        <v/>
      </c>
      <c r="CA38" s="34">
        <f>IF(CA2&gt;=Projections!$D$28,Projections!$B$30,0)</f>
        <v/>
      </c>
      <c r="CB38" s="34">
        <f>IF(CB2&gt;=Projections!$D$28,Projections!$B$30,0)</f>
        <v/>
      </c>
      <c r="CC38" s="34">
        <f>IF(CC2&gt;=Projections!$D$28,Projections!$B$30,0)</f>
        <v/>
      </c>
      <c r="CD38" s="34">
        <f>IF(CD2&gt;=Projections!$D$28,Projections!$B$30,0)</f>
        <v/>
      </c>
      <c r="CE38" s="34">
        <f>IF(CE2&gt;=Projections!$D$28,Projections!$B$30,0)</f>
        <v/>
      </c>
      <c r="CF38" s="34">
        <f>IF(CF2&gt;=Projections!$D$28,Projections!$B$30,0)</f>
        <v/>
      </c>
      <c r="CG38" s="34">
        <f>IF(CG2&gt;=Projections!$D$28,Projections!$B$30,0)</f>
        <v/>
      </c>
      <c r="CH38" s="34">
        <f>IF(CH2&gt;=Projections!$D$28,Projections!$B$30,0)</f>
        <v/>
      </c>
      <c r="CI38" s="34">
        <f>IF(CI2&gt;=Projections!$D$28,Projections!$B$30,0)</f>
        <v/>
      </c>
      <c r="CJ38" s="34">
        <f>IF(CJ2&gt;=Projections!$D$28,Projections!$B$30,0)</f>
        <v/>
      </c>
      <c r="CK38" s="34">
        <f>IF(CK2&gt;=Projections!$D$28,Projections!$B$30,0)</f>
        <v/>
      </c>
      <c r="CL38" s="34">
        <f>IF(CL2&gt;=Projections!$D$28,Projections!$B$30,0)</f>
        <v/>
      </c>
      <c r="CM38" s="34">
        <f>IF(CM2&gt;=Projections!$D$28,Projections!$B$30,0)</f>
        <v/>
      </c>
      <c r="CN38" s="34">
        <f>IF(CN2&gt;=Projections!$D$28,Projections!$B$30,0)</f>
        <v/>
      </c>
      <c r="CO38" s="34">
        <f>IF(CO2&gt;=Projections!$D$28,Projections!$B$30,0)</f>
        <v/>
      </c>
      <c r="CP38" s="34">
        <f>IF(CP2&gt;=Projections!$D$28,Projections!$B$30,0)</f>
        <v/>
      </c>
      <c r="CQ38" s="34">
        <f>IF(CQ2&gt;=Projections!$D$28,Projections!$B$30,0)</f>
        <v/>
      </c>
      <c r="CR38" s="34">
        <f>IF(CR2&gt;=Projections!$D$28,Projections!$B$30,0)</f>
        <v/>
      </c>
      <c r="CS38" s="34">
        <f>IF(CS2&gt;=Projections!$D$28,Projections!$B$30,0)</f>
        <v/>
      </c>
      <c r="CT38" s="34">
        <f>IF(CT2&gt;=Projections!$D$28,Projections!$B$30,0)</f>
        <v/>
      </c>
      <c r="CU38" s="34">
        <f>IF(CU2&gt;=Projections!$D$28,Projections!$B$30,0)</f>
        <v/>
      </c>
      <c r="CV38" s="34">
        <f>IF(CV2&gt;=Projections!$D$28,Projections!$B$30,0)</f>
        <v/>
      </c>
      <c r="CW38" s="34">
        <f>IF(CW2&gt;=Projections!$D$28,Projections!$B$30,0)</f>
        <v/>
      </c>
      <c r="CX38" s="34">
        <f>IF(CX2&gt;=Projections!$D$28,Projections!$B$30,0)</f>
        <v/>
      </c>
    </row>
    <row r="39" outlineLevel="1" ht="15.75" customHeight="1" s="255">
      <c r="A39" s="140" t="inlineStr">
        <is>
          <t>Lost subscribers</t>
        </is>
      </c>
      <c r="B39" s="139" t="n"/>
      <c r="C39" s="139" t="n"/>
      <c r="D39" s="139" t="n"/>
      <c r="E39" s="139">
        <f>D40*E38</f>
        <v/>
      </c>
      <c r="F39" s="139">
        <f>E40*F38</f>
        <v/>
      </c>
      <c r="G39" s="139">
        <f>F40*G38</f>
        <v/>
      </c>
      <c r="H39" s="139">
        <f>G40*H38</f>
        <v/>
      </c>
      <c r="I39" s="139">
        <f>H40*I38</f>
        <v/>
      </c>
      <c r="J39" s="139">
        <f>I40*J38</f>
        <v/>
      </c>
      <c r="K39" s="139">
        <f>J40*K38</f>
        <v/>
      </c>
      <c r="L39" s="139">
        <f>K40*L38</f>
        <v/>
      </c>
      <c r="M39" s="139">
        <f>L40*M38</f>
        <v/>
      </c>
      <c r="N39" s="139">
        <f>M40*N38</f>
        <v/>
      </c>
      <c r="O39" s="139">
        <f>N40*O38</f>
        <v/>
      </c>
      <c r="P39" s="139">
        <f>O40*P38</f>
        <v/>
      </c>
      <c r="Q39" s="139">
        <f>P40*Q38</f>
        <v/>
      </c>
      <c r="R39" s="139">
        <f>Q40*R38</f>
        <v/>
      </c>
      <c r="S39" s="139">
        <f>R40*S38</f>
        <v/>
      </c>
      <c r="T39" s="139">
        <f>S40*T38</f>
        <v/>
      </c>
      <c r="U39" s="139">
        <f>T40*U38</f>
        <v/>
      </c>
      <c r="V39" s="139">
        <f>U40*V38</f>
        <v/>
      </c>
      <c r="W39" s="139">
        <f>V40*W38</f>
        <v/>
      </c>
      <c r="X39" s="139">
        <f>W40*X38</f>
        <v/>
      </c>
      <c r="Y39" s="139">
        <f>X40*Y38</f>
        <v/>
      </c>
      <c r="Z39" s="139">
        <f>Y40*Z38</f>
        <v/>
      </c>
      <c r="AA39" s="139">
        <f>Z40*AA38</f>
        <v/>
      </c>
      <c r="AB39" s="139">
        <f>AA40*AB38</f>
        <v/>
      </c>
      <c r="AC39" s="139">
        <f>AB40*AC38</f>
        <v/>
      </c>
      <c r="AD39" s="139">
        <f>AC40*AD38</f>
        <v/>
      </c>
      <c r="AE39" s="139">
        <f>AD40*AE38</f>
        <v/>
      </c>
      <c r="AF39" s="139">
        <f>AE40*AF38</f>
        <v/>
      </c>
      <c r="AG39" s="139">
        <f>AF40*AG38</f>
        <v/>
      </c>
      <c r="AH39" s="139">
        <f>AG40*AH38</f>
        <v/>
      </c>
      <c r="AI39" s="139">
        <f>AH40*AI38</f>
        <v/>
      </c>
      <c r="AJ39" s="139">
        <f>AI40*AJ38</f>
        <v/>
      </c>
      <c r="AK39" s="139">
        <f>AJ40*AK38</f>
        <v/>
      </c>
      <c r="AL39" s="139">
        <f>AK40*AL38</f>
        <v/>
      </c>
      <c r="AM39" s="139">
        <f>AL40*AM38</f>
        <v/>
      </c>
      <c r="AN39" s="139">
        <f>AM40*AN38</f>
        <v/>
      </c>
      <c r="AO39" s="139">
        <f>AN40*AO38</f>
        <v/>
      </c>
      <c r="AP39" s="139">
        <f>AO40*AP38</f>
        <v/>
      </c>
      <c r="AQ39" s="139">
        <f>AP40*AQ38</f>
        <v/>
      </c>
      <c r="AR39" s="139">
        <f>AQ40*AR38</f>
        <v/>
      </c>
      <c r="AS39" s="139">
        <f>AR40*AS38</f>
        <v/>
      </c>
      <c r="AT39" s="139">
        <f>AS40*AT38</f>
        <v/>
      </c>
      <c r="AU39" s="139">
        <f>AT40*AU38</f>
        <v/>
      </c>
      <c r="AV39" s="139">
        <f>AU40*AV38</f>
        <v/>
      </c>
      <c r="AW39" s="139">
        <f>AV40*AW38</f>
        <v/>
      </c>
      <c r="AX39" s="139">
        <f>AW40*AX38</f>
        <v/>
      </c>
      <c r="AY39" s="139">
        <f>AX40*AY38</f>
        <v/>
      </c>
      <c r="AZ39" s="139">
        <f>AY40*AZ38</f>
        <v/>
      </c>
      <c r="BA39" s="139">
        <f>AZ40*BA38</f>
        <v/>
      </c>
      <c r="BB39" s="139">
        <f>BA40*BB38</f>
        <v/>
      </c>
      <c r="BC39" s="139">
        <f>BB40*BC38</f>
        <v/>
      </c>
      <c r="BD39" s="139">
        <f>BC40*BD38</f>
        <v/>
      </c>
      <c r="BE39" s="139">
        <f>BD40*BE38</f>
        <v/>
      </c>
      <c r="BF39" s="139">
        <f>BE40*BF38</f>
        <v/>
      </c>
      <c r="BG39" s="139">
        <f>BF40*BG38</f>
        <v/>
      </c>
      <c r="BH39" s="139">
        <f>BG40*BH38</f>
        <v/>
      </c>
      <c r="BI39" s="139">
        <f>BH40*BI38</f>
        <v/>
      </c>
      <c r="BJ39" s="139">
        <f>BI40*BJ38</f>
        <v/>
      </c>
      <c r="BK39" s="139">
        <f>BJ40*BK38</f>
        <v/>
      </c>
      <c r="BL39" s="139">
        <f>BK40*BL38</f>
        <v/>
      </c>
      <c r="BM39" s="139">
        <f>BL40*BM38</f>
        <v/>
      </c>
      <c r="BN39" s="139">
        <f>BM40*BN38</f>
        <v/>
      </c>
      <c r="BO39" s="139">
        <f>BN40*BO38</f>
        <v/>
      </c>
      <c r="BP39" s="139">
        <f>BO40*BP38</f>
        <v/>
      </c>
      <c r="BQ39" s="139">
        <f>BP40*BQ38</f>
        <v/>
      </c>
      <c r="BR39" s="139">
        <f>BQ40*BR38</f>
        <v/>
      </c>
      <c r="BS39" s="139">
        <f>BR40*BS38</f>
        <v/>
      </c>
      <c r="BT39" s="139">
        <f>BS40*BT38</f>
        <v/>
      </c>
      <c r="BU39" s="139">
        <f>BT40*BU38</f>
        <v/>
      </c>
      <c r="BV39" s="139">
        <f>BU40*BV38</f>
        <v/>
      </c>
      <c r="BW39" s="139">
        <f>BV40*BW38</f>
        <v/>
      </c>
      <c r="BX39" s="139">
        <f>BW40*BX38</f>
        <v/>
      </c>
      <c r="BY39" s="139">
        <f>BX40*BY38</f>
        <v/>
      </c>
      <c r="BZ39" s="139">
        <f>BY40*BZ38</f>
        <v/>
      </c>
      <c r="CA39" s="139">
        <f>BZ40*CA38</f>
        <v/>
      </c>
      <c r="CB39" s="139">
        <f>CA40*CB38</f>
        <v/>
      </c>
      <c r="CC39" s="139">
        <f>CB40*CC38</f>
        <v/>
      </c>
      <c r="CD39" s="139">
        <f>CC40*CD38</f>
        <v/>
      </c>
      <c r="CE39" s="139">
        <f>CD40*CE38</f>
        <v/>
      </c>
      <c r="CF39" s="139">
        <f>CE40*CF38</f>
        <v/>
      </c>
      <c r="CG39" s="139">
        <f>CF40*CG38</f>
        <v/>
      </c>
      <c r="CH39" s="139">
        <f>CG40*CH38</f>
        <v/>
      </c>
      <c r="CI39" s="139">
        <f>CH40*CI38</f>
        <v/>
      </c>
      <c r="CJ39" s="139">
        <f>CI40*CJ38</f>
        <v/>
      </c>
      <c r="CK39" s="139">
        <f>CJ40*CK38</f>
        <v/>
      </c>
      <c r="CL39" s="139">
        <f>CK40*CL38</f>
        <v/>
      </c>
      <c r="CM39" s="139">
        <f>CL40*CM38</f>
        <v/>
      </c>
      <c r="CN39" s="139">
        <f>CM40*CN38</f>
        <v/>
      </c>
      <c r="CO39" s="139">
        <f>CN40*CO38</f>
        <v/>
      </c>
      <c r="CP39" s="139">
        <f>CO40*CP38</f>
        <v/>
      </c>
      <c r="CQ39" s="139">
        <f>CP40*CQ38</f>
        <v/>
      </c>
      <c r="CR39" s="139">
        <f>CQ40*CR38</f>
        <v/>
      </c>
      <c r="CS39" s="139">
        <f>CR40*CS38</f>
        <v/>
      </c>
      <c r="CT39" s="139">
        <f>CS40*CT38</f>
        <v/>
      </c>
      <c r="CU39" s="139">
        <f>CT40*CU38</f>
        <v/>
      </c>
      <c r="CV39" s="139">
        <f>CU40*CV38</f>
        <v/>
      </c>
      <c r="CW39" s="139">
        <f>CV40*CW38</f>
        <v/>
      </c>
      <c r="CX39" s="139">
        <f>CW40*CX38</f>
        <v/>
      </c>
    </row>
    <row r="40" outlineLevel="1" ht="15.75" customHeight="1" s="255">
      <c r="A40" s="5" t="inlineStr">
        <is>
          <t>Subscribers - End of the period</t>
        </is>
      </c>
      <c r="B40" s="42" t="n"/>
      <c r="C40" s="42" t="n"/>
      <c r="D40" s="42" t="n"/>
      <c r="E40" s="139">
        <f>D40+E37-E39</f>
        <v/>
      </c>
      <c r="F40" s="139">
        <f>E40+F37-F39</f>
        <v/>
      </c>
      <c r="G40" s="139">
        <f>F40+G37-G39</f>
        <v/>
      </c>
      <c r="H40" s="139">
        <f>G40+H37-H39</f>
        <v/>
      </c>
      <c r="I40" s="139">
        <f>H40+I37-I39</f>
        <v/>
      </c>
      <c r="J40" s="139">
        <f>I40+J37-J39</f>
        <v/>
      </c>
      <c r="K40" s="139">
        <f>J40+K37-K39</f>
        <v/>
      </c>
      <c r="L40" s="139">
        <f>K40+L37-L39</f>
        <v/>
      </c>
      <c r="M40" s="139">
        <f>L40+M37-M39</f>
        <v/>
      </c>
      <c r="N40" s="139">
        <f>M40+N37-N39</f>
        <v/>
      </c>
      <c r="O40" s="139">
        <f>N40+O37-O39</f>
        <v/>
      </c>
      <c r="P40" s="139">
        <f>O40+P37-P39</f>
        <v/>
      </c>
      <c r="Q40" s="139">
        <f>P40+Q37-Q39</f>
        <v/>
      </c>
      <c r="R40" s="139">
        <f>Q40+R37-R39</f>
        <v/>
      </c>
      <c r="S40" s="139">
        <f>R40+S37-S39</f>
        <v/>
      </c>
      <c r="T40" s="139">
        <f>S40+T37-T39</f>
        <v/>
      </c>
      <c r="U40" s="139">
        <f>T40+U37-U39</f>
        <v/>
      </c>
      <c r="V40" s="139">
        <f>U40+V37-V39</f>
        <v/>
      </c>
      <c r="W40" s="139">
        <f>V40+W37-W39</f>
        <v/>
      </c>
      <c r="X40" s="139">
        <f>W40+X37-X39</f>
        <v/>
      </c>
      <c r="Y40" s="139">
        <f>X40+Y37-Y39</f>
        <v/>
      </c>
      <c r="Z40" s="139">
        <f>Y40+Z37-Z39</f>
        <v/>
      </c>
      <c r="AA40" s="139">
        <f>Z40+AA37-AA39</f>
        <v/>
      </c>
      <c r="AB40" s="139">
        <f>AA40+AB37-AB39</f>
        <v/>
      </c>
      <c r="AC40" s="139">
        <f>AB40+AC37-AC39</f>
        <v/>
      </c>
      <c r="AD40" s="139">
        <f>AC40+AD37-AD39</f>
        <v/>
      </c>
      <c r="AE40" s="139">
        <f>AD40+AE37-AE39</f>
        <v/>
      </c>
      <c r="AF40" s="139">
        <f>AE40+AF37-AF39</f>
        <v/>
      </c>
      <c r="AG40" s="139">
        <f>AF40+AG37-AG39</f>
        <v/>
      </c>
      <c r="AH40" s="139">
        <f>AG40+AH37-AH39</f>
        <v/>
      </c>
      <c r="AI40" s="139">
        <f>AH40+AI37-AI39</f>
        <v/>
      </c>
      <c r="AJ40" s="139">
        <f>AI40+AJ37-AJ39</f>
        <v/>
      </c>
      <c r="AK40" s="139">
        <f>AJ40+AK37-AK39</f>
        <v/>
      </c>
      <c r="AL40" s="139">
        <f>AK40+AL37-AL39</f>
        <v/>
      </c>
      <c r="AM40" s="139">
        <f>AL40+AM37-AM39</f>
        <v/>
      </c>
      <c r="AN40" s="139">
        <f>AM40+AN37-AN39</f>
        <v/>
      </c>
      <c r="AO40" s="139">
        <f>AN40+AO37-AO39</f>
        <v/>
      </c>
      <c r="AP40" s="139">
        <f>AO40+AP37-AP39</f>
        <v/>
      </c>
      <c r="AQ40" s="139">
        <f>AP40+AQ37-AQ39</f>
        <v/>
      </c>
      <c r="AR40" s="139">
        <f>AQ40+AR37-AR39</f>
        <v/>
      </c>
      <c r="AS40" s="139">
        <f>AR40+AS37-AS39</f>
        <v/>
      </c>
      <c r="AT40" s="139">
        <f>AS40+AT37-AT39</f>
        <v/>
      </c>
      <c r="AU40" s="139">
        <f>AT40+AU37-AU39</f>
        <v/>
      </c>
      <c r="AV40" s="139">
        <f>AU40+AV37-AV39</f>
        <v/>
      </c>
      <c r="AW40" s="139">
        <f>AV40+AW37-AW39</f>
        <v/>
      </c>
      <c r="AX40" s="139">
        <f>AW40+AX37-AX39</f>
        <v/>
      </c>
      <c r="AY40" s="139">
        <f>AX40+AY37-AY39</f>
        <v/>
      </c>
      <c r="AZ40" s="139">
        <f>AY40+AZ37-AZ39</f>
        <v/>
      </c>
      <c r="BA40" s="139">
        <f>AZ40+BA37-BA39</f>
        <v/>
      </c>
      <c r="BB40" s="139">
        <f>BA40+BB37-BB39</f>
        <v/>
      </c>
      <c r="BC40" s="139">
        <f>BB40+BC37-BC39</f>
        <v/>
      </c>
      <c r="BD40" s="139">
        <f>BC40+BD37-BD39</f>
        <v/>
      </c>
      <c r="BE40" s="139">
        <f>BD40+BE37-BE39</f>
        <v/>
      </c>
      <c r="BF40" s="139">
        <f>BE40+BF37-BF39</f>
        <v/>
      </c>
      <c r="BG40" s="139">
        <f>BF40+BG37-BG39</f>
        <v/>
      </c>
      <c r="BH40" s="139">
        <f>BG40+BH37-BH39</f>
        <v/>
      </c>
      <c r="BI40" s="139">
        <f>BH40+BI37-BI39</f>
        <v/>
      </c>
      <c r="BJ40" s="139">
        <f>BI40+BJ37-BJ39</f>
        <v/>
      </c>
      <c r="BK40" s="139">
        <f>BJ40+BK37-BK39</f>
        <v/>
      </c>
      <c r="BL40" s="139">
        <f>BK40+BL37-BL39</f>
        <v/>
      </c>
      <c r="BM40" s="139">
        <f>BL40+BM37-BM39</f>
        <v/>
      </c>
      <c r="BN40" s="139">
        <f>BM40+BN37-BN39</f>
        <v/>
      </c>
      <c r="BO40" s="139">
        <f>BN40+BO37-BO39</f>
        <v/>
      </c>
      <c r="BP40" s="139">
        <f>BO40+BP37-BP39</f>
        <v/>
      </c>
      <c r="BQ40" s="139">
        <f>BP40+BQ37-BQ39</f>
        <v/>
      </c>
      <c r="BR40" s="139">
        <f>BQ40+BR37-BR39</f>
        <v/>
      </c>
      <c r="BS40" s="139">
        <f>BR40+BS37-BS39</f>
        <v/>
      </c>
      <c r="BT40" s="139">
        <f>BS40+BT37-BT39</f>
        <v/>
      </c>
      <c r="BU40" s="139">
        <f>BT40+BU37-BU39</f>
        <v/>
      </c>
      <c r="BV40" s="139">
        <f>BU40+BV37-BV39</f>
        <v/>
      </c>
      <c r="BW40" s="139">
        <f>BV40+BW37-BW39</f>
        <v/>
      </c>
      <c r="BX40" s="139">
        <f>BW40+BX37-BX39</f>
        <v/>
      </c>
      <c r="BY40" s="139">
        <f>BX40+BY37-BY39</f>
        <v/>
      </c>
      <c r="BZ40" s="139">
        <f>BY40+BZ37-BZ39</f>
        <v/>
      </c>
      <c r="CA40" s="139">
        <f>BZ40+CA37-CA39</f>
        <v/>
      </c>
      <c r="CB40" s="139">
        <f>CA40+CB37-CB39</f>
        <v/>
      </c>
      <c r="CC40" s="139">
        <f>CB40+CC37-CC39</f>
        <v/>
      </c>
      <c r="CD40" s="139">
        <f>CC40+CD37-CD39</f>
        <v/>
      </c>
      <c r="CE40" s="139">
        <f>CD40+CE37-CE39</f>
        <v/>
      </c>
      <c r="CF40" s="139">
        <f>CE40+CF37-CF39</f>
        <v/>
      </c>
      <c r="CG40" s="139">
        <f>CF40+CG37-CG39</f>
        <v/>
      </c>
      <c r="CH40" s="139">
        <f>CG40+CH37-CH39</f>
        <v/>
      </c>
      <c r="CI40" s="139">
        <f>CH40+CI37-CI39</f>
        <v/>
      </c>
      <c r="CJ40" s="139">
        <f>CI40+CJ37-CJ39</f>
        <v/>
      </c>
      <c r="CK40" s="139">
        <f>CJ40+CK37-CK39</f>
        <v/>
      </c>
      <c r="CL40" s="139">
        <f>CK40+CL37-CL39</f>
        <v/>
      </c>
      <c r="CM40" s="139">
        <f>CL40+CM37-CM39</f>
        <v/>
      </c>
      <c r="CN40" s="139">
        <f>CM40+CN37-CN39</f>
        <v/>
      </c>
      <c r="CO40" s="139">
        <f>CN40+CO37-CO39</f>
        <v/>
      </c>
      <c r="CP40" s="139">
        <f>CO40+CP37-CP39</f>
        <v/>
      </c>
      <c r="CQ40" s="139">
        <f>CP40+CQ37-CQ39</f>
        <v/>
      </c>
      <c r="CR40" s="139">
        <f>CQ40+CR37-CR39</f>
        <v/>
      </c>
      <c r="CS40" s="139">
        <f>CR40+CS37-CS39</f>
        <v/>
      </c>
      <c r="CT40" s="139">
        <f>CS40+CT37-CT39</f>
        <v/>
      </c>
      <c r="CU40" s="139">
        <f>CT40+CU37-CU39</f>
        <v/>
      </c>
      <c r="CV40" s="139">
        <f>CU40+CV37-CV39</f>
        <v/>
      </c>
      <c r="CW40" s="139">
        <f>CV40+CW37-CW39</f>
        <v/>
      </c>
      <c r="CX40" s="139">
        <f>CW40+CX37-CX39</f>
        <v/>
      </c>
    </row>
    <row r="41" ht="15.75" customHeight="1" s="255">
      <c r="A41" s="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</row>
    <row r="42" ht="15.75" customHeight="1" s="255">
      <c r="A42" s="131" t="inlineStr">
        <is>
          <t>Gross revenue Outbound Sales</t>
        </is>
      </c>
      <c r="B42" s="42" t="n"/>
      <c r="C42" s="42" t="n"/>
      <c r="D42" s="42" t="n"/>
      <c r="E42" s="60">
        <f>E40*Projections!$B$28</f>
        <v/>
      </c>
      <c r="F42" s="60">
        <f>F40*Projections!$B$28</f>
        <v/>
      </c>
      <c r="G42" s="60">
        <f>G40*Projections!$B$28</f>
        <v/>
      </c>
      <c r="H42" s="60">
        <f>H40*Projections!$B$28</f>
        <v/>
      </c>
      <c r="I42" s="60">
        <f>I40*Projections!$B$28</f>
        <v/>
      </c>
      <c r="J42" s="60">
        <f>J40*Projections!$B$28</f>
        <v/>
      </c>
      <c r="K42" s="60">
        <f>K40*Projections!$B$28</f>
        <v/>
      </c>
      <c r="L42" s="60">
        <f>L40*Projections!$B$28</f>
        <v/>
      </c>
      <c r="M42" s="60">
        <f>M40*Projections!$B$28</f>
        <v/>
      </c>
      <c r="N42" s="60">
        <f>N40*Projections!$B$28</f>
        <v/>
      </c>
      <c r="O42" s="60">
        <f>O40*Projections!$B$28</f>
        <v/>
      </c>
      <c r="P42" s="60">
        <f>P40*Projections!$B$28</f>
        <v/>
      </c>
      <c r="Q42" s="60">
        <f>Q40*Projections!$B$28</f>
        <v/>
      </c>
      <c r="R42" s="60">
        <f>R40*Projections!$B$28</f>
        <v/>
      </c>
      <c r="S42" s="60">
        <f>S40*Projections!$B$28</f>
        <v/>
      </c>
      <c r="T42" s="60">
        <f>T40*Projections!$B$28</f>
        <v/>
      </c>
      <c r="U42" s="60">
        <f>U40*Projections!$B$28</f>
        <v/>
      </c>
      <c r="V42" s="60">
        <f>V40*Projections!$B$28</f>
        <v/>
      </c>
      <c r="W42" s="60">
        <f>W40*Projections!$B$28</f>
        <v/>
      </c>
      <c r="X42" s="60">
        <f>X40*Projections!$B$28</f>
        <v/>
      </c>
      <c r="Y42" s="60">
        <f>Y40*Projections!$B$28</f>
        <v/>
      </c>
      <c r="Z42" s="60">
        <f>Z40*Projections!$B$28</f>
        <v/>
      </c>
      <c r="AA42" s="60">
        <f>AA40*Projections!$B$28</f>
        <v/>
      </c>
      <c r="AB42" s="60">
        <f>AB40*Projections!$B$28</f>
        <v/>
      </c>
      <c r="AC42" s="60">
        <f>AC40*Projections!$B$28</f>
        <v/>
      </c>
      <c r="AD42" s="60">
        <f>AD40*Projections!$B$28</f>
        <v/>
      </c>
      <c r="AE42" s="60">
        <f>AE40*Projections!$B$28</f>
        <v/>
      </c>
      <c r="AF42" s="60">
        <f>AF40*Projections!$B$28</f>
        <v/>
      </c>
      <c r="AG42" s="60">
        <f>AG40*Projections!$B$28</f>
        <v/>
      </c>
      <c r="AH42" s="60">
        <f>AH40*Projections!$B$28</f>
        <v/>
      </c>
      <c r="AI42" s="60">
        <f>AI40*Projections!$B$28</f>
        <v/>
      </c>
      <c r="AJ42" s="60">
        <f>AJ40*Projections!$B$28</f>
        <v/>
      </c>
      <c r="AK42" s="60">
        <f>AK40*Projections!$B$28</f>
        <v/>
      </c>
      <c r="AL42" s="60">
        <f>AL40*Projections!$B$28</f>
        <v/>
      </c>
      <c r="AM42" s="60">
        <f>AM40*Projections!$B$28</f>
        <v/>
      </c>
      <c r="AN42" s="60">
        <f>AN40*Projections!$B$28</f>
        <v/>
      </c>
      <c r="AO42" s="60">
        <f>AO40*Projections!$B$28</f>
        <v/>
      </c>
      <c r="AP42" s="60">
        <f>AP40*Projections!$B$28</f>
        <v/>
      </c>
      <c r="AQ42" s="60">
        <f>AQ40*Projections!$B$28</f>
        <v/>
      </c>
      <c r="AR42" s="60">
        <f>AR40*Projections!$B$28</f>
        <v/>
      </c>
      <c r="AS42" s="60">
        <f>AS40*Projections!$B$28</f>
        <v/>
      </c>
      <c r="AT42" s="60">
        <f>AT40*Projections!$B$28</f>
        <v/>
      </c>
      <c r="AU42" s="60">
        <f>AU40*Projections!$B$28</f>
        <v/>
      </c>
      <c r="AV42" s="60">
        <f>AV40*Projections!$B$28</f>
        <v/>
      </c>
      <c r="AW42" s="60">
        <f>AW40*Projections!$B$28</f>
        <v/>
      </c>
      <c r="AX42" s="60">
        <f>AX40*Projections!$B$28</f>
        <v/>
      </c>
      <c r="AY42" s="60">
        <f>AY40*Projections!$B$28</f>
        <v/>
      </c>
      <c r="AZ42" s="60">
        <f>AZ40*Projections!$B$28</f>
        <v/>
      </c>
      <c r="BA42" s="60">
        <f>BA40*Projections!$B$28</f>
        <v/>
      </c>
      <c r="BB42" s="60">
        <f>BB40*Projections!$B$28</f>
        <v/>
      </c>
      <c r="BC42" s="60">
        <f>BC40*Projections!$B$28</f>
        <v/>
      </c>
      <c r="BD42" s="60">
        <f>BD40*Projections!$B$28</f>
        <v/>
      </c>
      <c r="BE42" s="60">
        <f>BE40*Projections!$B$28</f>
        <v/>
      </c>
      <c r="BF42" s="60">
        <f>BF40*Projections!$B$28</f>
        <v/>
      </c>
      <c r="BG42" s="60">
        <f>BG40*Projections!$B$28</f>
        <v/>
      </c>
      <c r="BH42" s="60">
        <f>BH40*Projections!$B$28</f>
        <v/>
      </c>
      <c r="BI42" s="60">
        <f>BI40*Projections!$B$28</f>
        <v/>
      </c>
      <c r="BJ42" s="60">
        <f>BJ40*Projections!$B$28</f>
        <v/>
      </c>
      <c r="BK42" s="60">
        <f>BK40*Projections!$B$28</f>
        <v/>
      </c>
      <c r="BL42" s="60">
        <f>BL40*Projections!$B$28</f>
        <v/>
      </c>
      <c r="BM42" s="60">
        <f>BM40*Projections!$B$28</f>
        <v/>
      </c>
      <c r="BN42" s="60">
        <f>BN40*Projections!$B$28</f>
        <v/>
      </c>
      <c r="BO42" s="60">
        <f>BO40*Projections!$B$28</f>
        <v/>
      </c>
      <c r="BP42" s="60">
        <f>BP40*Projections!$B$28</f>
        <v/>
      </c>
      <c r="BQ42" s="60">
        <f>BQ40*Projections!$B$28</f>
        <v/>
      </c>
      <c r="BR42" s="60">
        <f>BR40*Projections!$B$28</f>
        <v/>
      </c>
      <c r="BS42" s="60">
        <f>BS40*Projections!$B$28</f>
        <v/>
      </c>
      <c r="BT42" s="60">
        <f>BT40*Projections!$B$28</f>
        <v/>
      </c>
      <c r="BU42" s="60">
        <f>BU40*Projections!$B$28</f>
        <v/>
      </c>
      <c r="BV42" s="60">
        <f>BV40*Projections!$B$28</f>
        <v/>
      </c>
      <c r="BW42" s="60">
        <f>BW40*Projections!$B$28</f>
        <v/>
      </c>
      <c r="BX42" s="60">
        <f>BX40*Projections!$B$28</f>
        <v/>
      </c>
      <c r="BY42" s="60">
        <f>BY40*Projections!$B$28</f>
        <v/>
      </c>
      <c r="BZ42" s="60">
        <f>BZ40*Projections!$B$28</f>
        <v/>
      </c>
      <c r="CA42" s="60">
        <f>CA40*Projections!$B$28</f>
        <v/>
      </c>
      <c r="CB42" s="60">
        <f>CB40*Projections!$B$28</f>
        <v/>
      </c>
      <c r="CC42" s="60">
        <f>CC40*Projections!$B$28</f>
        <v/>
      </c>
      <c r="CD42" s="60">
        <f>CD40*Projections!$B$28</f>
        <v/>
      </c>
      <c r="CE42" s="60">
        <f>CE40*Projections!$B$28</f>
        <v/>
      </c>
      <c r="CF42" s="60">
        <f>CF40*Projections!$B$28</f>
        <v/>
      </c>
      <c r="CG42" s="60">
        <f>CG40*Projections!$B$28</f>
        <v/>
      </c>
      <c r="CH42" s="60">
        <f>CH40*Projections!$B$28</f>
        <v/>
      </c>
      <c r="CI42" s="60">
        <f>CI40*Projections!$B$28</f>
        <v/>
      </c>
      <c r="CJ42" s="60">
        <f>CJ40*Projections!$B$28</f>
        <v/>
      </c>
      <c r="CK42" s="60">
        <f>CK40*Projections!$B$28</f>
        <v/>
      </c>
      <c r="CL42" s="60">
        <f>CL40*Projections!$B$28</f>
        <v/>
      </c>
      <c r="CM42" s="60">
        <f>CM40*Projections!$B$28</f>
        <v/>
      </c>
      <c r="CN42" s="60">
        <f>CN40*Projections!$B$28</f>
        <v/>
      </c>
      <c r="CO42" s="60">
        <f>CO40*Projections!$B$28</f>
        <v/>
      </c>
      <c r="CP42" s="60">
        <f>CP40*Projections!$B$28</f>
        <v/>
      </c>
      <c r="CQ42" s="60">
        <f>CQ40*Projections!$B$28</f>
        <v/>
      </c>
      <c r="CR42" s="60">
        <f>CR40*Projections!$B$28</f>
        <v/>
      </c>
      <c r="CS42" s="60">
        <f>CS40*Projections!$B$28</f>
        <v/>
      </c>
      <c r="CT42" s="60">
        <f>CT40*Projections!$B$28</f>
        <v/>
      </c>
      <c r="CU42" s="60">
        <f>CU40*Projections!$B$28</f>
        <v/>
      </c>
      <c r="CV42" s="60">
        <f>CV40*Projections!$B$28</f>
        <v/>
      </c>
      <c r="CW42" s="60">
        <f>CW40*Projections!$B$28</f>
        <v/>
      </c>
      <c r="CX42" s="60">
        <f>CX40*Projections!$B$28</f>
        <v/>
      </c>
    </row>
    <row r="43" ht="15.75" customHeight="1" s="255">
      <c r="A43" s="134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</row>
    <row r="44" ht="15.75" customHeight="1" s="255">
      <c r="A44" s="131" t="inlineStr">
        <is>
          <t>Total subscribers - End of the period</t>
        </is>
      </c>
      <c r="B44" s="59" t="n"/>
      <c r="C44" s="59" t="n"/>
      <c r="D44" s="59" t="n"/>
      <c r="E44" s="138">
        <f>E40+E31+E20</f>
        <v/>
      </c>
      <c r="F44" s="138">
        <f>F40+F31+F20</f>
        <v/>
      </c>
      <c r="G44" s="138">
        <f>G40+G31+G20</f>
        <v/>
      </c>
      <c r="H44" s="138">
        <f>H40+H31+H20</f>
        <v/>
      </c>
      <c r="I44" s="138">
        <f>I40+I31+I20</f>
        <v/>
      </c>
      <c r="J44" s="138">
        <f>J40+J31+J20</f>
        <v/>
      </c>
      <c r="K44" s="138">
        <f>K40+K31+K20</f>
        <v/>
      </c>
      <c r="L44" s="138">
        <f>L40+L31+L20</f>
        <v/>
      </c>
      <c r="M44" s="138">
        <f>M40+M31+M20</f>
        <v/>
      </c>
      <c r="N44" s="138">
        <f>N40+N31+N20</f>
        <v/>
      </c>
      <c r="O44" s="138">
        <f>O40+O31+O20</f>
        <v/>
      </c>
      <c r="P44" s="138">
        <f>P40+P31+P20</f>
        <v/>
      </c>
      <c r="Q44" s="138">
        <f>Q40+Q31+Q20</f>
        <v/>
      </c>
      <c r="R44" s="138">
        <f>R40+R31+R20</f>
        <v/>
      </c>
      <c r="S44" s="138">
        <f>S40+S31+S20</f>
        <v/>
      </c>
      <c r="T44" s="138">
        <f>T40+T31+T20</f>
        <v/>
      </c>
      <c r="U44" s="138">
        <f>U40+U31+U20</f>
        <v/>
      </c>
      <c r="V44" s="138">
        <f>V40+V31+V20</f>
        <v/>
      </c>
      <c r="W44" s="138">
        <f>W40+W31+W20</f>
        <v/>
      </c>
      <c r="X44" s="138">
        <f>X40+X31+X20</f>
        <v/>
      </c>
      <c r="Y44" s="138">
        <f>Y40+Y31+Y20</f>
        <v/>
      </c>
      <c r="Z44" s="138">
        <f>Z40+Z31+Z20</f>
        <v/>
      </c>
      <c r="AA44" s="138">
        <f>AA40+AA31+AA20</f>
        <v/>
      </c>
      <c r="AB44" s="138">
        <f>AB40+AB31+AB20</f>
        <v/>
      </c>
      <c r="AC44" s="138">
        <f>AC40+AC31+AC20</f>
        <v/>
      </c>
      <c r="AD44" s="138">
        <f>AD40+AD31+AD20</f>
        <v/>
      </c>
      <c r="AE44" s="138">
        <f>AE40+AE31+AE20</f>
        <v/>
      </c>
      <c r="AF44" s="138">
        <f>AF40+AF31+AF20</f>
        <v/>
      </c>
      <c r="AG44" s="138">
        <f>AG40+AG31+AG20</f>
        <v/>
      </c>
      <c r="AH44" s="138">
        <f>AH40+AH31+AH20</f>
        <v/>
      </c>
      <c r="AI44" s="138">
        <f>AI40+AI31+AI20</f>
        <v/>
      </c>
      <c r="AJ44" s="138">
        <f>AJ40+AJ31+AJ20</f>
        <v/>
      </c>
      <c r="AK44" s="138">
        <f>AK40+AK31+AK20</f>
        <v/>
      </c>
      <c r="AL44" s="138">
        <f>AL40+AL31+AL20</f>
        <v/>
      </c>
      <c r="AM44" s="138">
        <f>AM40+AM31+AM20</f>
        <v/>
      </c>
      <c r="AN44" s="138">
        <f>AN40+AN31+AN20</f>
        <v/>
      </c>
      <c r="AO44" s="138">
        <f>AO40+AO31+AO20</f>
        <v/>
      </c>
      <c r="AP44" s="138">
        <f>AP40+AP31+AP20</f>
        <v/>
      </c>
      <c r="AQ44" s="138">
        <f>AQ40+AQ31+AQ20</f>
        <v/>
      </c>
      <c r="AR44" s="138">
        <f>AR40+AR31+AR20</f>
        <v/>
      </c>
      <c r="AS44" s="138">
        <f>AS40+AS31+AS20</f>
        <v/>
      </c>
      <c r="AT44" s="138">
        <f>AT40+AT31+AT20</f>
        <v/>
      </c>
      <c r="AU44" s="138">
        <f>AU40+AU31+AU20</f>
        <v/>
      </c>
      <c r="AV44" s="138">
        <f>AV40+AV31+AV20</f>
        <v/>
      </c>
      <c r="AW44" s="138">
        <f>AW40+AW31+AW20</f>
        <v/>
      </c>
      <c r="AX44" s="138">
        <f>AX40+AX31+AX20</f>
        <v/>
      </c>
      <c r="AY44" s="138">
        <f>AY40+AY31+AY20</f>
        <v/>
      </c>
      <c r="AZ44" s="138">
        <f>AZ40+AZ31+AZ20</f>
        <v/>
      </c>
      <c r="BA44" s="138">
        <f>BA40+BA31+BA20</f>
        <v/>
      </c>
      <c r="BB44" s="138">
        <f>BB40+BB31+BB20</f>
        <v/>
      </c>
      <c r="BC44" s="138">
        <f>BC40+BC31+BC20</f>
        <v/>
      </c>
      <c r="BD44" s="138">
        <f>BD40+BD31+BD20</f>
        <v/>
      </c>
      <c r="BE44" s="138">
        <f>BE40+BE31+BE20</f>
        <v/>
      </c>
      <c r="BF44" s="138">
        <f>BF40+BF31+BF20</f>
        <v/>
      </c>
      <c r="BG44" s="138">
        <f>BG40+BG31+BG20</f>
        <v/>
      </c>
      <c r="BH44" s="138">
        <f>BH40+BH31+BH20</f>
        <v/>
      </c>
      <c r="BI44" s="138">
        <f>BI40+BI31+BI20</f>
        <v/>
      </c>
      <c r="BJ44" s="138">
        <f>BJ40+BJ31+BJ20</f>
        <v/>
      </c>
      <c r="BK44" s="138">
        <f>BK40+BK31+BK20</f>
        <v/>
      </c>
      <c r="BL44" s="138">
        <f>BL40+BL31+BL20</f>
        <v/>
      </c>
      <c r="BM44" s="138">
        <f>BM40+BM31+BM20</f>
        <v/>
      </c>
      <c r="BN44" s="138">
        <f>BN40+BN31+BN20</f>
        <v/>
      </c>
      <c r="BO44" s="138">
        <f>BO40+BO31+BO20</f>
        <v/>
      </c>
      <c r="BP44" s="138">
        <f>BP40+BP31+BP20</f>
        <v/>
      </c>
      <c r="BQ44" s="138">
        <f>BQ40+BQ31+BQ20</f>
        <v/>
      </c>
      <c r="BR44" s="138">
        <f>BR40+BR31+BR20</f>
        <v/>
      </c>
      <c r="BS44" s="138">
        <f>BS40+BS31+BS20</f>
        <v/>
      </c>
      <c r="BT44" s="138">
        <f>BT40+BT31+BT20</f>
        <v/>
      </c>
      <c r="BU44" s="138">
        <f>BU40+BU31+BU20</f>
        <v/>
      </c>
      <c r="BV44" s="138">
        <f>BV40+BV31+BV20</f>
        <v/>
      </c>
      <c r="BW44" s="138">
        <f>BW40+BW31+BW20</f>
        <v/>
      </c>
      <c r="BX44" s="138">
        <f>BX40+BX31+BX20</f>
        <v/>
      </c>
      <c r="BY44" s="138">
        <f>BY40+BY31+BY20</f>
        <v/>
      </c>
      <c r="BZ44" s="138">
        <f>BZ40+BZ31+BZ20</f>
        <v/>
      </c>
      <c r="CA44" s="138">
        <f>CA40+CA31+CA20</f>
        <v/>
      </c>
      <c r="CB44" s="138">
        <f>CB40+CB31+CB20</f>
        <v/>
      </c>
      <c r="CC44" s="138">
        <f>CC40+CC31+CC20</f>
        <v/>
      </c>
      <c r="CD44" s="138">
        <f>CD40+CD31+CD20</f>
        <v/>
      </c>
      <c r="CE44" s="138">
        <f>CE40+CE31+CE20</f>
        <v/>
      </c>
      <c r="CF44" s="138">
        <f>CF40+CF31+CF20</f>
        <v/>
      </c>
      <c r="CG44" s="138">
        <f>CG40+CG31+CG20</f>
        <v/>
      </c>
      <c r="CH44" s="138">
        <f>CH40+CH31+CH20</f>
        <v/>
      </c>
      <c r="CI44" s="138">
        <f>CI40+CI31+CI20</f>
        <v/>
      </c>
      <c r="CJ44" s="138">
        <f>CJ40+CJ31+CJ20</f>
        <v/>
      </c>
      <c r="CK44" s="138">
        <f>CK40+CK31+CK20</f>
        <v/>
      </c>
      <c r="CL44" s="138">
        <f>CL40+CL31+CL20</f>
        <v/>
      </c>
      <c r="CM44" s="138">
        <f>CM40+CM31+CM20</f>
        <v/>
      </c>
      <c r="CN44" s="138">
        <f>CN40+CN31+CN20</f>
        <v/>
      </c>
      <c r="CO44" s="138">
        <f>CO40+CO31+CO20</f>
        <v/>
      </c>
      <c r="CP44" s="138">
        <f>CP40+CP31+CP20</f>
        <v/>
      </c>
      <c r="CQ44" s="138">
        <f>CQ40+CQ31+CQ20</f>
        <v/>
      </c>
      <c r="CR44" s="138">
        <f>CR40+CR31+CR20</f>
        <v/>
      </c>
      <c r="CS44" s="138">
        <f>CS40+CS31+CS20</f>
        <v/>
      </c>
      <c r="CT44" s="138">
        <f>CT40+CT31+CT20</f>
        <v/>
      </c>
      <c r="CU44" s="138">
        <f>CU40+CU31+CU20</f>
        <v/>
      </c>
      <c r="CV44" s="138">
        <f>CV40+CV31+CV20</f>
        <v/>
      </c>
      <c r="CW44" s="138">
        <f>CW40+CW31+CW20</f>
        <v/>
      </c>
      <c r="CX44" s="138">
        <f>CX40+CX31+CX20</f>
        <v/>
      </c>
    </row>
    <row r="45" ht="15.75" customHeight="1" s="255">
      <c r="A45" s="131" t="inlineStr">
        <is>
          <t>Total gross revenue</t>
        </is>
      </c>
      <c r="B45" s="59" t="n"/>
      <c r="C45" s="59" t="n"/>
      <c r="D45" s="59" t="n"/>
      <c r="E45" s="60">
        <f>E42+E33+E22</f>
        <v/>
      </c>
      <c r="F45" s="60">
        <f>F42+F33+F22</f>
        <v/>
      </c>
      <c r="G45" s="60">
        <f>G42+G33+G22</f>
        <v/>
      </c>
      <c r="H45" s="60">
        <f>H42+H33+H22</f>
        <v/>
      </c>
      <c r="I45" s="60">
        <f>I42+I33+I22</f>
        <v/>
      </c>
      <c r="J45" s="60">
        <f>J42+J33+J22</f>
        <v/>
      </c>
      <c r="K45" s="60">
        <f>K42+K33+K22</f>
        <v/>
      </c>
      <c r="L45" s="60">
        <f>L42+L33+L22</f>
        <v/>
      </c>
      <c r="M45" s="60">
        <f>M42+M33+M22</f>
        <v/>
      </c>
      <c r="N45" s="60">
        <f>N42+N33+N22</f>
        <v/>
      </c>
      <c r="O45" s="60">
        <f>O42+O33+O22</f>
        <v/>
      </c>
      <c r="P45" s="60">
        <f>P42+P33+P22</f>
        <v/>
      </c>
      <c r="Q45" s="60">
        <f>Q42+Q33+Q22</f>
        <v/>
      </c>
      <c r="R45" s="60">
        <f>R42+R33+R22</f>
        <v/>
      </c>
      <c r="S45" s="60">
        <f>S42+S33+S22</f>
        <v/>
      </c>
      <c r="T45" s="60">
        <f>T42+T33+T22</f>
        <v/>
      </c>
      <c r="U45" s="60">
        <f>U42+U33+U22</f>
        <v/>
      </c>
      <c r="V45" s="60">
        <f>V42+V33+V22</f>
        <v/>
      </c>
      <c r="W45" s="60">
        <f>W42+W33+W22</f>
        <v/>
      </c>
      <c r="X45" s="60">
        <f>X42+X33+X22</f>
        <v/>
      </c>
      <c r="Y45" s="60">
        <f>Y42+Y33+Y22</f>
        <v/>
      </c>
      <c r="Z45" s="60">
        <f>Z42+Z33+Z22</f>
        <v/>
      </c>
      <c r="AA45" s="60">
        <f>AA42+AA33+AA22</f>
        <v/>
      </c>
      <c r="AB45" s="60">
        <f>AB42+AB33+AB22</f>
        <v/>
      </c>
      <c r="AC45" s="60">
        <f>AC42+AC33+AC22</f>
        <v/>
      </c>
      <c r="AD45" s="60">
        <f>AD42+AD33+AD22</f>
        <v/>
      </c>
      <c r="AE45" s="60">
        <f>AE42+AE33+AE22</f>
        <v/>
      </c>
      <c r="AF45" s="60">
        <f>AF42+AF33+AF22</f>
        <v/>
      </c>
      <c r="AG45" s="60">
        <f>AG42+AG33+AG22</f>
        <v/>
      </c>
      <c r="AH45" s="60">
        <f>AH42+AH33+AH22</f>
        <v/>
      </c>
      <c r="AI45" s="60">
        <f>AI42+AI33+AI22</f>
        <v/>
      </c>
      <c r="AJ45" s="60">
        <f>AJ42+AJ33+AJ22</f>
        <v/>
      </c>
      <c r="AK45" s="60">
        <f>AK42+AK33+AK22</f>
        <v/>
      </c>
      <c r="AL45" s="60">
        <f>AL42+AL33+AL22</f>
        <v/>
      </c>
      <c r="AM45" s="60">
        <f>AM42+AM33+AM22</f>
        <v/>
      </c>
      <c r="AN45" s="60">
        <f>AN42+AN33+AN22</f>
        <v/>
      </c>
      <c r="AO45" s="60">
        <f>AO42+AO33+AO22</f>
        <v/>
      </c>
      <c r="AP45" s="60">
        <f>AP42+AP33+AP22</f>
        <v/>
      </c>
      <c r="AQ45" s="60">
        <f>AQ42+AQ33+AQ22</f>
        <v/>
      </c>
      <c r="AR45" s="60">
        <f>AR42+AR33+AR22</f>
        <v/>
      </c>
      <c r="AS45" s="60">
        <f>AS42+AS33+AS22</f>
        <v/>
      </c>
      <c r="AT45" s="60">
        <f>AT42+AT33+AT22</f>
        <v/>
      </c>
      <c r="AU45" s="60">
        <f>AU42+AU33+AU22</f>
        <v/>
      </c>
      <c r="AV45" s="60">
        <f>AV42+AV33+AV22</f>
        <v/>
      </c>
      <c r="AW45" s="60">
        <f>AW42+AW33+AW22</f>
        <v/>
      </c>
      <c r="AX45" s="60">
        <f>AX42+AX33+AX22</f>
        <v/>
      </c>
      <c r="AY45" s="60">
        <f>AY42+AY33+AY22</f>
        <v/>
      </c>
      <c r="AZ45" s="60">
        <f>AZ42+AZ33+AZ22</f>
        <v/>
      </c>
      <c r="BA45" s="60">
        <f>BA42+BA33+BA22</f>
        <v/>
      </c>
      <c r="BB45" s="60">
        <f>BB42+BB33+BB22</f>
        <v/>
      </c>
      <c r="BC45" s="60">
        <f>BC42+BC33+BC22</f>
        <v/>
      </c>
      <c r="BD45" s="60">
        <f>BD42+BD33+BD22</f>
        <v/>
      </c>
      <c r="BE45" s="60">
        <f>BE42+BE33+BE22</f>
        <v/>
      </c>
      <c r="BF45" s="60">
        <f>BF42+BF33+BF22</f>
        <v/>
      </c>
      <c r="BG45" s="60">
        <f>BG42+BG33+BG22</f>
        <v/>
      </c>
      <c r="BH45" s="60">
        <f>BH42+BH33+BH22</f>
        <v/>
      </c>
      <c r="BI45" s="60">
        <f>BI42+BI33+BI22</f>
        <v/>
      </c>
      <c r="BJ45" s="60">
        <f>BJ42+BJ33+BJ22</f>
        <v/>
      </c>
      <c r="BK45" s="60">
        <f>BK42+BK33+BK22</f>
        <v/>
      </c>
      <c r="BL45" s="60">
        <f>BL42+BL33+BL22</f>
        <v/>
      </c>
      <c r="BM45" s="60">
        <f>BM42+BM33+BM22</f>
        <v/>
      </c>
      <c r="BN45" s="60">
        <f>BN42+BN33+BN22</f>
        <v/>
      </c>
      <c r="BO45" s="60">
        <f>BO42+BO33+BO22</f>
        <v/>
      </c>
      <c r="BP45" s="60">
        <f>BP42+BP33+BP22</f>
        <v/>
      </c>
      <c r="BQ45" s="60">
        <f>BQ42+BQ33+BQ22</f>
        <v/>
      </c>
      <c r="BR45" s="60">
        <f>BR42+BR33+BR22</f>
        <v/>
      </c>
      <c r="BS45" s="60">
        <f>BS42+BS33+BS22</f>
        <v/>
      </c>
      <c r="BT45" s="60">
        <f>BT42+BT33+BT22</f>
        <v/>
      </c>
      <c r="BU45" s="60">
        <f>BU42+BU33+BU22</f>
        <v/>
      </c>
      <c r="BV45" s="60">
        <f>BV42+BV33+BV22</f>
        <v/>
      </c>
      <c r="BW45" s="60">
        <f>BW42+BW33+BW22</f>
        <v/>
      </c>
      <c r="BX45" s="60">
        <f>BX42+BX33+BX22</f>
        <v/>
      </c>
      <c r="BY45" s="60">
        <f>BY42+BY33+BY22</f>
        <v/>
      </c>
      <c r="BZ45" s="60">
        <f>BZ42+BZ33+BZ22</f>
        <v/>
      </c>
      <c r="CA45" s="60">
        <f>CA42+CA33+CA22</f>
        <v/>
      </c>
      <c r="CB45" s="60">
        <f>CB42+CB33+CB22</f>
        <v/>
      </c>
      <c r="CC45" s="60">
        <f>CC42+CC33+CC22</f>
        <v/>
      </c>
      <c r="CD45" s="60">
        <f>CD42+CD33+CD22</f>
        <v/>
      </c>
      <c r="CE45" s="60">
        <f>CE42+CE33+CE22</f>
        <v/>
      </c>
      <c r="CF45" s="60">
        <f>CF42+CF33+CF22</f>
        <v/>
      </c>
      <c r="CG45" s="60">
        <f>CG42+CG33+CG22</f>
        <v/>
      </c>
      <c r="CH45" s="60">
        <f>CH42+CH33+CH22</f>
        <v/>
      </c>
      <c r="CI45" s="60">
        <f>CI42+CI33+CI22</f>
        <v/>
      </c>
      <c r="CJ45" s="60">
        <f>CJ42+CJ33+CJ22</f>
        <v/>
      </c>
      <c r="CK45" s="60">
        <f>CK42+CK33+CK22</f>
        <v/>
      </c>
      <c r="CL45" s="60">
        <f>CL42+CL33+CL22</f>
        <v/>
      </c>
      <c r="CM45" s="60">
        <f>CM42+CM33+CM22</f>
        <v/>
      </c>
      <c r="CN45" s="60">
        <f>CN42+CN33+CN22</f>
        <v/>
      </c>
      <c r="CO45" s="60">
        <f>CO42+CO33+CO22</f>
        <v/>
      </c>
      <c r="CP45" s="60">
        <f>CP42+CP33+CP22</f>
        <v/>
      </c>
      <c r="CQ45" s="60">
        <f>CQ42+CQ33+CQ22</f>
        <v/>
      </c>
      <c r="CR45" s="60">
        <f>CR42+CR33+CR22</f>
        <v/>
      </c>
      <c r="CS45" s="60">
        <f>CS42+CS33+CS22</f>
        <v/>
      </c>
      <c r="CT45" s="60">
        <f>CT42+CT33+CT22</f>
        <v/>
      </c>
      <c r="CU45" s="60">
        <f>CU42+CU33+CU22</f>
        <v/>
      </c>
      <c r="CV45" s="60">
        <f>CV42+CV33+CV22</f>
        <v/>
      </c>
      <c r="CW45" s="60">
        <f>CW42+CW33+CW22</f>
        <v/>
      </c>
      <c r="CX45" s="60">
        <f>CX42+CX33+CX22</f>
        <v/>
      </c>
    </row>
    <row r="46" ht="15.75" customHeight="1" s="255">
      <c r="A46" s="5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  <c r="CX46" s="42" t="n"/>
    </row>
    <row r="47" ht="23.25" customHeight="1" s="255">
      <c r="A47" s="127" t="inlineStr">
        <is>
          <t>COGS</t>
        </is>
      </c>
      <c r="B47" s="30" t="n"/>
      <c r="C47" s="30" t="n"/>
      <c r="D47" s="128" t="n"/>
      <c r="E47" s="141">
        <f>SUM(E49:E50)</f>
        <v/>
      </c>
      <c r="F47" s="141">
        <f>SUM(F49:F50)</f>
        <v/>
      </c>
      <c r="G47" s="141">
        <f>SUM(G49:G50)</f>
        <v/>
      </c>
      <c r="H47" s="141">
        <f>SUM(H49:H50)</f>
        <v/>
      </c>
      <c r="I47" s="142">
        <f>SUM(I49:I50)</f>
        <v/>
      </c>
      <c r="J47" s="141">
        <f>SUM(J49:J50)</f>
        <v/>
      </c>
      <c r="K47" s="141">
        <f>SUM(K49:K50)</f>
        <v/>
      </c>
      <c r="L47" s="141">
        <f>SUM(L49:L50)</f>
        <v/>
      </c>
      <c r="M47" s="141">
        <f>SUM(M49:M50)</f>
        <v/>
      </c>
      <c r="N47" s="141">
        <f>SUM(N49:N50)</f>
        <v/>
      </c>
      <c r="O47" s="141">
        <f>SUM(O49:O50)</f>
        <v/>
      </c>
      <c r="P47" s="141">
        <f>SUM(P49:P50)</f>
        <v/>
      </c>
      <c r="Q47" s="141">
        <f>SUM(Q49:Q50)</f>
        <v/>
      </c>
      <c r="R47" s="141">
        <f>SUM(R49:R50)</f>
        <v/>
      </c>
      <c r="S47" s="141">
        <f>SUM(S49:S50)</f>
        <v/>
      </c>
      <c r="T47" s="141">
        <f>SUM(T49:T50)</f>
        <v/>
      </c>
      <c r="U47" s="141">
        <f>SUM(U49:U50)</f>
        <v/>
      </c>
      <c r="V47" s="141">
        <f>SUM(V49:V50)</f>
        <v/>
      </c>
      <c r="W47" s="141">
        <f>SUM(W49:W50)</f>
        <v/>
      </c>
      <c r="X47" s="141">
        <f>SUM(X49:X50)</f>
        <v/>
      </c>
      <c r="Y47" s="141">
        <f>SUM(Y49:Y50)</f>
        <v/>
      </c>
      <c r="Z47" s="141">
        <f>SUM(Z49:Z50)</f>
        <v/>
      </c>
      <c r="AA47" s="141">
        <f>SUM(AA49:AA50)</f>
        <v/>
      </c>
      <c r="AB47" s="141">
        <f>SUM(AB49:AB50)</f>
        <v/>
      </c>
      <c r="AC47" s="142">
        <f>SUM(AC49:AC50)</f>
        <v/>
      </c>
      <c r="AD47" s="141">
        <f>SUM(AD49:AD50)</f>
        <v/>
      </c>
      <c r="AE47" s="141">
        <f>SUM(AE49:AE50)</f>
        <v/>
      </c>
      <c r="AF47" s="141">
        <f>SUM(AF49:AF50)</f>
        <v/>
      </c>
      <c r="AG47" s="141">
        <f>SUM(AG49:AG50)</f>
        <v/>
      </c>
      <c r="AH47" s="141">
        <f>SUM(AH49:AH50)</f>
        <v/>
      </c>
      <c r="AI47" s="142">
        <f>SUM(AI49:AI50)</f>
        <v/>
      </c>
      <c r="AJ47" s="141">
        <f>SUM(AJ49:AJ50)</f>
        <v/>
      </c>
      <c r="AK47" s="141">
        <f>SUM(AK49:AK50)</f>
        <v/>
      </c>
      <c r="AL47" s="141">
        <f>SUM(AL49:AL50)</f>
        <v/>
      </c>
      <c r="AM47" s="141">
        <f>SUM(AM49:AM50)</f>
        <v/>
      </c>
      <c r="AN47" s="141">
        <f>SUM(AN49:AN50)</f>
        <v/>
      </c>
      <c r="AO47" s="141">
        <f>SUM(AO49:AO50)</f>
        <v/>
      </c>
      <c r="AP47" s="141">
        <f>SUM(AP49:AP50)</f>
        <v/>
      </c>
      <c r="AQ47" s="141">
        <f>SUM(AQ49:AQ50)</f>
        <v/>
      </c>
      <c r="AR47" s="141">
        <f>SUM(AR49:AR50)</f>
        <v/>
      </c>
      <c r="AS47" s="141">
        <f>SUM(AS49:AS50)</f>
        <v/>
      </c>
      <c r="AT47" s="141">
        <f>SUM(AT49:AT50)</f>
        <v/>
      </c>
      <c r="AU47" s="141">
        <f>SUM(AU49:AU50)</f>
        <v/>
      </c>
      <c r="AV47" s="141">
        <f>SUM(AV49:AV50)</f>
        <v/>
      </c>
      <c r="AW47" s="141">
        <f>SUM(AW49:AW50)</f>
        <v/>
      </c>
      <c r="AX47" s="141">
        <f>SUM(AX49:AX50)</f>
        <v/>
      </c>
      <c r="AY47" s="141">
        <f>SUM(AY49:AY50)</f>
        <v/>
      </c>
      <c r="AZ47" s="141">
        <f>SUM(AZ49:AZ50)</f>
        <v/>
      </c>
      <c r="BA47" s="141">
        <f>SUM(BA49:BA50)</f>
        <v/>
      </c>
      <c r="BB47" s="141">
        <f>SUM(BB49:BB50)</f>
        <v/>
      </c>
      <c r="BC47" s="142">
        <f>SUM(BC49:BC50)</f>
        <v/>
      </c>
      <c r="BD47" s="141">
        <f>SUM(BD49:BD50)</f>
        <v/>
      </c>
      <c r="BE47" s="141">
        <f>SUM(BE49:BE50)</f>
        <v/>
      </c>
      <c r="BF47" s="141">
        <f>SUM(BF49:BF50)</f>
        <v/>
      </c>
      <c r="BG47" s="141">
        <f>SUM(BG49:BG50)</f>
        <v/>
      </c>
      <c r="BH47" s="141">
        <f>SUM(BH49:BH50)</f>
        <v/>
      </c>
      <c r="BI47" s="142">
        <f>SUM(BI49:BI50)</f>
        <v/>
      </c>
      <c r="BJ47" s="141">
        <f>SUM(BJ49:BJ50)</f>
        <v/>
      </c>
      <c r="BK47" s="141">
        <f>SUM(BK49:BK50)</f>
        <v/>
      </c>
      <c r="BL47" s="141">
        <f>SUM(BL49:BL50)</f>
        <v/>
      </c>
      <c r="BM47" s="141">
        <f>SUM(BM49:BM50)</f>
        <v/>
      </c>
      <c r="BN47" s="141">
        <f>SUM(BN49:BN50)</f>
        <v/>
      </c>
      <c r="BO47" s="141">
        <f>SUM(BO49:BO50)</f>
        <v/>
      </c>
      <c r="BP47" s="141">
        <f>SUM(BP49:BP50)</f>
        <v/>
      </c>
      <c r="BQ47" s="141">
        <f>SUM(BQ49:BQ50)</f>
        <v/>
      </c>
      <c r="BR47" s="141">
        <f>SUM(BR49:BR50)</f>
        <v/>
      </c>
      <c r="BS47" s="141">
        <f>SUM(BS49:BS50)</f>
        <v/>
      </c>
      <c r="BT47" s="141">
        <f>SUM(BT49:BT50)</f>
        <v/>
      </c>
      <c r="BU47" s="141">
        <f>SUM(BU49:BU50)</f>
        <v/>
      </c>
      <c r="BV47" s="141">
        <f>SUM(BV49:BV50)</f>
        <v/>
      </c>
      <c r="BW47" s="141">
        <f>SUM(BW49:BW50)</f>
        <v/>
      </c>
      <c r="BX47" s="141">
        <f>SUM(BX49:BX50)</f>
        <v/>
      </c>
      <c r="BY47" s="141">
        <f>SUM(BY49:BY50)</f>
        <v/>
      </c>
      <c r="BZ47" s="141">
        <f>SUM(BZ49:BZ50)</f>
        <v/>
      </c>
      <c r="CA47" s="141">
        <f>SUM(CA49:CA50)</f>
        <v/>
      </c>
      <c r="CB47" s="141">
        <f>SUM(CB49:CB50)</f>
        <v/>
      </c>
      <c r="CC47" s="141">
        <f>SUM(CC49:CC50)</f>
        <v/>
      </c>
      <c r="CD47" s="141">
        <f>SUM(CD49:CD50)</f>
        <v/>
      </c>
      <c r="CE47" s="141">
        <f>SUM(CE49:CE50)</f>
        <v/>
      </c>
      <c r="CF47" s="141">
        <f>SUM(CF49:CF50)</f>
        <v/>
      </c>
      <c r="CG47" s="141">
        <f>SUM(CG49:CG50)</f>
        <v/>
      </c>
      <c r="CH47" s="141">
        <f>SUM(CH49:CH50)</f>
        <v/>
      </c>
      <c r="CI47" s="141">
        <f>SUM(CI49:CI50)</f>
        <v/>
      </c>
      <c r="CJ47" s="141">
        <f>SUM(CJ49:CJ50)</f>
        <v/>
      </c>
      <c r="CK47" s="141">
        <f>SUM(CK49:CK50)</f>
        <v/>
      </c>
      <c r="CL47" s="141">
        <f>SUM(CL49:CL50)</f>
        <v/>
      </c>
      <c r="CM47" s="141">
        <f>SUM(CM49:CM50)</f>
        <v/>
      </c>
      <c r="CN47" s="141">
        <f>SUM(CN49:CN50)</f>
        <v/>
      </c>
      <c r="CO47" s="141">
        <f>SUM(CO49:CO50)</f>
        <v/>
      </c>
      <c r="CP47" s="141">
        <f>SUM(CP49:CP50)</f>
        <v/>
      </c>
      <c r="CQ47" s="141">
        <f>SUM(CQ49:CQ50)</f>
        <v/>
      </c>
      <c r="CR47" s="141">
        <f>SUM(CR49:CR50)</f>
        <v/>
      </c>
      <c r="CS47" s="141">
        <f>SUM(CS49:CS50)</f>
        <v/>
      </c>
      <c r="CT47" s="141">
        <f>SUM(CT49:CT50)</f>
        <v/>
      </c>
      <c r="CU47" s="141">
        <f>SUM(CU49:CU50)</f>
        <v/>
      </c>
      <c r="CV47" s="141">
        <f>SUM(CV49:CV50)</f>
        <v/>
      </c>
      <c r="CW47" s="141">
        <f>SUM(CW49:CW50)</f>
        <v/>
      </c>
      <c r="CX47" s="141">
        <f>SUM(CX49:CX50)</f>
        <v/>
      </c>
    </row>
    <row r="48" outlineLevel="1" ht="15.75" customHeight="1" s="255">
      <c r="A48" s="5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2" t="n"/>
      <c r="BK48" s="42" t="n"/>
      <c r="BL48" s="42" t="n"/>
      <c r="BM48" s="42" t="n"/>
      <c r="BN48" s="42" t="n"/>
      <c r="BO48" s="42" t="n"/>
      <c r="BP48" s="42" t="n"/>
      <c r="BQ48" s="42" t="n"/>
      <c r="BR48" s="42" t="n"/>
      <c r="BS48" s="42" t="n"/>
      <c r="BT48" s="42" t="n"/>
      <c r="BU48" s="42" t="n"/>
      <c r="BV48" s="42" t="n"/>
      <c r="BW48" s="42" t="n"/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2" t="n"/>
      <c r="CP48" s="42" t="n"/>
      <c r="CQ48" s="42" t="n"/>
      <c r="CR48" s="42" t="n"/>
      <c r="CS48" s="42" t="n"/>
      <c r="CT48" s="42" t="n"/>
      <c r="CU48" s="42" t="n"/>
      <c r="CV48" s="42" t="n"/>
      <c r="CW48" s="42" t="n"/>
      <c r="CX48" s="42" t="n"/>
    </row>
    <row r="49" outlineLevel="1" ht="15.75" customHeight="1" s="255">
      <c r="A49" s="5" t="inlineStr">
        <is>
          <t>Hosting</t>
        </is>
      </c>
      <c r="B49" s="42" t="n"/>
      <c r="C49" s="42" t="n"/>
      <c r="D49" s="42" t="n"/>
      <c r="E49" s="56">
        <f>E44*Projections!$B$68</f>
        <v/>
      </c>
      <c r="F49" s="56">
        <f>F44*Projections!$B$68</f>
        <v/>
      </c>
      <c r="G49" s="56">
        <f>G44*Projections!$B$68</f>
        <v/>
      </c>
      <c r="H49" s="56">
        <f>H44*Projections!$B$68</f>
        <v/>
      </c>
      <c r="I49" s="56">
        <f>I44*Projections!$B$68</f>
        <v/>
      </c>
      <c r="J49" s="56">
        <f>J44*Projections!$B$68</f>
        <v/>
      </c>
      <c r="K49" s="56">
        <f>K44*Projections!$B$68</f>
        <v/>
      </c>
      <c r="L49" s="56">
        <f>L44*Projections!$B$68</f>
        <v/>
      </c>
      <c r="M49" s="56">
        <f>M44*Projections!$B$68</f>
        <v/>
      </c>
      <c r="N49" s="56">
        <f>N44*Projections!$B$68</f>
        <v/>
      </c>
      <c r="O49" s="56">
        <f>O44*Projections!$B$68</f>
        <v/>
      </c>
      <c r="P49" s="56">
        <f>P44*Projections!$B$68</f>
        <v/>
      </c>
      <c r="Q49" s="56">
        <f>Q44*Projections!$B$68</f>
        <v/>
      </c>
      <c r="R49" s="56">
        <f>R44*Projections!$B$68</f>
        <v/>
      </c>
      <c r="S49" s="56">
        <f>S44*Projections!$B$68</f>
        <v/>
      </c>
      <c r="T49" s="56">
        <f>T44*Projections!$B$68</f>
        <v/>
      </c>
      <c r="U49" s="56">
        <f>U44*Projections!$B$68</f>
        <v/>
      </c>
      <c r="V49" s="56">
        <f>V44*Projections!$B$68</f>
        <v/>
      </c>
      <c r="W49" s="56">
        <f>W44*Projections!$B$68</f>
        <v/>
      </c>
      <c r="X49" s="56">
        <f>X44*Projections!$B$68</f>
        <v/>
      </c>
      <c r="Y49" s="56">
        <f>Y44*Projections!$B$68</f>
        <v/>
      </c>
      <c r="Z49" s="56">
        <f>Z44*Projections!$B$68</f>
        <v/>
      </c>
      <c r="AA49" s="56">
        <f>AA44*Projections!$B$68</f>
        <v/>
      </c>
      <c r="AB49" s="56">
        <f>AB44*Projections!$B$68</f>
        <v/>
      </c>
      <c r="AC49" s="56">
        <f>AC44*Projections!$B$68</f>
        <v/>
      </c>
      <c r="AD49" s="56">
        <f>AD44*Projections!$B$68</f>
        <v/>
      </c>
      <c r="AE49" s="56">
        <f>AE44*Projections!$B$68</f>
        <v/>
      </c>
      <c r="AF49" s="56">
        <f>AF44*Projections!$B$68</f>
        <v/>
      </c>
      <c r="AG49" s="56">
        <f>AG44*Projections!$B$68</f>
        <v/>
      </c>
      <c r="AH49" s="56">
        <f>AH44*Projections!$B$68</f>
        <v/>
      </c>
      <c r="AI49" s="56">
        <f>AI44*Projections!$B$68</f>
        <v/>
      </c>
      <c r="AJ49" s="56">
        <f>AJ44*Projections!$B$68</f>
        <v/>
      </c>
      <c r="AK49" s="56">
        <f>AK44*Projections!$B$68</f>
        <v/>
      </c>
      <c r="AL49" s="56">
        <f>AL44*Projections!$B$68</f>
        <v/>
      </c>
      <c r="AM49" s="56">
        <f>AM44*Projections!$B$68</f>
        <v/>
      </c>
      <c r="AN49" s="56">
        <f>AN44*Projections!$B$68</f>
        <v/>
      </c>
      <c r="AO49" s="56">
        <f>AO44*Projections!$B$68</f>
        <v/>
      </c>
      <c r="AP49" s="56">
        <f>AP44*Projections!$B$68</f>
        <v/>
      </c>
      <c r="AQ49" s="56">
        <f>AQ44*Projections!$B$68</f>
        <v/>
      </c>
      <c r="AR49" s="56">
        <f>AR44*Projections!$B$68</f>
        <v/>
      </c>
      <c r="AS49" s="56">
        <f>AS44*Projections!$B$68</f>
        <v/>
      </c>
      <c r="AT49" s="56">
        <f>AT44*Projections!$B$68</f>
        <v/>
      </c>
      <c r="AU49" s="56">
        <f>AU44*Projections!$B$68</f>
        <v/>
      </c>
      <c r="AV49" s="56">
        <f>AV44*Projections!$B$68</f>
        <v/>
      </c>
      <c r="AW49" s="56">
        <f>AW44*Projections!$B$68</f>
        <v/>
      </c>
      <c r="AX49" s="56">
        <f>AX44*Projections!$B$68</f>
        <v/>
      </c>
      <c r="AY49" s="56">
        <f>AY44*Projections!$B$68</f>
        <v/>
      </c>
      <c r="AZ49" s="56">
        <f>AZ44*Projections!$B$68</f>
        <v/>
      </c>
      <c r="BA49" s="56">
        <f>BA44*Projections!$B$68</f>
        <v/>
      </c>
      <c r="BB49" s="56">
        <f>BB44*Projections!$B$68</f>
        <v/>
      </c>
      <c r="BC49" s="56">
        <f>BC44*Projections!$B$68</f>
        <v/>
      </c>
      <c r="BD49" s="56">
        <f>BD44*Projections!$B$68</f>
        <v/>
      </c>
      <c r="BE49" s="56">
        <f>BE44*Projections!$B$68</f>
        <v/>
      </c>
      <c r="BF49" s="56">
        <f>BF44*Projections!$B$68</f>
        <v/>
      </c>
      <c r="BG49" s="56">
        <f>BG44*Projections!$B$68</f>
        <v/>
      </c>
      <c r="BH49" s="56">
        <f>BH44*Projections!$B$68</f>
        <v/>
      </c>
      <c r="BI49" s="56">
        <f>BI44*Projections!$B$68</f>
        <v/>
      </c>
      <c r="BJ49" s="56">
        <f>BJ44*Projections!$B$68</f>
        <v/>
      </c>
      <c r="BK49" s="56">
        <f>BK44*Projections!$B$68</f>
        <v/>
      </c>
      <c r="BL49" s="56">
        <f>BL44*Projections!$B$68</f>
        <v/>
      </c>
      <c r="BM49" s="56">
        <f>BM44*Projections!$B$68</f>
        <v/>
      </c>
      <c r="BN49" s="56">
        <f>BN44*Projections!$B$68</f>
        <v/>
      </c>
      <c r="BO49" s="56">
        <f>BO44*Projections!$B$68</f>
        <v/>
      </c>
      <c r="BP49" s="56">
        <f>BP44*Projections!$B$68</f>
        <v/>
      </c>
      <c r="BQ49" s="56">
        <f>BQ44*Projections!$B$68</f>
        <v/>
      </c>
      <c r="BR49" s="56">
        <f>BR44*Projections!$B$68</f>
        <v/>
      </c>
      <c r="BS49" s="56">
        <f>BS44*Projections!$B$68</f>
        <v/>
      </c>
      <c r="BT49" s="56">
        <f>BT44*Projections!$B$68</f>
        <v/>
      </c>
      <c r="BU49" s="56">
        <f>BU44*Projections!$B$68</f>
        <v/>
      </c>
      <c r="BV49" s="56">
        <f>BV44*Projections!$B$68</f>
        <v/>
      </c>
      <c r="BW49" s="56">
        <f>BW44*Projections!$B$68</f>
        <v/>
      </c>
      <c r="BX49" s="56">
        <f>BX44*Projections!$B$68</f>
        <v/>
      </c>
      <c r="BY49" s="56">
        <f>BY44*Projections!$B$68</f>
        <v/>
      </c>
      <c r="BZ49" s="56">
        <f>BZ44*Projections!$B$68</f>
        <v/>
      </c>
      <c r="CA49" s="56">
        <f>CA44*Projections!$B$68</f>
        <v/>
      </c>
      <c r="CB49" s="56">
        <f>CB44*Projections!$B$68</f>
        <v/>
      </c>
      <c r="CC49" s="56">
        <f>CC44*Projections!$B$68</f>
        <v/>
      </c>
      <c r="CD49" s="56">
        <f>CD44*Projections!$B$68</f>
        <v/>
      </c>
      <c r="CE49" s="56">
        <f>CE44*Projections!$B$68</f>
        <v/>
      </c>
      <c r="CF49" s="56">
        <f>CF44*Projections!$B$68</f>
        <v/>
      </c>
      <c r="CG49" s="56">
        <f>CG44*Projections!$B$68</f>
        <v/>
      </c>
      <c r="CH49" s="56">
        <f>CH44*Projections!$B$68</f>
        <v/>
      </c>
      <c r="CI49" s="56">
        <f>CI44*Projections!$B$68</f>
        <v/>
      </c>
      <c r="CJ49" s="56">
        <f>CJ44*Projections!$B$68</f>
        <v/>
      </c>
      <c r="CK49" s="56">
        <f>CK44*Projections!$B$68</f>
        <v/>
      </c>
      <c r="CL49" s="56">
        <f>CL44*Projections!$B$68</f>
        <v/>
      </c>
      <c r="CM49" s="56">
        <f>CM44*Projections!$B$68</f>
        <v/>
      </c>
      <c r="CN49" s="56">
        <f>CN44*Projections!$B$68</f>
        <v/>
      </c>
      <c r="CO49" s="56">
        <f>CO44*Projections!$B$68</f>
        <v/>
      </c>
      <c r="CP49" s="56">
        <f>CP44*Projections!$B$68</f>
        <v/>
      </c>
      <c r="CQ49" s="56">
        <f>CQ44*Projections!$B$68</f>
        <v/>
      </c>
      <c r="CR49" s="56">
        <f>CR44*Projections!$B$68</f>
        <v/>
      </c>
      <c r="CS49" s="56">
        <f>CS44*Projections!$B$68</f>
        <v/>
      </c>
      <c r="CT49" s="56">
        <f>CT44*Projections!$B$68</f>
        <v/>
      </c>
      <c r="CU49" s="56">
        <f>CU44*Projections!$B$68</f>
        <v/>
      </c>
      <c r="CV49" s="56">
        <f>CV44*Projections!$B$68</f>
        <v/>
      </c>
      <c r="CW49" s="56">
        <f>CW44*Projections!$B$68</f>
        <v/>
      </c>
      <c r="CX49" s="56">
        <f>CX44*Projections!$B$68</f>
        <v/>
      </c>
    </row>
    <row r="50" outlineLevel="1" ht="15.75" customHeight="1" s="255">
      <c r="A50" s="5" t="inlineStr">
        <is>
          <t>Payments processing</t>
        </is>
      </c>
      <c r="B50" s="42" t="n"/>
      <c r="C50" s="42" t="n"/>
      <c r="D50" s="42" t="n"/>
      <c r="E50" s="56">
        <f>E45*Projections!$B$67</f>
        <v/>
      </c>
      <c r="F50" s="56">
        <f>F45*Projections!$B$67</f>
        <v/>
      </c>
      <c r="G50" s="56">
        <f>G45*Projections!$B$67</f>
        <v/>
      </c>
      <c r="H50" s="56">
        <f>H45*Projections!$B$67</f>
        <v/>
      </c>
      <c r="I50" s="56">
        <f>I45*Projections!$B$67</f>
        <v/>
      </c>
      <c r="J50" s="56">
        <f>J45*Projections!$B$67</f>
        <v/>
      </c>
      <c r="K50" s="56">
        <f>K45*Projections!$B$67</f>
        <v/>
      </c>
      <c r="L50" s="56">
        <f>L45*Projections!$B$67</f>
        <v/>
      </c>
      <c r="M50" s="56">
        <f>M45*Projections!$B$67</f>
        <v/>
      </c>
      <c r="N50" s="56">
        <f>N45*Projections!$B$67</f>
        <v/>
      </c>
      <c r="O50" s="56">
        <f>O45*Projections!$B$67</f>
        <v/>
      </c>
      <c r="P50" s="56">
        <f>P45*Projections!$B$67</f>
        <v/>
      </c>
      <c r="Q50" s="56">
        <f>Q45*Projections!$B$67</f>
        <v/>
      </c>
      <c r="R50" s="56">
        <f>R45*Projections!$B$67</f>
        <v/>
      </c>
      <c r="S50" s="56">
        <f>S45*Projections!$B$67</f>
        <v/>
      </c>
      <c r="T50" s="56">
        <f>T45*Projections!$B$67</f>
        <v/>
      </c>
      <c r="U50" s="56">
        <f>U45*Projections!$B$67</f>
        <v/>
      </c>
      <c r="V50" s="56">
        <f>V45*Projections!$B$67</f>
        <v/>
      </c>
      <c r="W50" s="56">
        <f>W45*Projections!$B$67</f>
        <v/>
      </c>
      <c r="X50" s="56">
        <f>X45*Projections!$B$67</f>
        <v/>
      </c>
      <c r="Y50" s="56">
        <f>Y45*Projections!$B$67</f>
        <v/>
      </c>
      <c r="Z50" s="56">
        <f>Z45*Projections!$B$67</f>
        <v/>
      </c>
      <c r="AA50" s="56">
        <f>AA45*Projections!$B$67</f>
        <v/>
      </c>
      <c r="AB50" s="56">
        <f>AB45*Projections!$B$67</f>
        <v/>
      </c>
      <c r="AC50" s="56">
        <f>AC45*Projections!$B$67</f>
        <v/>
      </c>
      <c r="AD50" s="56">
        <f>AD45*Projections!$B$67</f>
        <v/>
      </c>
      <c r="AE50" s="56">
        <f>AE45*Projections!$B$67</f>
        <v/>
      </c>
      <c r="AF50" s="56">
        <f>AF45*Projections!$B$67</f>
        <v/>
      </c>
      <c r="AG50" s="56">
        <f>AG45*Projections!$B$67</f>
        <v/>
      </c>
      <c r="AH50" s="56">
        <f>AH45*Projections!$B$67</f>
        <v/>
      </c>
      <c r="AI50" s="56">
        <f>AI45*Projections!$B$67</f>
        <v/>
      </c>
      <c r="AJ50" s="56">
        <f>AJ45*Projections!$B$67</f>
        <v/>
      </c>
      <c r="AK50" s="56">
        <f>AK45*Projections!$B$67</f>
        <v/>
      </c>
      <c r="AL50" s="56">
        <f>AL45*Projections!$B$67</f>
        <v/>
      </c>
      <c r="AM50" s="56">
        <f>AM45*Projections!$B$67</f>
        <v/>
      </c>
      <c r="AN50" s="56">
        <f>AN45*Projections!$B$67</f>
        <v/>
      </c>
      <c r="AO50" s="56">
        <f>AO45*Projections!$B$67</f>
        <v/>
      </c>
      <c r="AP50" s="56">
        <f>AP45*Projections!$B$67</f>
        <v/>
      </c>
      <c r="AQ50" s="56">
        <f>AQ45*Projections!$B$67</f>
        <v/>
      </c>
      <c r="AR50" s="56">
        <f>AR45*Projections!$B$67</f>
        <v/>
      </c>
      <c r="AS50" s="56">
        <f>AS45*Projections!$B$67</f>
        <v/>
      </c>
      <c r="AT50" s="56">
        <f>AT45*Projections!$B$67</f>
        <v/>
      </c>
      <c r="AU50" s="56">
        <f>AU45*Projections!$B$67</f>
        <v/>
      </c>
      <c r="AV50" s="56">
        <f>AV45*Projections!$B$67</f>
        <v/>
      </c>
      <c r="AW50" s="56">
        <f>AW45*Projections!$B$67</f>
        <v/>
      </c>
      <c r="AX50" s="56">
        <f>AX45*Projections!$B$67</f>
        <v/>
      </c>
      <c r="AY50" s="56">
        <f>AY45*Projections!$B$67</f>
        <v/>
      </c>
      <c r="AZ50" s="56">
        <f>AZ45*Projections!$B$67</f>
        <v/>
      </c>
      <c r="BA50" s="56">
        <f>BA45*Projections!$B$67</f>
        <v/>
      </c>
      <c r="BB50" s="56">
        <f>BB45*Projections!$B$67</f>
        <v/>
      </c>
      <c r="BC50" s="56">
        <f>BC45*Projections!$B$67</f>
        <v/>
      </c>
      <c r="BD50" s="56">
        <f>BD45*Projections!$B$67</f>
        <v/>
      </c>
      <c r="BE50" s="56">
        <f>BE45*Projections!$B$67</f>
        <v/>
      </c>
      <c r="BF50" s="56">
        <f>BF45*Projections!$B$67</f>
        <v/>
      </c>
      <c r="BG50" s="56">
        <f>BG45*Projections!$B$67</f>
        <v/>
      </c>
      <c r="BH50" s="56">
        <f>BH45*Projections!$B$67</f>
        <v/>
      </c>
      <c r="BI50" s="56">
        <f>BI45*Projections!$B$67</f>
        <v/>
      </c>
      <c r="BJ50" s="56">
        <f>BJ45*Projections!$B$67</f>
        <v/>
      </c>
      <c r="BK50" s="56">
        <f>BK45*Projections!$B$67</f>
        <v/>
      </c>
      <c r="BL50" s="56">
        <f>BL45*Projections!$B$67</f>
        <v/>
      </c>
      <c r="BM50" s="56">
        <f>BM45*Projections!$B$67</f>
        <v/>
      </c>
      <c r="BN50" s="56">
        <f>BN45*Projections!$B$67</f>
        <v/>
      </c>
      <c r="BO50" s="56">
        <f>BO45*Projections!$B$67</f>
        <v/>
      </c>
      <c r="BP50" s="56">
        <f>BP45*Projections!$B$67</f>
        <v/>
      </c>
      <c r="BQ50" s="56">
        <f>BQ45*Projections!$B$67</f>
        <v/>
      </c>
      <c r="BR50" s="56">
        <f>BR45*Projections!$B$67</f>
        <v/>
      </c>
      <c r="BS50" s="56">
        <f>BS45*Projections!$B$67</f>
        <v/>
      </c>
      <c r="BT50" s="56">
        <f>BT45*Projections!$B$67</f>
        <v/>
      </c>
      <c r="BU50" s="56">
        <f>BU45*Projections!$B$67</f>
        <v/>
      </c>
      <c r="BV50" s="56">
        <f>BV45*Projections!$B$67</f>
        <v/>
      </c>
      <c r="BW50" s="56">
        <f>BW45*Projections!$B$67</f>
        <v/>
      </c>
      <c r="BX50" s="56">
        <f>BX45*Projections!$B$67</f>
        <v/>
      </c>
      <c r="BY50" s="56">
        <f>BY45*Projections!$B$67</f>
        <v/>
      </c>
      <c r="BZ50" s="56">
        <f>BZ45*Projections!$B$67</f>
        <v/>
      </c>
      <c r="CA50" s="56">
        <f>CA45*Projections!$B$67</f>
        <v/>
      </c>
      <c r="CB50" s="56">
        <f>CB45*Projections!$B$67</f>
        <v/>
      </c>
      <c r="CC50" s="56">
        <f>CC45*Projections!$B$67</f>
        <v/>
      </c>
      <c r="CD50" s="56">
        <f>CD45*Projections!$B$67</f>
        <v/>
      </c>
      <c r="CE50" s="56">
        <f>CE45*Projections!$B$67</f>
        <v/>
      </c>
      <c r="CF50" s="56">
        <f>CF45*Projections!$B$67</f>
        <v/>
      </c>
      <c r="CG50" s="56">
        <f>CG45*Projections!$B$67</f>
        <v/>
      </c>
      <c r="CH50" s="56">
        <f>CH45*Projections!$B$67</f>
        <v/>
      </c>
      <c r="CI50" s="56">
        <f>CI45*Projections!$B$67</f>
        <v/>
      </c>
      <c r="CJ50" s="56">
        <f>CJ45*Projections!$B$67</f>
        <v/>
      </c>
      <c r="CK50" s="56">
        <f>CK45*Projections!$B$67</f>
        <v/>
      </c>
      <c r="CL50" s="56">
        <f>CL45*Projections!$B$67</f>
        <v/>
      </c>
      <c r="CM50" s="56">
        <f>CM45*Projections!$B$67</f>
        <v/>
      </c>
      <c r="CN50" s="56">
        <f>CN45*Projections!$B$67</f>
        <v/>
      </c>
      <c r="CO50" s="56">
        <f>CO45*Projections!$B$67</f>
        <v/>
      </c>
      <c r="CP50" s="56">
        <f>CP45*Projections!$B$67</f>
        <v/>
      </c>
      <c r="CQ50" s="56">
        <f>CQ45*Projections!$B$67</f>
        <v/>
      </c>
      <c r="CR50" s="56">
        <f>CR45*Projections!$B$67</f>
        <v/>
      </c>
      <c r="CS50" s="56">
        <f>CS45*Projections!$B$67</f>
        <v/>
      </c>
      <c r="CT50" s="56">
        <f>CT45*Projections!$B$67</f>
        <v/>
      </c>
      <c r="CU50" s="56">
        <f>CU45*Projections!$B$67</f>
        <v/>
      </c>
      <c r="CV50" s="56">
        <f>CV45*Projections!$B$67</f>
        <v/>
      </c>
      <c r="CW50" s="56">
        <f>CW45*Projections!$B$67</f>
        <v/>
      </c>
      <c r="CX50" s="56">
        <f>CX45*Projections!$B$67</f>
        <v/>
      </c>
    </row>
    <row r="51" ht="15.75" customHeight="1" s="255">
      <c r="A51" s="5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  <c r="CF51" s="42" t="n"/>
      <c r="CG51" s="42" t="n"/>
      <c r="CH51" s="42" t="n"/>
      <c r="CI51" s="42" t="n"/>
      <c r="CJ51" s="42" t="n"/>
      <c r="CK51" s="42" t="n"/>
      <c r="CL51" s="42" t="n"/>
      <c r="CM51" s="42" t="n"/>
      <c r="CN51" s="42" t="n"/>
      <c r="CO51" s="42" t="n"/>
      <c r="CP51" s="42" t="n"/>
      <c r="CQ51" s="42" t="n"/>
      <c r="CR51" s="42" t="n"/>
      <c r="CS51" s="42" t="n"/>
      <c r="CT51" s="42" t="n"/>
      <c r="CU51" s="42" t="n"/>
      <c r="CV51" s="42" t="n"/>
      <c r="CW51" s="42" t="n"/>
      <c r="CX51" s="42" t="n"/>
    </row>
    <row r="52" ht="15.75" customHeight="1" s="255">
      <c r="A52" s="5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42" t="n"/>
      <c r="AZ52" s="42" t="n"/>
      <c r="BA52" s="42" t="n"/>
      <c r="BB52" s="42" t="n"/>
      <c r="BC52" s="42" t="n"/>
      <c r="BD52" s="42" t="n"/>
      <c r="BE52" s="42" t="n"/>
      <c r="BF52" s="42" t="n"/>
      <c r="BG52" s="42" t="n"/>
      <c r="BH52" s="42" t="n"/>
      <c r="BI52" s="42" t="n"/>
      <c r="BJ52" s="42" t="n"/>
      <c r="BK52" s="42" t="n"/>
      <c r="BL52" s="42" t="n"/>
      <c r="BM52" s="42" t="n"/>
      <c r="BN52" s="42" t="n"/>
      <c r="BO52" s="42" t="n"/>
      <c r="BP52" s="42" t="n"/>
      <c r="BQ52" s="42" t="n"/>
      <c r="BR52" s="42" t="n"/>
      <c r="BS52" s="42" t="n"/>
      <c r="BT52" s="42" t="n"/>
      <c r="BU52" s="42" t="n"/>
      <c r="BV52" s="42" t="n"/>
      <c r="BW52" s="42" t="n"/>
      <c r="BX52" s="42" t="n"/>
      <c r="BY52" s="42" t="n"/>
      <c r="BZ52" s="42" t="n"/>
      <c r="CA52" s="42" t="n"/>
      <c r="CB52" s="42" t="n"/>
      <c r="CC52" s="42" t="n"/>
      <c r="CD52" s="42" t="n"/>
      <c r="CE52" s="42" t="n"/>
      <c r="CF52" s="42" t="n"/>
      <c r="CG52" s="42" t="n"/>
      <c r="CH52" s="42" t="n"/>
      <c r="CI52" s="42" t="n"/>
      <c r="CJ52" s="42" t="n"/>
      <c r="CK52" s="42" t="n"/>
      <c r="CL52" s="42" t="n"/>
      <c r="CM52" s="42" t="n"/>
      <c r="CN52" s="42" t="n"/>
      <c r="CO52" s="42" t="n"/>
      <c r="CP52" s="42" t="n"/>
      <c r="CQ52" s="42" t="n"/>
      <c r="CR52" s="42" t="n"/>
      <c r="CS52" s="42" t="n"/>
      <c r="CT52" s="42" t="n"/>
      <c r="CU52" s="42" t="n"/>
      <c r="CV52" s="42" t="n"/>
      <c r="CW52" s="42" t="n"/>
      <c r="CX52" s="42" t="n"/>
    </row>
    <row r="53" ht="23.25" customHeight="1" s="255">
      <c r="A53" s="143" t="inlineStr">
        <is>
          <t>SG&amp;A</t>
        </is>
      </c>
      <c r="B53" s="141" t="n"/>
      <c r="C53" s="141" t="n"/>
      <c r="D53" s="144" t="n"/>
      <c r="E53" s="141">
        <f>E55+E79+E91+E139+E151</f>
        <v/>
      </c>
      <c r="F53" s="141">
        <f>F55+F79+F91+F139+F151</f>
        <v/>
      </c>
      <c r="G53" s="141">
        <f>G55+G79+G91+G139+G151</f>
        <v/>
      </c>
      <c r="H53" s="141">
        <f>H55+H79+H91+H139+H151</f>
        <v/>
      </c>
      <c r="I53" s="141">
        <f>I55+I79+I91+I139+I151</f>
        <v/>
      </c>
      <c r="J53" s="141">
        <f>J55+J79+J91+J139+J151</f>
        <v/>
      </c>
      <c r="K53" s="141">
        <f>K55+K79+K91+K139+K151</f>
        <v/>
      </c>
      <c r="L53" s="141">
        <f>L55+L79+L91+L139+L151</f>
        <v/>
      </c>
      <c r="M53" s="141">
        <f>M55+M79+M91+M139+M151</f>
        <v/>
      </c>
      <c r="N53" s="141">
        <f>N55+N79+N91+N139+N151</f>
        <v/>
      </c>
      <c r="O53" s="141">
        <f>O55+O79+O91+O139+O151</f>
        <v/>
      </c>
      <c r="P53" s="141">
        <f>P55+P79+P91+P139+P151</f>
        <v/>
      </c>
      <c r="Q53" s="141">
        <f>Q55+Q79+Q91+Q139+Q151</f>
        <v/>
      </c>
      <c r="R53" s="141">
        <f>R55+R79+R91+R139+R151</f>
        <v/>
      </c>
      <c r="S53" s="141">
        <f>S55+S79+S91+S139+S151</f>
        <v/>
      </c>
      <c r="T53" s="141">
        <f>T55+T79+T91+T139+T151</f>
        <v/>
      </c>
      <c r="U53" s="141">
        <f>U55+U79+U91+U139+U151</f>
        <v/>
      </c>
      <c r="V53" s="141">
        <f>V55+V79+V91+V139+V151</f>
        <v/>
      </c>
      <c r="W53" s="141">
        <f>W55+W79+W91+W139+W151</f>
        <v/>
      </c>
      <c r="X53" s="141">
        <f>X55+X79+X91+X139+X151</f>
        <v/>
      </c>
      <c r="Y53" s="141">
        <f>Y55+Y79+Y91+Y139+Y151</f>
        <v/>
      </c>
      <c r="Z53" s="141">
        <f>Z55+Z79+Z91+Z139+Z151</f>
        <v/>
      </c>
      <c r="AA53" s="141">
        <f>AA55+AA79+AA91+AA139+AA151</f>
        <v/>
      </c>
      <c r="AB53" s="141">
        <f>AB55+AB79+AB91+AB139+AB151</f>
        <v/>
      </c>
      <c r="AC53" s="141">
        <f>AC55+AC79+AC91+AC139+AC151</f>
        <v/>
      </c>
      <c r="AD53" s="141">
        <f>AD55+AD79+AD91+AD139+AD151</f>
        <v/>
      </c>
      <c r="AE53" s="141">
        <f>AE55+AE79+AE91+AE139+AE151</f>
        <v/>
      </c>
      <c r="AF53" s="141">
        <f>AF55+AF79+AF91+AF139+AF151</f>
        <v/>
      </c>
      <c r="AG53" s="141">
        <f>AG55+AG79+AG91+AG139+AG151</f>
        <v/>
      </c>
      <c r="AH53" s="141">
        <f>AH55+AH79+AH91+AH139+AH151</f>
        <v/>
      </c>
      <c r="AI53" s="141">
        <f>AI55+AI79+AI91+AI139+AI151</f>
        <v/>
      </c>
      <c r="AJ53" s="141">
        <f>AJ55+AJ79+AJ91+AJ139+AJ151</f>
        <v/>
      </c>
      <c r="AK53" s="141">
        <f>AK55+AK79+AK91+AK139+AK151</f>
        <v/>
      </c>
      <c r="AL53" s="141">
        <f>AL55+AL79+AL91+AL139+AL151</f>
        <v/>
      </c>
      <c r="AM53" s="141">
        <f>AM55+AM79+AM91+AM139+AM151</f>
        <v/>
      </c>
      <c r="AN53" s="141">
        <f>AN55+AN79+AN91+AN139+AN151</f>
        <v/>
      </c>
      <c r="AO53" s="141">
        <f>AO55+AO79+AO91+AO139+AO151</f>
        <v/>
      </c>
      <c r="AP53" s="141">
        <f>AP55+AP79+AP91+AP139+AP151</f>
        <v/>
      </c>
      <c r="AQ53" s="141">
        <f>AQ55+AQ79+AQ91+AQ139+AQ151</f>
        <v/>
      </c>
      <c r="AR53" s="141">
        <f>AR55+AR79+AR91+AR139+AR151</f>
        <v/>
      </c>
      <c r="AS53" s="141">
        <f>AS55+AS79+AS91+AS139+AS151</f>
        <v/>
      </c>
      <c r="AT53" s="141">
        <f>AT55+AT79+AT91+AT139+AT151</f>
        <v/>
      </c>
      <c r="AU53" s="141">
        <f>AU55+AU79+AU91+AU139+AU151</f>
        <v/>
      </c>
      <c r="AV53" s="141">
        <f>AV55+AV79+AV91+AV139+AV151</f>
        <v/>
      </c>
      <c r="AW53" s="141">
        <f>AW55+AW79+AW91+AW139+AW151</f>
        <v/>
      </c>
      <c r="AX53" s="141">
        <f>AX55+AX79+AX91+AX139+AX151</f>
        <v/>
      </c>
      <c r="AY53" s="141">
        <f>AY55+AY79+AY91+AY139+AY151</f>
        <v/>
      </c>
      <c r="AZ53" s="141">
        <f>AZ55+AZ79+AZ91+AZ139+AZ151</f>
        <v/>
      </c>
      <c r="BA53" s="141">
        <f>BA55+BA79+BA91+BA139+BA151</f>
        <v/>
      </c>
      <c r="BB53" s="141">
        <f>BB55+BB79+BB91+BB139+BB151</f>
        <v/>
      </c>
      <c r="BC53" s="141">
        <f>BC55+BC79+BC91+BC139+BC151</f>
        <v/>
      </c>
      <c r="BD53" s="141">
        <f>BD55+BD79+BD91+BD139+BD151</f>
        <v/>
      </c>
      <c r="BE53" s="141">
        <f>BE55+BE79+BE91+BE139+BE151</f>
        <v/>
      </c>
      <c r="BF53" s="141">
        <f>BF55+BF79+BF91+BF139+BF151</f>
        <v/>
      </c>
      <c r="BG53" s="141">
        <f>BG55+BG79+BG91+BG139+BG151</f>
        <v/>
      </c>
      <c r="BH53" s="141">
        <f>BH55+BH79+BH91+BH139+BH151</f>
        <v/>
      </c>
      <c r="BI53" s="141">
        <f>BI55+BI79+BI91+BI139+BI151</f>
        <v/>
      </c>
      <c r="BJ53" s="141">
        <f>BJ55+BJ79+BJ91+BJ139+BJ151</f>
        <v/>
      </c>
      <c r="BK53" s="141">
        <f>BK55+BK79+BK91+BK139+BK151</f>
        <v/>
      </c>
      <c r="BL53" s="141">
        <f>BL55+BL79+BL91+BL139+BL151</f>
        <v/>
      </c>
      <c r="BM53" s="141">
        <f>BM55+BM79+BM91+BM139+BM151</f>
        <v/>
      </c>
      <c r="BN53" s="141">
        <f>BN55+BN79+BN91+BN139+BN151</f>
        <v/>
      </c>
      <c r="BO53" s="141">
        <f>BO55+BO79+BO91+BO139+BO151</f>
        <v/>
      </c>
      <c r="BP53" s="141">
        <f>BP55+BP79+BP91+BP139+BP151</f>
        <v/>
      </c>
      <c r="BQ53" s="141">
        <f>BQ55+BQ79+BQ91+BQ139+BQ151</f>
        <v/>
      </c>
      <c r="BR53" s="141">
        <f>BR55+BR79+BR91+BR139+BR151</f>
        <v/>
      </c>
      <c r="BS53" s="141">
        <f>BS55+BS79+BS91+BS139+BS151</f>
        <v/>
      </c>
      <c r="BT53" s="141">
        <f>BT55+BT79+BT91+BT139+BT151</f>
        <v/>
      </c>
      <c r="BU53" s="141">
        <f>BU55+BU79+BU91+BU139+BU151</f>
        <v/>
      </c>
      <c r="BV53" s="141">
        <f>BV55+BV79+BV91+BV139+BV151</f>
        <v/>
      </c>
      <c r="BW53" s="141">
        <f>BW55+BW79+BW91+BW139+BW151</f>
        <v/>
      </c>
      <c r="BX53" s="141">
        <f>BX55+BX79+BX91+BX139+BX151</f>
        <v/>
      </c>
      <c r="BY53" s="141">
        <f>BY55+BY79+BY91+BY139+BY151</f>
        <v/>
      </c>
      <c r="BZ53" s="141">
        <f>BZ55+BZ79+BZ91+BZ139+BZ151</f>
        <v/>
      </c>
      <c r="CA53" s="141">
        <f>CA55+CA79+CA91+CA139+CA151</f>
        <v/>
      </c>
      <c r="CB53" s="141">
        <f>CB55+CB79+CB91+CB139+CB151</f>
        <v/>
      </c>
      <c r="CC53" s="141">
        <f>CC55+CC79+CC91+CC139+CC151</f>
        <v/>
      </c>
      <c r="CD53" s="141">
        <f>CD55+CD79+CD91+CD139+CD151</f>
        <v/>
      </c>
      <c r="CE53" s="141">
        <f>CE55+CE79+CE91+CE139+CE151</f>
        <v/>
      </c>
      <c r="CF53" s="141">
        <f>CF55+CF79+CF91+CF139+CF151</f>
        <v/>
      </c>
      <c r="CG53" s="141">
        <f>CG55+CG79+CG91+CG139+CG151</f>
        <v/>
      </c>
      <c r="CH53" s="141">
        <f>CH55+CH79+CH91+CH139+CH151</f>
        <v/>
      </c>
      <c r="CI53" s="141">
        <f>CI55+CI79+CI91+CI139+CI151</f>
        <v/>
      </c>
      <c r="CJ53" s="141">
        <f>CJ55+CJ79+CJ91+CJ139+CJ151</f>
        <v/>
      </c>
      <c r="CK53" s="141">
        <f>CK55+CK79+CK91+CK139+CK151</f>
        <v/>
      </c>
      <c r="CL53" s="141">
        <f>CL55+CL79+CL91+CL139+CL151</f>
        <v/>
      </c>
      <c r="CM53" s="141">
        <f>CM55+CM79+CM91+CM139+CM151</f>
        <v/>
      </c>
      <c r="CN53" s="141">
        <f>CN55+CN79+CN91+CN139+CN151</f>
        <v/>
      </c>
      <c r="CO53" s="141">
        <f>CO55+CO79+CO91+CO139+CO151</f>
        <v/>
      </c>
      <c r="CP53" s="141">
        <f>CP55+CP79+CP91+CP139+CP151</f>
        <v/>
      </c>
      <c r="CQ53" s="141">
        <f>CQ55+CQ79+CQ91+CQ139+CQ151</f>
        <v/>
      </c>
      <c r="CR53" s="141">
        <f>CR55+CR79+CR91+CR139+CR151</f>
        <v/>
      </c>
      <c r="CS53" s="141">
        <f>CS55+CS79+CS91+CS139+CS151</f>
        <v/>
      </c>
      <c r="CT53" s="141">
        <f>CT55+CT79+CT91+CT139+CT151</f>
        <v/>
      </c>
      <c r="CU53" s="141">
        <f>CU55+CU79+CU91+CU139+CU151</f>
        <v/>
      </c>
      <c r="CV53" s="141">
        <f>CV55+CV79+CV91+CV139+CV151</f>
        <v/>
      </c>
      <c r="CW53" s="141">
        <f>CW55+CW79+CW91+CW139+CW151</f>
        <v/>
      </c>
      <c r="CX53" s="141">
        <f>CX55+CX79+CX91+CX139+CX151</f>
        <v/>
      </c>
    </row>
    <row r="54" ht="15.75" customHeight="1" s="255">
      <c r="A54" s="134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  <c r="CX54" s="56" t="n"/>
    </row>
    <row r="55" ht="15.75" customHeight="1" s="255">
      <c r="A55" s="145" t="inlineStr">
        <is>
          <t>MARKETING</t>
        </is>
      </c>
      <c r="B55" s="146" t="n"/>
      <c r="C55" s="146" t="n"/>
      <c r="D55" s="146" t="n"/>
      <c r="E55" s="147">
        <f>E57+E65+E68</f>
        <v/>
      </c>
      <c r="F55" s="147">
        <f>F57+F65+F68</f>
        <v/>
      </c>
      <c r="G55" s="147">
        <f>G57+G65+G68</f>
        <v/>
      </c>
      <c r="H55" s="147">
        <f>H57+H65+H68</f>
        <v/>
      </c>
      <c r="I55" s="147">
        <f>I57+I65+I68</f>
        <v/>
      </c>
      <c r="J55" s="147">
        <f>J57+J65+J68</f>
        <v/>
      </c>
      <c r="K55" s="147">
        <f>K57+K65+K68</f>
        <v/>
      </c>
      <c r="L55" s="147">
        <f>L57+L65+L68</f>
        <v/>
      </c>
      <c r="M55" s="147">
        <f>M57+M65+M68</f>
        <v/>
      </c>
      <c r="N55" s="147">
        <f>N57+N65+N68</f>
        <v/>
      </c>
      <c r="O55" s="147">
        <f>O57+O65+O68</f>
        <v/>
      </c>
      <c r="P55" s="147">
        <f>P57+P65+P68</f>
        <v/>
      </c>
      <c r="Q55" s="147">
        <f>Q57+Q65+Q68</f>
        <v/>
      </c>
      <c r="R55" s="147">
        <f>R57+R65+R68</f>
        <v/>
      </c>
      <c r="S55" s="147">
        <f>S57+S65+S68</f>
        <v/>
      </c>
      <c r="T55" s="147">
        <f>T57+T65+T68</f>
        <v/>
      </c>
      <c r="U55" s="147">
        <f>U57+U65+U68</f>
        <v/>
      </c>
      <c r="V55" s="147">
        <f>V57+V65+V68</f>
        <v/>
      </c>
      <c r="W55" s="147">
        <f>W57+W65+W68</f>
        <v/>
      </c>
      <c r="X55" s="147">
        <f>X57+X65+X68</f>
        <v/>
      </c>
      <c r="Y55" s="147">
        <f>Y57+Y65+Y68</f>
        <v/>
      </c>
      <c r="Z55" s="147">
        <f>Z57+Z65+Z68</f>
        <v/>
      </c>
      <c r="AA55" s="147">
        <f>AA57+AA65+AA68</f>
        <v/>
      </c>
      <c r="AB55" s="147">
        <f>AB57+AB65+AB68</f>
        <v/>
      </c>
      <c r="AC55" s="147">
        <f>AC57+AC65+AC68</f>
        <v/>
      </c>
      <c r="AD55" s="147">
        <f>AD57+AD65+AD68</f>
        <v/>
      </c>
      <c r="AE55" s="147">
        <f>AE57+AE65+AE68</f>
        <v/>
      </c>
      <c r="AF55" s="147">
        <f>AF57+AF65+AF68</f>
        <v/>
      </c>
      <c r="AG55" s="147">
        <f>AG57+AG65+AG68</f>
        <v/>
      </c>
      <c r="AH55" s="147">
        <f>AH57+AH65+AH68</f>
        <v/>
      </c>
      <c r="AI55" s="147">
        <f>AI57+AI65+AI68</f>
        <v/>
      </c>
      <c r="AJ55" s="147">
        <f>AJ57+AJ65+AJ68</f>
        <v/>
      </c>
      <c r="AK55" s="147">
        <f>AK57+AK65+AK68</f>
        <v/>
      </c>
      <c r="AL55" s="147">
        <f>AL57+AL65+AL68</f>
        <v/>
      </c>
      <c r="AM55" s="147">
        <f>AM57+AM65+AM68</f>
        <v/>
      </c>
      <c r="AN55" s="147">
        <f>AN57+AN65+AN68</f>
        <v/>
      </c>
      <c r="AO55" s="147">
        <f>AO57+AO65+AO68</f>
        <v/>
      </c>
      <c r="AP55" s="147">
        <f>AP57+AP65+AP68</f>
        <v/>
      </c>
      <c r="AQ55" s="147">
        <f>AQ57+AQ65+AQ68</f>
        <v/>
      </c>
      <c r="AR55" s="147">
        <f>AR57+AR65+AR68</f>
        <v/>
      </c>
      <c r="AS55" s="147">
        <f>AS57+AS65+AS68</f>
        <v/>
      </c>
      <c r="AT55" s="147">
        <f>AT57+AT65+AT68</f>
        <v/>
      </c>
      <c r="AU55" s="147">
        <f>AU57+AU65+AU68</f>
        <v/>
      </c>
      <c r="AV55" s="147">
        <f>AV57+AV65+AV68</f>
        <v/>
      </c>
      <c r="AW55" s="147">
        <f>AW57+AW65+AW68</f>
        <v/>
      </c>
      <c r="AX55" s="147">
        <f>AX57+AX65+AX68</f>
        <v/>
      </c>
      <c r="AY55" s="147">
        <f>AY57+AY65+AY68</f>
        <v/>
      </c>
      <c r="AZ55" s="147">
        <f>AZ57+AZ65+AZ68</f>
        <v/>
      </c>
      <c r="BA55" s="147">
        <f>BA57+BA65+BA68</f>
        <v/>
      </c>
      <c r="BB55" s="147">
        <f>BB57+BB65+BB68</f>
        <v/>
      </c>
      <c r="BC55" s="147">
        <f>BC57+BC65+BC68</f>
        <v/>
      </c>
      <c r="BD55" s="147">
        <f>BD57+BD65+BD68</f>
        <v/>
      </c>
      <c r="BE55" s="147">
        <f>BE57+BE65+BE68</f>
        <v/>
      </c>
      <c r="BF55" s="147">
        <f>BF57+BF65+BF68</f>
        <v/>
      </c>
      <c r="BG55" s="147">
        <f>BG57+BG65+BG68</f>
        <v/>
      </c>
      <c r="BH55" s="147">
        <f>BH57+BH65+BH68</f>
        <v/>
      </c>
      <c r="BI55" s="147">
        <f>BI57+BI65+BI68</f>
        <v/>
      </c>
      <c r="BJ55" s="147">
        <f>BJ57+BJ65+BJ68</f>
        <v/>
      </c>
      <c r="BK55" s="147">
        <f>BK57+BK65+BK68</f>
        <v/>
      </c>
      <c r="BL55" s="147">
        <f>BL57+BL65+BL68</f>
        <v/>
      </c>
      <c r="BM55" s="147">
        <f>BM57+BM65+BM68</f>
        <v/>
      </c>
      <c r="BN55" s="147">
        <f>BN57+BN65+BN68</f>
        <v/>
      </c>
      <c r="BO55" s="147">
        <f>BO57+BO65+BO68</f>
        <v/>
      </c>
      <c r="BP55" s="147">
        <f>BP57+BP65+BP68</f>
        <v/>
      </c>
      <c r="BQ55" s="147">
        <f>BQ57+BQ65+BQ68</f>
        <v/>
      </c>
      <c r="BR55" s="147">
        <f>BR57+BR65+BR68</f>
        <v/>
      </c>
      <c r="BS55" s="147">
        <f>BS57+BS65+BS68</f>
        <v/>
      </c>
      <c r="BT55" s="147">
        <f>BT57+BT65+BT68</f>
        <v/>
      </c>
      <c r="BU55" s="147">
        <f>BU57+BU65+BU68</f>
        <v/>
      </c>
      <c r="BV55" s="147">
        <f>BV57+BV65+BV68</f>
        <v/>
      </c>
      <c r="BW55" s="147">
        <f>BW57+BW65+BW68</f>
        <v/>
      </c>
      <c r="BX55" s="147">
        <f>BX57+BX65+BX68</f>
        <v/>
      </c>
      <c r="BY55" s="147">
        <f>BY57+BY65+BY68</f>
        <v/>
      </c>
      <c r="BZ55" s="147">
        <f>BZ57+BZ65+BZ68</f>
        <v/>
      </c>
      <c r="CA55" s="147">
        <f>CA57+CA65+CA68</f>
        <v/>
      </c>
      <c r="CB55" s="147">
        <f>CB57+CB65+CB68</f>
        <v/>
      </c>
      <c r="CC55" s="147">
        <f>CC57+CC65+CC68</f>
        <v/>
      </c>
      <c r="CD55" s="147">
        <f>CD57+CD65+CD68</f>
        <v/>
      </c>
      <c r="CE55" s="147">
        <f>CE57+CE65+CE68</f>
        <v/>
      </c>
      <c r="CF55" s="147">
        <f>CF57+CF65+CF68</f>
        <v/>
      </c>
      <c r="CG55" s="147">
        <f>CG57+CG65+CG68</f>
        <v/>
      </c>
      <c r="CH55" s="147">
        <f>CH57+CH65+CH68</f>
        <v/>
      </c>
      <c r="CI55" s="147">
        <f>CI57+CI65+CI68</f>
        <v/>
      </c>
      <c r="CJ55" s="147">
        <f>CJ57+CJ65+CJ68</f>
        <v/>
      </c>
      <c r="CK55" s="147">
        <f>CK57+CK65+CK68</f>
        <v/>
      </c>
      <c r="CL55" s="147">
        <f>CL57+CL65+CL68</f>
        <v/>
      </c>
      <c r="CM55" s="147">
        <f>CM57+CM65+CM68</f>
        <v/>
      </c>
      <c r="CN55" s="147">
        <f>CN57+CN65+CN68</f>
        <v/>
      </c>
      <c r="CO55" s="147">
        <f>CO57+CO65+CO68</f>
        <v/>
      </c>
      <c r="CP55" s="147">
        <f>CP57+CP65+CP68</f>
        <v/>
      </c>
      <c r="CQ55" s="147">
        <f>CQ57+CQ65+CQ68</f>
        <v/>
      </c>
      <c r="CR55" s="147">
        <f>CR57+CR65+CR68</f>
        <v/>
      </c>
      <c r="CS55" s="147">
        <f>CS57+CS65+CS68</f>
        <v/>
      </c>
      <c r="CT55" s="147">
        <f>CT57+CT65+CT68</f>
        <v/>
      </c>
      <c r="CU55" s="147">
        <f>CU57+CU65+CU68</f>
        <v/>
      </c>
      <c r="CV55" s="147">
        <f>CV57+CV65+CV68</f>
        <v/>
      </c>
      <c r="CW55" s="147">
        <f>CW57+CW65+CW68</f>
        <v/>
      </c>
      <c r="CX55" s="147">
        <f>CX57+CX65+CX68</f>
        <v/>
      </c>
    </row>
    <row r="56" outlineLevel="1" ht="15.75" customHeight="1" s="25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  <c r="CW56" s="56" t="n"/>
      <c r="CX56" s="56" t="n"/>
    </row>
    <row r="57" outlineLevel="1" ht="15.75" customHeight="1" s="255">
      <c r="A57" s="60">
        <f>Projections!A75</f>
        <v/>
      </c>
      <c r="B57" s="60" t="inlineStr">
        <is>
          <t>Marketing</t>
        </is>
      </c>
      <c r="C57" s="60" t="n"/>
      <c r="D57" s="60" t="n"/>
      <c r="E57" s="60">
        <f>SUM(E58:E60)</f>
        <v/>
      </c>
      <c r="F57" s="60">
        <f>SUM(F58:F60)</f>
        <v/>
      </c>
      <c r="G57" s="60">
        <f>SUM(G58:G60)</f>
        <v/>
      </c>
      <c r="H57" s="60">
        <f>SUM(H58:H60)</f>
        <v/>
      </c>
      <c r="I57" s="60">
        <f>SUM(I58:I60)</f>
        <v/>
      </c>
      <c r="J57" s="60">
        <f>SUM(J58:J60)</f>
        <v/>
      </c>
      <c r="K57" s="60">
        <f>SUM(K58:K60)</f>
        <v/>
      </c>
      <c r="L57" s="60">
        <f>SUM(L58:L60)</f>
        <v/>
      </c>
      <c r="M57" s="60">
        <f>SUM(M58:M60)</f>
        <v/>
      </c>
      <c r="N57" s="60">
        <f>SUM(N58:N60)</f>
        <v/>
      </c>
      <c r="O57" s="60">
        <f>SUM(O58:O60)</f>
        <v/>
      </c>
      <c r="P57" s="60">
        <f>SUM(P58:P60)</f>
        <v/>
      </c>
      <c r="Q57" s="60">
        <f>SUM(Q58:Q60)</f>
        <v/>
      </c>
      <c r="R57" s="60">
        <f>SUM(R58:R60)</f>
        <v/>
      </c>
      <c r="S57" s="60">
        <f>SUM(S58:S60)</f>
        <v/>
      </c>
      <c r="T57" s="60">
        <f>SUM(T58:T60)</f>
        <v/>
      </c>
      <c r="U57" s="60">
        <f>SUM(U58:U60)</f>
        <v/>
      </c>
      <c r="V57" s="60">
        <f>SUM(V58:V60)</f>
        <v/>
      </c>
      <c r="W57" s="60">
        <f>SUM(W58:W60)</f>
        <v/>
      </c>
      <c r="X57" s="60">
        <f>SUM(X58:X60)</f>
        <v/>
      </c>
      <c r="Y57" s="60">
        <f>SUM(Y58:Y60)</f>
        <v/>
      </c>
      <c r="Z57" s="60">
        <f>SUM(Z58:Z60)</f>
        <v/>
      </c>
      <c r="AA57" s="60">
        <f>SUM(AA58:AA60)</f>
        <v/>
      </c>
      <c r="AB57" s="60">
        <f>SUM(AB58:AB60)</f>
        <v/>
      </c>
      <c r="AC57" s="60">
        <f>SUM(AC58:AC60)</f>
        <v/>
      </c>
      <c r="AD57" s="60">
        <f>SUM(AD58:AD60)</f>
        <v/>
      </c>
      <c r="AE57" s="60">
        <f>SUM(AE58:AE60)</f>
        <v/>
      </c>
      <c r="AF57" s="60">
        <f>SUM(AF58:AF60)</f>
        <v/>
      </c>
      <c r="AG57" s="60">
        <f>SUM(AG58:AG60)</f>
        <v/>
      </c>
      <c r="AH57" s="60">
        <f>SUM(AH58:AH60)</f>
        <v/>
      </c>
      <c r="AI57" s="60">
        <f>SUM(AI58:AI60)</f>
        <v/>
      </c>
      <c r="AJ57" s="60">
        <f>SUM(AJ58:AJ60)</f>
        <v/>
      </c>
      <c r="AK57" s="60">
        <f>SUM(AK58:AK60)</f>
        <v/>
      </c>
      <c r="AL57" s="60">
        <f>SUM(AL58:AL60)</f>
        <v/>
      </c>
      <c r="AM57" s="60">
        <f>SUM(AM58:AM60)</f>
        <v/>
      </c>
      <c r="AN57" s="60">
        <f>SUM(AN58:AN60)</f>
        <v/>
      </c>
      <c r="AO57" s="60">
        <f>SUM(AO58:AO60)</f>
        <v/>
      </c>
      <c r="AP57" s="60">
        <f>SUM(AP58:AP60)</f>
        <v/>
      </c>
      <c r="AQ57" s="60">
        <f>SUM(AQ58:AQ60)</f>
        <v/>
      </c>
      <c r="AR57" s="60">
        <f>SUM(AR58:AR60)</f>
        <v/>
      </c>
      <c r="AS57" s="60">
        <f>SUM(AS58:AS60)</f>
        <v/>
      </c>
      <c r="AT57" s="60">
        <f>SUM(AT58:AT60)</f>
        <v/>
      </c>
      <c r="AU57" s="60">
        <f>SUM(AU58:AU60)</f>
        <v/>
      </c>
      <c r="AV57" s="60">
        <f>SUM(AV58:AV60)</f>
        <v/>
      </c>
      <c r="AW57" s="60">
        <f>SUM(AW58:AW60)</f>
        <v/>
      </c>
      <c r="AX57" s="60">
        <f>SUM(AX58:AX60)</f>
        <v/>
      </c>
      <c r="AY57" s="60">
        <f>SUM(AY58:AY60)</f>
        <v/>
      </c>
      <c r="AZ57" s="60">
        <f>SUM(AZ58:AZ60)</f>
        <v/>
      </c>
      <c r="BA57" s="60">
        <f>SUM(BA58:BA60)</f>
        <v/>
      </c>
      <c r="BB57" s="60">
        <f>SUM(BB58:BB60)</f>
        <v/>
      </c>
      <c r="BC57" s="60">
        <f>SUM(BC58:BC60)</f>
        <v/>
      </c>
      <c r="BD57" s="60">
        <f>SUM(BD58:BD60)</f>
        <v/>
      </c>
      <c r="BE57" s="60">
        <f>SUM(BE58:BE60)</f>
        <v/>
      </c>
      <c r="BF57" s="60">
        <f>SUM(BF58:BF60)</f>
        <v/>
      </c>
      <c r="BG57" s="60">
        <f>SUM(BG58:BG60)</f>
        <v/>
      </c>
      <c r="BH57" s="60">
        <f>SUM(BH58:BH60)</f>
        <v/>
      </c>
      <c r="BI57" s="60">
        <f>SUM(BI58:BI60)</f>
        <v/>
      </c>
      <c r="BJ57" s="60">
        <f>SUM(BJ58:BJ60)</f>
        <v/>
      </c>
      <c r="BK57" s="60">
        <f>SUM(BK58:BK60)</f>
        <v/>
      </c>
      <c r="BL57" s="60">
        <f>SUM(BL58:BL60)</f>
        <v/>
      </c>
      <c r="BM57" s="60">
        <f>SUM(BM58:BM60)</f>
        <v/>
      </c>
      <c r="BN57" s="60">
        <f>SUM(BN58:BN60)</f>
        <v/>
      </c>
      <c r="BO57" s="60">
        <f>SUM(BO58:BO60)</f>
        <v/>
      </c>
      <c r="BP57" s="60">
        <f>SUM(BP58:BP60)</f>
        <v/>
      </c>
      <c r="BQ57" s="60">
        <f>SUM(BQ58:BQ60)</f>
        <v/>
      </c>
      <c r="BR57" s="60">
        <f>SUM(BR58:BR60)</f>
        <v/>
      </c>
      <c r="BS57" s="60">
        <f>SUM(BS58:BS60)</f>
        <v/>
      </c>
      <c r="BT57" s="60">
        <f>SUM(BT58:BT60)</f>
        <v/>
      </c>
      <c r="BU57" s="60">
        <f>SUM(BU58:BU60)</f>
        <v/>
      </c>
      <c r="BV57" s="60">
        <f>SUM(BV58:BV60)</f>
        <v/>
      </c>
      <c r="BW57" s="60">
        <f>SUM(BW58:BW60)</f>
        <v/>
      </c>
      <c r="BX57" s="60">
        <f>SUM(BX58:BX60)</f>
        <v/>
      </c>
      <c r="BY57" s="60">
        <f>SUM(BY58:BY60)</f>
        <v/>
      </c>
      <c r="BZ57" s="60">
        <f>SUM(BZ58:BZ60)</f>
        <v/>
      </c>
      <c r="CA57" s="60">
        <f>SUM(CA58:CA60)</f>
        <v/>
      </c>
      <c r="CB57" s="60">
        <f>SUM(CB58:CB60)</f>
        <v/>
      </c>
      <c r="CC57" s="60">
        <f>SUM(CC58:CC60)</f>
        <v/>
      </c>
      <c r="CD57" s="60">
        <f>SUM(CD58:CD60)</f>
        <v/>
      </c>
      <c r="CE57" s="60">
        <f>SUM(CE58:CE60)</f>
        <v/>
      </c>
      <c r="CF57" s="60">
        <f>SUM(CF58:CF60)</f>
        <v/>
      </c>
      <c r="CG57" s="60">
        <f>SUM(CG58:CG60)</f>
        <v/>
      </c>
      <c r="CH57" s="60">
        <f>SUM(CH58:CH60)</f>
        <v/>
      </c>
      <c r="CI57" s="60">
        <f>SUM(CI58:CI60)</f>
        <v/>
      </c>
      <c r="CJ57" s="60">
        <f>SUM(CJ58:CJ60)</f>
        <v/>
      </c>
      <c r="CK57" s="60">
        <f>SUM(CK58:CK60)</f>
        <v/>
      </c>
      <c r="CL57" s="60">
        <f>SUM(CL58:CL60)</f>
        <v/>
      </c>
      <c r="CM57" s="60">
        <f>SUM(CM58:CM60)</f>
        <v/>
      </c>
      <c r="CN57" s="60">
        <f>SUM(CN58:CN60)</f>
        <v/>
      </c>
      <c r="CO57" s="60">
        <f>SUM(CO58:CO60)</f>
        <v/>
      </c>
      <c r="CP57" s="60">
        <f>SUM(CP58:CP60)</f>
        <v/>
      </c>
      <c r="CQ57" s="60">
        <f>SUM(CQ58:CQ60)</f>
        <v/>
      </c>
      <c r="CR57" s="60">
        <f>SUM(CR58:CR60)</f>
        <v/>
      </c>
      <c r="CS57" s="60">
        <f>SUM(CS58:CS60)</f>
        <v/>
      </c>
      <c r="CT57" s="60">
        <f>SUM(CT58:CT60)</f>
        <v/>
      </c>
      <c r="CU57" s="60">
        <f>SUM(CU58:CU60)</f>
        <v/>
      </c>
      <c r="CV57" s="60">
        <f>SUM(CV58:CV60)</f>
        <v/>
      </c>
      <c r="CW57" s="60">
        <f>SUM(CW58:CW60)</f>
        <v/>
      </c>
      <c r="CX57" s="60">
        <f>SUM(CX58:CX60)</f>
        <v/>
      </c>
    </row>
    <row r="58" outlineLevel="2" ht="15.75" customHeight="1" s="255">
      <c r="A58" s="56">
        <f>Projections!A76</f>
        <v/>
      </c>
      <c r="B58" s="56" t="n"/>
      <c r="C58" s="56" t="n"/>
      <c r="D58" s="56" t="n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/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/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/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/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/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/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/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/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/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/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/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/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/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/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/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/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/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/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/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/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/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/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/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/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/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/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/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/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/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/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/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/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/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/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/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/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/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/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/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/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/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/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/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/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/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/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/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/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/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/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/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/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/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/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/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/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/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/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/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/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/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/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/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/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/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/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/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/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/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/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/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/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/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/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/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/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/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/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/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/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/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/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/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/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/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/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/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/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/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/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/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/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/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/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/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/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/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/>
      </c>
    </row>
    <row r="59" outlineLevel="2" ht="15.75" customHeight="1" s="255">
      <c r="A59" s="56">
        <f>Projections!A77</f>
        <v/>
      </c>
      <c r="B59" s="56" t="n"/>
      <c r="C59" s="56" t="n"/>
      <c r="D59" s="56" t="n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/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/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/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/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/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/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/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/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/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/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/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/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/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/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/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/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/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/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/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/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/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/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/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/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/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/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/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/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/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/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/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/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/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/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/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/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/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/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/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/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/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/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/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/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/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/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/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/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/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/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/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/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/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/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/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/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/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/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/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/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/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/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/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/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/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/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/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/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/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/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/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/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/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/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/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/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/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/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/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/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/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/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/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/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/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/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/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/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/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/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/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/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/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/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/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/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/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/>
      </c>
    </row>
    <row r="60" outlineLevel="2" ht="15.75" customHeight="1" s="255">
      <c r="A60" s="56">
        <f>Projections!A78</f>
        <v/>
      </c>
      <c r="B60" s="56" t="n"/>
      <c r="C60" s="56" t="n"/>
      <c r="D60" s="56" t="n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/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/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/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/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/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/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/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/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/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/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/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/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/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/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/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/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/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/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/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/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/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/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/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/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/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/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/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/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/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/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/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/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/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/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/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/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/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/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/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/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/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/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/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/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/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/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/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/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/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/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/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/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/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/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/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/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/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/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/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/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/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/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/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/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/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/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/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/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/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/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/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/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/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/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/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/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/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/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/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/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/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/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/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/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/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/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/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/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/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/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/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/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/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/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/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/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/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/>
      </c>
    </row>
    <row r="61" outlineLevel="2" ht="15.75" customHeight="1" s="25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  <c r="BX61" s="56" t="n"/>
      <c r="BY61" s="56" t="n"/>
      <c r="BZ61" s="56" t="n"/>
      <c r="CA61" s="56" t="n"/>
      <c r="CB61" s="56" t="n"/>
      <c r="CC61" s="56" t="n"/>
      <c r="CD61" s="56" t="n"/>
      <c r="CE61" s="56" t="n"/>
      <c r="CF61" s="56" t="n"/>
      <c r="CG61" s="56" t="n"/>
      <c r="CH61" s="56" t="n"/>
      <c r="CI61" s="56" t="n"/>
      <c r="CJ61" s="56" t="n"/>
      <c r="CK61" s="56" t="n"/>
      <c r="CL61" s="56" t="n"/>
      <c r="CM61" s="56" t="n"/>
      <c r="CN61" s="56" t="n"/>
      <c r="CO61" s="56" t="n"/>
      <c r="CP61" s="56" t="n"/>
      <c r="CQ61" s="56" t="n"/>
      <c r="CR61" s="56" t="n"/>
      <c r="CS61" s="56" t="n"/>
      <c r="CT61" s="56" t="n"/>
      <c r="CU61" s="56" t="n"/>
      <c r="CV61" s="56" t="n"/>
      <c r="CW61" s="56" t="n"/>
      <c r="CX61" s="56" t="n"/>
    </row>
    <row r="62" outlineLevel="2" ht="15.75" customHeight="1" s="25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  <c r="CW62" s="56" t="n"/>
      <c r="CX62" s="56" t="n"/>
    </row>
    <row r="63" outlineLevel="1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  <c r="CX63" s="56" t="n"/>
    </row>
    <row r="64" outlineLevel="1" ht="15.75" customHeight="1" s="255">
      <c r="A64" s="148" t="inlineStr">
        <is>
          <t>Direct response campaigns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0" t="n"/>
      <c r="BU64" s="60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0" t="n"/>
      <c r="CO64" s="60" t="n"/>
      <c r="CP64" s="60" t="n"/>
      <c r="CQ64" s="60" t="n"/>
      <c r="CR64" s="60" t="n"/>
      <c r="CS64" s="60" t="n"/>
      <c r="CT64" s="60" t="n"/>
      <c r="CU64" s="60" t="n"/>
      <c r="CV64" s="60" t="n"/>
      <c r="CW64" s="60" t="n"/>
      <c r="CX64" s="60" t="n"/>
    </row>
    <row r="65" outlineLevel="2" ht="15.75" customHeight="1" s="255">
      <c r="A65" s="134" t="inlineStr">
        <is>
          <t>Budget</t>
        </is>
      </c>
      <c r="B65" s="60" t="inlineStr">
        <is>
          <t>Marketing</t>
        </is>
      </c>
      <c r="C65" s="56" t="n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/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/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/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/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/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/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/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/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/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/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/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/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/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/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/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/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/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/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/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/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/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/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/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/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/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/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/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/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/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/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/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/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/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/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/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/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/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/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/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/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/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/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/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/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/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/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/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/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/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/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/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/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/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/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/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/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/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/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/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/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/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/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/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/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/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/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/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/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/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/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/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/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/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/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/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/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/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/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/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/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/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/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/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/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/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/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/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/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/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/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/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/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/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/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/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/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/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/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/>
      </c>
    </row>
    <row r="66" outlineLevel="2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  <c r="CX66" s="56" t="n"/>
    </row>
    <row r="67" outlineLevel="1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  <c r="CX67" s="56" t="n"/>
    </row>
    <row r="68" outlineLevel="1" ht="15.75" customHeight="1" s="255">
      <c r="A68" s="60" t="inlineStr">
        <is>
          <t>Other marketing expenses</t>
        </is>
      </c>
      <c r="B68" s="60" t="inlineStr">
        <is>
          <t>Marketing</t>
        </is>
      </c>
      <c r="C68" s="60" t="n"/>
      <c r="D68" s="60" t="n"/>
      <c r="E68" s="60">
        <f>SUM(E69:E76)</f>
        <v/>
      </c>
      <c r="F68" s="60">
        <f>SUM(F69:F76)</f>
        <v/>
      </c>
      <c r="G68" s="60">
        <f>SUM(G69:G76)</f>
        <v/>
      </c>
      <c r="H68" s="60">
        <f>SUM(H69:H76)</f>
        <v/>
      </c>
      <c r="I68" s="60">
        <f>SUM(I69:I76)</f>
        <v/>
      </c>
      <c r="J68" s="60">
        <f>SUM(J69:J76)</f>
        <v/>
      </c>
      <c r="K68" s="60">
        <f>SUM(K69:K76)</f>
        <v/>
      </c>
      <c r="L68" s="60">
        <f>SUM(L69:L76)</f>
        <v/>
      </c>
      <c r="M68" s="60">
        <f>SUM(M69:M76)</f>
        <v/>
      </c>
      <c r="N68" s="60">
        <f>SUM(N69:N76)</f>
        <v/>
      </c>
      <c r="O68" s="60">
        <f>SUM(O69:O76)</f>
        <v/>
      </c>
      <c r="P68" s="60">
        <f>SUM(P69:P76)</f>
        <v/>
      </c>
      <c r="Q68" s="60">
        <f>SUM(Q69:Q76)</f>
        <v/>
      </c>
      <c r="R68" s="60">
        <f>SUM(R69:R76)</f>
        <v/>
      </c>
      <c r="S68" s="60">
        <f>SUM(S69:S76)</f>
        <v/>
      </c>
      <c r="T68" s="60">
        <f>SUM(T69:T76)</f>
        <v/>
      </c>
      <c r="U68" s="60">
        <f>SUM(U69:U76)</f>
        <v/>
      </c>
      <c r="V68" s="60">
        <f>SUM(V69:V76)</f>
        <v/>
      </c>
      <c r="W68" s="60">
        <f>SUM(W69:W76)</f>
        <v/>
      </c>
      <c r="X68" s="60">
        <f>SUM(X69:X76)</f>
        <v/>
      </c>
      <c r="Y68" s="60">
        <f>SUM(Y69:Y76)</f>
        <v/>
      </c>
      <c r="Z68" s="60">
        <f>SUM(Z69:Z76)</f>
        <v/>
      </c>
      <c r="AA68" s="60">
        <f>SUM(AA69:AA76)</f>
        <v/>
      </c>
      <c r="AB68" s="60">
        <f>SUM(AB69:AB76)</f>
        <v/>
      </c>
      <c r="AC68" s="60">
        <f>SUM(AC69:AC76)</f>
        <v/>
      </c>
      <c r="AD68" s="60">
        <f>SUM(AD69:AD76)</f>
        <v/>
      </c>
      <c r="AE68" s="60">
        <f>SUM(AE69:AE76)</f>
        <v/>
      </c>
      <c r="AF68" s="60">
        <f>SUM(AF69:AF76)</f>
        <v/>
      </c>
      <c r="AG68" s="60">
        <f>SUM(AG69:AG76)</f>
        <v/>
      </c>
      <c r="AH68" s="60">
        <f>SUM(AH69:AH76)</f>
        <v/>
      </c>
      <c r="AI68" s="60">
        <f>SUM(AI69:AI76)</f>
        <v/>
      </c>
      <c r="AJ68" s="60">
        <f>SUM(AJ69:AJ76)</f>
        <v/>
      </c>
      <c r="AK68" s="60">
        <f>SUM(AK69:AK76)</f>
        <v/>
      </c>
      <c r="AL68" s="60">
        <f>SUM(AL69:AL76)</f>
        <v/>
      </c>
      <c r="AM68" s="60">
        <f>SUM(AM69:AM76)</f>
        <v/>
      </c>
      <c r="AN68" s="60">
        <f>SUM(AN69:AN76)</f>
        <v/>
      </c>
      <c r="AO68" s="60">
        <f>SUM(AO69:AO76)</f>
        <v/>
      </c>
      <c r="AP68" s="60">
        <f>SUM(AP69:AP76)</f>
        <v/>
      </c>
      <c r="AQ68" s="60">
        <f>SUM(AQ69:AQ76)</f>
        <v/>
      </c>
      <c r="AR68" s="60">
        <f>SUM(AR69:AR76)</f>
        <v/>
      </c>
      <c r="AS68" s="60">
        <f>SUM(AS69:AS76)</f>
        <v/>
      </c>
      <c r="AT68" s="60">
        <f>SUM(AT69:AT76)</f>
        <v/>
      </c>
      <c r="AU68" s="60">
        <f>SUM(AU69:AU76)</f>
        <v/>
      </c>
      <c r="AV68" s="60">
        <f>SUM(AV69:AV76)</f>
        <v/>
      </c>
      <c r="AW68" s="60">
        <f>SUM(AW69:AW76)</f>
        <v/>
      </c>
      <c r="AX68" s="60">
        <f>SUM(AX69:AX76)</f>
        <v/>
      </c>
      <c r="AY68" s="60">
        <f>SUM(AY69:AY76)</f>
        <v/>
      </c>
      <c r="AZ68" s="60">
        <f>SUM(AZ69:AZ76)</f>
        <v/>
      </c>
      <c r="BA68" s="60">
        <f>SUM(BA69:BA76)</f>
        <v/>
      </c>
      <c r="BB68" s="60">
        <f>SUM(BB69:BB76)</f>
        <v/>
      </c>
      <c r="BC68" s="60">
        <f>SUM(BC69:BC76)</f>
        <v/>
      </c>
      <c r="BD68" s="60">
        <f>SUM(BD69:BD76)</f>
        <v/>
      </c>
      <c r="BE68" s="60">
        <f>SUM(BE69:BE76)</f>
        <v/>
      </c>
      <c r="BF68" s="60">
        <f>SUM(BF69:BF76)</f>
        <v/>
      </c>
      <c r="BG68" s="60">
        <f>SUM(BG69:BG76)</f>
        <v/>
      </c>
      <c r="BH68" s="60">
        <f>SUM(BH69:BH76)</f>
        <v/>
      </c>
      <c r="BI68" s="60">
        <f>SUM(BI69:BI76)</f>
        <v/>
      </c>
      <c r="BJ68" s="60">
        <f>SUM(BJ69:BJ76)</f>
        <v/>
      </c>
      <c r="BK68" s="60">
        <f>SUM(BK69:BK76)</f>
        <v/>
      </c>
      <c r="BL68" s="60">
        <f>SUM(BL69:BL76)</f>
        <v/>
      </c>
      <c r="BM68" s="60">
        <f>SUM(BM69:BM76)</f>
        <v/>
      </c>
      <c r="BN68" s="60">
        <f>SUM(BN69:BN76)</f>
        <v/>
      </c>
      <c r="BO68" s="60">
        <f>SUM(BO69:BO76)</f>
        <v/>
      </c>
      <c r="BP68" s="60">
        <f>SUM(BP69:BP76)</f>
        <v/>
      </c>
      <c r="BQ68" s="60">
        <f>SUM(BQ69:BQ76)</f>
        <v/>
      </c>
      <c r="BR68" s="60">
        <f>SUM(BR69:BR76)</f>
        <v/>
      </c>
      <c r="BS68" s="60">
        <f>SUM(BS69:BS76)</f>
        <v/>
      </c>
      <c r="BT68" s="60">
        <f>SUM(BT69:BT76)</f>
        <v/>
      </c>
      <c r="BU68" s="60">
        <f>SUM(BU69:BU76)</f>
        <v/>
      </c>
      <c r="BV68" s="60">
        <f>SUM(BV69:BV76)</f>
        <v/>
      </c>
      <c r="BW68" s="60">
        <f>SUM(BW69:BW76)</f>
        <v/>
      </c>
      <c r="BX68" s="60">
        <f>SUM(BX69:BX76)</f>
        <v/>
      </c>
      <c r="BY68" s="60">
        <f>SUM(BY69:BY76)</f>
        <v/>
      </c>
      <c r="BZ68" s="60">
        <f>SUM(BZ69:BZ76)</f>
        <v/>
      </c>
      <c r="CA68" s="60">
        <f>SUM(CA69:CA76)</f>
        <v/>
      </c>
      <c r="CB68" s="60">
        <f>SUM(CB69:CB76)</f>
        <v/>
      </c>
      <c r="CC68" s="60">
        <f>SUM(CC69:CC76)</f>
        <v/>
      </c>
      <c r="CD68" s="60">
        <f>SUM(CD69:CD76)</f>
        <v/>
      </c>
      <c r="CE68" s="60">
        <f>SUM(CE69:CE76)</f>
        <v/>
      </c>
      <c r="CF68" s="60">
        <f>SUM(CF69:CF76)</f>
        <v/>
      </c>
      <c r="CG68" s="60">
        <f>SUM(CG69:CG76)</f>
        <v/>
      </c>
      <c r="CH68" s="60">
        <f>SUM(CH69:CH76)</f>
        <v/>
      </c>
      <c r="CI68" s="60">
        <f>SUM(CI69:CI76)</f>
        <v/>
      </c>
      <c r="CJ68" s="60">
        <f>SUM(CJ69:CJ76)</f>
        <v/>
      </c>
      <c r="CK68" s="60">
        <f>SUM(CK69:CK76)</f>
        <v/>
      </c>
      <c r="CL68" s="60">
        <f>SUM(CL69:CL76)</f>
        <v/>
      </c>
      <c r="CM68" s="60">
        <f>SUM(CM69:CM76)</f>
        <v/>
      </c>
      <c r="CN68" s="60">
        <f>SUM(CN69:CN76)</f>
        <v/>
      </c>
      <c r="CO68" s="60">
        <f>SUM(CO69:CO76)</f>
        <v/>
      </c>
      <c r="CP68" s="60">
        <f>SUM(CP69:CP76)</f>
        <v/>
      </c>
      <c r="CQ68" s="60">
        <f>SUM(CQ69:CQ76)</f>
        <v/>
      </c>
      <c r="CR68" s="60">
        <f>SUM(CR69:CR76)</f>
        <v/>
      </c>
      <c r="CS68" s="60">
        <f>SUM(CS69:CS76)</f>
        <v/>
      </c>
      <c r="CT68" s="60">
        <f>SUM(CT69:CT76)</f>
        <v/>
      </c>
      <c r="CU68" s="60">
        <f>SUM(CU69:CU76)</f>
        <v/>
      </c>
      <c r="CV68" s="60">
        <f>SUM(CV69:CV76)</f>
        <v/>
      </c>
      <c r="CW68" s="60">
        <f>SUM(CW69:CW76)</f>
        <v/>
      </c>
      <c r="CX68" s="60">
        <f>SUM(CX69:CX76)</f>
        <v/>
      </c>
    </row>
    <row r="69" outlineLevel="2" ht="15.75" customHeight="1" s="255">
      <c r="A69" s="134">
        <f>Projections!A82</f>
        <v/>
      </c>
      <c r="B69" s="56" t="n"/>
      <c r="C69" s="56" t="n"/>
      <c r="D69" s="56" t="n"/>
      <c r="E69" s="56">
        <f>IF(E$2&gt;=Projections!$D82,Projections!$B82,0)</f>
        <v/>
      </c>
      <c r="F69" s="56">
        <f>IF(F$2&gt;=Projections!$D82,Projections!$B82,0)</f>
        <v/>
      </c>
      <c r="G69" s="56">
        <f>IF(G$2&gt;=Projections!$D82,Projections!$B82,0)</f>
        <v/>
      </c>
      <c r="H69" s="56">
        <f>IF(H$2&gt;=Projections!$D82,Projections!$B82,0)</f>
        <v/>
      </c>
      <c r="I69" s="56">
        <f>IF(I$2&gt;=Projections!$D82,Projections!$B82,0)</f>
        <v/>
      </c>
      <c r="J69" s="56">
        <f>IF(J$2&gt;=Projections!$D82,Projections!$B82,0)</f>
        <v/>
      </c>
      <c r="K69" s="56">
        <f>IF(K$2&gt;=Projections!$D82,Projections!$B82,0)</f>
        <v/>
      </c>
      <c r="L69" s="56">
        <f>IF(L$2&gt;=Projections!$D82,Projections!$B82,0)</f>
        <v/>
      </c>
      <c r="M69" s="56">
        <f>IF(M$2&gt;=Projections!$D82,Projections!$B82,0)</f>
        <v/>
      </c>
      <c r="N69" s="56">
        <f>IF(N$2&gt;=Projections!$D82,Projections!$B82,0)</f>
        <v/>
      </c>
      <c r="O69" s="56">
        <f>IF(O$2&gt;=Projections!$D82,Projections!$B82,0)</f>
        <v/>
      </c>
      <c r="P69" s="56">
        <f>IF(P$2&gt;=Projections!$D82,Projections!$B82,0)</f>
        <v/>
      </c>
      <c r="Q69" s="56">
        <f>IF(Q$2&gt;=Projections!$D82,Projections!$B82,0)</f>
        <v/>
      </c>
      <c r="R69" s="56">
        <f>IF(R$2&gt;=Projections!$D82,Projections!$B82,0)</f>
        <v/>
      </c>
      <c r="S69" s="56">
        <f>IF(S$2&gt;=Projections!$D82,Projections!$B82,0)</f>
        <v/>
      </c>
      <c r="T69" s="56">
        <f>IF(T$2&gt;=Projections!$D82,Projections!$B82,0)</f>
        <v/>
      </c>
      <c r="U69" s="56">
        <f>IF(U$2&gt;=Projections!$D82,Projections!$B82,0)</f>
        <v/>
      </c>
      <c r="V69" s="56">
        <f>IF(V$2&gt;=Projections!$D82,Projections!$B82,0)</f>
        <v/>
      </c>
      <c r="W69" s="56">
        <f>IF(W$2&gt;=Projections!$D82,Projections!$B82,0)</f>
        <v/>
      </c>
      <c r="X69" s="56">
        <f>IF(X$2&gt;=Projections!$D82,Projections!$B82,0)</f>
        <v/>
      </c>
      <c r="Y69" s="56">
        <f>IF(Y$2&gt;=Projections!$D82,Projections!$B82,0)</f>
        <v/>
      </c>
      <c r="Z69" s="56">
        <f>IF(Z$2&gt;=Projections!$D82,Projections!$B82,0)</f>
        <v/>
      </c>
      <c r="AA69" s="56">
        <f>IF(AA$2&gt;=Projections!$D82,Projections!$B82,0)</f>
        <v/>
      </c>
      <c r="AB69" s="56">
        <f>IF(AB$2&gt;=Projections!$D82,Projections!$B82,0)</f>
        <v/>
      </c>
      <c r="AC69" s="56">
        <f>IF(AC$2&gt;=Projections!$D82,Projections!$B82,0)</f>
        <v/>
      </c>
      <c r="AD69" s="56">
        <f>IF(AD$2&gt;=Projections!$D82,Projections!$B82,0)</f>
        <v/>
      </c>
      <c r="AE69" s="56">
        <f>IF(AE$2&gt;=Projections!$D82,Projections!$B82,0)</f>
        <v/>
      </c>
      <c r="AF69" s="56">
        <f>IF(AF$2&gt;=Projections!$D82,Projections!$B82,0)</f>
        <v/>
      </c>
      <c r="AG69" s="56">
        <f>IF(AG$2&gt;=Projections!$D82,Projections!$B82,0)</f>
        <v/>
      </c>
      <c r="AH69" s="56">
        <f>IF(AH$2&gt;=Projections!$D82,Projections!$B82,0)</f>
        <v/>
      </c>
      <c r="AI69" s="56">
        <f>IF(AI$2&gt;=Projections!$D82,Projections!$B82,0)</f>
        <v/>
      </c>
      <c r="AJ69" s="56">
        <f>IF(AJ$2&gt;=Projections!$D82,Projections!$B82,0)</f>
        <v/>
      </c>
      <c r="AK69" s="56">
        <f>IF(AK$2&gt;=Projections!$D82,Projections!$B82,0)</f>
        <v/>
      </c>
      <c r="AL69" s="56">
        <f>IF(AL$2&gt;=Projections!$D82,Projections!$B82,0)</f>
        <v/>
      </c>
      <c r="AM69" s="56">
        <f>IF(AM$2&gt;=Projections!$D82,Projections!$B82,0)</f>
        <v/>
      </c>
      <c r="AN69" s="56">
        <f>IF(AN$2&gt;=Projections!$D82,Projections!$B82,0)</f>
        <v/>
      </c>
      <c r="AO69" s="56">
        <f>IF(AO$2&gt;=Projections!$D82,Projections!$B82,0)</f>
        <v/>
      </c>
      <c r="AP69" s="56">
        <f>IF(AP$2&gt;=Projections!$D82,Projections!$B82,0)</f>
        <v/>
      </c>
      <c r="AQ69" s="56">
        <f>IF(AQ$2&gt;=Projections!$D82,Projections!$B82,0)</f>
        <v/>
      </c>
      <c r="AR69" s="56">
        <f>IF(AR$2&gt;=Projections!$D82,Projections!$B82,0)</f>
        <v/>
      </c>
      <c r="AS69" s="56">
        <f>IF(AS$2&gt;=Projections!$D82,Projections!$B82,0)</f>
        <v/>
      </c>
      <c r="AT69" s="56">
        <f>IF(AT$2&gt;=Projections!$D82,Projections!$B82,0)</f>
        <v/>
      </c>
      <c r="AU69" s="56">
        <f>IF(AU$2&gt;=Projections!$D82,Projections!$B82,0)</f>
        <v/>
      </c>
      <c r="AV69" s="56">
        <f>IF(AV$2&gt;=Projections!$D82,Projections!$B82,0)</f>
        <v/>
      </c>
      <c r="AW69" s="56">
        <f>IF(AW$2&gt;=Projections!$D82,Projections!$B82,0)</f>
        <v/>
      </c>
      <c r="AX69" s="56">
        <f>IF(AX$2&gt;=Projections!$D82,Projections!$B82,0)</f>
        <v/>
      </c>
      <c r="AY69" s="56">
        <f>IF(AY$2&gt;=Projections!$D82,Projections!$B82,0)</f>
        <v/>
      </c>
      <c r="AZ69" s="56">
        <f>IF(AZ$2&gt;=Projections!$D82,Projections!$B82,0)</f>
        <v/>
      </c>
      <c r="BA69" s="56">
        <f>IF(BA$2&gt;=Projections!$D82,Projections!$B82,0)</f>
        <v/>
      </c>
      <c r="BB69" s="56">
        <f>IF(BB$2&gt;=Projections!$D82,Projections!$B82,0)</f>
        <v/>
      </c>
      <c r="BC69" s="56">
        <f>IF(BC$2&gt;=Projections!$D82,Projections!$B82,0)</f>
        <v/>
      </c>
      <c r="BD69" s="56">
        <f>IF(BD$2&gt;=Projections!$D82,Projections!$B82,0)</f>
        <v/>
      </c>
      <c r="BE69" s="56">
        <f>IF(BE$2&gt;=Projections!$D82,Projections!$B82,0)</f>
        <v/>
      </c>
      <c r="BF69" s="56">
        <f>IF(BF$2&gt;=Projections!$D82,Projections!$B82,0)</f>
        <v/>
      </c>
      <c r="BG69" s="56">
        <f>IF(BG$2&gt;=Projections!$D82,Projections!$B82,0)</f>
        <v/>
      </c>
      <c r="BH69" s="56">
        <f>IF(BH$2&gt;=Projections!$D82,Projections!$B82,0)</f>
        <v/>
      </c>
      <c r="BI69" s="56">
        <f>IF(BI$2&gt;=Projections!$D82,Projections!$B82,0)</f>
        <v/>
      </c>
      <c r="BJ69" s="56">
        <f>IF(BJ$2&gt;=Projections!$D82,Projections!$B82,0)</f>
        <v/>
      </c>
      <c r="BK69" s="56">
        <f>IF(BK$2&gt;=Projections!$D82,Projections!$B82,0)</f>
        <v/>
      </c>
      <c r="BL69" s="56">
        <f>IF(BL$2&gt;=Projections!$D82,Projections!$B82,0)</f>
        <v/>
      </c>
      <c r="BM69" s="56">
        <f>IF(BM$2&gt;=Projections!$D82,Projections!$B82,0)</f>
        <v/>
      </c>
      <c r="BN69" s="56">
        <f>IF(BN$2&gt;=Projections!$D82,Projections!$B82,0)</f>
        <v/>
      </c>
      <c r="BO69" s="56">
        <f>IF(BO$2&gt;=Projections!$D82,Projections!$B82,0)</f>
        <v/>
      </c>
      <c r="BP69" s="56">
        <f>IF(BP$2&gt;=Projections!$D82,Projections!$B82,0)</f>
        <v/>
      </c>
      <c r="BQ69" s="56">
        <f>IF(BQ$2&gt;=Projections!$D82,Projections!$B82,0)</f>
        <v/>
      </c>
      <c r="BR69" s="56">
        <f>IF(BR$2&gt;=Projections!$D82,Projections!$B82,0)</f>
        <v/>
      </c>
      <c r="BS69" s="56">
        <f>IF(BS$2&gt;=Projections!$D82,Projections!$B82,0)</f>
        <v/>
      </c>
      <c r="BT69" s="56">
        <f>IF(BT$2&gt;=Projections!$D82,Projections!$B82,0)</f>
        <v/>
      </c>
      <c r="BU69" s="56">
        <f>IF(BU$2&gt;=Projections!$D82,Projections!$B82,0)</f>
        <v/>
      </c>
      <c r="BV69" s="56">
        <f>IF(BV$2&gt;=Projections!$D82,Projections!$B82,0)</f>
        <v/>
      </c>
      <c r="BW69" s="56">
        <f>IF(BW$2&gt;=Projections!$D82,Projections!$B82,0)</f>
        <v/>
      </c>
      <c r="BX69" s="56">
        <f>IF(BX$2&gt;=Projections!$D82,Projections!$B82,0)</f>
        <v/>
      </c>
      <c r="BY69" s="56">
        <f>IF(BY$2&gt;=Projections!$D82,Projections!$B82,0)</f>
        <v/>
      </c>
      <c r="BZ69" s="56">
        <f>IF(BZ$2&gt;=Projections!$D82,Projections!$B82,0)</f>
        <v/>
      </c>
      <c r="CA69" s="56">
        <f>IF(CA$2&gt;=Projections!$D82,Projections!$B82,0)</f>
        <v/>
      </c>
      <c r="CB69" s="56">
        <f>IF(CB$2&gt;=Projections!$D82,Projections!$B82,0)</f>
        <v/>
      </c>
      <c r="CC69" s="56">
        <f>IF(CC$2&gt;=Projections!$D82,Projections!$B82,0)</f>
        <v/>
      </c>
      <c r="CD69" s="56">
        <f>IF(CD$2&gt;=Projections!$D82,Projections!$B82,0)</f>
        <v/>
      </c>
      <c r="CE69" s="56">
        <f>IF(CE$2&gt;=Projections!$D82,Projections!$B82,0)</f>
        <v/>
      </c>
      <c r="CF69" s="56">
        <f>IF(CF$2&gt;=Projections!$D82,Projections!$B82,0)</f>
        <v/>
      </c>
      <c r="CG69" s="56">
        <f>IF(CG$2&gt;=Projections!$D82,Projections!$B82,0)</f>
        <v/>
      </c>
      <c r="CH69" s="56">
        <f>IF(CH$2&gt;=Projections!$D82,Projections!$B82,0)</f>
        <v/>
      </c>
      <c r="CI69" s="56">
        <f>IF(CI$2&gt;=Projections!$D82,Projections!$B82,0)</f>
        <v/>
      </c>
      <c r="CJ69" s="56">
        <f>IF(CJ$2&gt;=Projections!$D82,Projections!$B82,0)</f>
        <v/>
      </c>
      <c r="CK69" s="56">
        <f>IF(CK$2&gt;=Projections!$D82,Projections!$B82,0)</f>
        <v/>
      </c>
      <c r="CL69" s="56">
        <f>IF(CL$2&gt;=Projections!$D82,Projections!$B82,0)</f>
        <v/>
      </c>
      <c r="CM69" s="56">
        <f>IF(CM$2&gt;=Projections!$D82,Projections!$B82,0)</f>
        <v/>
      </c>
      <c r="CN69" s="56">
        <f>IF(CN$2&gt;=Projections!$D82,Projections!$B82,0)</f>
        <v/>
      </c>
      <c r="CO69" s="56">
        <f>IF(CO$2&gt;=Projections!$D82,Projections!$B82,0)</f>
        <v/>
      </c>
      <c r="CP69" s="56">
        <f>IF(CP$2&gt;=Projections!$D82,Projections!$B82,0)</f>
        <v/>
      </c>
      <c r="CQ69" s="56">
        <f>IF(CQ$2&gt;=Projections!$D82,Projections!$B82,0)</f>
        <v/>
      </c>
      <c r="CR69" s="56">
        <f>IF(CR$2&gt;=Projections!$D82,Projections!$B82,0)</f>
        <v/>
      </c>
      <c r="CS69" s="56">
        <f>IF(CS$2&gt;=Projections!$D82,Projections!$B82,0)</f>
        <v/>
      </c>
      <c r="CT69" s="56">
        <f>IF(CT$2&gt;=Projections!$D82,Projections!$B82,0)</f>
        <v/>
      </c>
      <c r="CU69" s="56">
        <f>IF(CU$2&gt;=Projections!$D82,Projections!$B82,0)</f>
        <v/>
      </c>
      <c r="CV69" s="56">
        <f>IF(CV$2&gt;=Projections!$D82,Projections!$B82,0)</f>
        <v/>
      </c>
      <c r="CW69" s="56">
        <f>IF(CW$2&gt;=Projections!$D82,Projections!$B82,0)</f>
        <v/>
      </c>
      <c r="CX69" s="56">
        <f>IF(CX$2&gt;=Projections!$D82,Projections!$B82,0)</f>
        <v/>
      </c>
    </row>
    <row r="70" outlineLevel="2" ht="15.75" customHeight="1" s="255">
      <c r="A70" s="134">
        <f>Projections!A83</f>
        <v/>
      </c>
      <c r="B70" s="56" t="n"/>
      <c r="C70" s="56" t="n"/>
      <c r="D70" s="56" t="n"/>
      <c r="E70" s="56">
        <f>IF(E$2&gt;=Projections!$D83,Projections!$B83,0)</f>
        <v/>
      </c>
      <c r="F70" s="56">
        <f>IF(F$2&gt;=Projections!$D83,Projections!$B83,0)</f>
        <v/>
      </c>
      <c r="G70" s="56">
        <f>IF(G$2&gt;=Projections!$D83,Projections!$B83,0)</f>
        <v/>
      </c>
      <c r="H70" s="56">
        <f>IF(H$2&gt;=Projections!$D83,Projections!$B83,0)</f>
        <v/>
      </c>
      <c r="I70" s="56">
        <f>IF(I$2&gt;=Projections!$D83,Projections!$B83,0)</f>
        <v/>
      </c>
      <c r="J70" s="56">
        <f>IF(J$2&gt;=Projections!$D83,Projections!$B83,0)</f>
        <v/>
      </c>
      <c r="K70" s="56">
        <f>IF(K$2&gt;=Projections!$D83,Projections!$B83,0)</f>
        <v/>
      </c>
      <c r="L70" s="56">
        <f>IF(L$2&gt;=Projections!$D83,Projections!$B83,0)</f>
        <v/>
      </c>
      <c r="M70" s="56">
        <f>IF(M$2&gt;=Projections!$D83,Projections!$B83,0)</f>
        <v/>
      </c>
      <c r="N70" s="56">
        <f>IF(N$2&gt;=Projections!$D83,Projections!$B83,0)</f>
        <v/>
      </c>
      <c r="O70" s="56">
        <f>IF(O$2&gt;=Projections!$D83,Projections!$B83,0)</f>
        <v/>
      </c>
      <c r="P70" s="56">
        <f>IF(P$2&gt;=Projections!$D83,Projections!$B83,0)</f>
        <v/>
      </c>
      <c r="Q70" s="56">
        <f>IF(Q$2&gt;=Projections!$D83,Projections!$B83,0)</f>
        <v/>
      </c>
      <c r="R70" s="56">
        <f>IF(R$2&gt;=Projections!$D83,Projections!$B83,0)</f>
        <v/>
      </c>
      <c r="S70" s="56">
        <f>IF(S$2&gt;=Projections!$D83,Projections!$B83,0)</f>
        <v/>
      </c>
      <c r="T70" s="56">
        <f>IF(T$2&gt;=Projections!$D83,Projections!$B83,0)</f>
        <v/>
      </c>
      <c r="U70" s="56">
        <f>IF(U$2&gt;=Projections!$D83,Projections!$B83,0)</f>
        <v/>
      </c>
      <c r="V70" s="56">
        <f>IF(V$2&gt;=Projections!$D83,Projections!$B83,0)</f>
        <v/>
      </c>
      <c r="W70" s="56">
        <f>IF(W$2&gt;=Projections!$D83,Projections!$B83,0)</f>
        <v/>
      </c>
      <c r="X70" s="56">
        <f>IF(X$2&gt;=Projections!$D83,Projections!$B83,0)</f>
        <v/>
      </c>
      <c r="Y70" s="56">
        <f>IF(Y$2&gt;=Projections!$D83,Projections!$B83,0)</f>
        <v/>
      </c>
      <c r="Z70" s="56">
        <f>IF(Z$2&gt;=Projections!$D83,Projections!$B83,0)</f>
        <v/>
      </c>
      <c r="AA70" s="56">
        <f>IF(AA$2&gt;=Projections!$D83,Projections!$B83,0)</f>
        <v/>
      </c>
      <c r="AB70" s="56">
        <f>IF(AB$2&gt;=Projections!$D83,Projections!$B83,0)</f>
        <v/>
      </c>
      <c r="AC70" s="56">
        <f>IF(AC$2&gt;=Projections!$D83,Projections!$B83,0)</f>
        <v/>
      </c>
      <c r="AD70" s="56">
        <f>IF(AD$2&gt;=Projections!$D83,Projections!$B83,0)</f>
        <v/>
      </c>
      <c r="AE70" s="56">
        <f>IF(AE$2&gt;=Projections!$D83,Projections!$B83,0)</f>
        <v/>
      </c>
      <c r="AF70" s="56">
        <f>IF(AF$2&gt;=Projections!$D83,Projections!$B83,0)</f>
        <v/>
      </c>
      <c r="AG70" s="56">
        <f>IF(AG$2&gt;=Projections!$D83,Projections!$B83,0)</f>
        <v/>
      </c>
      <c r="AH70" s="56">
        <f>IF(AH$2&gt;=Projections!$D83,Projections!$B83,0)</f>
        <v/>
      </c>
      <c r="AI70" s="56">
        <f>IF(AI$2&gt;=Projections!$D83,Projections!$B83,0)</f>
        <v/>
      </c>
      <c r="AJ70" s="56">
        <f>IF(AJ$2&gt;=Projections!$D83,Projections!$B83,0)</f>
        <v/>
      </c>
      <c r="AK70" s="56">
        <f>IF(AK$2&gt;=Projections!$D83,Projections!$B83,0)</f>
        <v/>
      </c>
      <c r="AL70" s="56">
        <f>IF(AL$2&gt;=Projections!$D83,Projections!$B83,0)</f>
        <v/>
      </c>
      <c r="AM70" s="56">
        <f>IF(AM$2&gt;=Projections!$D83,Projections!$B83,0)</f>
        <v/>
      </c>
      <c r="AN70" s="56">
        <f>IF(AN$2&gt;=Projections!$D83,Projections!$B83,0)</f>
        <v/>
      </c>
      <c r="AO70" s="56">
        <f>IF(AO$2&gt;=Projections!$D83,Projections!$B83,0)</f>
        <v/>
      </c>
      <c r="AP70" s="56">
        <f>IF(AP$2&gt;=Projections!$D83,Projections!$B83,0)</f>
        <v/>
      </c>
      <c r="AQ70" s="56">
        <f>IF(AQ$2&gt;=Projections!$D83,Projections!$B83,0)</f>
        <v/>
      </c>
      <c r="AR70" s="56">
        <f>IF(AR$2&gt;=Projections!$D83,Projections!$B83,0)</f>
        <v/>
      </c>
      <c r="AS70" s="56">
        <f>IF(AS$2&gt;=Projections!$D83,Projections!$B83,0)</f>
        <v/>
      </c>
      <c r="AT70" s="56">
        <f>IF(AT$2&gt;=Projections!$D83,Projections!$B83,0)</f>
        <v/>
      </c>
      <c r="AU70" s="56">
        <f>IF(AU$2&gt;=Projections!$D83,Projections!$B83,0)</f>
        <v/>
      </c>
      <c r="AV70" s="56">
        <f>IF(AV$2&gt;=Projections!$D83,Projections!$B83,0)</f>
        <v/>
      </c>
      <c r="AW70" s="56">
        <f>IF(AW$2&gt;=Projections!$D83,Projections!$B83,0)</f>
        <v/>
      </c>
      <c r="AX70" s="56">
        <f>IF(AX$2&gt;=Projections!$D83,Projections!$B83,0)</f>
        <v/>
      </c>
      <c r="AY70" s="56">
        <f>IF(AY$2&gt;=Projections!$D83,Projections!$B83,0)</f>
        <v/>
      </c>
      <c r="AZ70" s="56">
        <f>IF(AZ$2&gt;=Projections!$D83,Projections!$B83,0)</f>
        <v/>
      </c>
      <c r="BA70" s="56">
        <f>IF(BA$2&gt;=Projections!$D83,Projections!$B83,0)</f>
        <v/>
      </c>
      <c r="BB70" s="56">
        <f>IF(BB$2&gt;=Projections!$D83,Projections!$B83,0)</f>
        <v/>
      </c>
      <c r="BC70" s="56">
        <f>IF(BC$2&gt;=Projections!$D83,Projections!$B83,0)</f>
        <v/>
      </c>
      <c r="BD70" s="56">
        <f>IF(BD$2&gt;=Projections!$D83,Projections!$B83,0)</f>
        <v/>
      </c>
      <c r="BE70" s="56">
        <f>IF(BE$2&gt;=Projections!$D83,Projections!$B83,0)</f>
        <v/>
      </c>
      <c r="BF70" s="56">
        <f>IF(BF$2&gt;=Projections!$D83,Projections!$B83,0)</f>
        <v/>
      </c>
      <c r="BG70" s="56">
        <f>IF(BG$2&gt;=Projections!$D83,Projections!$B83,0)</f>
        <v/>
      </c>
      <c r="BH70" s="56">
        <f>IF(BH$2&gt;=Projections!$D83,Projections!$B83,0)</f>
        <v/>
      </c>
      <c r="BI70" s="56">
        <f>IF(BI$2&gt;=Projections!$D83,Projections!$B83,0)</f>
        <v/>
      </c>
      <c r="BJ70" s="56">
        <f>IF(BJ$2&gt;=Projections!$D83,Projections!$B83,0)</f>
        <v/>
      </c>
      <c r="BK70" s="56">
        <f>IF(BK$2&gt;=Projections!$D83,Projections!$B83,0)</f>
        <v/>
      </c>
      <c r="BL70" s="56">
        <f>IF(BL$2&gt;=Projections!$D83,Projections!$B83,0)</f>
        <v/>
      </c>
      <c r="BM70" s="56">
        <f>IF(BM$2&gt;=Projections!$D83,Projections!$B83,0)</f>
        <v/>
      </c>
      <c r="BN70" s="56">
        <f>IF(BN$2&gt;=Projections!$D83,Projections!$B83,0)</f>
        <v/>
      </c>
      <c r="BO70" s="56">
        <f>IF(BO$2&gt;=Projections!$D83,Projections!$B83,0)</f>
        <v/>
      </c>
      <c r="BP70" s="56">
        <f>IF(BP$2&gt;=Projections!$D83,Projections!$B83,0)</f>
        <v/>
      </c>
      <c r="BQ70" s="56">
        <f>IF(BQ$2&gt;=Projections!$D83,Projections!$B83,0)</f>
        <v/>
      </c>
      <c r="BR70" s="56">
        <f>IF(BR$2&gt;=Projections!$D83,Projections!$B83,0)</f>
        <v/>
      </c>
      <c r="BS70" s="56">
        <f>IF(BS$2&gt;=Projections!$D83,Projections!$B83,0)</f>
        <v/>
      </c>
      <c r="BT70" s="56">
        <f>IF(BT$2&gt;=Projections!$D83,Projections!$B83,0)</f>
        <v/>
      </c>
      <c r="BU70" s="56">
        <f>IF(BU$2&gt;=Projections!$D83,Projections!$B83,0)</f>
        <v/>
      </c>
      <c r="BV70" s="56">
        <f>IF(BV$2&gt;=Projections!$D83,Projections!$B83,0)</f>
        <v/>
      </c>
      <c r="BW70" s="56">
        <f>IF(BW$2&gt;=Projections!$D83,Projections!$B83,0)</f>
        <v/>
      </c>
      <c r="BX70" s="56">
        <f>IF(BX$2&gt;=Projections!$D83,Projections!$B83,0)</f>
        <v/>
      </c>
      <c r="BY70" s="56">
        <f>IF(BY$2&gt;=Projections!$D83,Projections!$B83,0)</f>
        <v/>
      </c>
      <c r="BZ70" s="56">
        <f>IF(BZ$2&gt;=Projections!$D83,Projections!$B83,0)</f>
        <v/>
      </c>
      <c r="CA70" s="56">
        <f>IF(CA$2&gt;=Projections!$D83,Projections!$B83,0)</f>
        <v/>
      </c>
      <c r="CB70" s="56">
        <f>IF(CB$2&gt;=Projections!$D83,Projections!$B83,0)</f>
        <v/>
      </c>
      <c r="CC70" s="56">
        <f>IF(CC$2&gt;=Projections!$D83,Projections!$B83,0)</f>
        <v/>
      </c>
      <c r="CD70" s="56">
        <f>IF(CD$2&gt;=Projections!$D83,Projections!$B83,0)</f>
        <v/>
      </c>
      <c r="CE70" s="56">
        <f>IF(CE$2&gt;=Projections!$D83,Projections!$B83,0)</f>
        <v/>
      </c>
      <c r="CF70" s="56">
        <f>IF(CF$2&gt;=Projections!$D83,Projections!$B83,0)</f>
        <v/>
      </c>
      <c r="CG70" s="56">
        <f>IF(CG$2&gt;=Projections!$D83,Projections!$B83,0)</f>
        <v/>
      </c>
      <c r="CH70" s="56">
        <f>IF(CH$2&gt;=Projections!$D83,Projections!$B83,0)</f>
        <v/>
      </c>
      <c r="CI70" s="56">
        <f>IF(CI$2&gt;=Projections!$D83,Projections!$B83,0)</f>
        <v/>
      </c>
      <c r="CJ70" s="56">
        <f>IF(CJ$2&gt;=Projections!$D83,Projections!$B83,0)</f>
        <v/>
      </c>
      <c r="CK70" s="56">
        <f>IF(CK$2&gt;=Projections!$D83,Projections!$B83,0)</f>
        <v/>
      </c>
      <c r="CL70" s="56">
        <f>IF(CL$2&gt;=Projections!$D83,Projections!$B83,0)</f>
        <v/>
      </c>
      <c r="CM70" s="56">
        <f>IF(CM$2&gt;=Projections!$D83,Projections!$B83,0)</f>
        <v/>
      </c>
      <c r="CN70" s="56">
        <f>IF(CN$2&gt;=Projections!$D83,Projections!$B83,0)</f>
        <v/>
      </c>
      <c r="CO70" s="56">
        <f>IF(CO$2&gt;=Projections!$D83,Projections!$B83,0)</f>
        <v/>
      </c>
      <c r="CP70" s="56">
        <f>IF(CP$2&gt;=Projections!$D83,Projections!$B83,0)</f>
        <v/>
      </c>
      <c r="CQ70" s="56">
        <f>IF(CQ$2&gt;=Projections!$D83,Projections!$B83,0)</f>
        <v/>
      </c>
      <c r="CR70" s="56">
        <f>IF(CR$2&gt;=Projections!$D83,Projections!$B83,0)</f>
        <v/>
      </c>
      <c r="CS70" s="56">
        <f>IF(CS$2&gt;=Projections!$D83,Projections!$B83,0)</f>
        <v/>
      </c>
      <c r="CT70" s="56">
        <f>IF(CT$2&gt;=Projections!$D83,Projections!$B83,0)</f>
        <v/>
      </c>
      <c r="CU70" s="56">
        <f>IF(CU$2&gt;=Projections!$D83,Projections!$B83,0)</f>
        <v/>
      </c>
      <c r="CV70" s="56">
        <f>IF(CV$2&gt;=Projections!$D83,Projections!$B83,0)</f>
        <v/>
      </c>
      <c r="CW70" s="56">
        <f>IF(CW$2&gt;=Projections!$D83,Projections!$B83,0)</f>
        <v/>
      </c>
      <c r="CX70" s="56">
        <f>IF(CX$2&gt;=Projections!$D83,Projections!$B83,0)</f>
        <v/>
      </c>
    </row>
    <row r="71" outlineLevel="2" ht="15.75" customHeight="1" s="255">
      <c r="A71" s="134">
        <f>Projections!A84</f>
        <v/>
      </c>
      <c r="B71" s="56" t="n"/>
      <c r="C71" s="56" t="n"/>
      <c r="D71" s="56" t="n"/>
      <c r="E71" s="56">
        <f>IF(E$2&gt;=Projections!$D84,Projections!$B84,0)</f>
        <v/>
      </c>
      <c r="F71" s="56">
        <f>IF(F$2&gt;=Projections!$D84,Projections!$B84,0)</f>
        <v/>
      </c>
      <c r="G71" s="56">
        <f>IF(G$2&gt;=Projections!$D84,Projections!$B84,0)</f>
        <v/>
      </c>
      <c r="H71" s="56">
        <f>IF(H$2&gt;=Projections!$D84,Projections!$B84,0)</f>
        <v/>
      </c>
      <c r="I71" s="56">
        <f>IF(I$2&gt;=Projections!$D84,Projections!$B84,0)</f>
        <v/>
      </c>
      <c r="J71" s="56">
        <f>IF(J$2&gt;=Projections!$D84,Projections!$B84,0)</f>
        <v/>
      </c>
      <c r="K71" s="56">
        <f>IF(K$2&gt;=Projections!$D84,Projections!$B84,0)</f>
        <v/>
      </c>
      <c r="L71" s="56">
        <f>IF(L$2&gt;=Projections!$D84,Projections!$B84,0)</f>
        <v/>
      </c>
      <c r="M71" s="56">
        <f>IF(M$2&gt;=Projections!$D84,Projections!$B84,0)</f>
        <v/>
      </c>
      <c r="N71" s="56">
        <f>IF(N$2&gt;=Projections!$D84,Projections!$B84,0)</f>
        <v/>
      </c>
      <c r="O71" s="56">
        <f>IF(O$2&gt;=Projections!$D84,Projections!$B84,0)</f>
        <v/>
      </c>
      <c r="P71" s="56">
        <f>IF(P$2&gt;=Projections!$D84,Projections!$B84,0)</f>
        <v/>
      </c>
      <c r="Q71" s="56">
        <f>IF(Q$2&gt;=Projections!$D84,Projections!$B84,0)</f>
        <v/>
      </c>
      <c r="R71" s="56">
        <f>IF(R$2&gt;=Projections!$D84,Projections!$B84,0)</f>
        <v/>
      </c>
      <c r="S71" s="56">
        <f>IF(S$2&gt;=Projections!$D84,Projections!$B84,0)</f>
        <v/>
      </c>
      <c r="T71" s="56">
        <f>IF(T$2&gt;=Projections!$D84,Projections!$B84,0)</f>
        <v/>
      </c>
      <c r="U71" s="56">
        <f>IF(U$2&gt;=Projections!$D84,Projections!$B84,0)</f>
        <v/>
      </c>
      <c r="V71" s="56">
        <f>IF(V$2&gt;=Projections!$D84,Projections!$B84,0)</f>
        <v/>
      </c>
      <c r="W71" s="56">
        <f>IF(W$2&gt;=Projections!$D84,Projections!$B84,0)</f>
        <v/>
      </c>
      <c r="X71" s="56">
        <f>IF(X$2&gt;=Projections!$D84,Projections!$B84,0)</f>
        <v/>
      </c>
      <c r="Y71" s="56">
        <f>IF(Y$2&gt;=Projections!$D84,Projections!$B84,0)</f>
        <v/>
      </c>
      <c r="Z71" s="56">
        <f>IF(Z$2&gt;=Projections!$D84,Projections!$B84,0)</f>
        <v/>
      </c>
      <c r="AA71" s="56">
        <f>IF(AA$2&gt;=Projections!$D84,Projections!$B84,0)</f>
        <v/>
      </c>
      <c r="AB71" s="56">
        <f>IF(AB$2&gt;=Projections!$D84,Projections!$B84,0)</f>
        <v/>
      </c>
      <c r="AC71" s="56">
        <f>IF(AC$2&gt;=Projections!$D84,Projections!$B84,0)</f>
        <v/>
      </c>
      <c r="AD71" s="56">
        <f>IF(AD$2&gt;=Projections!$D84,Projections!$B84,0)</f>
        <v/>
      </c>
      <c r="AE71" s="56">
        <f>IF(AE$2&gt;=Projections!$D84,Projections!$B84,0)</f>
        <v/>
      </c>
      <c r="AF71" s="56">
        <f>IF(AF$2&gt;=Projections!$D84,Projections!$B84,0)</f>
        <v/>
      </c>
      <c r="AG71" s="56">
        <f>IF(AG$2&gt;=Projections!$D84,Projections!$B84,0)</f>
        <v/>
      </c>
      <c r="AH71" s="56">
        <f>IF(AH$2&gt;=Projections!$D84,Projections!$B84,0)</f>
        <v/>
      </c>
      <c r="AI71" s="56">
        <f>IF(AI$2&gt;=Projections!$D84,Projections!$B84,0)</f>
        <v/>
      </c>
      <c r="AJ71" s="56">
        <f>IF(AJ$2&gt;=Projections!$D84,Projections!$B84,0)</f>
        <v/>
      </c>
      <c r="AK71" s="56">
        <f>IF(AK$2&gt;=Projections!$D84,Projections!$B84,0)</f>
        <v/>
      </c>
      <c r="AL71" s="56">
        <f>IF(AL$2&gt;=Projections!$D84,Projections!$B84,0)</f>
        <v/>
      </c>
      <c r="AM71" s="56">
        <f>IF(AM$2&gt;=Projections!$D84,Projections!$B84,0)</f>
        <v/>
      </c>
      <c r="AN71" s="56">
        <f>IF(AN$2&gt;=Projections!$D84,Projections!$B84,0)</f>
        <v/>
      </c>
      <c r="AO71" s="56">
        <f>IF(AO$2&gt;=Projections!$D84,Projections!$B84,0)</f>
        <v/>
      </c>
      <c r="AP71" s="56">
        <f>IF(AP$2&gt;=Projections!$D84,Projections!$B84,0)</f>
        <v/>
      </c>
      <c r="AQ71" s="56">
        <f>IF(AQ$2&gt;=Projections!$D84,Projections!$B84,0)</f>
        <v/>
      </c>
      <c r="AR71" s="56">
        <f>IF(AR$2&gt;=Projections!$D84,Projections!$B84,0)</f>
        <v/>
      </c>
      <c r="AS71" s="56">
        <f>IF(AS$2&gt;=Projections!$D84,Projections!$B84,0)</f>
        <v/>
      </c>
      <c r="AT71" s="56">
        <f>IF(AT$2&gt;=Projections!$D84,Projections!$B84,0)</f>
        <v/>
      </c>
      <c r="AU71" s="56">
        <f>IF(AU$2&gt;=Projections!$D84,Projections!$B84,0)</f>
        <v/>
      </c>
      <c r="AV71" s="56">
        <f>IF(AV$2&gt;=Projections!$D84,Projections!$B84,0)</f>
        <v/>
      </c>
      <c r="AW71" s="56">
        <f>IF(AW$2&gt;=Projections!$D84,Projections!$B84,0)</f>
        <v/>
      </c>
      <c r="AX71" s="56">
        <f>IF(AX$2&gt;=Projections!$D84,Projections!$B84,0)</f>
        <v/>
      </c>
      <c r="AY71" s="56">
        <f>IF(AY$2&gt;=Projections!$D84,Projections!$B84,0)</f>
        <v/>
      </c>
      <c r="AZ71" s="56">
        <f>IF(AZ$2&gt;=Projections!$D84,Projections!$B84,0)</f>
        <v/>
      </c>
      <c r="BA71" s="56">
        <f>IF(BA$2&gt;=Projections!$D84,Projections!$B84,0)</f>
        <v/>
      </c>
      <c r="BB71" s="56">
        <f>IF(BB$2&gt;=Projections!$D84,Projections!$B84,0)</f>
        <v/>
      </c>
      <c r="BC71" s="56">
        <f>IF(BC$2&gt;=Projections!$D84,Projections!$B84,0)</f>
        <v/>
      </c>
      <c r="BD71" s="56">
        <f>IF(BD$2&gt;=Projections!$D84,Projections!$B84,0)</f>
        <v/>
      </c>
      <c r="BE71" s="56">
        <f>IF(BE$2&gt;=Projections!$D84,Projections!$B84,0)</f>
        <v/>
      </c>
      <c r="BF71" s="56">
        <f>IF(BF$2&gt;=Projections!$D84,Projections!$B84,0)</f>
        <v/>
      </c>
      <c r="BG71" s="56">
        <f>IF(BG$2&gt;=Projections!$D84,Projections!$B84,0)</f>
        <v/>
      </c>
      <c r="BH71" s="56">
        <f>IF(BH$2&gt;=Projections!$D84,Projections!$B84,0)</f>
        <v/>
      </c>
      <c r="BI71" s="56">
        <f>IF(BI$2&gt;=Projections!$D84,Projections!$B84,0)</f>
        <v/>
      </c>
      <c r="BJ71" s="56">
        <f>IF(BJ$2&gt;=Projections!$D84,Projections!$B84,0)</f>
        <v/>
      </c>
      <c r="BK71" s="56">
        <f>IF(BK$2&gt;=Projections!$D84,Projections!$B84,0)</f>
        <v/>
      </c>
      <c r="BL71" s="56">
        <f>IF(BL$2&gt;=Projections!$D84,Projections!$B84,0)</f>
        <v/>
      </c>
      <c r="BM71" s="56">
        <f>IF(BM$2&gt;=Projections!$D84,Projections!$B84,0)</f>
        <v/>
      </c>
      <c r="BN71" s="56">
        <f>IF(BN$2&gt;=Projections!$D84,Projections!$B84,0)</f>
        <v/>
      </c>
      <c r="BO71" s="56">
        <f>IF(BO$2&gt;=Projections!$D84,Projections!$B84,0)</f>
        <v/>
      </c>
      <c r="BP71" s="56">
        <f>IF(BP$2&gt;=Projections!$D84,Projections!$B84,0)</f>
        <v/>
      </c>
      <c r="BQ71" s="56">
        <f>IF(BQ$2&gt;=Projections!$D84,Projections!$B84,0)</f>
        <v/>
      </c>
      <c r="BR71" s="56">
        <f>IF(BR$2&gt;=Projections!$D84,Projections!$B84,0)</f>
        <v/>
      </c>
      <c r="BS71" s="56">
        <f>IF(BS$2&gt;=Projections!$D84,Projections!$B84,0)</f>
        <v/>
      </c>
      <c r="BT71" s="56">
        <f>IF(BT$2&gt;=Projections!$D84,Projections!$B84,0)</f>
        <v/>
      </c>
      <c r="BU71" s="56">
        <f>IF(BU$2&gt;=Projections!$D84,Projections!$B84,0)</f>
        <v/>
      </c>
      <c r="BV71" s="56">
        <f>IF(BV$2&gt;=Projections!$D84,Projections!$B84,0)</f>
        <v/>
      </c>
      <c r="BW71" s="56">
        <f>IF(BW$2&gt;=Projections!$D84,Projections!$B84,0)</f>
        <v/>
      </c>
      <c r="BX71" s="56">
        <f>IF(BX$2&gt;=Projections!$D84,Projections!$B84,0)</f>
        <v/>
      </c>
      <c r="BY71" s="56">
        <f>IF(BY$2&gt;=Projections!$D84,Projections!$B84,0)</f>
        <v/>
      </c>
      <c r="BZ71" s="56">
        <f>IF(BZ$2&gt;=Projections!$D84,Projections!$B84,0)</f>
        <v/>
      </c>
      <c r="CA71" s="56">
        <f>IF(CA$2&gt;=Projections!$D84,Projections!$B84,0)</f>
        <v/>
      </c>
      <c r="CB71" s="56">
        <f>IF(CB$2&gt;=Projections!$D84,Projections!$B84,0)</f>
        <v/>
      </c>
      <c r="CC71" s="56">
        <f>IF(CC$2&gt;=Projections!$D84,Projections!$B84,0)</f>
        <v/>
      </c>
      <c r="CD71" s="56">
        <f>IF(CD$2&gt;=Projections!$D84,Projections!$B84,0)</f>
        <v/>
      </c>
      <c r="CE71" s="56">
        <f>IF(CE$2&gt;=Projections!$D84,Projections!$B84,0)</f>
        <v/>
      </c>
      <c r="CF71" s="56">
        <f>IF(CF$2&gt;=Projections!$D84,Projections!$B84,0)</f>
        <v/>
      </c>
      <c r="CG71" s="56">
        <f>IF(CG$2&gt;=Projections!$D84,Projections!$B84,0)</f>
        <v/>
      </c>
      <c r="CH71" s="56">
        <f>IF(CH$2&gt;=Projections!$D84,Projections!$B84,0)</f>
        <v/>
      </c>
      <c r="CI71" s="56">
        <f>IF(CI$2&gt;=Projections!$D84,Projections!$B84,0)</f>
        <v/>
      </c>
      <c r="CJ71" s="56">
        <f>IF(CJ$2&gt;=Projections!$D84,Projections!$B84,0)</f>
        <v/>
      </c>
      <c r="CK71" s="56">
        <f>IF(CK$2&gt;=Projections!$D84,Projections!$B84,0)</f>
        <v/>
      </c>
      <c r="CL71" s="56">
        <f>IF(CL$2&gt;=Projections!$D84,Projections!$B84,0)</f>
        <v/>
      </c>
      <c r="CM71" s="56">
        <f>IF(CM$2&gt;=Projections!$D84,Projections!$B84,0)</f>
        <v/>
      </c>
      <c r="CN71" s="56">
        <f>IF(CN$2&gt;=Projections!$D84,Projections!$B84,0)</f>
        <v/>
      </c>
      <c r="CO71" s="56">
        <f>IF(CO$2&gt;=Projections!$D84,Projections!$B84,0)</f>
        <v/>
      </c>
      <c r="CP71" s="56">
        <f>IF(CP$2&gt;=Projections!$D84,Projections!$B84,0)</f>
        <v/>
      </c>
      <c r="CQ71" s="56">
        <f>IF(CQ$2&gt;=Projections!$D84,Projections!$B84,0)</f>
        <v/>
      </c>
      <c r="CR71" s="56">
        <f>IF(CR$2&gt;=Projections!$D84,Projections!$B84,0)</f>
        <v/>
      </c>
      <c r="CS71" s="56">
        <f>IF(CS$2&gt;=Projections!$D84,Projections!$B84,0)</f>
        <v/>
      </c>
      <c r="CT71" s="56">
        <f>IF(CT$2&gt;=Projections!$D84,Projections!$B84,0)</f>
        <v/>
      </c>
      <c r="CU71" s="56">
        <f>IF(CU$2&gt;=Projections!$D84,Projections!$B84,0)</f>
        <v/>
      </c>
      <c r="CV71" s="56">
        <f>IF(CV$2&gt;=Projections!$D84,Projections!$B84,0)</f>
        <v/>
      </c>
      <c r="CW71" s="56">
        <f>IF(CW$2&gt;=Projections!$D84,Projections!$B84,0)</f>
        <v/>
      </c>
      <c r="CX71" s="56">
        <f>IF(CX$2&gt;=Projections!$D84,Projections!$B84,0)</f>
        <v/>
      </c>
    </row>
    <row r="72" outlineLevel="2" ht="15.75" customHeight="1" s="255">
      <c r="A72" s="134">
        <f>Projections!A85</f>
        <v/>
      </c>
      <c r="B72" s="56" t="n"/>
      <c r="C72" s="56" t="n"/>
      <c r="D72" s="56" t="n"/>
      <c r="E72" s="56">
        <f>IF(E$2&gt;=Projections!$D85,Projections!$B85,0)</f>
        <v/>
      </c>
      <c r="F72" s="56">
        <f>IF(F$2&gt;=Projections!$D85,Projections!$B85,0)</f>
        <v/>
      </c>
      <c r="G72" s="56">
        <f>IF(G$2&gt;=Projections!$D85,Projections!$B85,0)</f>
        <v/>
      </c>
      <c r="H72" s="56">
        <f>IF(H$2&gt;=Projections!$D85,Projections!$B85,0)</f>
        <v/>
      </c>
      <c r="I72" s="56">
        <f>IF(I$2&gt;=Projections!$D85,Projections!$B85,0)</f>
        <v/>
      </c>
      <c r="J72" s="56">
        <f>IF(J$2&gt;=Projections!$D85,Projections!$B85,0)</f>
        <v/>
      </c>
      <c r="K72" s="56">
        <f>IF(K$2&gt;=Projections!$D85,Projections!$B85,0)</f>
        <v/>
      </c>
      <c r="L72" s="56">
        <f>IF(L$2&gt;=Projections!$D85,Projections!$B85,0)</f>
        <v/>
      </c>
      <c r="M72" s="56">
        <f>IF(M$2&gt;=Projections!$D85,Projections!$B85,0)</f>
        <v/>
      </c>
      <c r="N72" s="56">
        <f>IF(N$2&gt;=Projections!$D85,Projections!$B85,0)</f>
        <v/>
      </c>
      <c r="O72" s="56">
        <f>IF(O$2&gt;=Projections!$D85,Projections!$B85,0)</f>
        <v/>
      </c>
      <c r="P72" s="56">
        <f>IF(P$2&gt;=Projections!$D85,Projections!$B85,0)</f>
        <v/>
      </c>
      <c r="Q72" s="56">
        <f>IF(Q$2&gt;=Projections!$D85,Projections!$B85,0)</f>
        <v/>
      </c>
      <c r="R72" s="56">
        <f>IF(R$2&gt;=Projections!$D85,Projections!$B85,0)</f>
        <v/>
      </c>
      <c r="S72" s="56">
        <f>IF(S$2&gt;=Projections!$D85,Projections!$B85,0)</f>
        <v/>
      </c>
      <c r="T72" s="56">
        <f>IF(T$2&gt;=Projections!$D85,Projections!$B85,0)</f>
        <v/>
      </c>
      <c r="U72" s="56">
        <f>IF(U$2&gt;=Projections!$D85,Projections!$B85,0)</f>
        <v/>
      </c>
      <c r="V72" s="56">
        <f>IF(V$2&gt;=Projections!$D85,Projections!$B85,0)</f>
        <v/>
      </c>
      <c r="W72" s="56">
        <f>IF(W$2&gt;=Projections!$D85,Projections!$B85,0)</f>
        <v/>
      </c>
      <c r="X72" s="56">
        <f>IF(X$2&gt;=Projections!$D85,Projections!$B85,0)</f>
        <v/>
      </c>
      <c r="Y72" s="56">
        <f>IF(Y$2&gt;=Projections!$D85,Projections!$B85,0)</f>
        <v/>
      </c>
      <c r="Z72" s="56">
        <f>IF(Z$2&gt;=Projections!$D85,Projections!$B85,0)</f>
        <v/>
      </c>
      <c r="AA72" s="56">
        <f>IF(AA$2&gt;=Projections!$D85,Projections!$B85,0)</f>
        <v/>
      </c>
      <c r="AB72" s="56">
        <f>IF(AB$2&gt;=Projections!$D85,Projections!$B85,0)</f>
        <v/>
      </c>
      <c r="AC72" s="56">
        <f>IF(AC$2&gt;=Projections!$D85,Projections!$B85,0)</f>
        <v/>
      </c>
      <c r="AD72" s="56">
        <f>IF(AD$2&gt;=Projections!$D85,Projections!$B85,0)</f>
        <v/>
      </c>
      <c r="AE72" s="56">
        <f>IF(AE$2&gt;=Projections!$D85,Projections!$B85,0)</f>
        <v/>
      </c>
      <c r="AF72" s="56">
        <f>IF(AF$2&gt;=Projections!$D85,Projections!$B85,0)</f>
        <v/>
      </c>
      <c r="AG72" s="56">
        <f>IF(AG$2&gt;=Projections!$D85,Projections!$B85,0)</f>
        <v/>
      </c>
      <c r="AH72" s="56">
        <f>IF(AH$2&gt;=Projections!$D85,Projections!$B85,0)</f>
        <v/>
      </c>
      <c r="AI72" s="56">
        <f>IF(AI$2&gt;=Projections!$D85,Projections!$B85,0)</f>
        <v/>
      </c>
      <c r="AJ72" s="56">
        <f>IF(AJ$2&gt;=Projections!$D85,Projections!$B85,0)</f>
        <v/>
      </c>
      <c r="AK72" s="56">
        <f>IF(AK$2&gt;=Projections!$D85,Projections!$B85,0)</f>
        <v/>
      </c>
      <c r="AL72" s="56">
        <f>IF(AL$2&gt;=Projections!$D85,Projections!$B85,0)</f>
        <v/>
      </c>
      <c r="AM72" s="56">
        <f>IF(AM$2&gt;=Projections!$D85,Projections!$B85,0)</f>
        <v/>
      </c>
      <c r="AN72" s="56">
        <f>IF(AN$2&gt;=Projections!$D85,Projections!$B85,0)</f>
        <v/>
      </c>
      <c r="AO72" s="56">
        <f>IF(AO$2&gt;=Projections!$D85,Projections!$B85,0)</f>
        <v/>
      </c>
      <c r="AP72" s="56">
        <f>IF(AP$2&gt;=Projections!$D85,Projections!$B85,0)</f>
        <v/>
      </c>
      <c r="AQ72" s="56">
        <f>IF(AQ$2&gt;=Projections!$D85,Projections!$B85,0)</f>
        <v/>
      </c>
      <c r="AR72" s="56">
        <f>IF(AR$2&gt;=Projections!$D85,Projections!$B85,0)</f>
        <v/>
      </c>
      <c r="AS72" s="56">
        <f>IF(AS$2&gt;=Projections!$D85,Projections!$B85,0)</f>
        <v/>
      </c>
      <c r="AT72" s="56">
        <f>IF(AT$2&gt;=Projections!$D85,Projections!$B85,0)</f>
        <v/>
      </c>
      <c r="AU72" s="56">
        <f>IF(AU$2&gt;=Projections!$D85,Projections!$B85,0)</f>
        <v/>
      </c>
      <c r="AV72" s="56">
        <f>IF(AV$2&gt;=Projections!$D85,Projections!$B85,0)</f>
        <v/>
      </c>
      <c r="AW72" s="56">
        <f>IF(AW$2&gt;=Projections!$D85,Projections!$B85,0)</f>
        <v/>
      </c>
      <c r="AX72" s="56">
        <f>IF(AX$2&gt;=Projections!$D85,Projections!$B85,0)</f>
        <v/>
      </c>
      <c r="AY72" s="56">
        <f>IF(AY$2&gt;=Projections!$D85,Projections!$B85,0)</f>
        <v/>
      </c>
      <c r="AZ72" s="56">
        <f>IF(AZ$2&gt;=Projections!$D85,Projections!$B85,0)</f>
        <v/>
      </c>
      <c r="BA72" s="56">
        <f>IF(BA$2&gt;=Projections!$D85,Projections!$B85,0)</f>
        <v/>
      </c>
      <c r="BB72" s="56">
        <f>IF(BB$2&gt;=Projections!$D85,Projections!$B85,0)</f>
        <v/>
      </c>
      <c r="BC72" s="56">
        <f>IF(BC$2&gt;=Projections!$D85,Projections!$B85,0)</f>
        <v/>
      </c>
      <c r="BD72" s="56">
        <f>IF(BD$2&gt;=Projections!$D85,Projections!$B85,0)</f>
        <v/>
      </c>
      <c r="BE72" s="56">
        <f>IF(BE$2&gt;=Projections!$D85,Projections!$B85,0)</f>
        <v/>
      </c>
      <c r="BF72" s="56">
        <f>IF(BF$2&gt;=Projections!$D85,Projections!$B85,0)</f>
        <v/>
      </c>
      <c r="BG72" s="56">
        <f>IF(BG$2&gt;=Projections!$D85,Projections!$B85,0)</f>
        <v/>
      </c>
      <c r="BH72" s="56">
        <f>IF(BH$2&gt;=Projections!$D85,Projections!$B85,0)</f>
        <v/>
      </c>
      <c r="BI72" s="56">
        <f>IF(BI$2&gt;=Projections!$D85,Projections!$B85,0)</f>
        <v/>
      </c>
      <c r="BJ72" s="56">
        <f>IF(BJ$2&gt;=Projections!$D85,Projections!$B85,0)</f>
        <v/>
      </c>
      <c r="BK72" s="56">
        <f>IF(BK$2&gt;=Projections!$D85,Projections!$B85,0)</f>
        <v/>
      </c>
      <c r="BL72" s="56">
        <f>IF(BL$2&gt;=Projections!$D85,Projections!$B85,0)</f>
        <v/>
      </c>
      <c r="BM72" s="56">
        <f>IF(BM$2&gt;=Projections!$D85,Projections!$B85,0)</f>
        <v/>
      </c>
      <c r="BN72" s="56">
        <f>IF(BN$2&gt;=Projections!$D85,Projections!$B85,0)</f>
        <v/>
      </c>
      <c r="BO72" s="56">
        <f>IF(BO$2&gt;=Projections!$D85,Projections!$B85,0)</f>
        <v/>
      </c>
      <c r="BP72" s="56">
        <f>IF(BP$2&gt;=Projections!$D85,Projections!$B85,0)</f>
        <v/>
      </c>
      <c r="BQ72" s="56">
        <f>IF(BQ$2&gt;=Projections!$D85,Projections!$B85,0)</f>
        <v/>
      </c>
      <c r="BR72" s="56">
        <f>IF(BR$2&gt;=Projections!$D85,Projections!$B85,0)</f>
        <v/>
      </c>
      <c r="BS72" s="56">
        <f>IF(BS$2&gt;=Projections!$D85,Projections!$B85,0)</f>
        <v/>
      </c>
      <c r="BT72" s="56">
        <f>IF(BT$2&gt;=Projections!$D85,Projections!$B85,0)</f>
        <v/>
      </c>
      <c r="BU72" s="56">
        <f>IF(BU$2&gt;=Projections!$D85,Projections!$B85,0)</f>
        <v/>
      </c>
      <c r="BV72" s="56">
        <f>IF(BV$2&gt;=Projections!$D85,Projections!$B85,0)</f>
        <v/>
      </c>
      <c r="BW72" s="56">
        <f>IF(BW$2&gt;=Projections!$D85,Projections!$B85,0)</f>
        <v/>
      </c>
      <c r="BX72" s="56">
        <f>IF(BX$2&gt;=Projections!$D85,Projections!$B85,0)</f>
        <v/>
      </c>
      <c r="BY72" s="56">
        <f>IF(BY$2&gt;=Projections!$D85,Projections!$B85,0)</f>
        <v/>
      </c>
      <c r="BZ72" s="56">
        <f>IF(BZ$2&gt;=Projections!$D85,Projections!$B85,0)</f>
        <v/>
      </c>
      <c r="CA72" s="56">
        <f>IF(CA$2&gt;=Projections!$D85,Projections!$B85,0)</f>
        <v/>
      </c>
      <c r="CB72" s="56">
        <f>IF(CB$2&gt;=Projections!$D85,Projections!$B85,0)</f>
        <v/>
      </c>
      <c r="CC72" s="56">
        <f>IF(CC$2&gt;=Projections!$D85,Projections!$B85,0)</f>
        <v/>
      </c>
      <c r="CD72" s="56">
        <f>IF(CD$2&gt;=Projections!$D85,Projections!$B85,0)</f>
        <v/>
      </c>
      <c r="CE72" s="56">
        <f>IF(CE$2&gt;=Projections!$D85,Projections!$B85,0)</f>
        <v/>
      </c>
      <c r="CF72" s="56">
        <f>IF(CF$2&gt;=Projections!$D85,Projections!$B85,0)</f>
        <v/>
      </c>
      <c r="CG72" s="56">
        <f>IF(CG$2&gt;=Projections!$D85,Projections!$B85,0)</f>
        <v/>
      </c>
      <c r="CH72" s="56">
        <f>IF(CH$2&gt;=Projections!$D85,Projections!$B85,0)</f>
        <v/>
      </c>
      <c r="CI72" s="56">
        <f>IF(CI$2&gt;=Projections!$D85,Projections!$B85,0)</f>
        <v/>
      </c>
      <c r="CJ72" s="56">
        <f>IF(CJ$2&gt;=Projections!$D85,Projections!$B85,0)</f>
        <v/>
      </c>
      <c r="CK72" s="56">
        <f>IF(CK$2&gt;=Projections!$D85,Projections!$B85,0)</f>
        <v/>
      </c>
      <c r="CL72" s="56">
        <f>IF(CL$2&gt;=Projections!$D85,Projections!$B85,0)</f>
        <v/>
      </c>
      <c r="CM72" s="56">
        <f>IF(CM$2&gt;=Projections!$D85,Projections!$B85,0)</f>
        <v/>
      </c>
      <c r="CN72" s="56">
        <f>IF(CN$2&gt;=Projections!$D85,Projections!$B85,0)</f>
        <v/>
      </c>
      <c r="CO72" s="56">
        <f>IF(CO$2&gt;=Projections!$D85,Projections!$B85,0)</f>
        <v/>
      </c>
      <c r="CP72" s="56">
        <f>IF(CP$2&gt;=Projections!$D85,Projections!$B85,0)</f>
        <v/>
      </c>
      <c r="CQ72" s="56">
        <f>IF(CQ$2&gt;=Projections!$D85,Projections!$B85,0)</f>
        <v/>
      </c>
      <c r="CR72" s="56">
        <f>IF(CR$2&gt;=Projections!$D85,Projections!$B85,0)</f>
        <v/>
      </c>
      <c r="CS72" s="56">
        <f>IF(CS$2&gt;=Projections!$D85,Projections!$B85,0)</f>
        <v/>
      </c>
      <c r="CT72" s="56">
        <f>IF(CT$2&gt;=Projections!$D85,Projections!$B85,0)</f>
        <v/>
      </c>
      <c r="CU72" s="56">
        <f>IF(CU$2&gt;=Projections!$D85,Projections!$B85,0)</f>
        <v/>
      </c>
      <c r="CV72" s="56">
        <f>IF(CV$2&gt;=Projections!$D85,Projections!$B85,0)</f>
        <v/>
      </c>
      <c r="CW72" s="56">
        <f>IF(CW$2&gt;=Projections!$D85,Projections!$B85,0)</f>
        <v/>
      </c>
      <c r="CX72" s="56">
        <f>IF(CX$2&gt;=Projections!$D85,Projections!$B85,0)</f>
        <v/>
      </c>
    </row>
    <row r="73" outlineLevel="2" ht="15.75" customHeight="1" s="255">
      <c r="A73" s="134">
        <f>Projections!A86</f>
        <v/>
      </c>
      <c r="B73" s="56" t="n"/>
      <c r="C73" s="56" t="n"/>
      <c r="D73" s="56" t="n"/>
      <c r="E73" s="56">
        <f>IF(E$2&gt;=Projections!$D86,Projections!$B86,0)</f>
        <v/>
      </c>
      <c r="F73" s="56">
        <f>IF(F$2&gt;=Projections!$D86,Projections!$B86,0)</f>
        <v/>
      </c>
      <c r="G73" s="56">
        <f>IF(G$2&gt;=Projections!$D86,Projections!$B86,0)</f>
        <v/>
      </c>
      <c r="H73" s="56">
        <f>IF(H$2&gt;=Projections!$D86,Projections!$B86,0)</f>
        <v/>
      </c>
      <c r="I73" s="56">
        <f>IF(I$2&gt;=Projections!$D86,Projections!$B86,0)</f>
        <v/>
      </c>
      <c r="J73" s="56">
        <f>IF(J$2&gt;=Projections!$D86,Projections!$B86,0)</f>
        <v/>
      </c>
      <c r="K73" s="56">
        <f>IF(K$2&gt;=Projections!$D86,Projections!$B86,0)</f>
        <v/>
      </c>
      <c r="L73" s="56">
        <f>IF(L$2&gt;=Projections!$D86,Projections!$B86,0)</f>
        <v/>
      </c>
      <c r="M73" s="56">
        <f>IF(M$2&gt;=Projections!$D86,Projections!$B86,0)</f>
        <v/>
      </c>
      <c r="N73" s="56">
        <f>IF(N$2&gt;=Projections!$D86,Projections!$B86,0)</f>
        <v/>
      </c>
      <c r="O73" s="56">
        <f>IF(O$2&gt;=Projections!$D86,Projections!$B86,0)</f>
        <v/>
      </c>
      <c r="P73" s="56">
        <f>IF(P$2&gt;=Projections!$D86,Projections!$B86,0)</f>
        <v/>
      </c>
      <c r="Q73" s="56">
        <f>IF(Q$2&gt;=Projections!$D86,Projections!$B86,0)</f>
        <v/>
      </c>
      <c r="R73" s="56">
        <f>IF(R$2&gt;=Projections!$D86,Projections!$B86,0)</f>
        <v/>
      </c>
      <c r="S73" s="56">
        <f>IF(S$2&gt;=Projections!$D86,Projections!$B86,0)</f>
        <v/>
      </c>
      <c r="T73" s="56">
        <f>IF(T$2&gt;=Projections!$D86,Projections!$B86,0)</f>
        <v/>
      </c>
      <c r="U73" s="56">
        <f>IF(U$2&gt;=Projections!$D86,Projections!$B86,0)</f>
        <v/>
      </c>
      <c r="V73" s="56">
        <f>IF(V$2&gt;=Projections!$D86,Projections!$B86,0)</f>
        <v/>
      </c>
      <c r="W73" s="56">
        <f>IF(W$2&gt;=Projections!$D86,Projections!$B86,0)</f>
        <v/>
      </c>
      <c r="X73" s="56">
        <f>IF(X$2&gt;=Projections!$D86,Projections!$B86,0)</f>
        <v/>
      </c>
      <c r="Y73" s="56">
        <f>IF(Y$2&gt;=Projections!$D86,Projections!$B86,0)</f>
        <v/>
      </c>
      <c r="Z73" s="56">
        <f>IF(Z$2&gt;=Projections!$D86,Projections!$B86,0)</f>
        <v/>
      </c>
      <c r="AA73" s="56">
        <f>IF(AA$2&gt;=Projections!$D86,Projections!$B86,0)</f>
        <v/>
      </c>
      <c r="AB73" s="56">
        <f>IF(AB$2&gt;=Projections!$D86,Projections!$B86,0)</f>
        <v/>
      </c>
      <c r="AC73" s="56">
        <f>IF(AC$2&gt;=Projections!$D86,Projections!$B86,0)</f>
        <v/>
      </c>
      <c r="AD73" s="56">
        <f>IF(AD$2&gt;=Projections!$D86,Projections!$B86,0)</f>
        <v/>
      </c>
      <c r="AE73" s="56">
        <f>IF(AE$2&gt;=Projections!$D86,Projections!$B86,0)</f>
        <v/>
      </c>
      <c r="AF73" s="56">
        <f>IF(AF$2&gt;=Projections!$D86,Projections!$B86,0)</f>
        <v/>
      </c>
      <c r="AG73" s="56">
        <f>IF(AG$2&gt;=Projections!$D86,Projections!$B86,0)</f>
        <v/>
      </c>
      <c r="AH73" s="56">
        <f>IF(AH$2&gt;=Projections!$D86,Projections!$B86,0)</f>
        <v/>
      </c>
      <c r="AI73" s="56">
        <f>IF(AI$2&gt;=Projections!$D86,Projections!$B86,0)</f>
        <v/>
      </c>
      <c r="AJ73" s="56">
        <f>IF(AJ$2&gt;=Projections!$D86,Projections!$B86,0)</f>
        <v/>
      </c>
      <c r="AK73" s="56">
        <f>IF(AK$2&gt;=Projections!$D86,Projections!$B86,0)</f>
        <v/>
      </c>
      <c r="AL73" s="56">
        <f>IF(AL$2&gt;=Projections!$D86,Projections!$B86,0)</f>
        <v/>
      </c>
      <c r="AM73" s="56">
        <f>IF(AM$2&gt;=Projections!$D86,Projections!$B86,0)</f>
        <v/>
      </c>
      <c r="AN73" s="56">
        <f>IF(AN$2&gt;=Projections!$D86,Projections!$B86,0)</f>
        <v/>
      </c>
      <c r="AO73" s="56">
        <f>IF(AO$2&gt;=Projections!$D86,Projections!$B86,0)</f>
        <v/>
      </c>
      <c r="AP73" s="56">
        <f>IF(AP$2&gt;=Projections!$D86,Projections!$B86,0)</f>
        <v/>
      </c>
      <c r="AQ73" s="56">
        <f>IF(AQ$2&gt;=Projections!$D86,Projections!$B86,0)</f>
        <v/>
      </c>
      <c r="AR73" s="56">
        <f>IF(AR$2&gt;=Projections!$D86,Projections!$B86,0)</f>
        <v/>
      </c>
      <c r="AS73" s="56">
        <f>IF(AS$2&gt;=Projections!$D86,Projections!$B86,0)</f>
        <v/>
      </c>
      <c r="AT73" s="56">
        <f>IF(AT$2&gt;=Projections!$D86,Projections!$B86,0)</f>
        <v/>
      </c>
      <c r="AU73" s="56">
        <f>IF(AU$2&gt;=Projections!$D86,Projections!$B86,0)</f>
        <v/>
      </c>
      <c r="AV73" s="56">
        <f>IF(AV$2&gt;=Projections!$D86,Projections!$B86,0)</f>
        <v/>
      </c>
      <c r="AW73" s="56">
        <f>IF(AW$2&gt;=Projections!$D86,Projections!$B86,0)</f>
        <v/>
      </c>
      <c r="AX73" s="56">
        <f>IF(AX$2&gt;=Projections!$D86,Projections!$B86,0)</f>
        <v/>
      </c>
      <c r="AY73" s="56">
        <f>IF(AY$2&gt;=Projections!$D86,Projections!$B86,0)</f>
        <v/>
      </c>
      <c r="AZ73" s="56">
        <f>IF(AZ$2&gt;=Projections!$D86,Projections!$B86,0)</f>
        <v/>
      </c>
      <c r="BA73" s="56">
        <f>IF(BA$2&gt;=Projections!$D86,Projections!$B86,0)</f>
        <v/>
      </c>
      <c r="BB73" s="56">
        <f>IF(BB$2&gt;=Projections!$D86,Projections!$B86,0)</f>
        <v/>
      </c>
      <c r="BC73" s="56">
        <f>IF(BC$2&gt;=Projections!$D86,Projections!$B86,0)</f>
        <v/>
      </c>
      <c r="BD73" s="56">
        <f>IF(BD$2&gt;=Projections!$D86,Projections!$B86,0)</f>
        <v/>
      </c>
      <c r="BE73" s="56">
        <f>IF(BE$2&gt;=Projections!$D86,Projections!$B86,0)</f>
        <v/>
      </c>
      <c r="BF73" s="56">
        <f>IF(BF$2&gt;=Projections!$D86,Projections!$B86,0)</f>
        <v/>
      </c>
      <c r="BG73" s="56">
        <f>IF(BG$2&gt;=Projections!$D86,Projections!$B86,0)</f>
        <v/>
      </c>
      <c r="BH73" s="56">
        <f>IF(BH$2&gt;=Projections!$D86,Projections!$B86,0)</f>
        <v/>
      </c>
      <c r="BI73" s="56">
        <f>IF(BI$2&gt;=Projections!$D86,Projections!$B86,0)</f>
        <v/>
      </c>
      <c r="BJ73" s="56">
        <f>IF(BJ$2&gt;=Projections!$D86,Projections!$B86,0)</f>
        <v/>
      </c>
      <c r="BK73" s="56">
        <f>IF(BK$2&gt;=Projections!$D86,Projections!$B86,0)</f>
        <v/>
      </c>
      <c r="BL73" s="56">
        <f>IF(BL$2&gt;=Projections!$D86,Projections!$B86,0)</f>
        <v/>
      </c>
      <c r="BM73" s="56">
        <f>IF(BM$2&gt;=Projections!$D86,Projections!$B86,0)</f>
        <v/>
      </c>
      <c r="BN73" s="56">
        <f>IF(BN$2&gt;=Projections!$D86,Projections!$B86,0)</f>
        <v/>
      </c>
      <c r="BO73" s="56">
        <f>IF(BO$2&gt;=Projections!$D86,Projections!$B86,0)</f>
        <v/>
      </c>
      <c r="BP73" s="56">
        <f>IF(BP$2&gt;=Projections!$D86,Projections!$B86,0)</f>
        <v/>
      </c>
      <c r="BQ73" s="56">
        <f>IF(BQ$2&gt;=Projections!$D86,Projections!$B86,0)</f>
        <v/>
      </c>
      <c r="BR73" s="56">
        <f>IF(BR$2&gt;=Projections!$D86,Projections!$B86,0)</f>
        <v/>
      </c>
      <c r="BS73" s="56">
        <f>IF(BS$2&gt;=Projections!$D86,Projections!$B86,0)</f>
        <v/>
      </c>
      <c r="BT73" s="56">
        <f>IF(BT$2&gt;=Projections!$D86,Projections!$B86,0)</f>
        <v/>
      </c>
      <c r="BU73" s="56">
        <f>IF(BU$2&gt;=Projections!$D86,Projections!$B86,0)</f>
        <v/>
      </c>
      <c r="BV73" s="56">
        <f>IF(BV$2&gt;=Projections!$D86,Projections!$B86,0)</f>
        <v/>
      </c>
      <c r="BW73" s="56">
        <f>IF(BW$2&gt;=Projections!$D86,Projections!$B86,0)</f>
        <v/>
      </c>
      <c r="BX73" s="56">
        <f>IF(BX$2&gt;=Projections!$D86,Projections!$B86,0)</f>
        <v/>
      </c>
      <c r="BY73" s="56">
        <f>IF(BY$2&gt;=Projections!$D86,Projections!$B86,0)</f>
        <v/>
      </c>
      <c r="BZ73" s="56">
        <f>IF(BZ$2&gt;=Projections!$D86,Projections!$B86,0)</f>
        <v/>
      </c>
      <c r="CA73" s="56">
        <f>IF(CA$2&gt;=Projections!$D86,Projections!$B86,0)</f>
        <v/>
      </c>
      <c r="CB73" s="56">
        <f>IF(CB$2&gt;=Projections!$D86,Projections!$B86,0)</f>
        <v/>
      </c>
      <c r="CC73" s="56">
        <f>IF(CC$2&gt;=Projections!$D86,Projections!$B86,0)</f>
        <v/>
      </c>
      <c r="CD73" s="56">
        <f>IF(CD$2&gt;=Projections!$D86,Projections!$B86,0)</f>
        <v/>
      </c>
      <c r="CE73" s="56">
        <f>IF(CE$2&gt;=Projections!$D86,Projections!$B86,0)</f>
        <v/>
      </c>
      <c r="CF73" s="56">
        <f>IF(CF$2&gt;=Projections!$D86,Projections!$B86,0)</f>
        <v/>
      </c>
      <c r="CG73" s="56">
        <f>IF(CG$2&gt;=Projections!$D86,Projections!$B86,0)</f>
        <v/>
      </c>
      <c r="CH73" s="56">
        <f>IF(CH$2&gt;=Projections!$D86,Projections!$B86,0)</f>
        <v/>
      </c>
      <c r="CI73" s="56">
        <f>IF(CI$2&gt;=Projections!$D86,Projections!$B86,0)</f>
        <v/>
      </c>
      <c r="CJ73" s="56">
        <f>IF(CJ$2&gt;=Projections!$D86,Projections!$B86,0)</f>
        <v/>
      </c>
      <c r="CK73" s="56">
        <f>IF(CK$2&gt;=Projections!$D86,Projections!$B86,0)</f>
        <v/>
      </c>
      <c r="CL73" s="56">
        <f>IF(CL$2&gt;=Projections!$D86,Projections!$B86,0)</f>
        <v/>
      </c>
      <c r="CM73" s="56">
        <f>IF(CM$2&gt;=Projections!$D86,Projections!$B86,0)</f>
        <v/>
      </c>
      <c r="CN73" s="56">
        <f>IF(CN$2&gt;=Projections!$D86,Projections!$B86,0)</f>
        <v/>
      </c>
      <c r="CO73" s="56">
        <f>IF(CO$2&gt;=Projections!$D86,Projections!$B86,0)</f>
        <v/>
      </c>
      <c r="CP73" s="56">
        <f>IF(CP$2&gt;=Projections!$D86,Projections!$B86,0)</f>
        <v/>
      </c>
      <c r="CQ73" s="56">
        <f>IF(CQ$2&gt;=Projections!$D86,Projections!$B86,0)</f>
        <v/>
      </c>
      <c r="CR73" s="56">
        <f>IF(CR$2&gt;=Projections!$D86,Projections!$B86,0)</f>
        <v/>
      </c>
      <c r="CS73" s="56">
        <f>IF(CS$2&gt;=Projections!$D86,Projections!$B86,0)</f>
        <v/>
      </c>
      <c r="CT73" s="56">
        <f>IF(CT$2&gt;=Projections!$D86,Projections!$B86,0)</f>
        <v/>
      </c>
      <c r="CU73" s="56">
        <f>IF(CU$2&gt;=Projections!$D86,Projections!$B86,0)</f>
        <v/>
      </c>
      <c r="CV73" s="56">
        <f>IF(CV$2&gt;=Projections!$D86,Projections!$B86,0)</f>
        <v/>
      </c>
      <c r="CW73" s="56">
        <f>IF(CW$2&gt;=Projections!$D86,Projections!$B86,0)</f>
        <v/>
      </c>
      <c r="CX73" s="56">
        <f>IF(CX$2&gt;=Projections!$D86,Projections!$B86,0)</f>
        <v/>
      </c>
    </row>
    <row r="74" outlineLevel="2" ht="15.75" customHeight="1" s="255">
      <c r="A74" s="134">
        <f>Projections!A87</f>
        <v/>
      </c>
      <c r="B74" s="56" t="n"/>
      <c r="C74" s="56" t="n"/>
      <c r="D74" s="56" t="n"/>
      <c r="E74" s="56">
        <f>IF(E$2&gt;=Projections!$D87,Projections!$B87,0)</f>
        <v/>
      </c>
      <c r="F74" s="56">
        <f>IF(F$2&gt;=Projections!$D87,Projections!$B87,0)</f>
        <v/>
      </c>
      <c r="G74" s="56">
        <f>IF(G$2&gt;=Projections!$D87,Projections!$B87,0)</f>
        <v/>
      </c>
      <c r="H74" s="56">
        <f>IF(H$2&gt;=Projections!$D87,Projections!$B87,0)</f>
        <v/>
      </c>
      <c r="I74" s="56">
        <f>IF(I$2&gt;=Projections!$D87,Projections!$B87,0)</f>
        <v/>
      </c>
      <c r="J74" s="56">
        <f>IF(J$2&gt;=Projections!$D87,Projections!$B87,0)</f>
        <v/>
      </c>
      <c r="K74" s="56">
        <f>IF(K$2&gt;=Projections!$D87,Projections!$B87,0)</f>
        <v/>
      </c>
      <c r="L74" s="56">
        <f>IF(L$2&gt;=Projections!$D87,Projections!$B87,0)</f>
        <v/>
      </c>
      <c r="M74" s="56">
        <f>IF(M$2&gt;=Projections!$D87,Projections!$B87,0)</f>
        <v/>
      </c>
      <c r="N74" s="56">
        <f>IF(N$2&gt;=Projections!$D87,Projections!$B87,0)</f>
        <v/>
      </c>
      <c r="O74" s="56">
        <f>IF(O$2&gt;=Projections!$D87,Projections!$B87,0)</f>
        <v/>
      </c>
      <c r="P74" s="56">
        <f>IF(P$2&gt;=Projections!$D87,Projections!$B87,0)</f>
        <v/>
      </c>
      <c r="Q74" s="56">
        <f>IF(Q$2&gt;=Projections!$D87,Projections!$B87,0)</f>
        <v/>
      </c>
      <c r="R74" s="56">
        <f>IF(R$2&gt;=Projections!$D87,Projections!$B87,0)</f>
        <v/>
      </c>
      <c r="S74" s="56">
        <f>IF(S$2&gt;=Projections!$D87,Projections!$B87,0)</f>
        <v/>
      </c>
      <c r="T74" s="56">
        <f>IF(T$2&gt;=Projections!$D87,Projections!$B87,0)</f>
        <v/>
      </c>
      <c r="U74" s="56">
        <f>IF(U$2&gt;=Projections!$D87,Projections!$B87,0)</f>
        <v/>
      </c>
      <c r="V74" s="56">
        <f>IF(V$2&gt;=Projections!$D87,Projections!$B87,0)</f>
        <v/>
      </c>
      <c r="W74" s="56">
        <f>IF(W$2&gt;=Projections!$D87,Projections!$B87,0)</f>
        <v/>
      </c>
      <c r="X74" s="56">
        <f>IF(X$2&gt;=Projections!$D87,Projections!$B87,0)</f>
        <v/>
      </c>
      <c r="Y74" s="56">
        <f>IF(Y$2&gt;=Projections!$D87,Projections!$B87,0)</f>
        <v/>
      </c>
      <c r="Z74" s="56">
        <f>IF(Z$2&gt;=Projections!$D87,Projections!$B87,0)</f>
        <v/>
      </c>
      <c r="AA74" s="56">
        <f>IF(AA$2&gt;=Projections!$D87,Projections!$B87,0)</f>
        <v/>
      </c>
      <c r="AB74" s="56">
        <f>IF(AB$2&gt;=Projections!$D87,Projections!$B87,0)</f>
        <v/>
      </c>
      <c r="AC74" s="56">
        <f>IF(AC$2&gt;=Projections!$D87,Projections!$B87,0)</f>
        <v/>
      </c>
      <c r="AD74" s="56">
        <f>IF(AD$2&gt;=Projections!$D87,Projections!$B87,0)</f>
        <v/>
      </c>
      <c r="AE74" s="56">
        <f>IF(AE$2&gt;=Projections!$D87,Projections!$B87,0)</f>
        <v/>
      </c>
      <c r="AF74" s="56">
        <f>IF(AF$2&gt;=Projections!$D87,Projections!$B87,0)</f>
        <v/>
      </c>
      <c r="AG74" s="56">
        <f>IF(AG$2&gt;=Projections!$D87,Projections!$B87,0)</f>
        <v/>
      </c>
      <c r="AH74" s="56">
        <f>IF(AH$2&gt;=Projections!$D87,Projections!$B87,0)</f>
        <v/>
      </c>
      <c r="AI74" s="56">
        <f>IF(AI$2&gt;=Projections!$D87,Projections!$B87,0)</f>
        <v/>
      </c>
      <c r="AJ74" s="56">
        <f>IF(AJ$2&gt;=Projections!$D87,Projections!$B87,0)</f>
        <v/>
      </c>
      <c r="AK74" s="56">
        <f>IF(AK$2&gt;=Projections!$D87,Projections!$B87,0)</f>
        <v/>
      </c>
      <c r="AL74" s="56">
        <f>IF(AL$2&gt;=Projections!$D87,Projections!$B87,0)</f>
        <v/>
      </c>
      <c r="AM74" s="56">
        <f>IF(AM$2&gt;=Projections!$D87,Projections!$B87,0)</f>
        <v/>
      </c>
      <c r="AN74" s="56">
        <f>IF(AN$2&gt;=Projections!$D87,Projections!$B87,0)</f>
        <v/>
      </c>
      <c r="AO74" s="56">
        <f>IF(AO$2&gt;=Projections!$D87,Projections!$B87,0)</f>
        <v/>
      </c>
      <c r="AP74" s="56">
        <f>IF(AP$2&gt;=Projections!$D87,Projections!$B87,0)</f>
        <v/>
      </c>
      <c r="AQ74" s="56">
        <f>IF(AQ$2&gt;=Projections!$D87,Projections!$B87,0)</f>
        <v/>
      </c>
      <c r="AR74" s="56">
        <f>IF(AR$2&gt;=Projections!$D87,Projections!$B87,0)</f>
        <v/>
      </c>
      <c r="AS74" s="56">
        <f>IF(AS$2&gt;=Projections!$D87,Projections!$B87,0)</f>
        <v/>
      </c>
      <c r="AT74" s="56">
        <f>IF(AT$2&gt;=Projections!$D87,Projections!$B87,0)</f>
        <v/>
      </c>
      <c r="AU74" s="56">
        <f>IF(AU$2&gt;=Projections!$D87,Projections!$B87,0)</f>
        <v/>
      </c>
      <c r="AV74" s="56">
        <f>IF(AV$2&gt;=Projections!$D87,Projections!$B87,0)</f>
        <v/>
      </c>
      <c r="AW74" s="56">
        <f>IF(AW$2&gt;=Projections!$D87,Projections!$B87,0)</f>
        <v/>
      </c>
      <c r="AX74" s="56">
        <f>IF(AX$2&gt;=Projections!$D87,Projections!$B87,0)</f>
        <v/>
      </c>
      <c r="AY74" s="56">
        <f>IF(AY$2&gt;=Projections!$D87,Projections!$B87,0)</f>
        <v/>
      </c>
      <c r="AZ74" s="56">
        <f>IF(AZ$2&gt;=Projections!$D87,Projections!$B87,0)</f>
        <v/>
      </c>
      <c r="BA74" s="56">
        <f>IF(BA$2&gt;=Projections!$D87,Projections!$B87,0)</f>
        <v/>
      </c>
      <c r="BB74" s="56">
        <f>IF(BB$2&gt;=Projections!$D87,Projections!$B87,0)</f>
        <v/>
      </c>
      <c r="BC74" s="56">
        <f>IF(BC$2&gt;=Projections!$D87,Projections!$B87,0)</f>
        <v/>
      </c>
      <c r="BD74" s="56">
        <f>IF(BD$2&gt;=Projections!$D87,Projections!$B87,0)</f>
        <v/>
      </c>
      <c r="BE74" s="56">
        <f>IF(BE$2&gt;=Projections!$D87,Projections!$B87,0)</f>
        <v/>
      </c>
      <c r="BF74" s="56">
        <f>IF(BF$2&gt;=Projections!$D87,Projections!$B87,0)</f>
        <v/>
      </c>
      <c r="BG74" s="56">
        <f>IF(BG$2&gt;=Projections!$D87,Projections!$B87,0)</f>
        <v/>
      </c>
      <c r="BH74" s="56">
        <f>IF(BH$2&gt;=Projections!$D87,Projections!$B87,0)</f>
        <v/>
      </c>
      <c r="BI74" s="56">
        <f>IF(BI$2&gt;=Projections!$D87,Projections!$B87,0)</f>
        <v/>
      </c>
      <c r="BJ74" s="56">
        <f>IF(BJ$2&gt;=Projections!$D87,Projections!$B87,0)</f>
        <v/>
      </c>
      <c r="BK74" s="56">
        <f>IF(BK$2&gt;=Projections!$D87,Projections!$B87,0)</f>
        <v/>
      </c>
      <c r="BL74" s="56">
        <f>IF(BL$2&gt;=Projections!$D87,Projections!$B87,0)</f>
        <v/>
      </c>
      <c r="BM74" s="56">
        <f>IF(BM$2&gt;=Projections!$D87,Projections!$B87,0)</f>
        <v/>
      </c>
      <c r="BN74" s="56">
        <f>IF(BN$2&gt;=Projections!$D87,Projections!$B87,0)</f>
        <v/>
      </c>
      <c r="BO74" s="56">
        <f>IF(BO$2&gt;=Projections!$D87,Projections!$B87,0)</f>
        <v/>
      </c>
      <c r="BP74" s="56">
        <f>IF(BP$2&gt;=Projections!$D87,Projections!$B87,0)</f>
        <v/>
      </c>
      <c r="BQ74" s="56">
        <f>IF(BQ$2&gt;=Projections!$D87,Projections!$B87,0)</f>
        <v/>
      </c>
      <c r="BR74" s="56">
        <f>IF(BR$2&gt;=Projections!$D87,Projections!$B87,0)</f>
        <v/>
      </c>
      <c r="BS74" s="56">
        <f>IF(BS$2&gt;=Projections!$D87,Projections!$B87,0)</f>
        <v/>
      </c>
      <c r="BT74" s="56">
        <f>IF(BT$2&gt;=Projections!$D87,Projections!$B87,0)</f>
        <v/>
      </c>
      <c r="BU74" s="56">
        <f>IF(BU$2&gt;=Projections!$D87,Projections!$B87,0)</f>
        <v/>
      </c>
      <c r="BV74" s="56">
        <f>IF(BV$2&gt;=Projections!$D87,Projections!$B87,0)</f>
        <v/>
      </c>
      <c r="BW74" s="56">
        <f>IF(BW$2&gt;=Projections!$D87,Projections!$B87,0)</f>
        <v/>
      </c>
      <c r="BX74" s="56">
        <f>IF(BX$2&gt;=Projections!$D87,Projections!$B87,0)</f>
        <v/>
      </c>
      <c r="BY74" s="56">
        <f>IF(BY$2&gt;=Projections!$D87,Projections!$B87,0)</f>
        <v/>
      </c>
      <c r="BZ74" s="56">
        <f>IF(BZ$2&gt;=Projections!$D87,Projections!$B87,0)</f>
        <v/>
      </c>
      <c r="CA74" s="56">
        <f>IF(CA$2&gt;=Projections!$D87,Projections!$B87,0)</f>
        <v/>
      </c>
      <c r="CB74" s="56">
        <f>IF(CB$2&gt;=Projections!$D87,Projections!$B87,0)</f>
        <v/>
      </c>
      <c r="CC74" s="56">
        <f>IF(CC$2&gt;=Projections!$D87,Projections!$B87,0)</f>
        <v/>
      </c>
      <c r="CD74" s="56">
        <f>IF(CD$2&gt;=Projections!$D87,Projections!$B87,0)</f>
        <v/>
      </c>
      <c r="CE74" s="56">
        <f>IF(CE$2&gt;=Projections!$D87,Projections!$B87,0)</f>
        <v/>
      </c>
      <c r="CF74" s="56">
        <f>IF(CF$2&gt;=Projections!$D87,Projections!$B87,0)</f>
        <v/>
      </c>
      <c r="CG74" s="56">
        <f>IF(CG$2&gt;=Projections!$D87,Projections!$B87,0)</f>
        <v/>
      </c>
      <c r="CH74" s="56">
        <f>IF(CH$2&gt;=Projections!$D87,Projections!$B87,0)</f>
        <v/>
      </c>
      <c r="CI74" s="56">
        <f>IF(CI$2&gt;=Projections!$D87,Projections!$B87,0)</f>
        <v/>
      </c>
      <c r="CJ74" s="56">
        <f>IF(CJ$2&gt;=Projections!$D87,Projections!$B87,0)</f>
        <v/>
      </c>
      <c r="CK74" s="56">
        <f>IF(CK$2&gt;=Projections!$D87,Projections!$B87,0)</f>
        <v/>
      </c>
      <c r="CL74" s="56">
        <f>IF(CL$2&gt;=Projections!$D87,Projections!$B87,0)</f>
        <v/>
      </c>
      <c r="CM74" s="56">
        <f>IF(CM$2&gt;=Projections!$D87,Projections!$B87,0)</f>
        <v/>
      </c>
      <c r="CN74" s="56">
        <f>IF(CN$2&gt;=Projections!$D87,Projections!$B87,0)</f>
        <v/>
      </c>
      <c r="CO74" s="56">
        <f>IF(CO$2&gt;=Projections!$D87,Projections!$B87,0)</f>
        <v/>
      </c>
      <c r="CP74" s="56">
        <f>IF(CP$2&gt;=Projections!$D87,Projections!$B87,0)</f>
        <v/>
      </c>
      <c r="CQ74" s="56">
        <f>IF(CQ$2&gt;=Projections!$D87,Projections!$B87,0)</f>
        <v/>
      </c>
      <c r="CR74" s="56">
        <f>IF(CR$2&gt;=Projections!$D87,Projections!$B87,0)</f>
        <v/>
      </c>
      <c r="CS74" s="56">
        <f>IF(CS$2&gt;=Projections!$D87,Projections!$B87,0)</f>
        <v/>
      </c>
      <c r="CT74" s="56">
        <f>IF(CT$2&gt;=Projections!$D87,Projections!$B87,0)</f>
        <v/>
      </c>
      <c r="CU74" s="56">
        <f>IF(CU$2&gt;=Projections!$D87,Projections!$B87,0)</f>
        <v/>
      </c>
      <c r="CV74" s="56">
        <f>IF(CV$2&gt;=Projections!$D87,Projections!$B87,0)</f>
        <v/>
      </c>
      <c r="CW74" s="56">
        <f>IF(CW$2&gt;=Projections!$D87,Projections!$B87,0)</f>
        <v/>
      </c>
      <c r="CX74" s="56">
        <f>IF(CX$2&gt;=Projections!$D87,Projections!$B87,0)</f>
        <v/>
      </c>
    </row>
    <row r="75" outlineLevel="2" ht="15.75" customHeight="1" s="255">
      <c r="A75" s="134">
        <f>Projections!A88</f>
        <v/>
      </c>
      <c r="B75" s="56" t="n"/>
      <c r="C75" s="56" t="n"/>
      <c r="D75" s="56" t="n"/>
      <c r="E75" s="56">
        <f>IF(E$2&gt;=Projections!$D88,Projections!$B88,0)</f>
        <v/>
      </c>
      <c r="F75" s="56">
        <f>IF(F$2&gt;=Projections!$D88,Projections!$B88,0)</f>
        <v/>
      </c>
      <c r="G75" s="56">
        <f>IF(G$2&gt;=Projections!$D88,Projections!$B88,0)</f>
        <v/>
      </c>
      <c r="H75" s="56">
        <f>IF(H$2&gt;=Projections!$D88,Projections!$B88,0)</f>
        <v/>
      </c>
      <c r="I75" s="56">
        <f>IF(I$2&gt;=Projections!$D88,Projections!$B88,0)</f>
        <v/>
      </c>
      <c r="J75" s="56">
        <f>IF(J$2&gt;=Projections!$D88,Projections!$B88,0)</f>
        <v/>
      </c>
      <c r="K75" s="56">
        <f>IF(K$2&gt;=Projections!$D88,Projections!$B88,0)</f>
        <v/>
      </c>
      <c r="L75" s="56">
        <f>IF(L$2&gt;=Projections!$D88,Projections!$B88,0)</f>
        <v/>
      </c>
      <c r="M75" s="56">
        <f>IF(M$2&gt;=Projections!$D88,Projections!$B88,0)</f>
        <v/>
      </c>
      <c r="N75" s="56">
        <f>IF(N$2&gt;=Projections!$D88,Projections!$B88,0)</f>
        <v/>
      </c>
      <c r="O75" s="56">
        <f>IF(O$2&gt;=Projections!$D88,Projections!$B88,0)</f>
        <v/>
      </c>
      <c r="P75" s="56">
        <f>IF(P$2&gt;=Projections!$D88,Projections!$B88,0)</f>
        <v/>
      </c>
      <c r="Q75" s="56">
        <f>IF(Q$2&gt;=Projections!$D88,Projections!$B88,0)</f>
        <v/>
      </c>
      <c r="R75" s="56">
        <f>IF(R$2&gt;=Projections!$D88,Projections!$B88,0)</f>
        <v/>
      </c>
      <c r="S75" s="56">
        <f>IF(S$2&gt;=Projections!$D88,Projections!$B88,0)</f>
        <v/>
      </c>
      <c r="T75" s="56">
        <f>IF(T$2&gt;=Projections!$D88,Projections!$B88,0)</f>
        <v/>
      </c>
      <c r="U75" s="56">
        <f>IF(U$2&gt;=Projections!$D88,Projections!$B88,0)</f>
        <v/>
      </c>
      <c r="V75" s="56">
        <f>IF(V$2&gt;=Projections!$D88,Projections!$B88,0)</f>
        <v/>
      </c>
      <c r="W75" s="56">
        <f>IF(W$2&gt;=Projections!$D88,Projections!$B88,0)</f>
        <v/>
      </c>
      <c r="X75" s="56">
        <f>IF(X$2&gt;=Projections!$D88,Projections!$B88,0)</f>
        <v/>
      </c>
      <c r="Y75" s="56">
        <f>IF(Y$2&gt;=Projections!$D88,Projections!$B88,0)</f>
        <v/>
      </c>
      <c r="Z75" s="56">
        <f>IF(Z$2&gt;=Projections!$D88,Projections!$B88,0)</f>
        <v/>
      </c>
      <c r="AA75" s="56">
        <f>IF(AA$2&gt;=Projections!$D88,Projections!$B88,0)</f>
        <v/>
      </c>
      <c r="AB75" s="56">
        <f>IF(AB$2&gt;=Projections!$D88,Projections!$B88,0)</f>
        <v/>
      </c>
      <c r="AC75" s="56">
        <f>IF(AC$2&gt;=Projections!$D88,Projections!$B88,0)</f>
        <v/>
      </c>
      <c r="AD75" s="56">
        <f>IF(AD$2&gt;=Projections!$D88,Projections!$B88,0)</f>
        <v/>
      </c>
      <c r="AE75" s="56">
        <f>IF(AE$2&gt;=Projections!$D88,Projections!$B88,0)</f>
        <v/>
      </c>
      <c r="AF75" s="56">
        <f>IF(AF$2&gt;=Projections!$D88,Projections!$B88,0)</f>
        <v/>
      </c>
      <c r="AG75" s="56">
        <f>IF(AG$2&gt;=Projections!$D88,Projections!$B88,0)</f>
        <v/>
      </c>
      <c r="AH75" s="56">
        <f>IF(AH$2&gt;=Projections!$D88,Projections!$B88,0)</f>
        <v/>
      </c>
      <c r="AI75" s="56">
        <f>IF(AI$2&gt;=Projections!$D88,Projections!$B88,0)</f>
        <v/>
      </c>
      <c r="AJ75" s="56">
        <f>IF(AJ$2&gt;=Projections!$D88,Projections!$B88,0)</f>
        <v/>
      </c>
      <c r="AK75" s="56">
        <f>IF(AK$2&gt;=Projections!$D88,Projections!$B88,0)</f>
        <v/>
      </c>
      <c r="AL75" s="56">
        <f>IF(AL$2&gt;=Projections!$D88,Projections!$B88,0)</f>
        <v/>
      </c>
      <c r="AM75" s="56">
        <f>IF(AM$2&gt;=Projections!$D88,Projections!$B88,0)</f>
        <v/>
      </c>
      <c r="AN75" s="56">
        <f>IF(AN$2&gt;=Projections!$D88,Projections!$B88,0)</f>
        <v/>
      </c>
      <c r="AO75" s="56">
        <f>IF(AO$2&gt;=Projections!$D88,Projections!$B88,0)</f>
        <v/>
      </c>
      <c r="AP75" s="56">
        <f>IF(AP$2&gt;=Projections!$D88,Projections!$B88,0)</f>
        <v/>
      </c>
      <c r="AQ75" s="56">
        <f>IF(AQ$2&gt;=Projections!$D88,Projections!$B88,0)</f>
        <v/>
      </c>
      <c r="AR75" s="56">
        <f>IF(AR$2&gt;=Projections!$D88,Projections!$B88,0)</f>
        <v/>
      </c>
      <c r="AS75" s="56">
        <f>IF(AS$2&gt;=Projections!$D88,Projections!$B88,0)</f>
        <v/>
      </c>
      <c r="AT75" s="56">
        <f>IF(AT$2&gt;=Projections!$D88,Projections!$B88,0)</f>
        <v/>
      </c>
      <c r="AU75" s="56">
        <f>IF(AU$2&gt;=Projections!$D88,Projections!$B88,0)</f>
        <v/>
      </c>
      <c r="AV75" s="56">
        <f>IF(AV$2&gt;=Projections!$D88,Projections!$B88,0)</f>
        <v/>
      </c>
      <c r="AW75" s="56">
        <f>IF(AW$2&gt;=Projections!$D88,Projections!$B88,0)</f>
        <v/>
      </c>
      <c r="AX75" s="56">
        <f>IF(AX$2&gt;=Projections!$D88,Projections!$B88,0)</f>
        <v/>
      </c>
      <c r="AY75" s="56">
        <f>IF(AY$2&gt;=Projections!$D88,Projections!$B88,0)</f>
        <v/>
      </c>
      <c r="AZ75" s="56">
        <f>IF(AZ$2&gt;=Projections!$D88,Projections!$B88,0)</f>
        <v/>
      </c>
      <c r="BA75" s="56">
        <f>IF(BA$2&gt;=Projections!$D88,Projections!$B88,0)</f>
        <v/>
      </c>
      <c r="BB75" s="56">
        <f>IF(BB$2&gt;=Projections!$D88,Projections!$B88,0)</f>
        <v/>
      </c>
      <c r="BC75" s="56">
        <f>IF(BC$2&gt;=Projections!$D88,Projections!$B88,0)</f>
        <v/>
      </c>
      <c r="BD75" s="56">
        <f>IF(BD$2&gt;=Projections!$D88,Projections!$B88,0)</f>
        <v/>
      </c>
      <c r="BE75" s="56">
        <f>IF(BE$2&gt;=Projections!$D88,Projections!$B88,0)</f>
        <v/>
      </c>
      <c r="BF75" s="56">
        <f>IF(BF$2&gt;=Projections!$D88,Projections!$B88,0)</f>
        <v/>
      </c>
      <c r="BG75" s="56">
        <f>IF(BG$2&gt;=Projections!$D88,Projections!$B88,0)</f>
        <v/>
      </c>
      <c r="BH75" s="56">
        <f>IF(BH$2&gt;=Projections!$D88,Projections!$B88,0)</f>
        <v/>
      </c>
      <c r="BI75" s="56">
        <f>IF(BI$2&gt;=Projections!$D88,Projections!$B88,0)</f>
        <v/>
      </c>
      <c r="BJ75" s="56">
        <f>IF(BJ$2&gt;=Projections!$D88,Projections!$B88,0)</f>
        <v/>
      </c>
      <c r="BK75" s="56">
        <f>IF(BK$2&gt;=Projections!$D88,Projections!$B88,0)</f>
        <v/>
      </c>
      <c r="BL75" s="56">
        <f>IF(BL$2&gt;=Projections!$D88,Projections!$B88,0)</f>
        <v/>
      </c>
      <c r="BM75" s="56">
        <f>IF(BM$2&gt;=Projections!$D88,Projections!$B88,0)</f>
        <v/>
      </c>
      <c r="BN75" s="56">
        <f>IF(BN$2&gt;=Projections!$D88,Projections!$B88,0)</f>
        <v/>
      </c>
      <c r="BO75" s="56">
        <f>IF(BO$2&gt;=Projections!$D88,Projections!$B88,0)</f>
        <v/>
      </c>
      <c r="BP75" s="56">
        <f>IF(BP$2&gt;=Projections!$D88,Projections!$B88,0)</f>
        <v/>
      </c>
      <c r="BQ75" s="56">
        <f>IF(BQ$2&gt;=Projections!$D88,Projections!$B88,0)</f>
        <v/>
      </c>
      <c r="BR75" s="56">
        <f>IF(BR$2&gt;=Projections!$D88,Projections!$B88,0)</f>
        <v/>
      </c>
      <c r="BS75" s="56">
        <f>IF(BS$2&gt;=Projections!$D88,Projections!$B88,0)</f>
        <v/>
      </c>
      <c r="BT75" s="56">
        <f>IF(BT$2&gt;=Projections!$D88,Projections!$B88,0)</f>
        <v/>
      </c>
      <c r="BU75" s="56">
        <f>IF(BU$2&gt;=Projections!$D88,Projections!$B88,0)</f>
        <v/>
      </c>
      <c r="BV75" s="56">
        <f>IF(BV$2&gt;=Projections!$D88,Projections!$B88,0)</f>
        <v/>
      </c>
      <c r="BW75" s="56">
        <f>IF(BW$2&gt;=Projections!$D88,Projections!$B88,0)</f>
        <v/>
      </c>
      <c r="BX75" s="56">
        <f>IF(BX$2&gt;=Projections!$D88,Projections!$B88,0)</f>
        <v/>
      </c>
      <c r="BY75" s="56">
        <f>IF(BY$2&gt;=Projections!$D88,Projections!$B88,0)</f>
        <v/>
      </c>
      <c r="BZ75" s="56">
        <f>IF(BZ$2&gt;=Projections!$D88,Projections!$B88,0)</f>
        <v/>
      </c>
      <c r="CA75" s="56">
        <f>IF(CA$2&gt;=Projections!$D88,Projections!$B88,0)</f>
        <v/>
      </c>
      <c r="CB75" s="56">
        <f>IF(CB$2&gt;=Projections!$D88,Projections!$B88,0)</f>
        <v/>
      </c>
      <c r="CC75" s="56">
        <f>IF(CC$2&gt;=Projections!$D88,Projections!$B88,0)</f>
        <v/>
      </c>
      <c r="CD75" s="56">
        <f>IF(CD$2&gt;=Projections!$D88,Projections!$B88,0)</f>
        <v/>
      </c>
      <c r="CE75" s="56">
        <f>IF(CE$2&gt;=Projections!$D88,Projections!$B88,0)</f>
        <v/>
      </c>
      <c r="CF75" s="56">
        <f>IF(CF$2&gt;=Projections!$D88,Projections!$B88,0)</f>
        <v/>
      </c>
      <c r="CG75" s="56">
        <f>IF(CG$2&gt;=Projections!$D88,Projections!$B88,0)</f>
        <v/>
      </c>
      <c r="CH75" s="56">
        <f>IF(CH$2&gt;=Projections!$D88,Projections!$B88,0)</f>
        <v/>
      </c>
      <c r="CI75" s="56">
        <f>IF(CI$2&gt;=Projections!$D88,Projections!$B88,0)</f>
        <v/>
      </c>
      <c r="CJ75" s="56">
        <f>IF(CJ$2&gt;=Projections!$D88,Projections!$B88,0)</f>
        <v/>
      </c>
      <c r="CK75" s="56">
        <f>IF(CK$2&gt;=Projections!$D88,Projections!$B88,0)</f>
        <v/>
      </c>
      <c r="CL75" s="56">
        <f>IF(CL$2&gt;=Projections!$D88,Projections!$B88,0)</f>
        <v/>
      </c>
      <c r="CM75" s="56">
        <f>IF(CM$2&gt;=Projections!$D88,Projections!$B88,0)</f>
        <v/>
      </c>
      <c r="CN75" s="56">
        <f>IF(CN$2&gt;=Projections!$D88,Projections!$B88,0)</f>
        <v/>
      </c>
      <c r="CO75" s="56">
        <f>IF(CO$2&gt;=Projections!$D88,Projections!$B88,0)</f>
        <v/>
      </c>
      <c r="CP75" s="56">
        <f>IF(CP$2&gt;=Projections!$D88,Projections!$B88,0)</f>
        <v/>
      </c>
      <c r="CQ75" s="56">
        <f>IF(CQ$2&gt;=Projections!$D88,Projections!$B88,0)</f>
        <v/>
      </c>
      <c r="CR75" s="56">
        <f>IF(CR$2&gt;=Projections!$D88,Projections!$B88,0)</f>
        <v/>
      </c>
      <c r="CS75" s="56">
        <f>IF(CS$2&gt;=Projections!$D88,Projections!$B88,0)</f>
        <v/>
      </c>
      <c r="CT75" s="56">
        <f>IF(CT$2&gt;=Projections!$D88,Projections!$B88,0)</f>
        <v/>
      </c>
      <c r="CU75" s="56">
        <f>IF(CU$2&gt;=Projections!$D88,Projections!$B88,0)</f>
        <v/>
      </c>
      <c r="CV75" s="56">
        <f>IF(CV$2&gt;=Projections!$D88,Projections!$B88,0)</f>
        <v/>
      </c>
      <c r="CW75" s="56">
        <f>IF(CW$2&gt;=Projections!$D88,Projections!$B88,0)</f>
        <v/>
      </c>
      <c r="CX75" s="56">
        <f>IF(CX$2&gt;=Projections!$D88,Projections!$B88,0)</f>
        <v/>
      </c>
    </row>
    <row r="76" outlineLevel="2" ht="15.75" customHeight="1" s="255">
      <c r="A76" s="134">
        <f>Projections!A89</f>
        <v/>
      </c>
      <c r="B76" s="56" t="n"/>
      <c r="C76" s="56" t="n"/>
      <c r="D76" s="56" t="n"/>
      <c r="E76" s="56">
        <f>IF(E$2&gt;=Projections!$D89,Projections!$B89,0)</f>
        <v/>
      </c>
      <c r="F76" s="56">
        <f>IF(F$2&gt;=Projections!$D89,Projections!$B89,0)</f>
        <v/>
      </c>
      <c r="G76" s="56">
        <f>IF(G$2&gt;=Projections!$D89,Projections!$B89,0)</f>
        <v/>
      </c>
      <c r="H76" s="56">
        <f>IF(H$2&gt;=Projections!$D89,Projections!$B89,0)</f>
        <v/>
      </c>
      <c r="I76" s="56">
        <f>IF(I$2&gt;=Projections!$D89,Projections!$B89,0)</f>
        <v/>
      </c>
      <c r="J76" s="56">
        <f>IF(J$2&gt;=Projections!$D89,Projections!$B89,0)</f>
        <v/>
      </c>
      <c r="K76" s="56">
        <f>IF(K$2&gt;=Projections!$D89,Projections!$B89,0)</f>
        <v/>
      </c>
      <c r="L76" s="56">
        <f>IF(L$2&gt;=Projections!$D89,Projections!$B89,0)</f>
        <v/>
      </c>
      <c r="M76" s="56">
        <f>IF(M$2&gt;=Projections!$D89,Projections!$B89,0)</f>
        <v/>
      </c>
      <c r="N76" s="56">
        <f>IF(N$2&gt;=Projections!$D89,Projections!$B89,0)</f>
        <v/>
      </c>
      <c r="O76" s="56">
        <f>IF(O$2&gt;=Projections!$D89,Projections!$B89,0)</f>
        <v/>
      </c>
      <c r="P76" s="56">
        <f>IF(P$2&gt;=Projections!$D89,Projections!$B89,0)</f>
        <v/>
      </c>
      <c r="Q76" s="56">
        <f>IF(Q$2&gt;=Projections!$D89,Projections!$B89,0)</f>
        <v/>
      </c>
      <c r="R76" s="56">
        <f>IF(R$2&gt;=Projections!$D89,Projections!$B89,0)</f>
        <v/>
      </c>
      <c r="S76" s="56">
        <f>IF(S$2&gt;=Projections!$D89,Projections!$B89,0)</f>
        <v/>
      </c>
      <c r="T76" s="56">
        <f>IF(T$2&gt;=Projections!$D89,Projections!$B89,0)</f>
        <v/>
      </c>
      <c r="U76" s="56">
        <f>IF(U$2&gt;=Projections!$D89,Projections!$B89,0)</f>
        <v/>
      </c>
      <c r="V76" s="56">
        <f>IF(V$2&gt;=Projections!$D89,Projections!$B89,0)</f>
        <v/>
      </c>
      <c r="W76" s="56">
        <f>IF(W$2&gt;=Projections!$D89,Projections!$B89,0)</f>
        <v/>
      </c>
      <c r="X76" s="56">
        <f>IF(X$2&gt;=Projections!$D89,Projections!$B89,0)</f>
        <v/>
      </c>
      <c r="Y76" s="56">
        <f>IF(Y$2&gt;=Projections!$D89,Projections!$B89,0)</f>
        <v/>
      </c>
      <c r="Z76" s="56">
        <f>IF(Z$2&gt;=Projections!$D89,Projections!$B89,0)</f>
        <v/>
      </c>
      <c r="AA76" s="56">
        <f>IF(AA$2&gt;=Projections!$D89,Projections!$B89,0)</f>
        <v/>
      </c>
      <c r="AB76" s="56">
        <f>IF(AB$2&gt;=Projections!$D89,Projections!$B89,0)</f>
        <v/>
      </c>
      <c r="AC76" s="56">
        <f>IF(AC$2&gt;=Projections!$D89,Projections!$B89,0)</f>
        <v/>
      </c>
      <c r="AD76" s="56">
        <f>IF(AD$2&gt;=Projections!$D89,Projections!$B89,0)</f>
        <v/>
      </c>
      <c r="AE76" s="56">
        <f>IF(AE$2&gt;=Projections!$D89,Projections!$B89,0)</f>
        <v/>
      </c>
      <c r="AF76" s="56">
        <f>IF(AF$2&gt;=Projections!$D89,Projections!$B89,0)</f>
        <v/>
      </c>
      <c r="AG76" s="56">
        <f>IF(AG$2&gt;=Projections!$D89,Projections!$B89,0)</f>
        <v/>
      </c>
      <c r="AH76" s="56">
        <f>IF(AH$2&gt;=Projections!$D89,Projections!$B89,0)</f>
        <v/>
      </c>
      <c r="AI76" s="56">
        <f>IF(AI$2&gt;=Projections!$D89,Projections!$B89,0)</f>
        <v/>
      </c>
      <c r="AJ76" s="56">
        <f>IF(AJ$2&gt;=Projections!$D89,Projections!$B89,0)</f>
        <v/>
      </c>
      <c r="AK76" s="56">
        <f>IF(AK$2&gt;=Projections!$D89,Projections!$B89,0)</f>
        <v/>
      </c>
      <c r="AL76" s="56">
        <f>IF(AL$2&gt;=Projections!$D89,Projections!$B89,0)</f>
        <v/>
      </c>
      <c r="AM76" s="56">
        <f>IF(AM$2&gt;=Projections!$D89,Projections!$B89,0)</f>
        <v/>
      </c>
      <c r="AN76" s="56">
        <f>IF(AN$2&gt;=Projections!$D89,Projections!$B89,0)</f>
        <v/>
      </c>
      <c r="AO76" s="56">
        <f>IF(AO$2&gt;=Projections!$D89,Projections!$B89,0)</f>
        <v/>
      </c>
      <c r="AP76" s="56">
        <f>IF(AP$2&gt;=Projections!$D89,Projections!$B89,0)</f>
        <v/>
      </c>
      <c r="AQ76" s="56">
        <f>IF(AQ$2&gt;=Projections!$D89,Projections!$B89,0)</f>
        <v/>
      </c>
      <c r="AR76" s="56">
        <f>IF(AR$2&gt;=Projections!$D89,Projections!$B89,0)</f>
        <v/>
      </c>
      <c r="AS76" s="56">
        <f>IF(AS$2&gt;=Projections!$D89,Projections!$B89,0)</f>
        <v/>
      </c>
      <c r="AT76" s="56">
        <f>IF(AT$2&gt;=Projections!$D89,Projections!$B89,0)</f>
        <v/>
      </c>
      <c r="AU76" s="56">
        <f>IF(AU$2&gt;=Projections!$D89,Projections!$B89,0)</f>
        <v/>
      </c>
      <c r="AV76" s="56">
        <f>IF(AV$2&gt;=Projections!$D89,Projections!$B89,0)</f>
        <v/>
      </c>
      <c r="AW76" s="56">
        <f>IF(AW$2&gt;=Projections!$D89,Projections!$B89,0)</f>
        <v/>
      </c>
      <c r="AX76" s="56">
        <f>IF(AX$2&gt;=Projections!$D89,Projections!$B89,0)</f>
        <v/>
      </c>
      <c r="AY76" s="56">
        <f>IF(AY$2&gt;=Projections!$D89,Projections!$B89,0)</f>
        <v/>
      </c>
      <c r="AZ76" s="56">
        <f>IF(AZ$2&gt;=Projections!$D89,Projections!$B89,0)</f>
        <v/>
      </c>
      <c r="BA76" s="56">
        <f>IF(BA$2&gt;=Projections!$D89,Projections!$B89,0)</f>
        <v/>
      </c>
      <c r="BB76" s="56">
        <f>IF(BB$2&gt;=Projections!$D89,Projections!$B89,0)</f>
        <v/>
      </c>
      <c r="BC76" s="56">
        <f>IF(BC$2&gt;=Projections!$D89,Projections!$B89,0)</f>
        <v/>
      </c>
      <c r="BD76" s="56">
        <f>IF(BD$2&gt;=Projections!$D89,Projections!$B89,0)</f>
        <v/>
      </c>
      <c r="BE76" s="56">
        <f>IF(BE$2&gt;=Projections!$D89,Projections!$B89,0)</f>
        <v/>
      </c>
      <c r="BF76" s="56">
        <f>IF(BF$2&gt;=Projections!$D89,Projections!$B89,0)</f>
        <v/>
      </c>
      <c r="BG76" s="56">
        <f>IF(BG$2&gt;=Projections!$D89,Projections!$B89,0)</f>
        <v/>
      </c>
      <c r="BH76" s="56">
        <f>IF(BH$2&gt;=Projections!$D89,Projections!$B89,0)</f>
        <v/>
      </c>
      <c r="BI76" s="56">
        <f>IF(BI$2&gt;=Projections!$D89,Projections!$B89,0)</f>
        <v/>
      </c>
      <c r="BJ76" s="56">
        <f>IF(BJ$2&gt;=Projections!$D89,Projections!$B89,0)</f>
        <v/>
      </c>
      <c r="BK76" s="56">
        <f>IF(BK$2&gt;=Projections!$D89,Projections!$B89,0)</f>
        <v/>
      </c>
      <c r="BL76" s="56">
        <f>IF(BL$2&gt;=Projections!$D89,Projections!$B89,0)</f>
        <v/>
      </c>
      <c r="BM76" s="56">
        <f>IF(BM$2&gt;=Projections!$D89,Projections!$B89,0)</f>
        <v/>
      </c>
      <c r="BN76" s="56">
        <f>IF(BN$2&gt;=Projections!$D89,Projections!$B89,0)</f>
        <v/>
      </c>
      <c r="BO76" s="56">
        <f>IF(BO$2&gt;=Projections!$D89,Projections!$B89,0)</f>
        <v/>
      </c>
      <c r="BP76" s="56">
        <f>IF(BP$2&gt;=Projections!$D89,Projections!$B89,0)</f>
        <v/>
      </c>
      <c r="BQ76" s="56">
        <f>IF(BQ$2&gt;=Projections!$D89,Projections!$B89,0)</f>
        <v/>
      </c>
      <c r="BR76" s="56">
        <f>IF(BR$2&gt;=Projections!$D89,Projections!$B89,0)</f>
        <v/>
      </c>
      <c r="BS76" s="56">
        <f>IF(BS$2&gt;=Projections!$D89,Projections!$B89,0)</f>
        <v/>
      </c>
      <c r="BT76" s="56">
        <f>IF(BT$2&gt;=Projections!$D89,Projections!$B89,0)</f>
        <v/>
      </c>
      <c r="BU76" s="56">
        <f>IF(BU$2&gt;=Projections!$D89,Projections!$B89,0)</f>
        <v/>
      </c>
      <c r="BV76" s="56">
        <f>IF(BV$2&gt;=Projections!$D89,Projections!$B89,0)</f>
        <v/>
      </c>
      <c r="BW76" s="56">
        <f>IF(BW$2&gt;=Projections!$D89,Projections!$B89,0)</f>
        <v/>
      </c>
      <c r="BX76" s="56">
        <f>IF(BX$2&gt;=Projections!$D89,Projections!$B89,0)</f>
        <v/>
      </c>
      <c r="BY76" s="56">
        <f>IF(BY$2&gt;=Projections!$D89,Projections!$B89,0)</f>
        <v/>
      </c>
      <c r="BZ76" s="56">
        <f>IF(BZ$2&gt;=Projections!$D89,Projections!$B89,0)</f>
        <v/>
      </c>
      <c r="CA76" s="56">
        <f>IF(CA$2&gt;=Projections!$D89,Projections!$B89,0)</f>
        <v/>
      </c>
      <c r="CB76" s="56">
        <f>IF(CB$2&gt;=Projections!$D89,Projections!$B89,0)</f>
        <v/>
      </c>
      <c r="CC76" s="56">
        <f>IF(CC$2&gt;=Projections!$D89,Projections!$B89,0)</f>
        <v/>
      </c>
      <c r="CD76" s="56">
        <f>IF(CD$2&gt;=Projections!$D89,Projections!$B89,0)</f>
        <v/>
      </c>
      <c r="CE76" s="56">
        <f>IF(CE$2&gt;=Projections!$D89,Projections!$B89,0)</f>
        <v/>
      </c>
      <c r="CF76" s="56">
        <f>IF(CF$2&gt;=Projections!$D89,Projections!$B89,0)</f>
        <v/>
      </c>
      <c r="CG76" s="56">
        <f>IF(CG$2&gt;=Projections!$D89,Projections!$B89,0)</f>
        <v/>
      </c>
      <c r="CH76" s="56">
        <f>IF(CH$2&gt;=Projections!$D89,Projections!$B89,0)</f>
        <v/>
      </c>
      <c r="CI76" s="56">
        <f>IF(CI$2&gt;=Projections!$D89,Projections!$B89,0)</f>
        <v/>
      </c>
      <c r="CJ76" s="56">
        <f>IF(CJ$2&gt;=Projections!$D89,Projections!$B89,0)</f>
        <v/>
      </c>
      <c r="CK76" s="56">
        <f>IF(CK$2&gt;=Projections!$D89,Projections!$B89,0)</f>
        <v/>
      </c>
      <c r="CL76" s="56">
        <f>IF(CL$2&gt;=Projections!$D89,Projections!$B89,0)</f>
        <v/>
      </c>
      <c r="CM76" s="56">
        <f>IF(CM$2&gt;=Projections!$D89,Projections!$B89,0)</f>
        <v/>
      </c>
      <c r="CN76" s="56">
        <f>IF(CN$2&gt;=Projections!$D89,Projections!$B89,0)</f>
        <v/>
      </c>
      <c r="CO76" s="56">
        <f>IF(CO$2&gt;=Projections!$D89,Projections!$B89,0)</f>
        <v/>
      </c>
      <c r="CP76" s="56">
        <f>IF(CP$2&gt;=Projections!$D89,Projections!$B89,0)</f>
        <v/>
      </c>
      <c r="CQ76" s="56">
        <f>IF(CQ$2&gt;=Projections!$D89,Projections!$B89,0)</f>
        <v/>
      </c>
      <c r="CR76" s="56">
        <f>IF(CR$2&gt;=Projections!$D89,Projections!$B89,0)</f>
        <v/>
      </c>
      <c r="CS76" s="56">
        <f>IF(CS$2&gt;=Projections!$D89,Projections!$B89,0)</f>
        <v/>
      </c>
      <c r="CT76" s="56">
        <f>IF(CT$2&gt;=Projections!$D89,Projections!$B89,0)</f>
        <v/>
      </c>
      <c r="CU76" s="56">
        <f>IF(CU$2&gt;=Projections!$D89,Projections!$B89,0)</f>
        <v/>
      </c>
      <c r="CV76" s="56">
        <f>IF(CV$2&gt;=Projections!$D89,Projections!$B89,0)</f>
        <v/>
      </c>
      <c r="CW76" s="56">
        <f>IF(CW$2&gt;=Projections!$D89,Projections!$B89,0)</f>
        <v/>
      </c>
      <c r="CX76" s="56">
        <f>IF(CX$2&gt;=Projections!$D89,Projections!$B89,0)</f>
        <v/>
      </c>
    </row>
    <row r="77" outlineLevel="2" ht="15.75" customHeight="1" s="255">
      <c r="A77" s="134">
        <f>Projections!A90</f>
        <v/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  <c r="CW77" s="56" t="n"/>
      <c r="CX77" s="56" t="n"/>
    </row>
    <row r="78" ht="15.75" customHeight="1" s="25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  <c r="CW78" s="56" t="n"/>
      <c r="CX78" s="56" t="n"/>
    </row>
    <row r="79" ht="15.75" customHeight="1" s="255">
      <c r="A79" s="146" t="inlineStr">
        <is>
          <t>SALES</t>
        </is>
      </c>
      <c r="B79" s="60" t="n"/>
      <c r="C79" s="60" t="n"/>
      <c r="D79" s="60" t="n"/>
      <c r="E79" s="60">
        <f>E84+E89</f>
        <v/>
      </c>
      <c r="F79" s="60">
        <f>F84+F89</f>
        <v/>
      </c>
      <c r="G79" s="60">
        <f>G84+G89</f>
        <v/>
      </c>
      <c r="H79" s="60">
        <f>H84+H89</f>
        <v/>
      </c>
      <c r="I79" s="60">
        <f>I84+I89</f>
        <v/>
      </c>
      <c r="J79" s="60">
        <f>J84+J89</f>
        <v/>
      </c>
      <c r="K79" s="60">
        <f>K84+K89</f>
        <v/>
      </c>
      <c r="L79" s="60">
        <f>L84+L89</f>
        <v/>
      </c>
      <c r="M79" s="60">
        <f>M84+M89</f>
        <v/>
      </c>
      <c r="N79" s="60">
        <f>N84+N89</f>
        <v/>
      </c>
      <c r="O79" s="60">
        <f>O84+O89</f>
        <v/>
      </c>
      <c r="P79" s="60">
        <f>P84+P89</f>
        <v/>
      </c>
      <c r="Q79" s="60">
        <f>Q84+Q89</f>
        <v/>
      </c>
      <c r="R79" s="60">
        <f>R84+R89</f>
        <v/>
      </c>
      <c r="S79" s="60">
        <f>S84+S89</f>
        <v/>
      </c>
      <c r="T79" s="60">
        <f>T84+T89</f>
        <v/>
      </c>
      <c r="U79" s="60">
        <f>U84+U89</f>
        <v/>
      </c>
      <c r="V79" s="60">
        <f>V84+V89</f>
        <v/>
      </c>
      <c r="W79" s="60">
        <f>W84+W89</f>
        <v/>
      </c>
      <c r="X79" s="60">
        <f>X84+X89</f>
        <v/>
      </c>
      <c r="Y79" s="60">
        <f>Y84+Y89</f>
        <v/>
      </c>
      <c r="Z79" s="60">
        <f>Z84+Z89</f>
        <v/>
      </c>
      <c r="AA79" s="60">
        <f>AA84+AA89</f>
        <v/>
      </c>
      <c r="AB79" s="60">
        <f>AB84+AB89</f>
        <v/>
      </c>
      <c r="AC79" s="60">
        <f>AC84+AC89</f>
        <v/>
      </c>
      <c r="AD79" s="60">
        <f>AD84+AD89</f>
        <v/>
      </c>
      <c r="AE79" s="60">
        <f>AE84+AE89</f>
        <v/>
      </c>
      <c r="AF79" s="60">
        <f>AF84+AF89</f>
        <v/>
      </c>
      <c r="AG79" s="60">
        <f>AG84+AG89</f>
        <v/>
      </c>
      <c r="AH79" s="60">
        <f>AH84+AH89</f>
        <v/>
      </c>
      <c r="AI79" s="60">
        <f>AI84+AI89</f>
        <v/>
      </c>
      <c r="AJ79" s="60">
        <f>AJ84+AJ89</f>
        <v/>
      </c>
      <c r="AK79" s="60">
        <f>AK84+AK89</f>
        <v/>
      </c>
      <c r="AL79" s="60">
        <f>AL84+AL89</f>
        <v/>
      </c>
      <c r="AM79" s="60">
        <f>AM84+AM89</f>
        <v/>
      </c>
      <c r="AN79" s="60">
        <f>AN84+AN89</f>
        <v/>
      </c>
      <c r="AO79" s="60">
        <f>AO84+AO89</f>
        <v/>
      </c>
      <c r="AP79" s="60">
        <f>AP84+AP89</f>
        <v/>
      </c>
      <c r="AQ79" s="60">
        <f>AQ84+AQ89</f>
        <v/>
      </c>
      <c r="AR79" s="60">
        <f>AR84+AR89</f>
        <v/>
      </c>
      <c r="AS79" s="60">
        <f>AS84+AS89</f>
        <v/>
      </c>
      <c r="AT79" s="60">
        <f>AT84+AT89</f>
        <v/>
      </c>
      <c r="AU79" s="60">
        <f>AU84+AU89</f>
        <v/>
      </c>
      <c r="AV79" s="60">
        <f>AV84+AV89</f>
        <v/>
      </c>
      <c r="AW79" s="60">
        <f>AW84+AW89</f>
        <v/>
      </c>
      <c r="AX79" s="60">
        <f>AX84+AX89</f>
        <v/>
      </c>
      <c r="AY79" s="60">
        <f>AY84+AY89</f>
        <v/>
      </c>
      <c r="AZ79" s="60">
        <f>AZ84+AZ89</f>
        <v/>
      </c>
      <c r="BA79" s="60">
        <f>BA84+BA89</f>
        <v/>
      </c>
      <c r="BB79" s="60">
        <f>BB84+BB89</f>
        <v/>
      </c>
      <c r="BC79" s="60">
        <f>BC84+BC89</f>
        <v/>
      </c>
      <c r="BD79" s="60">
        <f>BD84+BD89</f>
        <v/>
      </c>
      <c r="BE79" s="60">
        <f>BE84+BE89</f>
        <v/>
      </c>
      <c r="BF79" s="60">
        <f>BF84+BF89</f>
        <v/>
      </c>
      <c r="BG79" s="60">
        <f>BG84+BG89</f>
        <v/>
      </c>
      <c r="BH79" s="60">
        <f>BH84+BH89</f>
        <v/>
      </c>
      <c r="BI79" s="60">
        <f>BI84+BI89</f>
        <v/>
      </c>
      <c r="BJ79" s="60">
        <f>BJ84+BJ89</f>
        <v/>
      </c>
      <c r="BK79" s="60">
        <f>BK84+BK89</f>
        <v/>
      </c>
      <c r="BL79" s="60">
        <f>BL84+BL89</f>
        <v/>
      </c>
      <c r="BM79" s="60">
        <f>BM84+BM89</f>
        <v/>
      </c>
      <c r="BN79" s="60">
        <f>BN84+BN89</f>
        <v/>
      </c>
      <c r="BO79" s="60">
        <f>BO84+BO89</f>
        <v/>
      </c>
      <c r="BP79" s="60">
        <f>BP84+BP89</f>
        <v/>
      </c>
      <c r="BQ79" s="60">
        <f>BQ84+BQ89</f>
        <v/>
      </c>
      <c r="BR79" s="60">
        <f>BR84+BR89</f>
        <v/>
      </c>
      <c r="BS79" s="60">
        <f>BS84+BS89</f>
        <v/>
      </c>
      <c r="BT79" s="60">
        <f>BT84+BT89</f>
        <v/>
      </c>
      <c r="BU79" s="60">
        <f>BU84+BU89</f>
        <v/>
      </c>
      <c r="BV79" s="60">
        <f>BV84+BV89</f>
        <v/>
      </c>
      <c r="BW79" s="60">
        <f>BW84+BW89</f>
        <v/>
      </c>
      <c r="BX79" s="60">
        <f>BX84+BX89</f>
        <v/>
      </c>
      <c r="BY79" s="60">
        <f>BY84+BY89</f>
        <v/>
      </c>
      <c r="BZ79" s="60">
        <f>BZ84+BZ89</f>
        <v/>
      </c>
      <c r="CA79" s="60">
        <f>CA84+CA89</f>
        <v/>
      </c>
      <c r="CB79" s="60">
        <f>CB84+CB89</f>
        <v/>
      </c>
      <c r="CC79" s="60">
        <f>CC84+CC89</f>
        <v/>
      </c>
      <c r="CD79" s="60">
        <f>CD84+CD89</f>
        <v/>
      </c>
      <c r="CE79" s="60">
        <f>CE84+CE89</f>
        <v/>
      </c>
      <c r="CF79" s="60">
        <f>CF84+CF89</f>
        <v/>
      </c>
      <c r="CG79" s="60">
        <f>CG84+CG89</f>
        <v/>
      </c>
      <c r="CH79" s="60">
        <f>CH84+CH89</f>
        <v/>
      </c>
      <c r="CI79" s="60">
        <f>CI84+CI89</f>
        <v/>
      </c>
      <c r="CJ79" s="60">
        <f>CJ84+CJ89</f>
        <v/>
      </c>
      <c r="CK79" s="60">
        <f>CK84+CK89</f>
        <v/>
      </c>
      <c r="CL79" s="60">
        <f>CL84+CL89</f>
        <v/>
      </c>
      <c r="CM79" s="60">
        <f>CM84+CM89</f>
        <v/>
      </c>
      <c r="CN79" s="60">
        <f>CN84+CN89</f>
        <v/>
      </c>
      <c r="CO79" s="60">
        <f>CO84+CO89</f>
        <v/>
      </c>
      <c r="CP79" s="60">
        <f>CP84+CP89</f>
        <v/>
      </c>
      <c r="CQ79" s="60">
        <f>CQ84+CQ89</f>
        <v/>
      </c>
      <c r="CR79" s="60">
        <f>CR84+CR89</f>
        <v/>
      </c>
      <c r="CS79" s="60">
        <f>CS84+CS89</f>
        <v/>
      </c>
      <c r="CT79" s="60">
        <f>CT84+CT89</f>
        <v/>
      </c>
      <c r="CU79" s="60">
        <f>CU84+CU89</f>
        <v/>
      </c>
      <c r="CV79" s="60">
        <f>CV84+CV89</f>
        <v/>
      </c>
      <c r="CW79" s="60">
        <f>CW84+CW89</f>
        <v/>
      </c>
      <c r="CX79" s="60">
        <f>CX84+CX89</f>
        <v/>
      </c>
    </row>
    <row r="80" ht="15.75" customHeight="1" s="255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0" t="n"/>
      <c r="BU80" s="60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0" t="n"/>
      <c r="CO80" s="60" t="n"/>
      <c r="CP80" s="60" t="n"/>
      <c r="CQ80" s="60" t="n"/>
      <c r="CR80" s="60" t="n"/>
      <c r="CS80" s="60" t="n"/>
      <c r="CT80" s="60" t="n"/>
      <c r="CU80" s="60" t="n"/>
      <c r="CV80" s="60" t="n"/>
      <c r="CW80" s="60" t="n"/>
      <c r="CX80" s="60" t="n"/>
    </row>
    <row r="81" ht="15.75" customHeight="1" s="255">
      <c r="A81" s="148" t="inlineStr">
        <is>
          <t>Inbound Sales Managers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0" t="n"/>
      <c r="BU81" s="60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0" t="n"/>
      <c r="CO81" s="60" t="n"/>
      <c r="CP81" s="60" t="n"/>
      <c r="CQ81" s="60" t="n"/>
      <c r="CR81" s="60" t="n"/>
      <c r="CS81" s="60" t="n"/>
      <c r="CT81" s="60" t="n"/>
      <c r="CU81" s="60" t="n"/>
      <c r="CV81" s="60" t="n"/>
      <c r="CW81" s="60" t="n"/>
      <c r="CX81" s="60" t="n"/>
    </row>
    <row r="82" ht="15.75" customHeight="1" s="255">
      <c r="A82" s="134" t="inlineStr">
        <is>
          <t>Number of Inbound Managers</t>
        </is>
      </c>
      <c r="B82" s="56" t="n"/>
      <c r="C82" s="56" t="n"/>
      <c r="D82" s="56" t="n"/>
      <c r="E82" s="56">
        <f>ROUNDUP(E26/Projections!$B$49,0)</f>
        <v/>
      </c>
      <c r="F82" s="56">
        <f>ROUNDUP(F26/Projections!$B$49,0)</f>
        <v/>
      </c>
      <c r="G82" s="56">
        <f>ROUNDUP(G26/Projections!$B$49,0)</f>
        <v/>
      </c>
      <c r="H82" s="56">
        <f>ROUNDUP(H26/Projections!$B$49,0)</f>
        <v/>
      </c>
      <c r="I82" s="56">
        <f>ROUNDUP(I26/Projections!$B$49,0)</f>
        <v/>
      </c>
      <c r="J82" s="56">
        <f>ROUNDUP(J26/Projections!$B$49,0)</f>
        <v/>
      </c>
      <c r="K82" s="56">
        <f>ROUNDUP(K26/Projections!$B$49,0)</f>
        <v/>
      </c>
      <c r="L82" s="56">
        <f>ROUNDUP(L26/Projections!$B$49,0)</f>
        <v/>
      </c>
      <c r="M82" s="56">
        <f>ROUNDUP(M26/Projections!$B$49,0)</f>
        <v/>
      </c>
      <c r="N82" s="56">
        <f>ROUNDUP(N26/Projections!$B$49,0)</f>
        <v/>
      </c>
      <c r="O82" s="56">
        <f>ROUNDUP(O26/Projections!$B$49,0)</f>
        <v/>
      </c>
      <c r="P82" s="56">
        <f>ROUNDUP(P26/Projections!$B$49,0)</f>
        <v/>
      </c>
      <c r="Q82" s="56">
        <f>ROUNDUP(Q26/Projections!$B$49,0)</f>
        <v/>
      </c>
      <c r="R82" s="56">
        <f>ROUNDUP(R26/Projections!$B$49,0)</f>
        <v/>
      </c>
      <c r="S82" s="56">
        <f>ROUNDUP(S26/Projections!$B$49,0)</f>
        <v/>
      </c>
      <c r="T82" s="56">
        <f>ROUNDUP(T26/Projections!$B$49,0)</f>
        <v/>
      </c>
      <c r="U82" s="56">
        <f>ROUNDUP(U26/Projections!$B$49,0)</f>
        <v/>
      </c>
      <c r="V82" s="56">
        <f>ROUNDUP(V26/Projections!$B$49,0)</f>
        <v/>
      </c>
      <c r="W82" s="56">
        <f>ROUNDUP(W26/Projections!$B$49,0)</f>
        <v/>
      </c>
      <c r="X82" s="56">
        <f>ROUNDUP(X26/Projections!$B$49,0)</f>
        <v/>
      </c>
      <c r="Y82" s="56">
        <f>ROUNDUP(Y26/Projections!$B$49,0)</f>
        <v/>
      </c>
      <c r="Z82" s="56">
        <f>ROUNDUP(Z26/Projections!$B$49,0)</f>
        <v/>
      </c>
      <c r="AA82" s="56">
        <f>ROUNDUP(AA26/Projections!$B$49,0)</f>
        <v/>
      </c>
      <c r="AB82" s="56">
        <f>ROUNDUP(AB26/Projections!$B$49,0)</f>
        <v/>
      </c>
      <c r="AC82" s="56">
        <f>ROUNDUP(AC26/Projections!$B$49,0)</f>
        <v/>
      </c>
      <c r="AD82" s="56">
        <f>ROUNDUP(AD26/Projections!$B$49,0)</f>
        <v/>
      </c>
      <c r="AE82" s="56">
        <f>ROUNDUP(AE26/Projections!$B$49,0)</f>
        <v/>
      </c>
      <c r="AF82" s="56">
        <f>ROUNDUP(AF26/Projections!$B$49,0)</f>
        <v/>
      </c>
      <c r="AG82" s="56">
        <f>ROUNDUP(AG26/Projections!$B$49,0)</f>
        <v/>
      </c>
      <c r="AH82" s="56">
        <f>ROUNDUP(AH26/Projections!$B$49,0)</f>
        <v/>
      </c>
      <c r="AI82" s="56">
        <f>ROUNDUP(AI26/Projections!$B$49,0)</f>
        <v/>
      </c>
      <c r="AJ82" s="56">
        <f>ROUNDUP(AJ26/Projections!$B$49,0)</f>
        <v/>
      </c>
      <c r="AK82" s="56">
        <f>ROUNDUP(AK26/Projections!$B$49,0)</f>
        <v/>
      </c>
      <c r="AL82" s="56">
        <f>ROUNDUP(AL26/Projections!$B$49,0)</f>
        <v/>
      </c>
      <c r="AM82" s="56">
        <f>ROUNDUP(AM26/Projections!$B$49,0)</f>
        <v/>
      </c>
      <c r="AN82" s="56">
        <f>ROUNDUP(AN26/Projections!$B$49,0)</f>
        <v/>
      </c>
      <c r="AO82" s="56">
        <f>ROUNDUP(AO26/Projections!$B$49,0)</f>
        <v/>
      </c>
      <c r="AP82" s="56">
        <f>ROUNDUP(AP26/Projections!$B$49,0)</f>
        <v/>
      </c>
      <c r="AQ82" s="56">
        <f>ROUNDUP(AQ26/Projections!$B$49,0)</f>
        <v/>
      </c>
      <c r="AR82" s="56">
        <f>ROUNDUP(AR26/Projections!$B$49,0)</f>
        <v/>
      </c>
      <c r="AS82" s="56">
        <f>ROUNDUP(AS26/Projections!$B$49,0)</f>
        <v/>
      </c>
      <c r="AT82" s="56">
        <f>ROUNDUP(AT26/Projections!$B$49,0)</f>
        <v/>
      </c>
      <c r="AU82" s="56">
        <f>ROUNDUP(AU26/Projections!$B$49,0)</f>
        <v/>
      </c>
      <c r="AV82" s="56">
        <f>ROUNDUP(AV26/Projections!$B$49,0)</f>
        <v/>
      </c>
      <c r="AW82" s="56">
        <f>ROUNDUP(AW26/Projections!$B$49,0)</f>
        <v/>
      </c>
      <c r="AX82" s="56">
        <f>ROUNDUP(AX26/Projections!$B$49,0)</f>
        <v/>
      </c>
      <c r="AY82" s="56">
        <f>ROUNDUP(AY26/Projections!$B$49,0)</f>
        <v/>
      </c>
      <c r="AZ82" s="56">
        <f>ROUNDUP(AZ26/Projections!$B$49,0)</f>
        <v/>
      </c>
      <c r="BA82" s="56">
        <f>ROUNDUP(BA26/Projections!$B$49,0)</f>
        <v/>
      </c>
      <c r="BB82" s="56">
        <f>ROUNDUP(BB26/Projections!$B$49,0)</f>
        <v/>
      </c>
      <c r="BC82" s="56">
        <f>ROUNDUP(BC26/Projections!$B$49,0)</f>
        <v/>
      </c>
      <c r="BD82" s="56">
        <f>ROUNDUP(BD26/Projections!$B$49,0)</f>
        <v/>
      </c>
      <c r="BE82" s="56">
        <f>ROUNDUP(BE26/Projections!$B$49,0)</f>
        <v/>
      </c>
      <c r="BF82" s="56">
        <f>ROUNDUP(BF26/Projections!$B$49,0)</f>
        <v/>
      </c>
      <c r="BG82" s="56">
        <f>ROUNDUP(BG26/Projections!$B$49,0)</f>
        <v/>
      </c>
      <c r="BH82" s="56">
        <f>ROUNDUP(BH26/Projections!$B$49,0)</f>
        <v/>
      </c>
      <c r="BI82" s="56">
        <f>ROUNDUP(BI26/Projections!$B$49,0)</f>
        <v/>
      </c>
      <c r="BJ82" s="56">
        <f>ROUNDUP(BJ26/Projections!$B$49,0)</f>
        <v/>
      </c>
      <c r="BK82" s="56">
        <f>ROUNDUP(BK26/Projections!$B$49,0)</f>
        <v/>
      </c>
      <c r="BL82" s="56">
        <f>ROUNDUP(BL26/Projections!$B$49,0)</f>
        <v/>
      </c>
      <c r="BM82" s="56">
        <f>ROUNDUP(BM26/Projections!$B$49,0)</f>
        <v/>
      </c>
      <c r="BN82" s="56">
        <f>ROUNDUP(BN26/Projections!$B$49,0)</f>
        <v/>
      </c>
      <c r="BO82" s="56">
        <f>ROUNDUP(BO26/Projections!$B$49,0)</f>
        <v/>
      </c>
      <c r="BP82" s="56">
        <f>ROUNDUP(BP26/Projections!$B$49,0)</f>
        <v/>
      </c>
      <c r="BQ82" s="56">
        <f>ROUNDUP(BQ26/Projections!$B$49,0)</f>
        <v/>
      </c>
      <c r="BR82" s="56">
        <f>ROUNDUP(BR26/Projections!$B$49,0)</f>
        <v/>
      </c>
      <c r="BS82" s="56">
        <f>ROUNDUP(BS26/Projections!$B$49,0)</f>
        <v/>
      </c>
      <c r="BT82" s="56">
        <f>ROUNDUP(BT26/Projections!$B$49,0)</f>
        <v/>
      </c>
      <c r="BU82" s="56">
        <f>ROUNDUP(BU26/Projections!$B$49,0)</f>
        <v/>
      </c>
      <c r="BV82" s="56">
        <f>ROUNDUP(BV26/Projections!$B$49,0)</f>
        <v/>
      </c>
      <c r="BW82" s="56">
        <f>ROUNDUP(BW26/Projections!$B$49,0)</f>
        <v/>
      </c>
      <c r="BX82" s="56">
        <f>ROUNDUP(BX26/Projections!$B$49,0)</f>
        <v/>
      </c>
      <c r="BY82" s="56">
        <f>ROUNDUP(BY26/Projections!$B$49,0)</f>
        <v/>
      </c>
      <c r="BZ82" s="56">
        <f>ROUNDUP(BZ26/Projections!$B$49,0)</f>
        <v/>
      </c>
      <c r="CA82" s="56">
        <f>ROUNDUP(CA26/Projections!$B$49,0)</f>
        <v/>
      </c>
      <c r="CB82" s="56">
        <f>ROUNDUP(CB26/Projections!$B$49,0)</f>
        <v/>
      </c>
      <c r="CC82" s="56">
        <f>ROUNDUP(CC26/Projections!$B$49,0)</f>
        <v/>
      </c>
      <c r="CD82" s="56">
        <f>ROUNDUP(CD26/Projections!$B$49,0)</f>
        <v/>
      </c>
      <c r="CE82" s="56">
        <f>ROUNDUP(CE26/Projections!$B$49,0)</f>
        <v/>
      </c>
      <c r="CF82" s="56">
        <f>ROUNDUP(CF26/Projections!$B$49,0)</f>
        <v/>
      </c>
      <c r="CG82" s="56">
        <f>ROUNDUP(CG26/Projections!$B$49,0)</f>
        <v/>
      </c>
      <c r="CH82" s="56">
        <f>ROUNDUP(CH26/Projections!$B$49,0)</f>
        <v/>
      </c>
      <c r="CI82" s="56">
        <f>ROUNDUP(CI26/Projections!$B$49,0)</f>
        <v/>
      </c>
      <c r="CJ82" s="56">
        <f>ROUNDUP(CJ26/Projections!$B$49,0)</f>
        <v/>
      </c>
      <c r="CK82" s="56">
        <f>ROUNDUP(CK26/Projections!$B$49,0)</f>
        <v/>
      </c>
      <c r="CL82" s="56">
        <f>ROUNDUP(CL26/Projections!$B$49,0)</f>
        <v/>
      </c>
      <c r="CM82" s="56">
        <f>ROUNDUP(CM26/Projections!$B$49,0)</f>
        <v/>
      </c>
      <c r="CN82" s="56">
        <f>ROUNDUP(CN26/Projections!$B$49,0)</f>
        <v/>
      </c>
      <c r="CO82" s="56">
        <f>ROUNDUP(CO26/Projections!$B$49,0)</f>
        <v/>
      </c>
      <c r="CP82" s="56">
        <f>ROUNDUP(CP26/Projections!$B$49,0)</f>
        <v/>
      </c>
      <c r="CQ82" s="56">
        <f>ROUNDUP(CQ26/Projections!$B$49,0)</f>
        <v/>
      </c>
      <c r="CR82" s="56">
        <f>ROUNDUP(CR26/Projections!$B$49,0)</f>
        <v/>
      </c>
      <c r="CS82" s="56">
        <f>ROUNDUP(CS26/Projections!$B$49,0)</f>
        <v/>
      </c>
      <c r="CT82" s="56">
        <f>ROUNDUP(CT26/Projections!$B$49,0)</f>
        <v/>
      </c>
      <c r="CU82" s="56">
        <f>ROUNDUP(CU26/Projections!$B$49,0)</f>
        <v/>
      </c>
      <c r="CV82" s="56">
        <f>ROUNDUP(CV26/Projections!$B$49,0)</f>
        <v/>
      </c>
      <c r="CW82" s="56">
        <f>ROUNDUP(CW26/Projections!$B$49,0)</f>
        <v/>
      </c>
      <c r="CX82" s="56">
        <f>ROUNDUP(CX26/Projections!$B$49,0)</f>
        <v/>
      </c>
    </row>
    <row r="83" ht="15.75" customHeight="1" s="255">
      <c r="A83" s="134" t="inlineStr">
        <is>
          <t>Cost per manager</t>
        </is>
      </c>
      <c r="B83" s="56" t="n"/>
      <c r="C83" s="56" t="n"/>
      <c r="D83" s="56" t="n"/>
      <c r="E83" s="56">
        <f>IF(E$2=Payroll!$I45,Payroll!$F45,IF(E$2&gt;Payroll!$I45,Payroll!$F45*((1+Payroll!$J45)^(ROUNDDOWN(DATEDIF(Payroll!$I45,E$2,"M")/Payroll!$K45,0))),0))</f>
        <v/>
      </c>
      <c r="F83" s="56">
        <f>IF(F$2=Payroll!$I45,Payroll!$F45,IF(F$2&gt;Payroll!$I45,Payroll!$F45*((1+Payroll!$J45)^(ROUNDDOWN(DATEDIF(Payroll!$I45,F$2,"M")/Payroll!$K45,0))),0))</f>
        <v/>
      </c>
      <c r="G83" s="56">
        <f>IF(G$2=Payroll!$I45,Payroll!$F45,IF(G$2&gt;Payroll!$I45,Payroll!$F45*((1+Payroll!$J45)^(ROUNDDOWN(DATEDIF(Payroll!$I45,G$2,"M")/Payroll!$K45,0))),0))</f>
        <v/>
      </c>
      <c r="H83" s="56">
        <f>IF(H$2=Payroll!$I45,Payroll!$F45,IF(H$2&gt;Payroll!$I45,Payroll!$F45*((1+Payroll!$J45)^(ROUNDDOWN(DATEDIF(Payroll!$I45,H$2,"M")/Payroll!$K45,0))),0))</f>
        <v/>
      </c>
      <c r="I83" s="56">
        <f>IF(I$2=Payroll!$I45,Payroll!$F45,IF(I$2&gt;Payroll!$I45,Payroll!$F45*((1+Payroll!$J45)^(ROUNDDOWN(DATEDIF(Payroll!$I45,I$2,"M")/Payroll!$K45,0))),0))</f>
        <v/>
      </c>
      <c r="J83" s="56">
        <f>IF(J$2=Payroll!$I45,Payroll!$F45,IF(J$2&gt;Payroll!$I45,Payroll!$F45*((1+Payroll!$J45)^(ROUNDDOWN(DATEDIF(Payroll!$I45,J$2,"M")/Payroll!$K45,0))),0))</f>
        <v/>
      </c>
      <c r="K83" s="56">
        <f>IF(K$2=Payroll!$I45,Payroll!$F45,IF(K$2&gt;Payroll!$I45,Payroll!$F45*((1+Payroll!$J45)^(ROUNDDOWN(DATEDIF(Payroll!$I45,K$2,"M")/Payroll!$K45,0))),0))</f>
        <v/>
      </c>
      <c r="L83" s="56">
        <f>IF(L$2=Payroll!$I45,Payroll!$F45,IF(L$2&gt;Payroll!$I45,Payroll!$F45*((1+Payroll!$J45)^(ROUNDDOWN(DATEDIF(Payroll!$I45,L$2,"M")/Payroll!$K45,0))),0))</f>
        <v/>
      </c>
      <c r="M83" s="56">
        <f>IF(M$2=Payroll!$I45,Payroll!$F45,IF(M$2&gt;Payroll!$I45,Payroll!$F45*((1+Payroll!$J45)^(ROUNDDOWN(DATEDIF(Payroll!$I45,M$2,"M")/Payroll!$K45,0))),0))</f>
        <v/>
      </c>
      <c r="N83" s="56">
        <f>IF(N$2=Payroll!$I45,Payroll!$F45,IF(N$2&gt;Payroll!$I45,Payroll!$F45*((1+Payroll!$J45)^(ROUNDDOWN(DATEDIF(Payroll!$I45,N$2,"M")/Payroll!$K45,0))),0))</f>
        <v/>
      </c>
      <c r="O83" s="56">
        <f>IF(O$2=Payroll!$I45,Payroll!$F45,IF(O$2&gt;Payroll!$I45,Payroll!$F45*((1+Payroll!$J45)^(ROUNDDOWN(DATEDIF(Payroll!$I45,O$2,"M")/Payroll!$K45,0))),0))</f>
        <v/>
      </c>
      <c r="P83" s="56">
        <f>IF(P$2=Payroll!$I45,Payroll!$F45,IF(P$2&gt;Payroll!$I45,Payroll!$F45*((1+Payroll!$J45)^(ROUNDDOWN(DATEDIF(Payroll!$I45,P$2,"M")/Payroll!$K45,0))),0))</f>
        <v/>
      </c>
      <c r="Q83" s="56">
        <f>IF(Q$2=Payroll!$I45,Payroll!$F45,IF(Q$2&gt;Payroll!$I45,Payroll!$F45*((1+Payroll!$J45)^(ROUNDDOWN(DATEDIF(Payroll!$I45,Q$2,"M")/Payroll!$K45,0))),0))</f>
        <v/>
      </c>
      <c r="R83" s="56">
        <f>IF(R$2=Payroll!$I45,Payroll!$F45,IF(R$2&gt;Payroll!$I45,Payroll!$F45*((1+Payroll!$J45)^(ROUNDDOWN(DATEDIF(Payroll!$I45,R$2,"M")/Payroll!$K45,0))),0))</f>
        <v/>
      </c>
      <c r="S83" s="56">
        <f>IF(S$2=Payroll!$I45,Payroll!$F45,IF(S$2&gt;Payroll!$I45,Payroll!$F45*((1+Payroll!$J45)^(ROUNDDOWN(DATEDIF(Payroll!$I45,S$2,"M")/Payroll!$K45,0))),0))</f>
        <v/>
      </c>
      <c r="T83" s="56">
        <f>IF(T$2=Payroll!$I45,Payroll!$F45,IF(T$2&gt;Payroll!$I45,Payroll!$F45*((1+Payroll!$J45)^(ROUNDDOWN(DATEDIF(Payroll!$I45,T$2,"M")/Payroll!$K45,0))),0))</f>
        <v/>
      </c>
      <c r="U83" s="56">
        <f>IF(U$2=Payroll!$I45,Payroll!$F45,IF(U$2&gt;Payroll!$I45,Payroll!$F45*((1+Payroll!$J45)^(ROUNDDOWN(DATEDIF(Payroll!$I45,U$2,"M")/Payroll!$K45,0))),0))</f>
        <v/>
      </c>
      <c r="V83" s="56">
        <f>IF(V$2=Payroll!$I45,Payroll!$F45,IF(V$2&gt;Payroll!$I45,Payroll!$F45*((1+Payroll!$J45)^(ROUNDDOWN(DATEDIF(Payroll!$I45,V$2,"M")/Payroll!$K45,0))),0))</f>
        <v/>
      </c>
      <c r="W83" s="56">
        <f>IF(W$2=Payroll!$I45,Payroll!$F45,IF(W$2&gt;Payroll!$I45,Payroll!$F45*((1+Payroll!$J45)^(ROUNDDOWN(DATEDIF(Payroll!$I45,W$2,"M")/Payroll!$K45,0))),0))</f>
        <v/>
      </c>
      <c r="X83" s="56">
        <f>IF(X$2=Payroll!$I45,Payroll!$F45,IF(X$2&gt;Payroll!$I45,Payroll!$F45*((1+Payroll!$J45)^(ROUNDDOWN(DATEDIF(Payroll!$I45,X$2,"M")/Payroll!$K45,0))),0))</f>
        <v/>
      </c>
      <c r="Y83" s="56">
        <f>IF(Y$2=Payroll!$I45,Payroll!$F45,IF(Y$2&gt;Payroll!$I45,Payroll!$F45*((1+Payroll!$J45)^(ROUNDDOWN(DATEDIF(Payroll!$I45,Y$2,"M")/Payroll!$K45,0))),0))</f>
        <v/>
      </c>
      <c r="Z83" s="56">
        <f>IF(Z$2=Payroll!$I45,Payroll!$F45,IF(Z$2&gt;Payroll!$I45,Payroll!$F45*((1+Payroll!$J45)^(ROUNDDOWN(DATEDIF(Payroll!$I45,Z$2,"M")/Payroll!$K45,0))),0))</f>
        <v/>
      </c>
      <c r="AA83" s="56">
        <f>IF(AA$2=Payroll!$I45,Payroll!$F45,IF(AA$2&gt;Payroll!$I45,Payroll!$F45*((1+Payroll!$J45)^(ROUNDDOWN(DATEDIF(Payroll!$I45,AA$2,"M")/Payroll!$K45,0))),0))</f>
        <v/>
      </c>
      <c r="AB83" s="56">
        <f>IF(AB$2=Payroll!$I45,Payroll!$F45,IF(AB$2&gt;Payroll!$I45,Payroll!$F45*((1+Payroll!$J45)^(ROUNDDOWN(DATEDIF(Payroll!$I45,AB$2,"M")/Payroll!$K45,0))),0))</f>
        <v/>
      </c>
      <c r="AC83" s="56">
        <f>IF(AC$2=Payroll!$I45,Payroll!$F45,IF(AC$2&gt;Payroll!$I45,Payroll!$F45*((1+Payroll!$J45)^(ROUNDDOWN(DATEDIF(Payroll!$I45,AC$2,"M")/Payroll!$K45,0))),0))</f>
        <v/>
      </c>
      <c r="AD83" s="56">
        <f>IF(AD$2=Payroll!$I45,Payroll!$F45,IF(AD$2&gt;Payroll!$I45,Payroll!$F45*((1+Payroll!$J45)^(ROUNDDOWN(DATEDIF(Payroll!$I45,AD$2,"M")/Payroll!$K45,0))),0))</f>
        <v/>
      </c>
      <c r="AE83" s="56">
        <f>IF(AE$2=Payroll!$I45,Payroll!$F45,IF(AE$2&gt;Payroll!$I45,Payroll!$F45*((1+Payroll!$J45)^(ROUNDDOWN(DATEDIF(Payroll!$I45,AE$2,"M")/Payroll!$K45,0))),0))</f>
        <v/>
      </c>
      <c r="AF83" s="56">
        <f>IF(AF$2=Payroll!$I45,Payroll!$F45,IF(AF$2&gt;Payroll!$I45,Payroll!$F45*((1+Payroll!$J45)^(ROUNDDOWN(DATEDIF(Payroll!$I45,AF$2,"M")/Payroll!$K45,0))),0))</f>
        <v/>
      </c>
      <c r="AG83" s="56">
        <f>IF(AG$2=Payroll!$I45,Payroll!$F45,IF(AG$2&gt;Payroll!$I45,Payroll!$F45*((1+Payroll!$J45)^(ROUNDDOWN(DATEDIF(Payroll!$I45,AG$2,"M")/Payroll!$K45,0))),0))</f>
        <v/>
      </c>
      <c r="AH83" s="56">
        <f>IF(AH$2=Payroll!$I45,Payroll!$F45,IF(AH$2&gt;Payroll!$I45,Payroll!$F45*((1+Payroll!$J45)^(ROUNDDOWN(DATEDIF(Payroll!$I45,AH$2,"M")/Payroll!$K45,0))),0))</f>
        <v/>
      </c>
      <c r="AI83" s="56">
        <f>IF(AI$2=Payroll!$I45,Payroll!$F45,IF(AI$2&gt;Payroll!$I45,Payroll!$F45*((1+Payroll!$J45)^(ROUNDDOWN(DATEDIF(Payroll!$I45,AI$2,"M")/Payroll!$K45,0))),0))</f>
        <v/>
      </c>
      <c r="AJ83" s="56">
        <f>IF(AJ$2=Payroll!$I45,Payroll!$F45,IF(AJ$2&gt;Payroll!$I45,Payroll!$F45*((1+Payroll!$J45)^(ROUNDDOWN(DATEDIF(Payroll!$I45,AJ$2,"M")/Payroll!$K45,0))),0))</f>
        <v/>
      </c>
      <c r="AK83" s="56">
        <f>IF(AK$2=Payroll!$I45,Payroll!$F45,IF(AK$2&gt;Payroll!$I45,Payroll!$F45*((1+Payroll!$J45)^(ROUNDDOWN(DATEDIF(Payroll!$I45,AK$2,"M")/Payroll!$K45,0))),0))</f>
        <v/>
      </c>
      <c r="AL83" s="56">
        <f>IF(AL$2=Payroll!$I45,Payroll!$F45,IF(AL$2&gt;Payroll!$I45,Payroll!$F45*((1+Payroll!$J45)^(ROUNDDOWN(DATEDIF(Payroll!$I45,AL$2,"M")/Payroll!$K45,0))),0))</f>
        <v/>
      </c>
      <c r="AM83" s="56">
        <f>IF(AM$2=Payroll!$I45,Payroll!$F45,IF(AM$2&gt;Payroll!$I45,Payroll!$F45*((1+Payroll!$J45)^(ROUNDDOWN(DATEDIF(Payroll!$I45,AM$2,"M")/Payroll!$K45,0))),0))</f>
        <v/>
      </c>
      <c r="AN83" s="56">
        <f>IF(AN$2=Payroll!$I45,Payroll!$F45,IF(AN$2&gt;Payroll!$I45,Payroll!$F45*((1+Payroll!$J45)^(ROUNDDOWN(DATEDIF(Payroll!$I45,AN$2,"M")/Payroll!$K45,0))),0))</f>
        <v/>
      </c>
      <c r="AO83" s="56">
        <f>IF(AO$2=Payroll!$I45,Payroll!$F45,IF(AO$2&gt;Payroll!$I45,Payroll!$F45*((1+Payroll!$J45)^(ROUNDDOWN(DATEDIF(Payroll!$I45,AO$2,"M")/Payroll!$K45,0))),0))</f>
        <v/>
      </c>
      <c r="AP83" s="56">
        <f>IF(AP$2=Payroll!$I45,Payroll!$F45,IF(AP$2&gt;Payroll!$I45,Payroll!$F45*((1+Payroll!$J45)^(ROUNDDOWN(DATEDIF(Payroll!$I45,AP$2,"M")/Payroll!$K45,0))),0))</f>
        <v/>
      </c>
      <c r="AQ83" s="56">
        <f>IF(AQ$2=Payroll!$I45,Payroll!$F45,IF(AQ$2&gt;Payroll!$I45,Payroll!$F45*((1+Payroll!$J45)^(ROUNDDOWN(DATEDIF(Payroll!$I45,AQ$2,"M")/Payroll!$K45,0))),0))</f>
        <v/>
      </c>
      <c r="AR83" s="56">
        <f>IF(AR$2=Payroll!$I45,Payroll!$F45,IF(AR$2&gt;Payroll!$I45,Payroll!$F45*((1+Payroll!$J45)^(ROUNDDOWN(DATEDIF(Payroll!$I45,AR$2,"M")/Payroll!$K45,0))),0))</f>
        <v/>
      </c>
      <c r="AS83" s="56">
        <f>IF(AS$2=Payroll!$I45,Payroll!$F45,IF(AS$2&gt;Payroll!$I45,Payroll!$F45*((1+Payroll!$J45)^(ROUNDDOWN(DATEDIF(Payroll!$I45,AS$2,"M")/Payroll!$K45,0))),0))</f>
        <v/>
      </c>
      <c r="AT83" s="56">
        <f>IF(AT$2=Payroll!$I45,Payroll!$F45,IF(AT$2&gt;Payroll!$I45,Payroll!$F45*((1+Payroll!$J45)^(ROUNDDOWN(DATEDIF(Payroll!$I45,AT$2,"M")/Payroll!$K45,0))),0))</f>
        <v/>
      </c>
      <c r="AU83" s="56">
        <f>IF(AU$2=Payroll!$I45,Payroll!$F45,IF(AU$2&gt;Payroll!$I45,Payroll!$F45*((1+Payroll!$J45)^(ROUNDDOWN(DATEDIF(Payroll!$I45,AU$2,"M")/Payroll!$K45,0))),0))</f>
        <v/>
      </c>
      <c r="AV83" s="56">
        <f>IF(AV$2=Payroll!$I45,Payroll!$F45,IF(AV$2&gt;Payroll!$I45,Payroll!$F45*((1+Payroll!$J45)^(ROUNDDOWN(DATEDIF(Payroll!$I45,AV$2,"M")/Payroll!$K45,0))),0))</f>
        <v/>
      </c>
      <c r="AW83" s="56">
        <f>IF(AW$2=Payroll!$I45,Payroll!$F45,IF(AW$2&gt;Payroll!$I45,Payroll!$F45*((1+Payroll!$J45)^(ROUNDDOWN(DATEDIF(Payroll!$I45,AW$2,"M")/Payroll!$K45,0))),0))</f>
        <v/>
      </c>
      <c r="AX83" s="56">
        <f>IF(AX$2=Payroll!$I45,Payroll!$F45,IF(AX$2&gt;Payroll!$I45,Payroll!$F45*((1+Payroll!$J45)^(ROUNDDOWN(DATEDIF(Payroll!$I45,AX$2,"M")/Payroll!$K45,0))),0))</f>
        <v/>
      </c>
      <c r="AY83" s="56">
        <f>IF(AY$2=Payroll!$I45,Payroll!$F45,IF(AY$2&gt;Payroll!$I45,Payroll!$F45*((1+Payroll!$J45)^(ROUNDDOWN(DATEDIF(Payroll!$I45,AY$2,"M")/Payroll!$K45,0))),0))</f>
        <v/>
      </c>
      <c r="AZ83" s="56">
        <f>IF(AZ$2=Payroll!$I45,Payroll!$F45,IF(AZ$2&gt;Payroll!$I45,Payroll!$F45*((1+Payroll!$J45)^(ROUNDDOWN(DATEDIF(Payroll!$I45,AZ$2,"M")/Payroll!$K45,0))),0))</f>
        <v/>
      </c>
      <c r="BA83" s="56">
        <f>IF(BA$2=Payroll!$I45,Payroll!$F45,IF(BA$2&gt;Payroll!$I45,Payroll!$F45*((1+Payroll!$J45)^(ROUNDDOWN(DATEDIF(Payroll!$I45,BA$2,"M")/Payroll!$K45,0))),0))</f>
        <v/>
      </c>
      <c r="BB83" s="56">
        <f>IF(BB$2=Payroll!$I45,Payroll!$F45,IF(BB$2&gt;Payroll!$I45,Payroll!$F45*((1+Payroll!$J45)^(ROUNDDOWN(DATEDIF(Payroll!$I45,BB$2,"M")/Payroll!$K45,0))),0))</f>
        <v/>
      </c>
      <c r="BC83" s="56">
        <f>IF(BC$2=Payroll!$I45,Payroll!$F45,IF(BC$2&gt;Payroll!$I45,Payroll!$F45*((1+Payroll!$J45)^(ROUNDDOWN(DATEDIF(Payroll!$I45,BC$2,"M")/Payroll!$K45,0))),0))</f>
        <v/>
      </c>
      <c r="BD83" s="56">
        <f>IF(BD$2=Payroll!$I45,Payroll!$F45,IF(BD$2&gt;Payroll!$I45,Payroll!$F45*((1+Payroll!$J45)^(ROUNDDOWN(DATEDIF(Payroll!$I45,BD$2,"M")/Payroll!$K45,0))),0))</f>
        <v/>
      </c>
      <c r="BE83" s="56">
        <f>IF(BE$2=Payroll!$I45,Payroll!$F45,IF(BE$2&gt;Payroll!$I45,Payroll!$F45*((1+Payroll!$J45)^(ROUNDDOWN(DATEDIF(Payroll!$I45,BE$2,"M")/Payroll!$K45,0))),0))</f>
        <v/>
      </c>
      <c r="BF83" s="56">
        <f>IF(BF$2=Payroll!$I45,Payroll!$F45,IF(BF$2&gt;Payroll!$I45,Payroll!$F45*((1+Payroll!$J45)^(ROUNDDOWN(DATEDIF(Payroll!$I45,BF$2,"M")/Payroll!$K45,0))),0))</f>
        <v/>
      </c>
      <c r="BG83" s="56">
        <f>IF(BG$2=Payroll!$I45,Payroll!$F45,IF(BG$2&gt;Payroll!$I45,Payroll!$F45*((1+Payroll!$J45)^(ROUNDDOWN(DATEDIF(Payroll!$I45,BG$2,"M")/Payroll!$K45,0))),0))</f>
        <v/>
      </c>
      <c r="BH83" s="56">
        <f>IF(BH$2=Payroll!$I45,Payroll!$F45,IF(BH$2&gt;Payroll!$I45,Payroll!$F45*((1+Payroll!$J45)^(ROUNDDOWN(DATEDIF(Payroll!$I45,BH$2,"M")/Payroll!$K45,0))),0))</f>
        <v/>
      </c>
      <c r="BI83" s="56">
        <f>IF(BI$2=Payroll!$I45,Payroll!$F45,IF(BI$2&gt;Payroll!$I45,Payroll!$F45*((1+Payroll!$J45)^(ROUNDDOWN(DATEDIF(Payroll!$I45,BI$2,"M")/Payroll!$K45,0))),0))</f>
        <v/>
      </c>
      <c r="BJ83" s="56">
        <f>IF(BJ$2=Payroll!$I45,Payroll!$F45,IF(BJ$2&gt;Payroll!$I45,Payroll!$F45*((1+Payroll!$J45)^(ROUNDDOWN(DATEDIF(Payroll!$I45,BJ$2,"M")/Payroll!$K45,0))),0))</f>
        <v/>
      </c>
      <c r="BK83" s="56">
        <f>IF(BK$2=Payroll!$I45,Payroll!$F45,IF(BK$2&gt;Payroll!$I45,Payroll!$F45*((1+Payroll!$J45)^(ROUNDDOWN(DATEDIF(Payroll!$I45,BK$2,"M")/Payroll!$K45,0))),0))</f>
        <v/>
      </c>
      <c r="BL83" s="56">
        <f>IF(BL$2=Payroll!$I45,Payroll!$F45,IF(BL$2&gt;Payroll!$I45,Payroll!$F45*((1+Payroll!$J45)^(ROUNDDOWN(DATEDIF(Payroll!$I45,BL$2,"M")/Payroll!$K45,0))),0))</f>
        <v/>
      </c>
      <c r="BM83" s="56">
        <f>IF(BM$2=Payroll!$I45,Payroll!$F45,IF(BM$2&gt;Payroll!$I45,Payroll!$F45*((1+Payroll!$J45)^(ROUNDDOWN(DATEDIF(Payroll!$I45,BM$2,"M")/Payroll!$K45,0))),0))</f>
        <v/>
      </c>
      <c r="BN83" s="56">
        <f>IF(BN$2=Payroll!$I45,Payroll!$F45,IF(BN$2&gt;Payroll!$I45,Payroll!$F45*((1+Payroll!$J45)^(ROUNDDOWN(DATEDIF(Payroll!$I45,BN$2,"M")/Payroll!$K45,0))),0))</f>
        <v/>
      </c>
      <c r="BO83" s="56">
        <f>IF(BO$2=Payroll!$I45,Payroll!$F45,IF(BO$2&gt;Payroll!$I45,Payroll!$F45*((1+Payroll!$J45)^(ROUNDDOWN(DATEDIF(Payroll!$I45,BO$2,"M")/Payroll!$K45,0))),0))</f>
        <v/>
      </c>
      <c r="BP83" s="56">
        <f>IF(BP$2=Payroll!$I45,Payroll!$F45,IF(BP$2&gt;Payroll!$I45,Payroll!$F45*((1+Payroll!$J45)^(ROUNDDOWN(DATEDIF(Payroll!$I45,BP$2,"M")/Payroll!$K45,0))),0))</f>
        <v/>
      </c>
      <c r="BQ83" s="56">
        <f>IF(BQ$2=Payroll!$I45,Payroll!$F45,IF(BQ$2&gt;Payroll!$I45,Payroll!$F45*((1+Payroll!$J45)^(ROUNDDOWN(DATEDIF(Payroll!$I45,BQ$2,"M")/Payroll!$K45,0))),0))</f>
        <v/>
      </c>
      <c r="BR83" s="56">
        <f>IF(BR$2=Payroll!$I45,Payroll!$F45,IF(BR$2&gt;Payroll!$I45,Payroll!$F45*((1+Payroll!$J45)^(ROUNDDOWN(DATEDIF(Payroll!$I45,BR$2,"M")/Payroll!$K45,0))),0))</f>
        <v/>
      </c>
      <c r="BS83" s="56">
        <f>IF(BS$2=Payroll!$I45,Payroll!$F45,IF(BS$2&gt;Payroll!$I45,Payroll!$F45*((1+Payroll!$J45)^(ROUNDDOWN(DATEDIF(Payroll!$I45,BS$2,"M")/Payroll!$K45,0))),0))</f>
        <v/>
      </c>
      <c r="BT83" s="56">
        <f>IF(BT$2=Payroll!$I45,Payroll!$F45,IF(BT$2&gt;Payroll!$I45,Payroll!$F45*((1+Payroll!$J45)^(ROUNDDOWN(DATEDIF(Payroll!$I45,BT$2,"M")/Payroll!$K45,0))),0))</f>
        <v/>
      </c>
      <c r="BU83" s="56">
        <f>IF(BU$2=Payroll!$I45,Payroll!$F45,IF(BU$2&gt;Payroll!$I45,Payroll!$F45*((1+Payroll!$J45)^(ROUNDDOWN(DATEDIF(Payroll!$I45,BU$2,"M")/Payroll!$K45,0))),0))</f>
        <v/>
      </c>
      <c r="BV83" s="56">
        <f>IF(BV$2=Payroll!$I45,Payroll!$F45,IF(BV$2&gt;Payroll!$I45,Payroll!$F45*((1+Payroll!$J45)^(ROUNDDOWN(DATEDIF(Payroll!$I45,BV$2,"M")/Payroll!$K45,0))),0))</f>
        <v/>
      </c>
      <c r="BW83" s="56">
        <f>IF(BW$2=Payroll!$I45,Payroll!$F45,IF(BW$2&gt;Payroll!$I45,Payroll!$F45*((1+Payroll!$J45)^(ROUNDDOWN(DATEDIF(Payroll!$I45,BW$2,"M")/Payroll!$K45,0))),0))</f>
        <v/>
      </c>
      <c r="BX83" s="56">
        <f>IF(BX$2=Payroll!$I45,Payroll!$F45,IF(BX$2&gt;Payroll!$I45,Payroll!$F45*((1+Payroll!$J45)^(ROUNDDOWN(DATEDIF(Payroll!$I45,BX$2,"M")/Payroll!$K45,0))),0))</f>
        <v/>
      </c>
      <c r="BY83" s="56">
        <f>IF(BY$2=Payroll!$I45,Payroll!$F45,IF(BY$2&gt;Payroll!$I45,Payroll!$F45*((1+Payroll!$J45)^(ROUNDDOWN(DATEDIF(Payroll!$I45,BY$2,"M")/Payroll!$K45,0))),0))</f>
        <v/>
      </c>
      <c r="BZ83" s="56">
        <f>IF(BZ$2=Payroll!$I45,Payroll!$F45,IF(BZ$2&gt;Payroll!$I45,Payroll!$F45*((1+Payroll!$J45)^(ROUNDDOWN(DATEDIF(Payroll!$I45,BZ$2,"M")/Payroll!$K45,0))),0))</f>
        <v/>
      </c>
      <c r="CA83" s="56">
        <f>IF(CA$2=Payroll!$I45,Payroll!$F45,IF(CA$2&gt;Payroll!$I45,Payroll!$F45*((1+Payroll!$J45)^(ROUNDDOWN(DATEDIF(Payroll!$I45,CA$2,"M")/Payroll!$K45,0))),0))</f>
        <v/>
      </c>
      <c r="CB83" s="56">
        <f>IF(CB$2=Payroll!$I45,Payroll!$F45,IF(CB$2&gt;Payroll!$I45,Payroll!$F45*((1+Payroll!$J45)^(ROUNDDOWN(DATEDIF(Payroll!$I45,CB$2,"M")/Payroll!$K45,0))),0))</f>
        <v/>
      </c>
      <c r="CC83" s="56">
        <f>IF(CC$2=Payroll!$I45,Payroll!$F45,IF(CC$2&gt;Payroll!$I45,Payroll!$F45*((1+Payroll!$J45)^(ROUNDDOWN(DATEDIF(Payroll!$I45,CC$2,"M")/Payroll!$K45,0))),0))</f>
        <v/>
      </c>
      <c r="CD83" s="56">
        <f>IF(CD$2=Payroll!$I45,Payroll!$F45,IF(CD$2&gt;Payroll!$I45,Payroll!$F45*((1+Payroll!$J45)^(ROUNDDOWN(DATEDIF(Payroll!$I45,CD$2,"M")/Payroll!$K45,0))),0))</f>
        <v/>
      </c>
      <c r="CE83" s="56">
        <f>IF(CE$2=Payroll!$I45,Payroll!$F45,IF(CE$2&gt;Payroll!$I45,Payroll!$F45*((1+Payroll!$J45)^(ROUNDDOWN(DATEDIF(Payroll!$I45,CE$2,"M")/Payroll!$K45,0))),0))</f>
        <v/>
      </c>
      <c r="CF83" s="56">
        <f>IF(CF$2=Payroll!$I45,Payroll!$F45,IF(CF$2&gt;Payroll!$I45,Payroll!$F45*((1+Payroll!$J45)^(ROUNDDOWN(DATEDIF(Payroll!$I45,CF$2,"M")/Payroll!$K45,0))),0))</f>
        <v/>
      </c>
      <c r="CG83" s="56">
        <f>IF(CG$2=Payroll!$I45,Payroll!$F45,IF(CG$2&gt;Payroll!$I45,Payroll!$F45*((1+Payroll!$J45)^(ROUNDDOWN(DATEDIF(Payroll!$I45,CG$2,"M")/Payroll!$K45,0))),0))</f>
        <v/>
      </c>
      <c r="CH83" s="56">
        <f>IF(CH$2=Payroll!$I45,Payroll!$F45,IF(CH$2&gt;Payroll!$I45,Payroll!$F45*((1+Payroll!$J45)^(ROUNDDOWN(DATEDIF(Payroll!$I45,CH$2,"M")/Payroll!$K45,0))),0))</f>
        <v/>
      </c>
      <c r="CI83" s="56">
        <f>IF(CI$2=Payroll!$I45,Payroll!$F45,IF(CI$2&gt;Payroll!$I45,Payroll!$F45*((1+Payroll!$J45)^(ROUNDDOWN(DATEDIF(Payroll!$I45,CI$2,"M")/Payroll!$K45,0))),0))</f>
        <v/>
      </c>
      <c r="CJ83" s="56">
        <f>IF(CJ$2=Payroll!$I45,Payroll!$F45,IF(CJ$2&gt;Payroll!$I45,Payroll!$F45*((1+Payroll!$J45)^(ROUNDDOWN(DATEDIF(Payroll!$I45,CJ$2,"M")/Payroll!$K45,0))),0))</f>
        <v/>
      </c>
      <c r="CK83" s="56">
        <f>IF(CK$2=Payroll!$I45,Payroll!$F45,IF(CK$2&gt;Payroll!$I45,Payroll!$F45*((1+Payroll!$J45)^(ROUNDDOWN(DATEDIF(Payroll!$I45,CK$2,"M")/Payroll!$K45,0))),0))</f>
        <v/>
      </c>
      <c r="CL83" s="56">
        <f>IF(CL$2=Payroll!$I45,Payroll!$F45,IF(CL$2&gt;Payroll!$I45,Payroll!$F45*((1+Payroll!$J45)^(ROUNDDOWN(DATEDIF(Payroll!$I45,CL$2,"M")/Payroll!$K45,0))),0))</f>
        <v/>
      </c>
      <c r="CM83" s="56">
        <f>IF(CM$2=Payroll!$I45,Payroll!$F45,IF(CM$2&gt;Payroll!$I45,Payroll!$F45*((1+Payroll!$J45)^(ROUNDDOWN(DATEDIF(Payroll!$I45,CM$2,"M")/Payroll!$K45,0))),0))</f>
        <v/>
      </c>
      <c r="CN83" s="56">
        <f>IF(CN$2=Payroll!$I45,Payroll!$F45,IF(CN$2&gt;Payroll!$I45,Payroll!$F45*((1+Payroll!$J45)^(ROUNDDOWN(DATEDIF(Payroll!$I45,CN$2,"M")/Payroll!$K45,0))),0))</f>
        <v/>
      </c>
      <c r="CO83" s="56">
        <f>IF(CO$2=Payroll!$I45,Payroll!$F45,IF(CO$2&gt;Payroll!$I45,Payroll!$F45*((1+Payroll!$J45)^(ROUNDDOWN(DATEDIF(Payroll!$I45,CO$2,"M")/Payroll!$K45,0))),0))</f>
        <v/>
      </c>
      <c r="CP83" s="56">
        <f>IF(CP$2=Payroll!$I45,Payroll!$F45,IF(CP$2&gt;Payroll!$I45,Payroll!$F45*((1+Payroll!$J45)^(ROUNDDOWN(DATEDIF(Payroll!$I45,CP$2,"M")/Payroll!$K45,0))),0))</f>
        <v/>
      </c>
      <c r="CQ83" s="56">
        <f>IF(CQ$2=Payroll!$I45,Payroll!$F45,IF(CQ$2&gt;Payroll!$I45,Payroll!$F45*((1+Payroll!$J45)^(ROUNDDOWN(DATEDIF(Payroll!$I45,CQ$2,"M")/Payroll!$K45,0))),0))</f>
        <v/>
      </c>
      <c r="CR83" s="56">
        <f>IF(CR$2=Payroll!$I45,Payroll!$F45,IF(CR$2&gt;Payroll!$I45,Payroll!$F45*((1+Payroll!$J45)^(ROUNDDOWN(DATEDIF(Payroll!$I45,CR$2,"M")/Payroll!$K45,0))),0))</f>
        <v/>
      </c>
      <c r="CS83" s="56">
        <f>IF(CS$2=Payroll!$I45,Payroll!$F45,IF(CS$2&gt;Payroll!$I45,Payroll!$F45*((1+Payroll!$J45)^(ROUNDDOWN(DATEDIF(Payroll!$I45,CS$2,"M")/Payroll!$K45,0))),0))</f>
        <v/>
      </c>
      <c r="CT83" s="56">
        <f>IF(CT$2=Payroll!$I45,Payroll!$F45,IF(CT$2&gt;Payroll!$I45,Payroll!$F45*((1+Payroll!$J45)^(ROUNDDOWN(DATEDIF(Payroll!$I45,CT$2,"M")/Payroll!$K45,0))),0))</f>
        <v/>
      </c>
      <c r="CU83" s="56">
        <f>IF(CU$2=Payroll!$I45,Payroll!$F45,IF(CU$2&gt;Payroll!$I45,Payroll!$F45*((1+Payroll!$J45)^(ROUNDDOWN(DATEDIF(Payroll!$I45,CU$2,"M")/Payroll!$K45,0))),0))</f>
        <v/>
      </c>
      <c r="CV83" s="56">
        <f>IF(CV$2=Payroll!$I45,Payroll!$F45,IF(CV$2&gt;Payroll!$I45,Payroll!$F45*((1+Payroll!$J45)^(ROUNDDOWN(DATEDIF(Payroll!$I45,CV$2,"M")/Payroll!$K45,0))),0))</f>
        <v/>
      </c>
      <c r="CW83" s="56">
        <f>IF(CW$2=Payroll!$I45,Payroll!$F45,IF(CW$2&gt;Payroll!$I45,Payroll!$F45*((1+Payroll!$J45)^(ROUNDDOWN(DATEDIF(Payroll!$I45,CW$2,"M")/Payroll!$K45,0))),0))</f>
        <v/>
      </c>
      <c r="CX83" s="56">
        <f>IF(CX$2=Payroll!$I45,Payroll!$F45,IF(CX$2&gt;Payroll!$I45,Payroll!$F45*((1+Payroll!$J45)^(ROUNDDOWN(DATEDIF(Payroll!$I45,CX$2,"M")/Payroll!$K45,0))),0))</f>
        <v/>
      </c>
    </row>
    <row r="84" ht="15.75" customHeight="1" s="255">
      <c r="A84" s="134" t="inlineStr">
        <is>
          <t>Total cost</t>
        </is>
      </c>
      <c r="B84" s="56" t="n"/>
      <c r="C84" s="56" t="n"/>
      <c r="D84" s="56" t="n"/>
      <c r="E84" s="56">
        <f>E82*E83</f>
        <v/>
      </c>
      <c r="F84" s="56">
        <f>F82*F83</f>
        <v/>
      </c>
      <c r="G84" s="56">
        <f>G82*G83</f>
        <v/>
      </c>
      <c r="H84" s="56">
        <f>H82*H83</f>
        <v/>
      </c>
      <c r="I84" s="56">
        <f>I82*I83</f>
        <v/>
      </c>
      <c r="J84" s="56">
        <f>J82*J83</f>
        <v/>
      </c>
      <c r="K84" s="56">
        <f>K82*K83</f>
        <v/>
      </c>
      <c r="L84" s="56">
        <f>L82*L83</f>
        <v/>
      </c>
      <c r="M84" s="56">
        <f>M82*M83</f>
        <v/>
      </c>
      <c r="N84" s="56">
        <f>N82*N83</f>
        <v/>
      </c>
      <c r="O84" s="56">
        <f>O82*O83</f>
        <v/>
      </c>
      <c r="P84" s="56">
        <f>P82*P83</f>
        <v/>
      </c>
      <c r="Q84" s="56">
        <f>Q82*Q83</f>
        <v/>
      </c>
      <c r="R84" s="56">
        <f>R82*R83</f>
        <v/>
      </c>
      <c r="S84" s="56">
        <f>S82*S83</f>
        <v/>
      </c>
      <c r="T84" s="56">
        <f>T82*T83</f>
        <v/>
      </c>
      <c r="U84" s="56">
        <f>U82*U83</f>
        <v/>
      </c>
      <c r="V84" s="56">
        <f>V82*V83</f>
        <v/>
      </c>
      <c r="W84" s="56">
        <f>W82*W83</f>
        <v/>
      </c>
      <c r="X84" s="56">
        <f>X82*X83</f>
        <v/>
      </c>
      <c r="Y84" s="56">
        <f>Y82*Y83</f>
        <v/>
      </c>
      <c r="Z84" s="56">
        <f>Z82*Z83</f>
        <v/>
      </c>
      <c r="AA84" s="56">
        <f>AA82*AA83</f>
        <v/>
      </c>
      <c r="AB84" s="56">
        <f>AB82*AB83</f>
        <v/>
      </c>
      <c r="AC84" s="56">
        <f>AC82*AC83</f>
        <v/>
      </c>
      <c r="AD84" s="56">
        <f>AD82*AD83</f>
        <v/>
      </c>
      <c r="AE84" s="56">
        <f>AE82*AE83</f>
        <v/>
      </c>
      <c r="AF84" s="56">
        <f>AF82*AF83</f>
        <v/>
      </c>
      <c r="AG84" s="56">
        <f>AG82*AG83</f>
        <v/>
      </c>
      <c r="AH84" s="56">
        <f>AH82*AH83</f>
        <v/>
      </c>
      <c r="AI84" s="56">
        <f>AI82*AI83</f>
        <v/>
      </c>
      <c r="AJ84" s="56">
        <f>AJ82*AJ83</f>
        <v/>
      </c>
      <c r="AK84" s="56">
        <f>AK82*AK83</f>
        <v/>
      </c>
      <c r="AL84" s="56">
        <f>AL82*AL83</f>
        <v/>
      </c>
      <c r="AM84" s="56">
        <f>AM82*AM83</f>
        <v/>
      </c>
      <c r="AN84" s="56">
        <f>AN82*AN83</f>
        <v/>
      </c>
      <c r="AO84" s="56">
        <f>AO82*AO83</f>
        <v/>
      </c>
      <c r="AP84" s="56">
        <f>AP82*AP83</f>
        <v/>
      </c>
      <c r="AQ84" s="56">
        <f>AQ82*AQ83</f>
        <v/>
      </c>
      <c r="AR84" s="56">
        <f>AR82*AR83</f>
        <v/>
      </c>
      <c r="AS84" s="56">
        <f>AS82*AS83</f>
        <v/>
      </c>
      <c r="AT84" s="56">
        <f>AT82*AT83</f>
        <v/>
      </c>
      <c r="AU84" s="56">
        <f>AU82*AU83</f>
        <v/>
      </c>
      <c r="AV84" s="56">
        <f>AV82*AV83</f>
        <v/>
      </c>
      <c r="AW84" s="56">
        <f>AW82*AW83</f>
        <v/>
      </c>
      <c r="AX84" s="56">
        <f>AX82*AX83</f>
        <v/>
      </c>
      <c r="AY84" s="56">
        <f>AY82*AY83</f>
        <v/>
      </c>
      <c r="AZ84" s="56">
        <f>AZ82*AZ83</f>
        <v/>
      </c>
      <c r="BA84" s="56">
        <f>BA82*BA83</f>
        <v/>
      </c>
      <c r="BB84" s="56">
        <f>BB82*BB83</f>
        <v/>
      </c>
      <c r="BC84" s="56">
        <f>BC82*BC83</f>
        <v/>
      </c>
      <c r="BD84" s="56">
        <f>BD82*BD83</f>
        <v/>
      </c>
      <c r="BE84" s="56">
        <f>BE82*BE83</f>
        <v/>
      </c>
      <c r="BF84" s="56">
        <f>BF82*BF83</f>
        <v/>
      </c>
      <c r="BG84" s="56">
        <f>BG82*BG83</f>
        <v/>
      </c>
      <c r="BH84" s="56">
        <f>BH82*BH83</f>
        <v/>
      </c>
      <c r="BI84" s="56">
        <f>BI82*BI83</f>
        <v/>
      </c>
      <c r="BJ84" s="56">
        <f>BJ82*BJ83</f>
        <v/>
      </c>
      <c r="BK84" s="56">
        <f>BK82*BK83</f>
        <v/>
      </c>
      <c r="BL84" s="56">
        <f>BL82*BL83</f>
        <v/>
      </c>
      <c r="BM84" s="56">
        <f>BM82*BM83</f>
        <v/>
      </c>
      <c r="BN84" s="56">
        <f>BN82*BN83</f>
        <v/>
      </c>
      <c r="BO84" s="56">
        <f>BO82*BO83</f>
        <v/>
      </c>
      <c r="BP84" s="56">
        <f>BP82*BP83</f>
        <v/>
      </c>
      <c r="BQ84" s="56">
        <f>BQ82*BQ83</f>
        <v/>
      </c>
      <c r="BR84" s="56">
        <f>BR82*BR83</f>
        <v/>
      </c>
      <c r="BS84" s="56">
        <f>BS82*BS83</f>
        <v/>
      </c>
      <c r="BT84" s="56">
        <f>BT82*BT83</f>
        <v/>
      </c>
      <c r="BU84" s="56">
        <f>BU82*BU83</f>
        <v/>
      </c>
      <c r="BV84" s="56">
        <f>BV82*BV83</f>
        <v/>
      </c>
      <c r="BW84" s="56">
        <f>BW82*BW83</f>
        <v/>
      </c>
      <c r="BX84" s="56">
        <f>BX82*BX83</f>
        <v/>
      </c>
      <c r="BY84" s="56">
        <f>BY82*BY83</f>
        <v/>
      </c>
      <c r="BZ84" s="56">
        <f>BZ82*BZ83</f>
        <v/>
      </c>
      <c r="CA84" s="56">
        <f>CA82*CA83</f>
        <v/>
      </c>
      <c r="CB84" s="56">
        <f>CB82*CB83</f>
        <v/>
      </c>
      <c r="CC84" s="56">
        <f>CC82*CC83</f>
        <v/>
      </c>
      <c r="CD84" s="56">
        <f>CD82*CD83</f>
        <v/>
      </c>
      <c r="CE84" s="56">
        <f>CE82*CE83</f>
        <v/>
      </c>
      <c r="CF84" s="56">
        <f>CF82*CF83</f>
        <v/>
      </c>
      <c r="CG84" s="56">
        <f>CG82*CG83</f>
        <v/>
      </c>
      <c r="CH84" s="56">
        <f>CH82*CH83</f>
        <v/>
      </c>
      <c r="CI84" s="56">
        <f>CI82*CI83</f>
        <v/>
      </c>
      <c r="CJ84" s="56">
        <f>CJ82*CJ83</f>
        <v/>
      </c>
      <c r="CK84" s="56">
        <f>CK82*CK83</f>
        <v/>
      </c>
      <c r="CL84" s="56">
        <f>CL82*CL83</f>
        <v/>
      </c>
      <c r="CM84" s="56">
        <f>CM82*CM83</f>
        <v/>
      </c>
      <c r="CN84" s="56">
        <f>CN82*CN83</f>
        <v/>
      </c>
      <c r="CO84" s="56">
        <f>CO82*CO83</f>
        <v/>
      </c>
      <c r="CP84" s="56">
        <f>CP82*CP83</f>
        <v/>
      </c>
      <c r="CQ84" s="56">
        <f>CQ82*CQ83</f>
        <v/>
      </c>
      <c r="CR84" s="56">
        <f>CR82*CR83</f>
        <v/>
      </c>
      <c r="CS84" s="56">
        <f>CS82*CS83</f>
        <v/>
      </c>
      <c r="CT84" s="56">
        <f>CT82*CT83</f>
        <v/>
      </c>
      <c r="CU84" s="56">
        <f>CU82*CU83</f>
        <v/>
      </c>
      <c r="CV84" s="56">
        <f>CV82*CV83</f>
        <v/>
      </c>
      <c r="CW84" s="56">
        <f>CW82*CW83</f>
        <v/>
      </c>
      <c r="CX84" s="56">
        <f>CX82*CX83</f>
        <v/>
      </c>
    </row>
    <row r="85" ht="15.75" customHeight="1" s="255">
      <c r="A85" s="134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  <c r="CW85" s="56" t="n"/>
      <c r="CX85" s="56" t="n"/>
    </row>
    <row r="86" ht="15.75" customHeight="1" s="255">
      <c r="A86" s="148" t="inlineStr">
        <is>
          <t xml:space="preserve">Outbound Sales Managers </t>
        </is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  <c r="CW86" s="56" t="n"/>
      <c r="CX86" s="56" t="n"/>
    </row>
    <row r="87" ht="15.75" customHeight="1" s="255">
      <c r="A87" s="134" t="inlineStr">
        <is>
          <t>Number of Outbound Managers</t>
        </is>
      </c>
      <c r="B87" s="56" t="n"/>
      <c r="C87" s="56" t="n"/>
      <c r="D87" s="56" t="n"/>
      <c r="E87" s="56">
        <f>IF(E2=Projections!$C$56,Projections!$B$58,if(E2&gt;Projections!$C$56,MIN(Projections!$B$60,D87+IF(mod(DATEDIF(Projections!$C$56,E2,"M"),Projections!$B$59)=0,1,0)),0))</f>
        <v/>
      </c>
      <c r="F87" s="56">
        <f>IF(F2=Projections!$C$56,Projections!$B$58,if(F2&gt;Projections!$C$56,MIN(Projections!$B$60,E87+IF(mod(DATEDIF(Projections!$C$56,F2,"M"),Projections!$B$59)=0,1,0)),0))</f>
        <v/>
      </c>
      <c r="G87" s="56">
        <f>IF(G2=Projections!$C$56,Projections!$B$58,if(G2&gt;Projections!$C$56,MIN(Projections!$B$60,F87+IF(mod(DATEDIF(Projections!$C$56,G2,"M"),Projections!$B$59)=0,1,0)),0))</f>
        <v/>
      </c>
      <c r="H87" s="56">
        <f>IF(H2=Projections!$C$56,Projections!$B$58,if(H2&gt;Projections!$C$56,MIN(Projections!$B$60,G87+IF(mod(DATEDIF(Projections!$C$56,H2,"M"),Projections!$B$59)=0,1,0)),0))</f>
        <v/>
      </c>
      <c r="I87" s="56">
        <f>IF(I2=Projections!$C$56,Projections!$B$58,if(I2&gt;Projections!$C$56,MIN(Projections!$B$60,H87+IF(mod(DATEDIF(Projections!$C$56,I2,"M"),Projections!$B$59)=0,1,0)),0))</f>
        <v/>
      </c>
      <c r="J87" s="56">
        <f>IF(J2=Projections!$C$56,Projections!$B$58,if(J2&gt;Projections!$C$56,MIN(Projections!$B$60,I87+IF(mod(DATEDIF(Projections!$C$56,J2,"M"),Projections!$B$59)=0,1,0)),0))</f>
        <v/>
      </c>
      <c r="K87" s="56">
        <f>IF(K2=Projections!$C$56,Projections!$B$58,if(K2&gt;Projections!$C$56,MIN(Projections!$B$60,J87+IF(mod(DATEDIF(Projections!$C$56,K2,"M"),Projections!$B$59)=0,1,0)),0))</f>
        <v/>
      </c>
      <c r="L87" s="56">
        <f>IF(L2=Projections!$C$56,Projections!$B$58,if(L2&gt;Projections!$C$56,MIN(Projections!$B$60,K87+IF(mod(DATEDIF(Projections!$C$56,L2,"M"),Projections!$B$59)=0,1,0)),0))</f>
        <v/>
      </c>
      <c r="M87" s="56">
        <f>IF(M2=Projections!$C$56,Projections!$B$58,if(M2&gt;Projections!$C$56,MIN(Projections!$B$60,L87+IF(mod(DATEDIF(Projections!$C$56,M2,"M"),Projections!$B$59)=0,1,0)),0))</f>
        <v/>
      </c>
      <c r="N87" s="56">
        <f>IF(N2=Projections!$C$56,Projections!$B$58,if(N2&gt;Projections!$C$56,MIN(Projections!$B$60,M87+IF(mod(DATEDIF(Projections!$C$56,N2,"M"),Projections!$B$59)=0,1,0)),0))</f>
        <v/>
      </c>
      <c r="O87" s="56">
        <f>IF(O2=Projections!$C$56,Projections!$B$58,if(O2&gt;Projections!$C$56,MIN(Projections!$B$60,N87+IF(mod(DATEDIF(Projections!$C$56,O2,"M"),Projections!$B$59)=0,1,0)),0))</f>
        <v/>
      </c>
      <c r="P87" s="56">
        <f>IF(P2=Projections!$C$56,Projections!$B$58,if(P2&gt;Projections!$C$56,MIN(Projections!$B$60,O87+IF(mod(DATEDIF(Projections!$C$56,P2,"M"),Projections!$B$59)=0,1,0)),0))</f>
        <v/>
      </c>
      <c r="Q87" s="56">
        <f>IF(Q2=Projections!$C$56,Projections!$B$58,if(Q2&gt;Projections!$C$56,MIN(Projections!$B$60,P87+IF(mod(DATEDIF(Projections!$C$56,Q2,"M"),Projections!$B$59)=0,1,0)),0))</f>
        <v/>
      </c>
      <c r="R87" s="56">
        <f>IF(R2=Projections!$C$56,Projections!$B$58,if(R2&gt;Projections!$C$56,MIN(Projections!$B$60,Q87+IF(mod(DATEDIF(Projections!$C$56,R2,"M"),Projections!$B$59)=0,1,0)),0))</f>
        <v/>
      </c>
      <c r="S87" s="56">
        <f>IF(S2=Projections!$C$56,Projections!$B$58,if(S2&gt;Projections!$C$56,MIN(Projections!$B$60,R87+IF(mod(DATEDIF(Projections!$C$56,S2,"M"),Projections!$B$59)=0,1,0)),0))</f>
        <v/>
      </c>
      <c r="T87" s="56">
        <f>IF(T2=Projections!$C$56,Projections!$B$58,if(T2&gt;Projections!$C$56,MIN(Projections!$B$60,S87+IF(mod(DATEDIF(Projections!$C$56,T2,"M"),Projections!$B$59)=0,1,0)),0))</f>
        <v/>
      </c>
      <c r="U87" s="56">
        <f>IF(U2=Projections!$C$56,Projections!$B$58,if(U2&gt;Projections!$C$56,MIN(Projections!$B$60,T87+IF(mod(DATEDIF(Projections!$C$56,U2,"M"),Projections!$B$59)=0,1,0)),0))</f>
        <v/>
      </c>
      <c r="V87" s="56">
        <f>IF(V2=Projections!$C$56,Projections!$B$58,if(V2&gt;Projections!$C$56,MIN(Projections!$B$60,U87+IF(mod(DATEDIF(Projections!$C$56,V2,"M"),Projections!$B$59)=0,1,0)),0))</f>
        <v/>
      </c>
      <c r="W87" s="56">
        <f>IF(W2=Projections!$C$56,Projections!$B$58,if(W2&gt;Projections!$C$56,MIN(Projections!$B$60,V87+IF(mod(DATEDIF(Projections!$C$56,W2,"M"),Projections!$B$59)=0,1,0)),0))</f>
        <v/>
      </c>
      <c r="X87" s="56">
        <f>IF(X2=Projections!$C$56,Projections!$B$58,if(X2&gt;Projections!$C$56,MIN(Projections!$B$60,W87+IF(mod(DATEDIF(Projections!$C$56,X2,"M"),Projections!$B$59)=0,1,0)),0))</f>
        <v/>
      </c>
      <c r="Y87" s="56">
        <f>IF(Y2=Projections!$C$56,Projections!$B$58,if(Y2&gt;Projections!$C$56,MIN(Projections!$B$60,X87+IF(mod(DATEDIF(Projections!$C$56,Y2,"M"),Projections!$B$59)=0,1,0)),0))</f>
        <v/>
      </c>
      <c r="Z87" s="56">
        <f>IF(Z2=Projections!$C$56,Projections!$B$58,if(Z2&gt;Projections!$C$56,MIN(Projections!$B$60,Y87+IF(mod(DATEDIF(Projections!$C$56,Z2,"M"),Projections!$B$59)=0,1,0)),0))</f>
        <v/>
      </c>
      <c r="AA87" s="56">
        <f>IF(AA2=Projections!$C$56,Projections!$B$58,if(AA2&gt;Projections!$C$56,MIN(Projections!$B$60,Z87+IF(mod(DATEDIF(Projections!$C$56,AA2,"M"),Projections!$B$59)=0,1,0)),0))</f>
        <v/>
      </c>
      <c r="AB87" s="56">
        <f>IF(AB2=Projections!$C$56,Projections!$B$58,if(AB2&gt;Projections!$C$56,MIN(Projections!$B$60,AA87+IF(mod(DATEDIF(Projections!$C$56,AB2,"M"),Projections!$B$59)=0,1,0)),0))</f>
        <v/>
      </c>
      <c r="AC87" s="56">
        <f>IF(AC2=Projections!$C$56,Projections!$B$58,if(AC2&gt;Projections!$C$56,MIN(Projections!$B$60,AB87+IF(mod(DATEDIF(Projections!$C$56,AC2,"M"),Projections!$B$59)=0,1,0)),0))</f>
        <v/>
      </c>
      <c r="AD87" s="56">
        <f>IF(AD2=Projections!$C$56,Projections!$B$58,if(AD2&gt;Projections!$C$56,MIN(Projections!$B$60,AC87+IF(mod(DATEDIF(Projections!$C$56,AD2,"M"),Projections!$B$59)=0,1,0)),0))</f>
        <v/>
      </c>
      <c r="AE87" s="56">
        <f>IF(AE2=Projections!$C$56,Projections!$B$58,if(AE2&gt;Projections!$C$56,MIN(Projections!$B$60,AD87+IF(mod(DATEDIF(Projections!$C$56,AE2,"M"),Projections!$B$59)=0,1,0)),0))</f>
        <v/>
      </c>
      <c r="AF87" s="56">
        <f>IF(AF2=Projections!$C$56,Projections!$B$58,if(AF2&gt;Projections!$C$56,MIN(Projections!$B$60,AE87+IF(mod(DATEDIF(Projections!$C$56,AF2,"M"),Projections!$B$59)=0,1,0)),0))</f>
        <v/>
      </c>
      <c r="AG87" s="56">
        <f>IF(AG2=Projections!$C$56,Projections!$B$58,if(AG2&gt;Projections!$C$56,MIN(Projections!$B$60,AF87+IF(mod(DATEDIF(Projections!$C$56,AG2,"M"),Projections!$B$59)=0,1,0)),0))</f>
        <v/>
      </c>
      <c r="AH87" s="56">
        <f>IF(AH2=Projections!$C$56,Projections!$B$58,if(AH2&gt;Projections!$C$56,MIN(Projections!$B$60,AG87+IF(mod(DATEDIF(Projections!$C$56,AH2,"M"),Projections!$B$59)=0,1,0)),0))</f>
        <v/>
      </c>
      <c r="AI87" s="56">
        <f>IF(AI2=Projections!$C$56,Projections!$B$58,if(AI2&gt;Projections!$C$56,MIN(Projections!$B$60,AH87+IF(mod(DATEDIF(Projections!$C$56,AI2,"M"),Projections!$B$59)=0,1,0)),0))</f>
        <v/>
      </c>
      <c r="AJ87" s="56">
        <f>IF(AJ2=Projections!$C$56,Projections!$B$58,if(AJ2&gt;Projections!$C$56,MIN(Projections!$B$60,AI87+IF(mod(DATEDIF(Projections!$C$56,AJ2,"M"),Projections!$B$59)=0,1,0)),0))</f>
        <v/>
      </c>
      <c r="AK87" s="56">
        <f>IF(AK2=Projections!$C$56,Projections!$B$58,if(AK2&gt;Projections!$C$56,MIN(Projections!$B$60,AJ87+IF(mod(DATEDIF(Projections!$C$56,AK2,"M"),Projections!$B$59)=0,1,0)),0))</f>
        <v/>
      </c>
      <c r="AL87" s="56">
        <f>IF(AL2=Projections!$C$56,Projections!$B$58,if(AL2&gt;Projections!$C$56,MIN(Projections!$B$60,AK87+IF(mod(DATEDIF(Projections!$C$56,AL2,"M"),Projections!$B$59)=0,1,0)),0))</f>
        <v/>
      </c>
      <c r="AM87" s="56">
        <f>IF(AM2=Projections!$C$56,Projections!$B$58,if(AM2&gt;Projections!$C$56,MIN(Projections!$B$60,AL87+IF(mod(DATEDIF(Projections!$C$56,AM2,"M"),Projections!$B$59)=0,1,0)),0))</f>
        <v/>
      </c>
      <c r="AN87" s="56">
        <f>IF(AN2=Projections!$C$56,Projections!$B$58,if(AN2&gt;Projections!$C$56,MIN(Projections!$B$60,AM87+IF(mod(DATEDIF(Projections!$C$56,AN2,"M"),Projections!$B$59)=0,1,0)),0))</f>
        <v/>
      </c>
      <c r="AO87" s="56">
        <f>IF(AO2=Projections!$C$56,Projections!$B$58,if(AO2&gt;Projections!$C$56,MIN(Projections!$B$60,AN87+IF(mod(DATEDIF(Projections!$C$56,AO2,"M"),Projections!$B$59)=0,1,0)),0))</f>
        <v/>
      </c>
      <c r="AP87" s="56">
        <f>IF(AP2=Projections!$C$56,Projections!$B$58,if(AP2&gt;Projections!$C$56,MIN(Projections!$B$60,AO87+IF(mod(DATEDIF(Projections!$C$56,AP2,"M"),Projections!$B$59)=0,1,0)),0))</f>
        <v/>
      </c>
      <c r="AQ87" s="56">
        <f>IF(AQ2=Projections!$C$56,Projections!$B$58,if(AQ2&gt;Projections!$C$56,MIN(Projections!$B$60,AP87+IF(mod(DATEDIF(Projections!$C$56,AQ2,"M"),Projections!$B$59)=0,1,0)),0))</f>
        <v/>
      </c>
      <c r="AR87" s="56">
        <f>IF(AR2=Projections!$C$56,Projections!$B$58,if(AR2&gt;Projections!$C$56,MIN(Projections!$B$60,AQ87+IF(mod(DATEDIF(Projections!$C$56,AR2,"M"),Projections!$B$59)=0,1,0)),0))</f>
        <v/>
      </c>
      <c r="AS87" s="56">
        <f>IF(AS2=Projections!$C$56,Projections!$B$58,if(AS2&gt;Projections!$C$56,MIN(Projections!$B$60,AR87+IF(mod(DATEDIF(Projections!$C$56,AS2,"M"),Projections!$B$59)=0,1,0)),0))</f>
        <v/>
      </c>
      <c r="AT87" s="56">
        <f>IF(AT2=Projections!$C$56,Projections!$B$58,if(AT2&gt;Projections!$C$56,MIN(Projections!$B$60,AS87+IF(mod(DATEDIF(Projections!$C$56,AT2,"M"),Projections!$B$59)=0,1,0)),0))</f>
        <v/>
      </c>
      <c r="AU87" s="56">
        <f>IF(AU2=Projections!$C$56,Projections!$B$58,if(AU2&gt;Projections!$C$56,MIN(Projections!$B$60,AT87+IF(mod(DATEDIF(Projections!$C$56,AU2,"M"),Projections!$B$59)=0,1,0)),0))</f>
        <v/>
      </c>
      <c r="AV87" s="56">
        <f>IF(AV2=Projections!$C$56,Projections!$B$58,if(AV2&gt;Projections!$C$56,MIN(Projections!$B$60,AU87+IF(mod(DATEDIF(Projections!$C$56,AV2,"M"),Projections!$B$59)=0,1,0)),0))</f>
        <v/>
      </c>
      <c r="AW87" s="56">
        <f>IF(AW2=Projections!$C$56,Projections!$B$58,if(AW2&gt;Projections!$C$56,MIN(Projections!$B$60,AV87+IF(mod(DATEDIF(Projections!$C$56,AW2,"M"),Projections!$B$59)=0,1,0)),0))</f>
        <v/>
      </c>
      <c r="AX87" s="56">
        <f>IF(AX2=Projections!$C$56,Projections!$B$58,if(AX2&gt;Projections!$C$56,MIN(Projections!$B$60,AW87+IF(mod(DATEDIF(Projections!$C$56,AX2,"M"),Projections!$B$59)=0,1,0)),0))</f>
        <v/>
      </c>
      <c r="AY87" s="56">
        <f>IF(AY2=Projections!$C$56,Projections!$B$58,if(AY2&gt;Projections!$C$56,MIN(Projections!$B$60,AX87+IF(mod(DATEDIF(Projections!$C$56,AY2,"M"),Projections!$B$59)=0,1,0)),0))</f>
        <v/>
      </c>
      <c r="AZ87" s="56">
        <f>IF(AZ2=Projections!$C$56,Projections!$B$58,if(AZ2&gt;Projections!$C$56,MIN(Projections!$B$60,AY87+IF(mod(DATEDIF(Projections!$C$56,AZ2,"M"),Projections!$B$59)=0,1,0)),0))</f>
        <v/>
      </c>
      <c r="BA87" s="56">
        <f>IF(BA2=Projections!$C$56,Projections!$B$58,if(BA2&gt;Projections!$C$56,MIN(Projections!$B$60,AZ87+IF(mod(DATEDIF(Projections!$C$56,BA2,"M"),Projections!$B$59)=0,1,0)),0))</f>
        <v/>
      </c>
      <c r="BB87" s="56">
        <f>IF(BB2=Projections!$C$56,Projections!$B$58,if(BB2&gt;Projections!$C$56,MIN(Projections!$B$60,BA87+IF(mod(DATEDIF(Projections!$C$56,BB2,"M"),Projections!$B$59)=0,1,0)),0))</f>
        <v/>
      </c>
      <c r="BC87" s="56">
        <f>IF(BC2=Projections!$C$56,Projections!$B$58,if(BC2&gt;Projections!$C$56,MIN(Projections!$B$60,BB87+IF(mod(DATEDIF(Projections!$C$56,BC2,"M"),Projections!$B$59)=0,1,0)),0))</f>
        <v/>
      </c>
      <c r="BD87" s="56">
        <f>IF(BD2=Projections!$C$56,Projections!$B$58,if(BD2&gt;Projections!$C$56,MIN(Projections!$B$60,BC87+IF(mod(DATEDIF(Projections!$C$56,BD2,"M"),Projections!$B$59)=0,1,0)),0))</f>
        <v/>
      </c>
      <c r="BE87" s="56">
        <f>IF(BE2=Projections!$C$56,Projections!$B$58,if(BE2&gt;Projections!$C$56,MIN(Projections!$B$60,BD87+IF(mod(DATEDIF(Projections!$C$56,BE2,"M"),Projections!$B$59)=0,1,0)),0))</f>
        <v/>
      </c>
      <c r="BF87" s="56">
        <f>IF(BF2=Projections!$C$56,Projections!$B$58,if(BF2&gt;Projections!$C$56,MIN(Projections!$B$60,BE87+IF(mod(DATEDIF(Projections!$C$56,BF2,"M"),Projections!$B$59)=0,1,0)),0))</f>
        <v/>
      </c>
      <c r="BG87" s="56">
        <f>IF(BG2=Projections!$C$56,Projections!$B$58,if(BG2&gt;Projections!$C$56,MIN(Projections!$B$60,BF87+IF(mod(DATEDIF(Projections!$C$56,BG2,"M"),Projections!$B$59)=0,1,0)),0))</f>
        <v/>
      </c>
      <c r="BH87" s="56">
        <f>IF(BH2=Projections!$C$56,Projections!$B$58,if(BH2&gt;Projections!$C$56,MIN(Projections!$B$60,BG87+IF(mod(DATEDIF(Projections!$C$56,BH2,"M"),Projections!$B$59)=0,1,0)),0))</f>
        <v/>
      </c>
      <c r="BI87" s="56">
        <f>IF(BI2=Projections!$C$56,Projections!$B$58,if(BI2&gt;Projections!$C$56,MIN(Projections!$B$60,BH87+IF(mod(DATEDIF(Projections!$C$56,BI2,"M"),Projections!$B$59)=0,1,0)),0))</f>
        <v/>
      </c>
      <c r="BJ87" s="56">
        <f>IF(BJ2=Projections!$C$56,Projections!$B$58,if(BJ2&gt;Projections!$C$56,MIN(Projections!$B$60,BI87+IF(mod(DATEDIF(Projections!$C$56,BJ2,"M"),Projections!$B$59)=0,1,0)),0))</f>
        <v/>
      </c>
      <c r="BK87" s="56">
        <f>IF(BK2=Projections!$C$56,Projections!$B$58,if(BK2&gt;Projections!$C$56,MIN(Projections!$B$60,BJ87+IF(mod(DATEDIF(Projections!$C$56,BK2,"M"),Projections!$B$59)=0,1,0)),0))</f>
        <v/>
      </c>
      <c r="BL87" s="56">
        <f>IF(BL2=Projections!$C$56,Projections!$B$58,if(BL2&gt;Projections!$C$56,MIN(Projections!$B$60,BK87+IF(mod(DATEDIF(Projections!$C$56,BL2,"M"),Projections!$B$59)=0,1,0)),0))</f>
        <v/>
      </c>
      <c r="BM87" s="56">
        <f>IF(BM2=Projections!$C$56,Projections!$B$58,if(BM2&gt;Projections!$C$56,MIN(Projections!$B$60,BL87+IF(mod(DATEDIF(Projections!$C$56,BM2,"M"),Projections!$B$59)=0,1,0)),0))</f>
        <v/>
      </c>
      <c r="BN87" s="56">
        <f>IF(BN2=Projections!$C$56,Projections!$B$58,if(BN2&gt;Projections!$C$56,MIN(Projections!$B$60,BM87+IF(mod(DATEDIF(Projections!$C$56,BN2,"M"),Projections!$B$59)=0,1,0)),0))</f>
        <v/>
      </c>
      <c r="BO87" s="56">
        <f>IF(BO2=Projections!$C$56,Projections!$B$58,if(BO2&gt;Projections!$C$56,MIN(Projections!$B$60,BN87+IF(mod(DATEDIF(Projections!$C$56,BO2,"M"),Projections!$B$59)=0,1,0)),0))</f>
        <v/>
      </c>
      <c r="BP87" s="56">
        <f>IF(BP2=Projections!$C$56,Projections!$B$58,if(BP2&gt;Projections!$C$56,MIN(Projections!$B$60,BO87+IF(mod(DATEDIF(Projections!$C$56,BP2,"M"),Projections!$B$59)=0,1,0)),0))</f>
        <v/>
      </c>
      <c r="BQ87" s="56">
        <f>IF(BQ2=Projections!$C$56,Projections!$B$58,if(BQ2&gt;Projections!$C$56,MIN(Projections!$B$60,BP87+IF(mod(DATEDIF(Projections!$C$56,BQ2,"M"),Projections!$B$59)=0,1,0)),0))</f>
        <v/>
      </c>
      <c r="BR87" s="56">
        <f>IF(BR2=Projections!$C$56,Projections!$B$58,if(BR2&gt;Projections!$C$56,MIN(Projections!$B$60,BQ87+IF(mod(DATEDIF(Projections!$C$56,BR2,"M"),Projections!$B$59)=0,1,0)),0))</f>
        <v/>
      </c>
      <c r="BS87" s="56">
        <f>IF(BS2=Projections!$C$56,Projections!$B$58,if(BS2&gt;Projections!$C$56,MIN(Projections!$B$60,BR87+IF(mod(DATEDIF(Projections!$C$56,BS2,"M"),Projections!$B$59)=0,1,0)),0))</f>
        <v/>
      </c>
      <c r="BT87" s="56">
        <f>IF(BT2=Projections!$C$56,Projections!$B$58,if(BT2&gt;Projections!$C$56,MIN(Projections!$B$60,BS87+IF(mod(DATEDIF(Projections!$C$56,BT2,"M"),Projections!$B$59)=0,1,0)),0))</f>
        <v/>
      </c>
      <c r="BU87" s="56">
        <f>IF(BU2=Projections!$C$56,Projections!$B$58,if(BU2&gt;Projections!$C$56,MIN(Projections!$B$60,BT87+IF(mod(DATEDIF(Projections!$C$56,BU2,"M"),Projections!$B$59)=0,1,0)),0))</f>
        <v/>
      </c>
      <c r="BV87" s="56">
        <f>IF(BV2=Projections!$C$56,Projections!$B$58,if(BV2&gt;Projections!$C$56,MIN(Projections!$B$60,BU87+IF(mod(DATEDIF(Projections!$C$56,BV2,"M"),Projections!$B$59)=0,1,0)),0))</f>
        <v/>
      </c>
      <c r="BW87" s="56">
        <f>IF(BW2=Projections!$C$56,Projections!$B$58,if(BW2&gt;Projections!$C$56,MIN(Projections!$B$60,BV87+IF(mod(DATEDIF(Projections!$C$56,BW2,"M"),Projections!$B$59)=0,1,0)),0))</f>
        <v/>
      </c>
      <c r="BX87" s="56">
        <f>IF(BX2=Projections!$C$56,Projections!$B$58,if(BX2&gt;Projections!$C$56,MIN(Projections!$B$60,BW87+IF(mod(DATEDIF(Projections!$C$56,BX2,"M"),Projections!$B$59)=0,1,0)),0))</f>
        <v/>
      </c>
      <c r="BY87" s="56">
        <f>IF(BY2=Projections!$C$56,Projections!$B$58,if(BY2&gt;Projections!$C$56,MIN(Projections!$B$60,BX87+IF(mod(DATEDIF(Projections!$C$56,BY2,"M"),Projections!$B$59)=0,1,0)),0))</f>
        <v/>
      </c>
      <c r="BZ87" s="56">
        <f>IF(BZ2=Projections!$C$56,Projections!$B$58,if(BZ2&gt;Projections!$C$56,MIN(Projections!$B$60,BY87+IF(mod(DATEDIF(Projections!$C$56,BZ2,"M"),Projections!$B$59)=0,1,0)),0))</f>
        <v/>
      </c>
      <c r="CA87" s="56">
        <f>IF(CA2=Projections!$C$56,Projections!$B$58,if(CA2&gt;Projections!$C$56,MIN(Projections!$B$60,BZ87+IF(mod(DATEDIF(Projections!$C$56,CA2,"M"),Projections!$B$59)=0,1,0)),0))</f>
        <v/>
      </c>
      <c r="CB87" s="56">
        <f>IF(CB2=Projections!$C$56,Projections!$B$58,if(CB2&gt;Projections!$C$56,MIN(Projections!$B$60,CA87+IF(mod(DATEDIF(Projections!$C$56,CB2,"M"),Projections!$B$59)=0,1,0)),0))</f>
        <v/>
      </c>
      <c r="CC87" s="56">
        <f>IF(CC2=Projections!$C$56,Projections!$B$58,if(CC2&gt;Projections!$C$56,MIN(Projections!$B$60,CB87+IF(mod(DATEDIF(Projections!$C$56,CC2,"M"),Projections!$B$59)=0,1,0)),0))</f>
        <v/>
      </c>
      <c r="CD87" s="56">
        <f>IF(CD2=Projections!$C$56,Projections!$B$58,if(CD2&gt;Projections!$C$56,MIN(Projections!$B$60,CC87+IF(mod(DATEDIF(Projections!$C$56,CD2,"M"),Projections!$B$59)=0,1,0)),0))</f>
        <v/>
      </c>
      <c r="CE87" s="56">
        <f>IF(CE2=Projections!$C$56,Projections!$B$58,if(CE2&gt;Projections!$C$56,MIN(Projections!$B$60,CD87+IF(mod(DATEDIF(Projections!$C$56,CE2,"M"),Projections!$B$59)=0,1,0)),0))</f>
        <v/>
      </c>
      <c r="CF87" s="56">
        <f>IF(CF2=Projections!$C$56,Projections!$B$58,if(CF2&gt;Projections!$C$56,MIN(Projections!$B$60,CE87+IF(mod(DATEDIF(Projections!$C$56,CF2,"M"),Projections!$B$59)=0,1,0)),0))</f>
        <v/>
      </c>
      <c r="CG87" s="56">
        <f>IF(CG2=Projections!$C$56,Projections!$B$58,if(CG2&gt;Projections!$C$56,MIN(Projections!$B$60,CF87+IF(mod(DATEDIF(Projections!$C$56,CG2,"M"),Projections!$B$59)=0,1,0)),0))</f>
        <v/>
      </c>
      <c r="CH87" s="56">
        <f>IF(CH2=Projections!$C$56,Projections!$B$58,if(CH2&gt;Projections!$C$56,MIN(Projections!$B$60,CG87+IF(mod(DATEDIF(Projections!$C$56,CH2,"M"),Projections!$B$59)=0,1,0)),0))</f>
        <v/>
      </c>
      <c r="CI87" s="56">
        <f>IF(CI2=Projections!$C$56,Projections!$B$58,if(CI2&gt;Projections!$C$56,MIN(Projections!$B$60,CH87+IF(mod(DATEDIF(Projections!$C$56,CI2,"M"),Projections!$B$59)=0,1,0)),0))</f>
        <v/>
      </c>
      <c r="CJ87" s="56">
        <f>IF(CJ2=Projections!$C$56,Projections!$B$58,if(CJ2&gt;Projections!$C$56,MIN(Projections!$B$60,CI87+IF(mod(DATEDIF(Projections!$C$56,CJ2,"M"),Projections!$B$59)=0,1,0)),0))</f>
        <v/>
      </c>
      <c r="CK87" s="56">
        <f>IF(CK2=Projections!$C$56,Projections!$B$58,if(CK2&gt;Projections!$C$56,MIN(Projections!$B$60,CJ87+IF(mod(DATEDIF(Projections!$C$56,CK2,"M"),Projections!$B$59)=0,1,0)),0))</f>
        <v/>
      </c>
      <c r="CL87" s="56">
        <f>IF(CL2=Projections!$C$56,Projections!$B$58,if(CL2&gt;Projections!$C$56,MIN(Projections!$B$60,CK87+IF(mod(DATEDIF(Projections!$C$56,CL2,"M"),Projections!$B$59)=0,1,0)),0))</f>
        <v/>
      </c>
      <c r="CM87" s="56">
        <f>IF(CM2=Projections!$C$56,Projections!$B$58,if(CM2&gt;Projections!$C$56,MIN(Projections!$B$60,CL87+IF(mod(DATEDIF(Projections!$C$56,CM2,"M"),Projections!$B$59)=0,1,0)),0))</f>
        <v/>
      </c>
      <c r="CN87" s="56">
        <f>IF(CN2=Projections!$C$56,Projections!$B$58,if(CN2&gt;Projections!$C$56,MIN(Projections!$B$60,CM87+IF(mod(DATEDIF(Projections!$C$56,CN2,"M"),Projections!$B$59)=0,1,0)),0))</f>
        <v/>
      </c>
      <c r="CO87" s="56">
        <f>IF(CO2=Projections!$C$56,Projections!$B$58,if(CO2&gt;Projections!$C$56,MIN(Projections!$B$60,CN87+IF(mod(DATEDIF(Projections!$C$56,CO2,"M"),Projections!$B$59)=0,1,0)),0))</f>
        <v/>
      </c>
      <c r="CP87" s="56">
        <f>IF(CP2=Projections!$C$56,Projections!$B$58,if(CP2&gt;Projections!$C$56,MIN(Projections!$B$60,CO87+IF(mod(DATEDIF(Projections!$C$56,CP2,"M"),Projections!$B$59)=0,1,0)),0))</f>
        <v/>
      </c>
      <c r="CQ87" s="56">
        <f>IF(CQ2=Projections!$C$56,Projections!$B$58,if(CQ2&gt;Projections!$C$56,MIN(Projections!$B$60,CP87+IF(mod(DATEDIF(Projections!$C$56,CQ2,"M"),Projections!$B$59)=0,1,0)),0))</f>
        <v/>
      </c>
      <c r="CR87" s="56">
        <f>IF(CR2=Projections!$C$56,Projections!$B$58,if(CR2&gt;Projections!$C$56,MIN(Projections!$B$60,CQ87+IF(mod(DATEDIF(Projections!$C$56,CR2,"M"),Projections!$B$59)=0,1,0)),0))</f>
        <v/>
      </c>
      <c r="CS87" s="56">
        <f>IF(CS2=Projections!$C$56,Projections!$B$58,if(CS2&gt;Projections!$C$56,MIN(Projections!$B$60,CR87+IF(mod(DATEDIF(Projections!$C$56,CS2,"M"),Projections!$B$59)=0,1,0)),0))</f>
        <v/>
      </c>
      <c r="CT87" s="56">
        <f>IF(CT2=Projections!$C$56,Projections!$B$58,if(CT2&gt;Projections!$C$56,MIN(Projections!$B$60,CS87+IF(mod(DATEDIF(Projections!$C$56,CT2,"M"),Projections!$B$59)=0,1,0)),0))</f>
        <v/>
      </c>
      <c r="CU87" s="56">
        <f>IF(CU2=Projections!$C$56,Projections!$B$58,if(CU2&gt;Projections!$C$56,MIN(Projections!$B$60,CT87+IF(mod(DATEDIF(Projections!$C$56,CU2,"M"),Projections!$B$59)=0,1,0)),0))</f>
        <v/>
      </c>
      <c r="CV87" s="56">
        <f>IF(CV2=Projections!$C$56,Projections!$B$58,if(CV2&gt;Projections!$C$56,MIN(Projections!$B$60,CU87+IF(mod(DATEDIF(Projections!$C$56,CV2,"M"),Projections!$B$59)=0,1,0)),0))</f>
        <v/>
      </c>
      <c r="CW87" s="56">
        <f>IF(CW2=Projections!$C$56,Projections!$B$58,if(CW2&gt;Projections!$C$56,MIN(Projections!$B$60,CV87+IF(mod(DATEDIF(Projections!$C$56,CW2,"M"),Projections!$B$59)=0,1,0)),0))</f>
        <v/>
      </c>
      <c r="CX87" s="56">
        <f>IF(CX2=Projections!$C$56,Projections!$B$58,if(CX2&gt;Projections!$C$56,MIN(Projections!$B$60,CW87+IF(mod(DATEDIF(Projections!$C$56,CX2,"M"),Projections!$B$59)=0,1,0)),0))</f>
        <v/>
      </c>
    </row>
    <row r="88" ht="15.75" customHeight="1" s="255">
      <c r="A88" s="134" t="inlineStr">
        <is>
          <t>Cost per manager</t>
        </is>
      </c>
      <c r="B88" s="56" t="n"/>
      <c r="C88" s="56" t="n"/>
      <c r="D88" s="56" t="n"/>
      <c r="E88" s="56">
        <f>IF(E$2=Payroll!$I46,Payroll!$F46,IF(E$2&gt;Payroll!$I46,Payroll!$F46*((1+Payroll!$J46)^(ROUNDDOWN(DATEDIF(Payroll!$I46,E$2,"M")/Payroll!$K46,0))),0))</f>
        <v/>
      </c>
      <c r="F88" s="56">
        <f>IF(F$2=Payroll!$I46,Payroll!$F46,IF(F$2&gt;Payroll!$I46,Payroll!$F46*((1+Payroll!$J46)^(ROUNDDOWN(DATEDIF(Payroll!$I46,F$2,"M")/Payroll!$K46,0))),0))</f>
        <v/>
      </c>
      <c r="G88" s="56">
        <f>IF(G$2=Payroll!$I46,Payroll!$F46,IF(G$2&gt;Payroll!$I46,Payroll!$F46*((1+Payroll!$J46)^(ROUNDDOWN(DATEDIF(Payroll!$I46,G$2,"M")/Payroll!$K46,0))),0))</f>
        <v/>
      </c>
      <c r="H88" s="56">
        <f>IF(H$2=Payroll!$I46,Payroll!$F46,IF(H$2&gt;Payroll!$I46,Payroll!$F46*((1+Payroll!$J46)^(ROUNDDOWN(DATEDIF(Payroll!$I46,H$2,"M")/Payroll!$K46,0))),0))</f>
        <v/>
      </c>
      <c r="I88" s="56">
        <f>IF(I$2=Payroll!$I46,Payroll!$F46,IF(I$2&gt;Payroll!$I46,Payroll!$F46*((1+Payroll!$J46)^(ROUNDDOWN(DATEDIF(Payroll!$I46,I$2,"M")/Payroll!$K46,0))),0))</f>
        <v/>
      </c>
      <c r="J88" s="56">
        <f>IF(J$2=Payroll!$I46,Payroll!$F46,IF(J$2&gt;Payroll!$I46,Payroll!$F46*((1+Payroll!$J46)^(ROUNDDOWN(DATEDIF(Payroll!$I46,J$2,"M")/Payroll!$K46,0))),0))</f>
        <v/>
      </c>
      <c r="K88" s="56">
        <f>IF(K$2=Payroll!$I46,Payroll!$F46,IF(K$2&gt;Payroll!$I46,Payroll!$F46*((1+Payroll!$J46)^(ROUNDDOWN(DATEDIF(Payroll!$I46,K$2,"M")/Payroll!$K46,0))),0))</f>
        <v/>
      </c>
      <c r="L88" s="56">
        <f>IF(L$2=Payroll!$I46,Payroll!$F46,IF(L$2&gt;Payroll!$I46,Payroll!$F46*((1+Payroll!$J46)^(ROUNDDOWN(DATEDIF(Payroll!$I46,L$2,"M")/Payroll!$K46,0))),0))</f>
        <v/>
      </c>
      <c r="M88" s="56">
        <f>IF(M$2=Payroll!$I46,Payroll!$F46,IF(M$2&gt;Payroll!$I46,Payroll!$F46*((1+Payroll!$J46)^(ROUNDDOWN(DATEDIF(Payroll!$I46,M$2,"M")/Payroll!$K46,0))),0))</f>
        <v/>
      </c>
      <c r="N88" s="56">
        <f>IF(N$2=Payroll!$I46,Payroll!$F46,IF(N$2&gt;Payroll!$I46,Payroll!$F46*((1+Payroll!$J46)^(ROUNDDOWN(DATEDIF(Payroll!$I46,N$2,"M")/Payroll!$K46,0))),0))</f>
        <v/>
      </c>
      <c r="O88" s="56">
        <f>IF(O$2=Payroll!$I46,Payroll!$F46,IF(O$2&gt;Payroll!$I46,Payroll!$F46*((1+Payroll!$J46)^(ROUNDDOWN(DATEDIF(Payroll!$I46,O$2,"M")/Payroll!$K46,0))),0))</f>
        <v/>
      </c>
      <c r="P88" s="56">
        <f>IF(P$2=Payroll!$I46,Payroll!$F46,IF(P$2&gt;Payroll!$I46,Payroll!$F46*((1+Payroll!$J46)^(ROUNDDOWN(DATEDIF(Payroll!$I46,P$2,"M")/Payroll!$K46,0))),0))</f>
        <v/>
      </c>
      <c r="Q88" s="56">
        <f>IF(Q$2=Payroll!$I46,Payroll!$F46,IF(Q$2&gt;Payroll!$I46,Payroll!$F46*((1+Payroll!$J46)^(ROUNDDOWN(DATEDIF(Payroll!$I46,Q$2,"M")/Payroll!$K46,0))),0))</f>
        <v/>
      </c>
      <c r="R88" s="56">
        <f>IF(R$2=Payroll!$I46,Payroll!$F46,IF(R$2&gt;Payroll!$I46,Payroll!$F46*((1+Payroll!$J46)^(ROUNDDOWN(DATEDIF(Payroll!$I46,R$2,"M")/Payroll!$K46,0))),0))</f>
        <v/>
      </c>
      <c r="S88" s="56">
        <f>IF(S$2=Payroll!$I46,Payroll!$F46,IF(S$2&gt;Payroll!$I46,Payroll!$F46*((1+Payroll!$J46)^(ROUNDDOWN(DATEDIF(Payroll!$I46,S$2,"M")/Payroll!$K46,0))),0))</f>
        <v/>
      </c>
      <c r="T88" s="56">
        <f>IF(T$2=Payroll!$I46,Payroll!$F46,IF(T$2&gt;Payroll!$I46,Payroll!$F46*((1+Payroll!$J46)^(ROUNDDOWN(DATEDIF(Payroll!$I46,T$2,"M")/Payroll!$K46,0))),0))</f>
        <v/>
      </c>
      <c r="U88" s="56">
        <f>IF(U$2=Payroll!$I46,Payroll!$F46,IF(U$2&gt;Payroll!$I46,Payroll!$F46*((1+Payroll!$J46)^(ROUNDDOWN(DATEDIF(Payroll!$I46,U$2,"M")/Payroll!$K46,0))),0))</f>
        <v/>
      </c>
      <c r="V88" s="56">
        <f>IF(V$2=Payroll!$I46,Payroll!$F46,IF(V$2&gt;Payroll!$I46,Payroll!$F46*((1+Payroll!$J46)^(ROUNDDOWN(DATEDIF(Payroll!$I46,V$2,"M")/Payroll!$K46,0))),0))</f>
        <v/>
      </c>
      <c r="W88" s="56">
        <f>IF(W$2=Payroll!$I46,Payroll!$F46,IF(W$2&gt;Payroll!$I46,Payroll!$F46*((1+Payroll!$J46)^(ROUNDDOWN(DATEDIF(Payroll!$I46,W$2,"M")/Payroll!$K46,0))),0))</f>
        <v/>
      </c>
      <c r="X88" s="56">
        <f>IF(X$2=Payroll!$I46,Payroll!$F46,IF(X$2&gt;Payroll!$I46,Payroll!$F46*((1+Payroll!$J46)^(ROUNDDOWN(DATEDIF(Payroll!$I46,X$2,"M")/Payroll!$K46,0))),0))</f>
        <v/>
      </c>
      <c r="Y88" s="56">
        <f>IF(Y$2=Payroll!$I46,Payroll!$F46,IF(Y$2&gt;Payroll!$I46,Payroll!$F46*((1+Payroll!$J46)^(ROUNDDOWN(DATEDIF(Payroll!$I46,Y$2,"M")/Payroll!$K46,0))),0))</f>
        <v/>
      </c>
      <c r="Z88" s="56">
        <f>IF(Z$2=Payroll!$I46,Payroll!$F46,IF(Z$2&gt;Payroll!$I46,Payroll!$F46*((1+Payroll!$J46)^(ROUNDDOWN(DATEDIF(Payroll!$I46,Z$2,"M")/Payroll!$K46,0))),0))</f>
        <v/>
      </c>
      <c r="AA88" s="56">
        <f>IF(AA$2=Payroll!$I46,Payroll!$F46,IF(AA$2&gt;Payroll!$I46,Payroll!$F46*((1+Payroll!$J46)^(ROUNDDOWN(DATEDIF(Payroll!$I46,AA$2,"M")/Payroll!$K46,0))),0))</f>
        <v/>
      </c>
      <c r="AB88" s="56">
        <f>IF(AB$2=Payroll!$I46,Payroll!$F46,IF(AB$2&gt;Payroll!$I46,Payroll!$F46*((1+Payroll!$J46)^(ROUNDDOWN(DATEDIF(Payroll!$I46,AB$2,"M")/Payroll!$K46,0))),0))</f>
        <v/>
      </c>
      <c r="AC88" s="56">
        <f>IF(AC$2=Payroll!$I46,Payroll!$F46,IF(AC$2&gt;Payroll!$I46,Payroll!$F46*((1+Payroll!$J46)^(ROUNDDOWN(DATEDIF(Payroll!$I46,AC$2,"M")/Payroll!$K46,0))),0))</f>
        <v/>
      </c>
      <c r="AD88" s="56">
        <f>IF(AD$2=Payroll!$I46,Payroll!$F46,IF(AD$2&gt;Payroll!$I46,Payroll!$F46*((1+Payroll!$J46)^(ROUNDDOWN(DATEDIF(Payroll!$I46,AD$2,"M")/Payroll!$K46,0))),0))</f>
        <v/>
      </c>
      <c r="AE88" s="56">
        <f>IF(AE$2=Payroll!$I46,Payroll!$F46,IF(AE$2&gt;Payroll!$I46,Payroll!$F46*((1+Payroll!$J46)^(ROUNDDOWN(DATEDIF(Payroll!$I46,AE$2,"M")/Payroll!$K46,0))),0))</f>
        <v/>
      </c>
      <c r="AF88" s="56">
        <f>IF(AF$2=Payroll!$I46,Payroll!$F46,IF(AF$2&gt;Payroll!$I46,Payroll!$F46*((1+Payroll!$J46)^(ROUNDDOWN(DATEDIF(Payroll!$I46,AF$2,"M")/Payroll!$K46,0))),0))</f>
        <v/>
      </c>
      <c r="AG88" s="56">
        <f>IF(AG$2=Payroll!$I46,Payroll!$F46,IF(AG$2&gt;Payroll!$I46,Payroll!$F46*((1+Payroll!$J46)^(ROUNDDOWN(DATEDIF(Payroll!$I46,AG$2,"M")/Payroll!$K46,0))),0))</f>
        <v/>
      </c>
      <c r="AH88" s="56">
        <f>IF(AH$2=Payroll!$I46,Payroll!$F46,IF(AH$2&gt;Payroll!$I46,Payroll!$F46*((1+Payroll!$J46)^(ROUNDDOWN(DATEDIF(Payroll!$I46,AH$2,"M")/Payroll!$K46,0))),0))</f>
        <v/>
      </c>
      <c r="AI88" s="56">
        <f>IF(AI$2=Payroll!$I46,Payroll!$F46,IF(AI$2&gt;Payroll!$I46,Payroll!$F46*((1+Payroll!$J46)^(ROUNDDOWN(DATEDIF(Payroll!$I46,AI$2,"M")/Payroll!$K46,0))),0))</f>
        <v/>
      </c>
      <c r="AJ88" s="56">
        <f>IF(AJ$2=Payroll!$I46,Payroll!$F46,IF(AJ$2&gt;Payroll!$I46,Payroll!$F46*((1+Payroll!$J46)^(ROUNDDOWN(DATEDIF(Payroll!$I46,AJ$2,"M")/Payroll!$K46,0))),0))</f>
        <v/>
      </c>
      <c r="AK88" s="56">
        <f>IF(AK$2=Payroll!$I46,Payroll!$F46,IF(AK$2&gt;Payroll!$I46,Payroll!$F46*((1+Payroll!$J46)^(ROUNDDOWN(DATEDIF(Payroll!$I46,AK$2,"M")/Payroll!$K46,0))),0))</f>
        <v/>
      </c>
      <c r="AL88" s="56">
        <f>IF(AL$2=Payroll!$I46,Payroll!$F46,IF(AL$2&gt;Payroll!$I46,Payroll!$F46*((1+Payroll!$J46)^(ROUNDDOWN(DATEDIF(Payroll!$I46,AL$2,"M")/Payroll!$K46,0))),0))</f>
        <v/>
      </c>
      <c r="AM88" s="56">
        <f>IF(AM$2=Payroll!$I46,Payroll!$F46,IF(AM$2&gt;Payroll!$I46,Payroll!$F46*((1+Payroll!$J46)^(ROUNDDOWN(DATEDIF(Payroll!$I46,AM$2,"M")/Payroll!$K46,0))),0))</f>
        <v/>
      </c>
      <c r="AN88" s="56">
        <f>IF(AN$2=Payroll!$I46,Payroll!$F46,IF(AN$2&gt;Payroll!$I46,Payroll!$F46*((1+Payroll!$J46)^(ROUNDDOWN(DATEDIF(Payroll!$I46,AN$2,"M")/Payroll!$K46,0))),0))</f>
        <v/>
      </c>
      <c r="AO88" s="56">
        <f>IF(AO$2=Payroll!$I46,Payroll!$F46,IF(AO$2&gt;Payroll!$I46,Payroll!$F46*((1+Payroll!$J46)^(ROUNDDOWN(DATEDIF(Payroll!$I46,AO$2,"M")/Payroll!$K46,0))),0))</f>
        <v/>
      </c>
      <c r="AP88" s="56">
        <f>IF(AP$2=Payroll!$I46,Payroll!$F46,IF(AP$2&gt;Payroll!$I46,Payroll!$F46*((1+Payroll!$J46)^(ROUNDDOWN(DATEDIF(Payroll!$I46,AP$2,"M")/Payroll!$K46,0))),0))</f>
        <v/>
      </c>
      <c r="AQ88" s="56">
        <f>IF(AQ$2=Payroll!$I46,Payroll!$F46,IF(AQ$2&gt;Payroll!$I46,Payroll!$F46*((1+Payroll!$J46)^(ROUNDDOWN(DATEDIF(Payroll!$I46,AQ$2,"M")/Payroll!$K46,0))),0))</f>
        <v/>
      </c>
      <c r="AR88" s="56">
        <f>IF(AR$2=Payroll!$I46,Payroll!$F46,IF(AR$2&gt;Payroll!$I46,Payroll!$F46*((1+Payroll!$J46)^(ROUNDDOWN(DATEDIF(Payroll!$I46,AR$2,"M")/Payroll!$K46,0))),0))</f>
        <v/>
      </c>
      <c r="AS88" s="56">
        <f>IF(AS$2=Payroll!$I46,Payroll!$F46,IF(AS$2&gt;Payroll!$I46,Payroll!$F46*((1+Payroll!$J46)^(ROUNDDOWN(DATEDIF(Payroll!$I46,AS$2,"M")/Payroll!$K46,0))),0))</f>
        <v/>
      </c>
      <c r="AT88" s="56">
        <f>IF(AT$2=Payroll!$I46,Payroll!$F46,IF(AT$2&gt;Payroll!$I46,Payroll!$F46*((1+Payroll!$J46)^(ROUNDDOWN(DATEDIF(Payroll!$I46,AT$2,"M")/Payroll!$K46,0))),0))</f>
        <v/>
      </c>
      <c r="AU88" s="56">
        <f>IF(AU$2=Payroll!$I46,Payroll!$F46,IF(AU$2&gt;Payroll!$I46,Payroll!$F46*((1+Payroll!$J46)^(ROUNDDOWN(DATEDIF(Payroll!$I46,AU$2,"M")/Payroll!$K46,0))),0))</f>
        <v/>
      </c>
      <c r="AV88" s="56">
        <f>IF(AV$2=Payroll!$I46,Payroll!$F46,IF(AV$2&gt;Payroll!$I46,Payroll!$F46*((1+Payroll!$J46)^(ROUNDDOWN(DATEDIF(Payroll!$I46,AV$2,"M")/Payroll!$K46,0))),0))</f>
        <v/>
      </c>
      <c r="AW88" s="56">
        <f>IF(AW$2=Payroll!$I46,Payroll!$F46,IF(AW$2&gt;Payroll!$I46,Payroll!$F46*((1+Payroll!$J46)^(ROUNDDOWN(DATEDIF(Payroll!$I46,AW$2,"M")/Payroll!$K46,0))),0))</f>
        <v/>
      </c>
      <c r="AX88" s="56">
        <f>IF(AX$2=Payroll!$I46,Payroll!$F46,IF(AX$2&gt;Payroll!$I46,Payroll!$F46*((1+Payroll!$J46)^(ROUNDDOWN(DATEDIF(Payroll!$I46,AX$2,"M")/Payroll!$K46,0))),0))</f>
        <v/>
      </c>
      <c r="AY88" s="56">
        <f>IF(AY$2=Payroll!$I46,Payroll!$F46,IF(AY$2&gt;Payroll!$I46,Payroll!$F46*((1+Payroll!$J46)^(ROUNDDOWN(DATEDIF(Payroll!$I46,AY$2,"M")/Payroll!$K46,0))),0))</f>
        <v/>
      </c>
      <c r="AZ88" s="56">
        <f>IF(AZ$2=Payroll!$I46,Payroll!$F46,IF(AZ$2&gt;Payroll!$I46,Payroll!$F46*((1+Payroll!$J46)^(ROUNDDOWN(DATEDIF(Payroll!$I46,AZ$2,"M")/Payroll!$K46,0))),0))</f>
        <v/>
      </c>
      <c r="BA88" s="56">
        <f>IF(BA$2=Payroll!$I46,Payroll!$F46,IF(BA$2&gt;Payroll!$I46,Payroll!$F46*((1+Payroll!$J46)^(ROUNDDOWN(DATEDIF(Payroll!$I46,BA$2,"M")/Payroll!$K46,0))),0))</f>
        <v/>
      </c>
      <c r="BB88" s="56">
        <f>IF(BB$2=Payroll!$I46,Payroll!$F46,IF(BB$2&gt;Payroll!$I46,Payroll!$F46*((1+Payroll!$J46)^(ROUNDDOWN(DATEDIF(Payroll!$I46,BB$2,"M")/Payroll!$K46,0))),0))</f>
        <v/>
      </c>
      <c r="BC88" s="56">
        <f>IF(BC$2=Payroll!$I46,Payroll!$F46,IF(BC$2&gt;Payroll!$I46,Payroll!$F46*((1+Payroll!$J46)^(ROUNDDOWN(DATEDIF(Payroll!$I46,BC$2,"M")/Payroll!$K46,0))),0))</f>
        <v/>
      </c>
      <c r="BD88" s="56">
        <f>IF(BD$2=Payroll!$I46,Payroll!$F46,IF(BD$2&gt;Payroll!$I46,Payroll!$F46*((1+Payroll!$J46)^(ROUNDDOWN(DATEDIF(Payroll!$I46,BD$2,"M")/Payroll!$K46,0))),0))</f>
        <v/>
      </c>
      <c r="BE88" s="56">
        <f>IF(BE$2=Payroll!$I46,Payroll!$F46,IF(BE$2&gt;Payroll!$I46,Payroll!$F46*((1+Payroll!$J46)^(ROUNDDOWN(DATEDIF(Payroll!$I46,BE$2,"M")/Payroll!$K46,0))),0))</f>
        <v/>
      </c>
      <c r="BF88" s="56">
        <f>IF(BF$2=Payroll!$I46,Payroll!$F46,IF(BF$2&gt;Payroll!$I46,Payroll!$F46*((1+Payroll!$J46)^(ROUNDDOWN(DATEDIF(Payroll!$I46,BF$2,"M")/Payroll!$K46,0))),0))</f>
        <v/>
      </c>
      <c r="BG88" s="56">
        <f>IF(BG$2=Payroll!$I46,Payroll!$F46,IF(BG$2&gt;Payroll!$I46,Payroll!$F46*((1+Payroll!$J46)^(ROUNDDOWN(DATEDIF(Payroll!$I46,BG$2,"M")/Payroll!$K46,0))),0))</f>
        <v/>
      </c>
      <c r="BH88" s="56">
        <f>IF(BH$2=Payroll!$I46,Payroll!$F46,IF(BH$2&gt;Payroll!$I46,Payroll!$F46*((1+Payroll!$J46)^(ROUNDDOWN(DATEDIF(Payroll!$I46,BH$2,"M")/Payroll!$K46,0))),0))</f>
        <v/>
      </c>
      <c r="BI88" s="56">
        <f>IF(BI$2=Payroll!$I46,Payroll!$F46,IF(BI$2&gt;Payroll!$I46,Payroll!$F46*((1+Payroll!$J46)^(ROUNDDOWN(DATEDIF(Payroll!$I46,BI$2,"M")/Payroll!$K46,0))),0))</f>
        <v/>
      </c>
      <c r="BJ88" s="56">
        <f>IF(BJ$2=Payroll!$I46,Payroll!$F46,IF(BJ$2&gt;Payroll!$I46,Payroll!$F46*((1+Payroll!$J46)^(ROUNDDOWN(DATEDIF(Payroll!$I46,BJ$2,"M")/Payroll!$K46,0))),0))</f>
        <v/>
      </c>
      <c r="BK88" s="56">
        <f>IF(BK$2=Payroll!$I46,Payroll!$F46,IF(BK$2&gt;Payroll!$I46,Payroll!$F46*((1+Payroll!$J46)^(ROUNDDOWN(DATEDIF(Payroll!$I46,BK$2,"M")/Payroll!$K46,0))),0))</f>
        <v/>
      </c>
      <c r="BL88" s="56">
        <f>IF(BL$2=Payroll!$I46,Payroll!$F46,IF(BL$2&gt;Payroll!$I46,Payroll!$F46*((1+Payroll!$J46)^(ROUNDDOWN(DATEDIF(Payroll!$I46,BL$2,"M")/Payroll!$K46,0))),0))</f>
        <v/>
      </c>
      <c r="BM88" s="56">
        <f>IF(BM$2=Payroll!$I46,Payroll!$F46,IF(BM$2&gt;Payroll!$I46,Payroll!$F46*((1+Payroll!$J46)^(ROUNDDOWN(DATEDIF(Payroll!$I46,BM$2,"M")/Payroll!$K46,0))),0))</f>
        <v/>
      </c>
      <c r="BN88" s="56">
        <f>IF(BN$2=Payroll!$I46,Payroll!$F46,IF(BN$2&gt;Payroll!$I46,Payroll!$F46*((1+Payroll!$J46)^(ROUNDDOWN(DATEDIF(Payroll!$I46,BN$2,"M")/Payroll!$K46,0))),0))</f>
        <v/>
      </c>
      <c r="BO88" s="56">
        <f>IF(BO$2=Payroll!$I46,Payroll!$F46,IF(BO$2&gt;Payroll!$I46,Payroll!$F46*((1+Payroll!$J46)^(ROUNDDOWN(DATEDIF(Payroll!$I46,BO$2,"M")/Payroll!$K46,0))),0))</f>
        <v/>
      </c>
      <c r="BP88" s="56">
        <f>IF(BP$2=Payroll!$I46,Payroll!$F46,IF(BP$2&gt;Payroll!$I46,Payroll!$F46*((1+Payroll!$J46)^(ROUNDDOWN(DATEDIF(Payroll!$I46,BP$2,"M")/Payroll!$K46,0))),0))</f>
        <v/>
      </c>
      <c r="BQ88" s="56">
        <f>IF(BQ$2=Payroll!$I46,Payroll!$F46,IF(BQ$2&gt;Payroll!$I46,Payroll!$F46*((1+Payroll!$J46)^(ROUNDDOWN(DATEDIF(Payroll!$I46,BQ$2,"M")/Payroll!$K46,0))),0))</f>
        <v/>
      </c>
      <c r="BR88" s="56">
        <f>IF(BR$2=Payroll!$I46,Payroll!$F46,IF(BR$2&gt;Payroll!$I46,Payroll!$F46*((1+Payroll!$J46)^(ROUNDDOWN(DATEDIF(Payroll!$I46,BR$2,"M")/Payroll!$K46,0))),0))</f>
        <v/>
      </c>
      <c r="BS88" s="56">
        <f>IF(BS$2=Payroll!$I46,Payroll!$F46,IF(BS$2&gt;Payroll!$I46,Payroll!$F46*((1+Payroll!$J46)^(ROUNDDOWN(DATEDIF(Payroll!$I46,BS$2,"M")/Payroll!$K46,0))),0))</f>
        <v/>
      </c>
      <c r="BT88" s="56">
        <f>IF(BT$2=Payroll!$I46,Payroll!$F46,IF(BT$2&gt;Payroll!$I46,Payroll!$F46*((1+Payroll!$J46)^(ROUNDDOWN(DATEDIF(Payroll!$I46,BT$2,"M")/Payroll!$K46,0))),0))</f>
        <v/>
      </c>
      <c r="BU88" s="56">
        <f>IF(BU$2=Payroll!$I46,Payroll!$F46,IF(BU$2&gt;Payroll!$I46,Payroll!$F46*((1+Payroll!$J46)^(ROUNDDOWN(DATEDIF(Payroll!$I46,BU$2,"M")/Payroll!$K46,0))),0))</f>
        <v/>
      </c>
      <c r="BV88" s="56">
        <f>IF(BV$2=Payroll!$I46,Payroll!$F46,IF(BV$2&gt;Payroll!$I46,Payroll!$F46*((1+Payroll!$J46)^(ROUNDDOWN(DATEDIF(Payroll!$I46,BV$2,"M")/Payroll!$K46,0))),0))</f>
        <v/>
      </c>
      <c r="BW88" s="56">
        <f>IF(BW$2=Payroll!$I46,Payroll!$F46,IF(BW$2&gt;Payroll!$I46,Payroll!$F46*((1+Payroll!$J46)^(ROUNDDOWN(DATEDIF(Payroll!$I46,BW$2,"M")/Payroll!$K46,0))),0))</f>
        <v/>
      </c>
      <c r="BX88" s="56">
        <f>IF(BX$2=Payroll!$I46,Payroll!$F46,IF(BX$2&gt;Payroll!$I46,Payroll!$F46*((1+Payroll!$J46)^(ROUNDDOWN(DATEDIF(Payroll!$I46,BX$2,"M")/Payroll!$K46,0))),0))</f>
        <v/>
      </c>
      <c r="BY88" s="56">
        <f>IF(BY$2=Payroll!$I46,Payroll!$F46,IF(BY$2&gt;Payroll!$I46,Payroll!$F46*((1+Payroll!$J46)^(ROUNDDOWN(DATEDIF(Payroll!$I46,BY$2,"M")/Payroll!$K46,0))),0))</f>
        <v/>
      </c>
      <c r="BZ88" s="56">
        <f>IF(BZ$2=Payroll!$I46,Payroll!$F46,IF(BZ$2&gt;Payroll!$I46,Payroll!$F46*((1+Payroll!$J46)^(ROUNDDOWN(DATEDIF(Payroll!$I46,BZ$2,"M")/Payroll!$K46,0))),0))</f>
        <v/>
      </c>
      <c r="CA88" s="56">
        <f>IF(CA$2=Payroll!$I46,Payroll!$F46,IF(CA$2&gt;Payroll!$I46,Payroll!$F46*((1+Payroll!$J46)^(ROUNDDOWN(DATEDIF(Payroll!$I46,CA$2,"M")/Payroll!$K46,0))),0))</f>
        <v/>
      </c>
      <c r="CB88" s="56">
        <f>IF(CB$2=Payroll!$I46,Payroll!$F46,IF(CB$2&gt;Payroll!$I46,Payroll!$F46*((1+Payroll!$J46)^(ROUNDDOWN(DATEDIF(Payroll!$I46,CB$2,"M")/Payroll!$K46,0))),0))</f>
        <v/>
      </c>
      <c r="CC88" s="56">
        <f>IF(CC$2=Payroll!$I46,Payroll!$F46,IF(CC$2&gt;Payroll!$I46,Payroll!$F46*((1+Payroll!$J46)^(ROUNDDOWN(DATEDIF(Payroll!$I46,CC$2,"M")/Payroll!$K46,0))),0))</f>
        <v/>
      </c>
      <c r="CD88" s="56">
        <f>IF(CD$2=Payroll!$I46,Payroll!$F46,IF(CD$2&gt;Payroll!$I46,Payroll!$F46*((1+Payroll!$J46)^(ROUNDDOWN(DATEDIF(Payroll!$I46,CD$2,"M")/Payroll!$K46,0))),0))</f>
        <v/>
      </c>
      <c r="CE88" s="56">
        <f>IF(CE$2=Payroll!$I46,Payroll!$F46,IF(CE$2&gt;Payroll!$I46,Payroll!$F46*((1+Payroll!$J46)^(ROUNDDOWN(DATEDIF(Payroll!$I46,CE$2,"M")/Payroll!$K46,0))),0))</f>
        <v/>
      </c>
      <c r="CF88" s="56">
        <f>IF(CF$2=Payroll!$I46,Payroll!$F46,IF(CF$2&gt;Payroll!$I46,Payroll!$F46*((1+Payroll!$J46)^(ROUNDDOWN(DATEDIF(Payroll!$I46,CF$2,"M")/Payroll!$K46,0))),0))</f>
        <v/>
      </c>
      <c r="CG88" s="56">
        <f>IF(CG$2=Payroll!$I46,Payroll!$F46,IF(CG$2&gt;Payroll!$I46,Payroll!$F46*((1+Payroll!$J46)^(ROUNDDOWN(DATEDIF(Payroll!$I46,CG$2,"M")/Payroll!$K46,0))),0))</f>
        <v/>
      </c>
      <c r="CH88" s="56">
        <f>IF(CH$2=Payroll!$I46,Payroll!$F46,IF(CH$2&gt;Payroll!$I46,Payroll!$F46*((1+Payroll!$J46)^(ROUNDDOWN(DATEDIF(Payroll!$I46,CH$2,"M")/Payroll!$K46,0))),0))</f>
        <v/>
      </c>
      <c r="CI88" s="56">
        <f>IF(CI$2=Payroll!$I46,Payroll!$F46,IF(CI$2&gt;Payroll!$I46,Payroll!$F46*((1+Payroll!$J46)^(ROUNDDOWN(DATEDIF(Payroll!$I46,CI$2,"M")/Payroll!$K46,0))),0))</f>
        <v/>
      </c>
      <c r="CJ88" s="56">
        <f>IF(CJ$2=Payroll!$I46,Payroll!$F46,IF(CJ$2&gt;Payroll!$I46,Payroll!$F46*((1+Payroll!$J46)^(ROUNDDOWN(DATEDIF(Payroll!$I46,CJ$2,"M")/Payroll!$K46,0))),0))</f>
        <v/>
      </c>
      <c r="CK88" s="56">
        <f>IF(CK$2=Payroll!$I46,Payroll!$F46,IF(CK$2&gt;Payroll!$I46,Payroll!$F46*((1+Payroll!$J46)^(ROUNDDOWN(DATEDIF(Payroll!$I46,CK$2,"M")/Payroll!$K46,0))),0))</f>
        <v/>
      </c>
      <c r="CL88" s="56">
        <f>IF(CL$2=Payroll!$I46,Payroll!$F46,IF(CL$2&gt;Payroll!$I46,Payroll!$F46*((1+Payroll!$J46)^(ROUNDDOWN(DATEDIF(Payroll!$I46,CL$2,"M")/Payroll!$K46,0))),0))</f>
        <v/>
      </c>
      <c r="CM88" s="56">
        <f>IF(CM$2=Payroll!$I46,Payroll!$F46,IF(CM$2&gt;Payroll!$I46,Payroll!$F46*((1+Payroll!$J46)^(ROUNDDOWN(DATEDIF(Payroll!$I46,CM$2,"M")/Payroll!$K46,0))),0))</f>
        <v/>
      </c>
      <c r="CN88" s="56">
        <f>IF(CN$2=Payroll!$I46,Payroll!$F46,IF(CN$2&gt;Payroll!$I46,Payroll!$F46*((1+Payroll!$J46)^(ROUNDDOWN(DATEDIF(Payroll!$I46,CN$2,"M")/Payroll!$K46,0))),0))</f>
        <v/>
      </c>
      <c r="CO88" s="56">
        <f>IF(CO$2=Payroll!$I46,Payroll!$F46,IF(CO$2&gt;Payroll!$I46,Payroll!$F46*((1+Payroll!$J46)^(ROUNDDOWN(DATEDIF(Payroll!$I46,CO$2,"M")/Payroll!$K46,0))),0))</f>
        <v/>
      </c>
      <c r="CP88" s="56">
        <f>IF(CP$2=Payroll!$I46,Payroll!$F46,IF(CP$2&gt;Payroll!$I46,Payroll!$F46*((1+Payroll!$J46)^(ROUNDDOWN(DATEDIF(Payroll!$I46,CP$2,"M")/Payroll!$K46,0))),0))</f>
        <v/>
      </c>
      <c r="CQ88" s="56">
        <f>IF(CQ$2=Payroll!$I46,Payroll!$F46,IF(CQ$2&gt;Payroll!$I46,Payroll!$F46*((1+Payroll!$J46)^(ROUNDDOWN(DATEDIF(Payroll!$I46,CQ$2,"M")/Payroll!$K46,0))),0))</f>
        <v/>
      </c>
      <c r="CR88" s="56">
        <f>IF(CR$2=Payroll!$I46,Payroll!$F46,IF(CR$2&gt;Payroll!$I46,Payroll!$F46*((1+Payroll!$J46)^(ROUNDDOWN(DATEDIF(Payroll!$I46,CR$2,"M")/Payroll!$K46,0))),0))</f>
        <v/>
      </c>
      <c r="CS88" s="56">
        <f>IF(CS$2=Payroll!$I46,Payroll!$F46,IF(CS$2&gt;Payroll!$I46,Payroll!$F46*((1+Payroll!$J46)^(ROUNDDOWN(DATEDIF(Payroll!$I46,CS$2,"M")/Payroll!$K46,0))),0))</f>
        <v/>
      </c>
      <c r="CT88" s="56">
        <f>IF(CT$2=Payroll!$I46,Payroll!$F46,IF(CT$2&gt;Payroll!$I46,Payroll!$F46*((1+Payroll!$J46)^(ROUNDDOWN(DATEDIF(Payroll!$I46,CT$2,"M")/Payroll!$K46,0))),0))</f>
        <v/>
      </c>
      <c r="CU88" s="56">
        <f>IF(CU$2=Payroll!$I46,Payroll!$F46,IF(CU$2&gt;Payroll!$I46,Payroll!$F46*((1+Payroll!$J46)^(ROUNDDOWN(DATEDIF(Payroll!$I46,CU$2,"M")/Payroll!$K46,0))),0))</f>
        <v/>
      </c>
      <c r="CV88" s="56">
        <f>IF(CV$2=Payroll!$I46,Payroll!$F46,IF(CV$2&gt;Payroll!$I46,Payroll!$F46*((1+Payroll!$J46)^(ROUNDDOWN(DATEDIF(Payroll!$I46,CV$2,"M")/Payroll!$K46,0))),0))</f>
        <v/>
      </c>
      <c r="CW88" s="56">
        <f>IF(CW$2=Payroll!$I46,Payroll!$F46,IF(CW$2&gt;Payroll!$I46,Payroll!$F46*((1+Payroll!$J46)^(ROUNDDOWN(DATEDIF(Payroll!$I46,CW$2,"M")/Payroll!$K46,0))),0))</f>
        <v/>
      </c>
      <c r="CX88" s="56">
        <f>IF(CX$2=Payroll!$I46,Payroll!$F46,IF(CX$2&gt;Payroll!$I46,Payroll!$F46*((1+Payroll!$J46)^(ROUNDDOWN(DATEDIF(Payroll!$I46,CX$2,"M")/Payroll!$K46,0))),0))</f>
        <v/>
      </c>
    </row>
    <row r="89" ht="15.75" customHeight="1" s="255">
      <c r="A89" s="134" t="inlineStr">
        <is>
          <t>Total cost</t>
        </is>
      </c>
      <c r="B89" s="56" t="n"/>
      <c r="C89" s="56" t="n"/>
      <c r="D89" s="56" t="n"/>
      <c r="E89" s="56">
        <f>E88*E87</f>
        <v/>
      </c>
      <c r="F89" s="56">
        <f>F88*F87</f>
        <v/>
      </c>
      <c r="G89" s="56">
        <f>G88*G87</f>
        <v/>
      </c>
      <c r="H89" s="56">
        <f>H88*H87</f>
        <v/>
      </c>
      <c r="I89" s="56">
        <f>I88*I87</f>
        <v/>
      </c>
      <c r="J89" s="56">
        <f>J88*J87</f>
        <v/>
      </c>
      <c r="K89" s="56">
        <f>K88*K87</f>
        <v/>
      </c>
      <c r="L89" s="56">
        <f>L88*L87</f>
        <v/>
      </c>
      <c r="M89" s="56">
        <f>M88*M87</f>
        <v/>
      </c>
      <c r="N89" s="56">
        <f>N88*N87</f>
        <v/>
      </c>
      <c r="O89" s="56">
        <f>O88*O87</f>
        <v/>
      </c>
      <c r="P89" s="56">
        <f>P88*P87</f>
        <v/>
      </c>
      <c r="Q89" s="56">
        <f>Q88*Q87</f>
        <v/>
      </c>
      <c r="R89" s="56">
        <f>R88*R87</f>
        <v/>
      </c>
      <c r="S89" s="56">
        <f>S88*S87</f>
        <v/>
      </c>
      <c r="T89" s="56">
        <f>T88*T87</f>
        <v/>
      </c>
      <c r="U89" s="56">
        <f>U88*U87</f>
        <v/>
      </c>
      <c r="V89" s="56">
        <f>V88*V87</f>
        <v/>
      </c>
      <c r="W89" s="56">
        <f>W88*W87</f>
        <v/>
      </c>
      <c r="X89" s="56">
        <f>X88*X87</f>
        <v/>
      </c>
      <c r="Y89" s="56">
        <f>Y88*Y87</f>
        <v/>
      </c>
      <c r="Z89" s="56">
        <f>Z88*Z87</f>
        <v/>
      </c>
      <c r="AA89" s="56">
        <f>AA88*AA87</f>
        <v/>
      </c>
      <c r="AB89" s="56">
        <f>AB88*AB87</f>
        <v/>
      </c>
      <c r="AC89" s="56">
        <f>AC88*AC87</f>
        <v/>
      </c>
      <c r="AD89" s="56">
        <f>AD88*AD87</f>
        <v/>
      </c>
      <c r="AE89" s="56">
        <f>AE88*AE87</f>
        <v/>
      </c>
      <c r="AF89" s="56">
        <f>AF88*AF87</f>
        <v/>
      </c>
      <c r="AG89" s="56">
        <f>AG88*AG87</f>
        <v/>
      </c>
      <c r="AH89" s="56">
        <f>AH88*AH87</f>
        <v/>
      </c>
      <c r="AI89" s="56">
        <f>AI88*AI87</f>
        <v/>
      </c>
      <c r="AJ89" s="56">
        <f>AJ88*AJ87</f>
        <v/>
      </c>
      <c r="AK89" s="56">
        <f>AK88*AK87</f>
        <v/>
      </c>
      <c r="AL89" s="56">
        <f>AL88*AL87</f>
        <v/>
      </c>
      <c r="AM89" s="56">
        <f>AM88*AM87</f>
        <v/>
      </c>
      <c r="AN89" s="56">
        <f>AN88*AN87</f>
        <v/>
      </c>
      <c r="AO89" s="56">
        <f>AO88*AO87</f>
        <v/>
      </c>
      <c r="AP89" s="56">
        <f>AP88*AP87</f>
        <v/>
      </c>
      <c r="AQ89" s="56">
        <f>AQ88*AQ87</f>
        <v/>
      </c>
      <c r="AR89" s="56">
        <f>AR88*AR87</f>
        <v/>
      </c>
      <c r="AS89" s="56">
        <f>AS88*AS87</f>
        <v/>
      </c>
      <c r="AT89" s="56">
        <f>AT88*AT87</f>
        <v/>
      </c>
      <c r="AU89" s="56">
        <f>AU88*AU87</f>
        <v/>
      </c>
      <c r="AV89" s="56">
        <f>AV88*AV87</f>
        <v/>
      </c>
      <c r="AW89" s="56">
        <f>AW88*AW87</f>
        <v/>
      </c>
      <c r="AX89" s="56">
        <f>AX88*AX87</f>
        <v/>
      </c>
      <c r="AY89" s="56">
        <f>AY88*AY87</f>
        <v/>
      </c>
      <c r="AZ89" s="56">
        <f>AZ88*AZ87</f>
        <v/>
      </c>
      <c r="BA89" s="56">
        <f>BA88*BA87</f>
        <v/>
      </c>
      <c r="BB89" s="56">
        <f>BB88*BB87</f>
        <v/>
      </c>
      <c r="BC89" s="56">
        <f>BC88*BC87</f>
        <v/>
      </c>
      <c r="BD89" s="56">
        <f>BD88*BD87</f>
        <v/>
      </c>
      <c r="BE89" s="56">
        <f>BE88*BE87</f>
        <v/>
      </c>
      <c r="BF89" s="56">
        <f>BF88*BF87</f>
        <v/>
      </c>
      <c r="BG89" s="56">
        <f>BG88*BG87</f>
        <v/>
      </c>
      <c r="BH89" s="56">
        <f>BH88*BH87</f>
        <v/>
      </c>
      <c r="BI89" s="56">
        <f>BI88*BI87</f>
        <v/>
      </c>
      <c r="BJ89" s="56">
        <f>BJ88*BJ87</f>
        <v/>
      </c>
      <c r="BK89" s="56">
        <f>BK88*BK87</f>
        <v/>
      </c>
      <c r="BL89" s="56">
        <f>BL88*BL87</f>
        <v/>
      </c>
      <c r="BM89" s="56">
        <f>BM88*BM87</f>
        <v/>
      </c>
      <c r="BN89" s="56">
        <f>BN88*BN87</f>
        <v/>
      </c>
      <c r="BO89" s="56">
        <f>BO88*BO87</f>
        <v/>
      </c>
      <c r="BP89" s="56">
        <f>BP88*BP87</f>
        <v/>
      </c>
      <c r="BQ89" s="56">
        <f>BQ88*BQ87</f>
        <v/>
      </c>
      <c r="BR89" s="56">
        <f>BR88*BR87</f>
        <v/>
      </c>
      <c r="BS89" s="56">
        <f>BS88*BS87</f>
        <v/>
      </c>
      <c r="BT89" s="56">
        <f>BT88*BT87</f>
        <v/>
      </c>
      <c r="BU89" s="56">
        <f>BU88*BU87</f>
        <v/>
      </c>
      <c r="BV89" s="56">
        <f>BV88*BV87</f>
        <v/>
      </c>
      <c r="BW89" s="56">
        <f>BW88*BW87</f>
        <v/>
      </c>
      <c r="BX89" s="56">
        <f>BX88*BX87</f>
        <v/>
      </c>
      <c r="BY89" s="56">
        <f>BY88*BY87</f>
        <v/>
      </c>
      <c r="BZ89" s="56">
        <f>BZ88*BZ87</f>
        <v/>
      </c>
      <c r="CA89" s="56">
        <f>CA88*CA87</f>
        <v/>
      </c>
      <c r="CB89" s="56">
        <f>CB88*CB87</f>
        <v/>
      </c>
      <c r="CC89" s="56">
        <f>CC88*CC87</f>
        <v/>
      </c>
      <c r="CD89" s="56">
        <f>CD88*CD87</f>
        <v/>
      </c>
      <c r="CE89" s="56">
        <f>CE88*CE87</f>
        <v/>
      </c>
      <c r="CF89" s="56">
        <f>CF88*CF87</f>
        <v/>
      </c>
      <c r="CG89" s="56">
        <f>CG88*CG87</f>
        <v/>
      </c>
      <c r="CH89" s="56">
        <f>CH88*CH87</f>
        <v/>
      </c>
      <c r="CI89" s="56">
        <f>CI88*CI87</f>
        <v/>
      </c>
      <c r="CJ89" s="56">
        <f>CJ88*CJ87</f>
        <v/>
      </c>
      <c r="CK89" s="56">
        <f>CK88*CK87</f>
        <v/>
      </c>
      <c r="CL89" s="56">
        <f>CL88*CL87</f>
        <v/>
      </c>
      <c r="CM89" s="56">
        <f>CM88*CM87</f>
        <v/>
      </c>
      <c r="CN89" s="56">
        <f>CN88*CN87</f>
        <v/>
      </c>
      <c r="CO89" s="56">
        <f>CO88*CO87</f>
        <v/>
      </c>
      <c r="CP89" s="56">
        <f>CP88*CP87</f>
        <v/>
      </c>
      <c r="CQ89" s="56">
        <f>CQ88*CQ87</f>
        <v/>
      </c>
      <c r="CR89" s="56">
        <f>CR88*CR87</f>
        <v/>
      </c>
      <c r="CS89" s="56">
        <f>CS88*CS87</f>
        <v/>
      </c>
      <c r="CT89" s="56">
        <f>CT88*CT87</f>
        <v/>
      </c>
      <c r="CU89" s="56">
        <f>CU88*CU87</f>
        <v/>
      </c>
      <c r="CV89" s="56">
        <f>CV88*CV87</f>
        <v/>
      </c>
      <c r="CW89" s="56">
        <f>CW88*CW87</f>
        <v/>
      </c>
      <c r="CX89" s="56">
        <f>CX88*CX87</f>
        <v/>
      </c>
    </row>
    <row r="90" ht="15.75" customHeight="1" s="25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6" t="n"/>
      <c r="AQ90" s="56" t="n"/>
      <c r="AR90" s="56" t="n"/>
      <c r="AS90" s="56" t="n"/>
      <c r="AT90" s="56" t="n"/>
      <c r="AU90" s="56" t="n"/>
      <c r="AV90" s="56" t="n"/>
      <c r="AW90" s="56" t="n"/>
      <c r="AX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  <c r="CW90" s="56" t="n"/>
      <c r="CX90" s="56" t="n"/>
    </row>
    <row r="91" ht="15.75" customHeight="1" s="255">
      <c r="A91" s="146" t="inlineStr">
        <is>
          <t>PAYROLL</t>
        </is>
      </c>
      <c r="B91" s="146" t="n"/>
      <c r="C91" s="146" t="n"/>
      <c r="D91" s="146" t="n"/>
      <c r="E91" s="147">
        <f>E92+E104+E115+E127</f>
        <v/>
      </c>
      <c r="F91" s="147">
        <f>F92+F104+F115+F127</f>
        <v/>
      </c>
      <c r="G91" s="147">
        <f>G92+G104+G115+G127</f>
        <v/>
      </c>
      <c r="H91" s="147">
        <f>H92+H104+H115+H127</f>
        <v/>
      </c>
      <c r="I91" s="147">
        <f>I92+I104+I115+I127</f>
        <v/>
      </c>
      <c r="J91" s="147">
        <f>J92+J104+J115+J127</f>
        <v/>
      </c>
      <c r="K91" s="147">
        <f>K92+K104+K115+K127</f>
        <v/>
      </c>
      <c r="L91" s="147">
        <f>L92+L104+L115+L127</f>
        <v/>
      </c>
      <c r="M91" s="147">
        <f>M92+M104+M115+M127</f>
        <v/>
      </c>
      <c r="N91" s="147">
        <f>N92+N104+N115+N127</f>
        <v/>
      </c>
      <c r="O91" s="147">
        <f>O92+O104+O115+O127</f>
        <v/>
      </c>
      <c r="P91" s="147">
        <f>P92+P104+P115+P127</f>
        <v/>
      </c>
      <c r="Q91" s="147">
        <f>Q92+Q104+Q115+Q127</f>
        <v/>
      </c>
      <c r="R91" s="147">
        <f>R92+R104+R115+R127</f>
        <v/>
      </c>
      <c r="S91" s="147">
        <f>S92+S104+S115+S127</f>
        <v/>
      </c>
      <c r="T91" s="147">
        <f>T92+T104+T115+T127</f>
        <v/>
      </c>
      <c r="U91" s="147">
        <f>U92+U104+U115+U127</f>
        <v/>
      </c>
      <c r="V91" s="147">
        <f>V92+V104+V115+V127</f>
        <v/>
      </c>
      <c r="W91" s="147">
        <f>W92+W104+W115+W127</f>
        <v/>
      </c>
      <c r="X91" s="147">
        <f>X92+X104+X115+X127</f>
        <v/>
      </c>
      <c r="Y91" s="147">
        <f>Y92+Y104+Y115+Y127</f>
        <v/>
      </c>
      <c r="Z91" s="147">
        <f>Z92+Z104+Z115+Z127</f>
        <v/>
      </c>
      <c r="AA91" s="147">
        <f>AA92+AA104+AA115+AA127</f>
        <v/>
      </c>
      <c r="AB91" s="147">
        <f>AB92+AB104+AB115+AB127</f>
        <v/>
      </c>
      <c r="AC91" s="147">
        <f>AC92+AC104+AC115+AC127</f>
        <v/>
      </c>
      <c r="AD91" s="147">
        <f>AD92+AD104+AD115+AD127</f>
        <v/>
      </c>
      <c r="AE91" s="147">
        <f>AE92+AE104+AE115+AE127</f>
        <v/>
      </c>
      <c r="AF91" s="147">
        <f>AF92+AF104+AF115+AF127</f>
        <v/>
      </c>
      <c r="AG91" s="147">
        <f>AG92+AG104+AG115+AG127</f>
        <v/>
      </c>
      <c r="AH91" s="147">
        <f>AH92+AH104+AH115+AH127</f>
        <v/>
      </c>
      <c r="AI91" s="147">
        <f>AI92+AI104+AI115+AI127</f>
        <v/>
      </c>
      <c r="AJ91" s="147">
        <f>AJ92+AJ104+AJ115+AJ127</f>
        <v/>
      </c>
      <c r="AK91" s="147">
        <f>AK92+AK104+AK115+AK127</f>
        <v/>
      </c>
      <c r="AL91" s="147">
        <f>AL92+AL104+AL115+AL127</f>
        <v/>
      </c>
      <c r="AM91" s="147">
        <f>AM92+AM104+AM115+AM127</f>
        <v/>
      </c>
      <c r="AN91" s="147">
        <f>AN92+AN104+AN115+AN127</f>
        <v/>
      </c>
      <c r="AO91" s="147">
        <f>AO92+AO104+AO115+AO127</f>
        <v/>
      </c>
      <c r="AP91" s="147">
        <f>AP92+AP104+AP115+AP127</f>
        <v/>
      </c>
      <c r="AQ91" s="147">
        <f>AQ92+AQ104+AQ115+AQ127</f>
        <v/>
      </c>
      <c r="AR91" s="147">
        <f>AR92+AR104+AR115+AR127</f>
        <v/>
      </c>
      <c r="AS91" s="147">
        <f>AS92+AS104+AS115+AS127</f>
        <v/>
      </c>
      <c r="AT91" s="147">
        <f>AT92+AT104+AT115+AT127</f>
        <v/>
      </c>
      <c r="AU91" s="147">
        <f>AU92+AU104+AU115+AU127</f>
        <v/>
      </c>
      <c r="AV91" s="147">
        <f>AV92+AV104+AV115+AV127</f>
        <v/>
      </c>
      <c r="AW91" s="147">
        <f>AW92+AW104+AW115+AW127</f>
        <v/>
      </c>
      <c r="AX91" s="147">
        <f>AX92+AX104+AX115+AX127</f>
        <v/>
      </c>
      <c r="AY91" s="147">
        <f>AY92+AY104+AY115+AY127</f>
        <v/>
      </c>
      <c r="AZ91" s="147">
        <f>AZ92+AZ104+AZ115+AZ127</f>
        <v/>
      </c>
      <c r="BA91" s="147">
        <f>BA92+BA104+BA115+BA127</f>
        <v/>
      </c>
      <c r="BB91" s="147">
        <f>BB92+BB104+BB115+BB127</f>
        <v/>
      </c>
      <c r="BC91" s="147">
        <f>BC92+BC104+BC115+BC127</f>
        <v/>
      </c>
      <c r="BD91" s="147">
        <f>BD92+BD104+BD115+BD127</f>
        <v/>
      </c>
      <c r="BE91" s="147">
        <f>BE92+BE104+BE115+BE127</f>
        <v/>
      </c>
      <c r="BF91" s="147">
        <f>BF92+BF104+BF115+BF127</f>
        <v/>
      </c>
      <c r="BG91" s="147">
        <f>BG92+BG104+BG115+BG127</f>
        <v/>
      </c>
      <c r="BH91" s="147">
        <f>BH92+BH104+BH115+BH127</f>
        <v/>
      </c>
      <c r="BI91" s="147">
        <f>BI92+BI104+BI115+BI127</f>
        <v/>
      </c>
      <c r="BJ91" s="147">
        <f>BJ92+BJ104+BJ115+BJ127</f>
        <v/>
      </c>
      <c r="BK91" s="147">
        <f>BK92+BK104+BK115+BK127</f>
        <v/>
      </c>
      <c r="BL91" s="147">
        <f>BL92+BL104+BL115+BL127</f>
        <v/>
      </c>
      <c r="BM91" s="147">
        <f>BM92+BM104+BM115+BM127</f>
        <v/>
      </c>
      <c r="BN91" s="147">
        <f>BN92+BN104+BN115+BN127</f>
        <v/>
      </c>
      <c r="BO91" s="147">
        <f>BO92+BO104+BO115+BO127</f>
        <v/>
      </c>
      <c r="BP91" s="147">
        <f>BP92+BP104+BP115+BP127</f>
        <v/>
      </c>
      <c r="BQ91" s="147">
        <f>BQ92+BQ104+BQ115+BQ127</f>
        <v/>
      </c>
      <c r="BR91" s="147">
        <f>BR92+BR104+BR115+BR127</f>
        <v/>
      </c>
      <c r="BS91" s="147">
        <f>BS92+BS104+BS115+BS127</f>
        <v/>
      </c>
      <c r="BT91" s="147">
        <f>BT92+BT104+BT115+BT127</f>
        <v/>
      </c>
      <c r="BU91" s="147">
        <f>BU92+BU104+BU115+BU127</f>
        <v/>
      </c>
      <c r="BV91" s="147">
        <f>BV92+BV104+BV115+BV127</f>
        <v/>
      </c>
      <c r="BW91" s="147">
        <f>BW92+BW104+BW115+BW127</f>
        <v/>
      </c>
      <c r="BX91" s="147">
        <f>BX92+BX104+BX115+BX127</f>
        <v/>
      </c>
      <c r="BY91" s="147">
        <f>BY92+BY104+BY115+BY127</f>
        <v/>
      </c>
      <c r="BZ91" s="147">
        <f>BZ92+BZ104+BZ115+BZ127</f>
        <v/>
      </c>
      <c r="CA91" s="147">
        <f>CA92+CA104+CA115+CA127</f>
        <v/>
      </c>
      <c r="CB91" s="147">
        <f>CB92+CB104+CB115+CB127</f>
        <v/>
      </c>
      <c r="CC91" s="147">
        <f>CC92+CC104+CC115+CC127</f>
        <v/>
      </c>
      <c r="CD91" s="147">
        <f>CD92+CD104+CD115+CD127</f>
        <v/>
      </c>
      <c r="CE91" s="147">
        <f>CE92+CE104+CE115+CE127</f>
        <v/>
      </c>
      <c r="CF91" s="147">
        <f>CF92+CF104+CF115+CF127</f>
        <v/>
      </c>
      <c r="CG91" s="147">
        <f>CG92+CG104+CG115+CG127</f>
        <v/>
      </c>
      <c r="CH91" s="147">
        <f>CH92+CH104+CH115+CH127</f>
        <v/>
      </c>
      <c r="CI91" s="147">
        <f>CI92+CI104+CI115+CI127</f>
        <v/>
      </c>
      <c r="CJ91" s="147">
        <f>CJ92+CJ104+CJ115+CJ127</f>
        <v/>
      </c>
      <c r="CK91" s="147">
        <f>CK92+CK104+CK115+CK127</f>
        <v/>
      </c>
      <c r="CL91" s="147">
        <f>CL92+CL104+CL115+CL127</f>
        <v/>
      </c>
      <c r="CM91" s="147">
        <f>CM92+CM104+CM115+CM127</f>
        <v/>
      </c>
      <c r="CN91" s="147">
        <f>CN92+CN104+CN115+CN127</f>
        <v/>
      </c>
      <c r="CO91" s="147">
        <f>CO92+CO104+CO115+CO127</f>
        <v/>
      </c>
      <c r="CP91" s="147">
        <f>CP92+CP104+CP115+CP127</f>
        <v/>
      </c>
      <c r="CQ91" s="147">
        <f>CQ92+CQ104+CQ115+CQ127</f>
        <v/>
      </c>
      <c r="CR91" s="147">
        <f>CR92+CR104+CR115+CR127</f>
        <v/>
      </c>
      <c r="CS91" s="147">
        <f>CS92+CS104+CS115+CS127</f>
        <v/>
      </c>
      <c r="CT91" s="147">
        <f>CT92+CT104+CT115+CT127</f>
        <v/>
      </c>
      <c r="CU91" s="147">
        <f>CU92+CU104+CU115+CU127</f>
        <v/>
      </c>
      <c r="CV91" s="147">
        <f>CV92+CV104+CV115+CV127</f>
        <v/>
      </c>
      <c r="CW91" s="147">
        <f>CW92+CW104+CW115+CW127</f>
        <v/>
      </c>
      <c r="CX91" s="147">
        <f>CX92+CX104+CX115+CX127</f>
        <v/>
      </c>
    </row>
    <row r="92" outlineLevel="1" ht="15.75" customHeight="1" s="255">
      <c r="A92" s="60" t="inlineStr">
        <is>
          <t>IT</t>
        </is>
      </c>
      <c r="B92" s="60" t="inlineStr">
        <is>
          <t>Development</t>
        </is>
      </c>
      <c r="C92" s="60" t="n"/>
      <c r="D92" s="60" t="n"/>
      <c r="E92" s="60">
        <f>SUM(E93:E102)</f>
        <v/>
      </c>
      <c r="F92" s="60">
        <f>SUM(F93:F102)</f>
        <v/>
      </c>
      <c r="G92" s="60">
        <f>SUM(G93:G102)</f>
        <v/>
      </c>
      <c r="H92" s="60">
        <f>SUM(H93:H102)</f>
        <v/>
      </c>
      <c r="I92" s="60">
        <f>SUM(I93:I102)</f>
        <v/>
      </c>
      <c r="J92" s="60">
        <f>SUM(J93:J102)</f>
        <v/>
      </c>
      <c r="K92" s="60">
        <f>SUM(K93:K102)</f>
        <v/>
      </c>
      <c r="L92" s="60">
        <f>SUM(L93:L102)</f>
        <v/>
      </c>
      <c r="M92" s="60">
        <f>SUM(M93:M102)</f>
        <v/>
      </c>
      <c r="N92" s="60">
        <f>SUM(N93:N102)</f>
        <v/>
      </c>
      <c r="O92" s="60">
        <f>SUM(O93:O102)</f>
        <v/>
      </c>
      <c r="P92" s="60">
        <f>SUM(P93:P102)</f>
        <v/>
      </c>
      <c r="Q92" s="60">
        <f>SUM(Q93:Q102)</f>
        <v/>
      </c>
      <c r="R92" s="60">
        <f>SUM(R93:R102)</f>
        <v/>
      </c>
      <c r="S92" s="60">
        <f>SUM(S93:S102)</f>
        <v/>
      </c>
      <c r="T92" s="60">
        <f>SUM(T93:T102)</f>
        <v/>
      </c>
      <c r="U92" s="60">
        <f>SUM(U93:U102)</f>
        <v/>
      </c>
      <c r="V92" s="60">
        <f>SUM(V93:V102)</f>
        <v/>
      </c>
      <c r="W92" s="60">
        <f>SUM(W93:W102)</f>
        <v/>
      </c>
      <c r="X92" s="60">
        <f>SUM(X93:X102)</f>
        <v/>
      </c>
      <c r="Y92" s="60">
        <f>SUM(Y93:Y102)</f>
        <v/>
      </c>
      <c r="Z92" s="60">
        <f>SUM(Z93:Z102)</f>
        <v/>
      </c>
      <c r="AA92" s="60">
        <f>SUM(AA93:AA102)</f>
        <v/>
      </c>
      <c r="AB92" s="60">
        <f>SUM(AB93:AB102)</f>
        <v/>
      </c>
      <c r="AC92" s="60">
        <f>SUM(AC93:AC102)</f>
        <v/>
      </c>
      <c r="AD92" s="60">
        <f>SUM(AD93:AD102)</f>
        <v/>
      </c>
      <c r="AE92" s="60">
        <f>SUM(AE93:AE102)</f>
        <v/>
      </c>
      <c r="AF92" s="60">
        <f>SUM(AF93:AF102)</f>
        <v/>
      </c>
      <c r="AG92" s="60">
        <f>SUM(AG93:AG102)</f>
        <v/>
      </c>
      <c r="AH92" s="60">
        <f>SUM(AH93:AH102)</f>
        <v/>
      </c>
      <c r="AI92" s="60">
        <f>SUM(AI93:AI102)</f>
        <v/>
      </c>
      <c r="AJ92" s="60">
        <f>SUM(AJ93:AJ102)</f>
        <v/>
      </c>
      <c r="AK92" s="60">
        <f>SUM(AK93:AK102)</f>
        <v/>
      </c>
      <c r="AL92" s="60">
        <f>SUM(AL93:AL102)</f>
        <v/>
      </c>
      <c r="AM92" s="60">
        <f>SUM(AM93:AM102)</f>
        <v/>
      </c>
      <c r="AN92" s="60">
        <f>SUM(AN93:AN102)</f>
        <v/>
      </c>
      <c r="AO92" s="60">
        <f>SUM(AO93:AO102)</f>
        <v/>
      </c>
      <c r="AP92" s="60">
        <f>SUM(AP93:AP102)</f>
        <v/>
      </c>
      <c r="AQ92" s="60">
        <f>SUM(AQ93:AQ102)</f>
        <v/>
      </c>
      <c r="AR92" s="60">
        <f>SUM(AR93:AR102)</f>
        <v/>
      </c>
      <c r="AS92" s="60">
        <f>SUM(AS93:AS102)</f>
        <v/>
      </c>
      <c r="AT92" s="60">
        <f>SUM(AT93:AT102)</f>
        <v/>
      </c>
      <c r="AU92" s="60">
        <f>SUM(AU93:AU102)</f>
        <v/>
      </c>
      <c r="AV92" s="60">
        <f>SUM(AV93:AV102)</f>
        <v/>
      </c>
      <c r="AW92" s="60">
        <f>SUM(AW93:AW102)</f>
        <v/>
      </c>
      <c r="AX92" s="60">
        <f>SUM(AX93:AX102)</f>
        <v/>
      </c>
      <c r="AY92" s="60">
        <f>SUM(AY93:AY102)</f>
        <v/>
      </c>
      <c r="AZ92" s="60">
        <f>SUM(AZ93:AZ102)</f>
        <v/>
      </c>
      <c r="BA92" s="60">
        <f>SUM(BA93:BA102)</f>
        <v/>
      </c>
      <c r="BB92" s="60">
        <f>SUM(BB93:BB102)</f>
        <v/>
      </c>
      <c r="BC92" s="60">
        <f>SUM(BC93:BC102)</f>
        <v/>
      </c>
      <c r="BD92" s="60">
        <f>SUM(BD93:BD102)</f>
        <v/>
      </c>
      <c r="BE92" s="60">
        <f>SUM(BE93:BE102)</f>
        <v/>
      </c>
      <c r="BF92" s="60">
        <f>SUM(BF93:BF102)</f>
        <v/>
      </c>
      <c r="BG92" s="60">
        <f>SUM(BG93:BG102)</f>
        <v/>
      </c>
      <c r="BH92" s="60">
        <f>SUM(BH93:BH102)</f>
        <v/>
      </c>
      <c r="BI92" s="60">
        <f>SUM(BI93:BI102)</f>
        <v/>
      </c>
      <c r="BJ92" s="60">
        <f>SUM(BJ93:BJ102)</f>
        <v/>
      </c>
      <c r="BK92" s="60">
        <f>SUM(BK93:BK102)</f>
        <v/>
      </c>
      <c r="BL92" s="60">
        <f>SUM(BL93:BL102)</f>
        <v/>
      </c>
      <c r="BM92" s="60">
        <f>SUM(BM93:BM102)</f>
        <v/>
      </c>
      <c r="BN92" s="60">
        <f>SUM(BN93:BN102)</f>
        <v/>
      </c>
      <c r="BO92" s="60">
        <f>SUM(BO93:BO102)</f>
        <v/>
      </c>
      <c r="BP92" s="60">
        <f>SUM(BP93:BP102)</f>
        <v/>
      </c>
      <c r="BQ92" s="60">
        <f>SUM(BQ93:BQ102)</f>
        <v/>
      </c>
      <c r="BR92" s="60">
        <f>SUM(BR93:BR102)</f>
        <v/>
      </c>
      <c r="BS92" s="60">
        <f>SUM(BS93:BS102)</f>
        <v/>
      </c>
      <c r="BT92" s="60">
        <f>SUM(BT93:BT102)</f>
        <v/>
      </c>
      <c r="BU92" s="60">
        <f>SUM(BU93:BU102)</f>
        <v/>
      </c>
      <c r="BV92" s="60">
        <f>SUM(BV93:BV102)</f>
        <v/>
      </c>
      <c r="BW92" s="60">
        <f>SUM(BW93:BW102)</f>
        <v/>
      </c>
      <c r="BX92" s="60">
        <f>SUM(BX93:BX102)</f>
        <v/>
      </c>
      <c r="BY92" s="60">
        <f>SUM(BY93:BY102)</f>
        <v/>
      </c>
      <c r="BZ92" s="60">
        <f>SUM(BZ93:BZ102)</f>
        <v/>
      </c>
      <c r="CA92" s="60">
        <f>SUM(CA93:CA102)</f>
        <v/>
      </c>
      <c r="CB92" s="60">
        <f>SUM(CB93:CB102)</f>
        <v/>
      </c>
      <c r="CC92" s="60">
        <f>SUM(CC93:CC102)</f>
        <v/>
      </c>
      <c r="CD92" s="60">
        <f>SUM(CD93:CD102)</f>
        <v/>
      </c>
      <c r="CE92" s="60">
        <f>SUM(CE93:CE102)</f>
        <v/>
      </c>
      <c r="CF92" s="60">
        <f>SUM(CF93:CF102)</f>
        <v/>
      </c>
      <c r="CG92" s="60">
        <f>SUM(CG93:CG102)</f>
        <v/>
      </c>
      <c r="CH92" s="60">
        <f>SUM(CH93:CH102)</f>
        <v/>
      </c>
      <c r="CI92" s="60">
        <f>SUM(CI93:CI102)</f>
        <v/>
      </c>
      <c r="CJ92" s="60">
        <f>SUM(CJ93:CJ102)</f>
        <v/>
      </c>
      <c r="CK92" s="60">
        <f>SUM(CK93:CK102)</f>
        <v/>
      </c>
      <c r="CL92" s="60">
        <f>SUM(CL93:CL102)</f>
        <v/>
      </c>
      <c r="CM92" s="60">
        <f>SUM(CM93:CM102)</f>
        <v/>
      </c>
      <c r="CN92" s="60">
        <f>SUM(CN93:CN102)</f>
        <v/>
      </c>
      <c r="CO92" s="60">
        <f>SUM(CO93:CO102)</f>
        <v/>
      </c>
      <c r="CP92" s="60">
        <f>SUM(CP93:CP102)</f>
        <v/>
      </c>
      <c r="CQ92" s="60">
        <f>SUM(CQ93:CQ102)</f>
        <v/>
      </c>
      <c r="CR92" s="60">
        <f>SUM(CR93:CR102)</f>
        <v/>
      </c>
      <c r="CS92" s="60">
        <f>SUM(CS93:CS102)</f>
        <v/>
      </c>
      <c r="CT92" s="60">
        <f>SUM(CT93:CT102)</f>
        <v/>
      </c>
      <c r="CU92" s="60">
        <f>SUM(CU93:CU102)</f>
        <v/>
      </c>
      <c r="CV92" s="60">
        <f>SUM(CV93:CV102)</f>
        <v/>
      </c>
      <c r="CW92" s="60">
        <f>SUM(CW93:CW102)</f>
        <v/>
      </c>
      <c r="CX92" s="60">
        <f>SUM(CX93:CX102)</f>
        <v/>
      </c>
    </row>
    <row r="93" outlineLevel="2" ht="15.75" customHeight="1" s="255">
      <c r="A93" s="56">
        <f>Payroll!A17</f>
        <v/>
      </c>
      <c r="B93" s="56" t="n"/>
      <c r="C93" s="56" t="n"/>
      <c r="D93" s="56" t="n"/>
      <c r="E93" s="56">
        <f>IF(E$2=Payroll!$I17,Payroll!$F17,IF(E$2&gt;Payroll!$I17,Payroll!$F17*((1+Payroll!$J17)^(ROUNDDOWN(DATEDIF(Payroll!$I17,E$2,"M")/Payroll!$K17,0))),0))</f>
        <v/>
      </c>
      <c r="F93" s="56">
        <f>IF(F$2=Payroll!$I17,Payroll!$F17,IF(F$2&gt;Payroll!$I17,Payroll!$F17*((1+Payroll!$J17)^(ROUNDDOWN(DATEDIF(Payroll!$I17,F$2,"M")/Payroll!$K17,0))),0))</f>
        <v/>
      </c>
      <c r="G93" s="56">
        <f>IF(G$2=Payroll!$I17,Payroll!$F17,IF(G$2&gt;Payroll!$I17,Payroll!$F17*((1+Payroll!$J17)^(ROUNDDOWN(DATEDIF(Payroll!$I17,G$2,"M")/Payroll!$K17,0))),0))</f>
        <v/>
      </c>
      <c r="H93" s="56">
        <f>IF(H$2=Payroll!$I17,Payroll!$F17,IF(H$2&gt;Payroll!$I17,Payroll!$F17*((1+Payroll!$J17)^(ROUNDDOWN(DATEDIF(Payroll!$I17,H$2,"M")/Payroll!$K17,0))),0))</f>
        <v/>
      </c>
      <c r="I93" s="56">
        <f>IF(I$2=Payroll!$I17,Payroll!$F17,IF(I$2&gt;Payroll!$I17,Payroll!$F17*((1+Payroll!$J17)^(ROUNDDOWN(DATEDIF(Payroll!$I17,I$2,"M")/Payroll!$K17,0))),0))</f>
        <v/>
      </c>
      <c r="J93" s="56">
        <f>IF(J$2=Payroll!$I17,Payroll!$F17,IF(J$2&gt;Payroll!$I17,Payroll!$F17*((1+Payroll!$J17)^(ROUNDDOWN(DATEDIF(Payroll!$I17,J$2,"M")/Payroll!$K17,0))),0))</f>
        <v/>
      </c>
      <c r="K93" s="56">
        <f>IF(K$2=Payroll!$I17,Payroll!$F17,IF(K$2&gt;Payroll!$I17,Payroll!$F17*((1+Payroll!$J17)^(ROUNDDOWN(DATEDIF(Payroll!$I17,K$2,"M")/Payroll!$K17,0))),0))</f>
        <v/>
      </c>
      <c r="L93" s="56">
        <f>IF(L$2=Payroll!$I17,Payroll!$F17,IF(L$2&gt;Payroll!$I17,Payroll!$F17*((1+Payroll!$J17)^(ROUNDDOWN(DATEDIF(Payroll!$I17,L$2,"M")/Payroll!$K17,0))),0))</f>
        <v/>
      </c>
      <c r="M93" s="56">
        <f>IF(M$2=Payroll!$I17,Payroll!$F17,IF(M$2&gt;Payroll!$I17,Payroll!$F17*((1+Payroll!$J17)^(ROUNDDOWN(DATEDIF(Payroll!$I17,M$2,"M")/Payroll!$K17,0))),0))</f>
        <v/>
      </c>
      <c r="N93" s="56">
        <f>IF(N$2=Payroll!$I17,Payroll!$F17,IF(N$2&gt;Payroll!$I17,Payroll!$F17*((1+Payroll!$J17)^(ROUNDDOWN(DATEDIF(Payroll!$I17,N$2,"M")/Payroll!$K17,0))),0))</f>
        <v/>
      </c>
      <c r="O93" s="56">
        <f>IF(O$2=Payroll!$I17,Payroll!$F17,IF(O$2&gt;Payroll!$I17,Payroll!$F17*((1+Payroll!$J17)^(ROUNDDOWN(DATEDIF(Payroll!$I17,O$2,"M")/Payroll!$K17,0))),0))</f>
        <v/>
      </c>
      <c r="P93" s="56">
        <f>IF(P$2=Payroll!$I17,Payroll!$F17,IF(P$2&gt;Payroll!$I17,Payroll!$F17*((1+Payroll!$J17)^(ROUNDDOWN(DATEDIF(Payroll!$I17,P$2,"M")/Payroll!$K17,0))),0))</f>
        <v/>
      </c>
      <c r="Q93" s="56">
        <f>IF(Q$2=Payroll!$I17,Payroll!$F17,IF(Q$2&gt;Payroll!$I17,Payroll!$F17*((1+Payroll!$J17)^(ROUNDDOWN(DATEDIF(Payroll!$I17,Q$2,"M")/Payroll!$K17,0))),0))</f>
        <v/>
      </c>
      <c r="R93" s="56">
        <f>IF(R$2=Payroll!$I17,Payroll!$F17,IF(R$2&gt;Payroll!$I17,Payroll!$F17*((1+Payroll!$J17)^(ROUNDDOWN(DATEDIF(Payroll!$I17,R$2,"M")/Payroll!$K17,0))),0))</f>
        <v/>
      </c>
      <c r="S93" s="56">
        <f>IF(S$2=Payroll!$I17,Payroll!$F17,IF(S$2&gt;Payroll!$I17,Payroll!$F17*((1+Payroll!$J17)^(ROUNDDOWN(DATEDIF(Payroll!$I17,S$2,"M")/Payroll!$K17,0))),0))</f>
        <v/>
      </c>
      <c r="T93" s="56">
        <f>IF(T$2=Payroll!$I17,Payroll!$F17,IF(T$2&gt;Payroll!$I17,Payroll!$F17*((1+Payroll!$J17)^(ROUNDDOWN(DATEDIF(Payroll!$I17,T$2,"M")/Payroll!$K17,0))),0))</f>
        <v/>
      </c>
      <c r="U93" s="56">
        <f>IF(U$2=Payroll!$I17,Payroll!$F17,IF(U$2&gt;Payroll!$I17,Payroll!$F17*((1+Payroll!$J17)^(ROUNDDOWN(DATEDIF(Payroll!$I17,U$2,"M")/Payroll!$K17,0))),0))</f>
        <v/>
      </c>
      <c r="V93" s="56">
        <f>IF(V$2=Payroll!$I17,Payroll!$F17,IF(V$2&gt;Payroll!$I17,Payroll!$F17*((1+Payroll!$J17)^(ROUNDDOWN(DATEDIF(Payroll!$I17,V$2,"M")/Payroll!$K17,0))),0))</f>
        <v/>
      </c>
      <c r="W93" s="56">
        <f>IF(W$2=Payroll!$I17,Payroll!$F17,IF(W$2&gt;Payroll!$I17,Payroll!$F17*((1+Payroll!$J17)^(ROUNDDOWN(DATEDIF(Payroll!$I17,W$2,"M")/Payroll!$K17,0))),0))</f>
        <v/>
      </c>
      <c r="X93" s="56">
        <f>IF(X$2=Payroll!$I17,Payroll!$F17,IF(X$2&gt;Payroll!$I17,Payroll!$F17*((1+Payroll!$J17)^(ROUNDDOWN(DATEDIF(Payroll!$I17,X$2,"M")/Payroll!$K17,0))),0))</f>
        <v/>
      </c>
      <c r="Y93" s="56">
        <f>IF(Y$2=Payroll!$I17,Payroll!$F17,IF(Y$2&gt;Payroll!$I17,Payroll!$F17*((1+Payroll!$J17)^(ROUNDDOWN(DATEDIF(Payroll!$I17,Y$2,"M")/Payroll!$K17,0))),0))</f>
        <v/>
      </c>
      <c r="Z93" s="56">
        <f>IF(Z$2=Payroll!$I17,Payroll!$F17,IF(Z$2&gt;Payroll!$I17,Payroll!$F17*((1+Payroll!$J17)^(ROUNDDOWN(DATEDIF(Payroll!$I17,Z$2,"M")/Payroll!$K17,0))),0))</f>
        <v/>
      </c>
      <c r="AA93" s="56">
        <f>IF(AA$2=Payroll!$I17,Payroll!$F17,IF(AA$2&gt;Payroll!$I17,Payroll!$F17*((1+Payroll!$J17)^(ROUNDDOWN(DATEDIF(Payroll!$I17,AA$2,"M")/Payroll!$K17,0))),0))</f>
        <v/>
      </c>
      <c r="AB93" s="56">
        <f>IF(AB$2=Payroll!$I17,Payroll!$F17,IF(AB$2&gt;Payroll!$I17,Payroll!$F17*((1+Payroll!$J17)^(ROUNDDOWN(DATEDIF(Payroll!$I17,AB$2,"M")/Payroll!$K17,0))),0))</f>
        <v/>
      </c>
      <c r="AC93" s="56">
        <f>IF(AC$2=Payroll!$I17,Payroll!$F17,IF(AC$2&gt;Payroll!$I17,Payroll!$F17*((1+Payroll!$J17)^(ROUNDDOWN(DATEDIF(Payroll!$I17,AC$2,"M")/Payroll!$K17,0))),0))</f>
        <v/>
      </c>
      <c r="AD93" s="56">
        <f>IF(AD$2=Payroll!$I17,Payroll!$F17,IF(AD$2&gt;Payroll!$I17,Payroll!$F17*((1+Payroll!$J17)^(ROUNDDOWN(DATEDIF(Payroll!$I17,AD$2,"M")/Payroll!$K17,0))),0))</f>
        <v/>
      </c>
      <c r="AE93" s="56">
        <f>IF(AE$2=Payroll!$I17,Payroll!$F17,IF(AE$2&gt;Payroll!$I17,Payroll!$F17*((1+Payroll!$J17)^(ROUNDDOWN(DATEDIF(Payroll!$I17,AE$2,"M")/Payroll!$K17,0))),0))</f>
        <v/>
      </c>
      <c r="AF93" s="56">
        <f>IF(AF$2=Payroll!$I17,Payroll!$F17,IF(AF$2&gt;Payroll!$I17,Payroll!$F17*((1+Payroll!$J17)^(ROUNDDOWN(DATEDIF(Payroll!$I17,AF$2,"M")/Payroll!$K17,0))),0))</f>
        <v/>
      </c>
      <c r="AG93" s="56">
        <f>IF(AG$2=Payroll!$I17,Payroll!$F17,IF(AG$2&gt;Payroll!$I17,Payroll!$F17*((1+Payroll!$J17)^(ROUNDDOWN(DATEDIF(Payroll!$I17,AG$2,"M")/Payroll!$K17,0))),0))</f>
        <v/>
      </c>
      <c r="AH93" s="56">
        <f>IF(AH$2=Payroll!$I17,Payroll!$F17,IF(AH$2&gt;Payroll!$I17,Payroll!$F17*((1+Payroll!$J17)^(ROUNDDOWN(DATEDIF(Payroll!$I17,AH$2,"M")/Payroll!$K17,0))),0))</f>
        <v/>
      </c>
      <c r="AI93" s="56">
        <f>IF(AI$2=Payroll!$I17,Payroll!$F17,IF(AI$2&gt;Payroll!$I17,Payroll!$F17*((1+Payroll!$J17)^(ROUNDDOWN(DATEDIF(Payroll!$I17,AI$2,"M")/Payroll!$K17,0))),0))</f>
        <v/>
      </c>
      <c r="AJ93" s="56">
        <f>IF(AJ$2=Payroll!$I17,Payroll!$F17,IF(AJ$2&gt;Payroll!$I17,Payroll!$F17*((1+Payroll!$J17)^(ROUNDDOWN(DATEDIF(Payroll!$I17,AJ$2,"M")/Payroll!$K17,0))),0))</f>
        <v/>
      </c>
      <c r="AK93" s="56">
        <f>IF(AK$2=Payroll!$I17,Payroll!$F17,IF(AK$2&gt;Payroll!$I17,Payroll!$F17*((1+Payroll!$J17)^(ROUNDDOWN(DATEDIF(Payroll!$I17,AK$2,"M")/Payroll!$K17,0))),0))</f>
        <v/>
      </c>
      <c r="AL93" s="56">
        <f>IF(AL$2=Payroll!$I17,Payroll!$F17,IF(AL$2&gt;Payroll!$I17,Payroll!$F17*((1+Payroll!$J17)^(ROUNDDOWN(DATEDIF(Payroll!$I17,AL$2,"M")/Payroll!$K17,0))),0))</f>
        <v/>
      </c>
      <c r="AM93" s="56">
        <f>IF(AM$2=Payroll!$I17,Payroll!$F17,IF(AM$2&gt;Payroll!$I17,Payroll!$F17*((1+Payroll!$J17)^(ROUNDDOWN(DATEDIF(Payroll!$I17,AM$2,"M")/Payroll!$K17,0))),0))</f>
        <v/>
      </c>
      <c r="AN93" s="56">
        <f>IF(AN$2=Payroll!$I17,Payroll!$F17,IF(AN$2&gt;Payroll!$I17,Payroll!$F17*((1+Payroll!$J17)^(ROUNDDOWN(DATEDIF(Payroll!$I17,AN$2,"M")/Payroll!$K17,0))),0))</f>
        <v/>
      </c>
      <c r="AO93" s="56">
        <f>IF(AO$2=Payroll!$I17,Payroll!$F17,IF(AO$2&gt;Payroll!$I17,Payroll!$F17*((1+Payroll!$J17)^(ROUNDDOWN(DATEDIF(Payroll!$I17,AO$2,"M")/Payroll!$K17,0))),0))</f>
        <v/>
      </c>
      <c r="AP93" s="56">
        <f>IF(AP$2=Payroll!$I17,Payroll!$F17,IF(AP$2&gt;Payroll!$I17,Payroll!$F17*((1+Payroll!$J17)^(ROUNDDOWN(DATEDIF(Payroll!$I17,AP$2,"M")/Payroll!$K17,0))),0))</f>
        <v/>
      </c>
      <c r="AQ93" s="56">
        <f>IF(AQ$2=Payroll!$I17,Payroll!$F17,IF(AQ$2&gt;Payroll!$I17,Payroll!$F17*((1+Payroll!$J17)^(ROUNDDOWN(DATEDIF(Payroll!$I17,AQ$2,"M")/Payroll!$K17,0))),0))</f>
        <v/>
      </c>
      <c r="AR93" s="56">
        <f>IF(AR$2=Payroll!$I17,Payroll!$F17,IF(AR$2&gt;Payroll!$I17,Payroll!$F17*((1+Payroll!$J17)^(ROUNDDOWN(DATEDIF(Payroll!$I17,AR$2,"M")/Payroll!$K17,0))),0))</f>
        <v/>
      </c>
      <c r="AS93" s="56">
        <f>IF(AS$2=Payroll!$I17,Payroll!$F17,IF(AS$2&gt;Payroll!$I17,Payroll!$F17*((1+Payroll!$J17)^(ROUNDDOWN(DATEDIF(Payroll!$I17,AS$2,"M")/Payroll!$K17,0))),0))</f>
        <v/>
      </c>
      <c r="AT93" s="56">
        <f>IF(AT$2=Payroll!$I17,Payroll!$F17,IF(AT$2&gt;Payroll!$I17,Payroll!$F17*((1+Payroll!$J17)^(ROUNDDOWN(DATEDIF(Payroll!$I17,AT$2,"M")/Payroll!$K17,0))),0))</f>
        <v/>
      </c>
      <c r="AU93" s="56">
        <f>IF(AU$2=Payroll!$I17,Payroll!$F17,IF(AU$2&gt;Payroll!$I17,Payroll!$F17*((1+Payroll!$J17)^(ROUNDDOWN(DATEDIF(Payroll!$I17,AU$2,"M")/Payroll!$K17,0))),0))</f>
        <v/>
      </c>
      <c r="AV93" s="56">
        <f>IF(AV$2=Payroll!$I17,Payroll!$F17,IF(AV$2&gt;Payroll!$I17,Payroll!$F17*((1+Payroll!$J17)^(ROUNDDOWN(DATEDIF(Payroll!$I17,AV$2,"M")/Payroll!$K17,0))),0))</f>
        <v/>
      </c>
      <c r="AW93" s="56">
        <f>IF(AW$2=Payroll!$I17,Payroll!$F17,IF(AW$2&gt;Payroll!$I17,Payroll!$F17*((1+Payroll!$J17)^(ROUNDDOWN(DATEDIF(Payroll!$I17,AW$2,"M")/Payroll!$K17,0))),0))</f>
        <v/>
      </c>
      <c r="AX93" s="56">
        <f>IF(AX$2=Payroll!$I17,Payroll!$F17,IF(AX$2&gt;Payroll!$I17,Payroll!$F17*((1+Payroll!$J17)^(ROUNDDOWN(DATEDIF(Payroll!$I17,AX$2,"M")/Payroll!$K17,0))),0))</f>
        <v/>
      </c>
      <c r="AY93" s="56">
        <f>IF(AY$2=Payroll!$I17,Payroll!$F17,IF(AY$2&gt;Payroll!$I17,Payroll!$F17*((1+Payroll!$J17)^(ROUNDDOWN(DATEDIF(Payroll!$I17,AY$2,"M")/Payroll!$K17,0))),0))</f>
        <v/>
      </c>
      <c r="AZ93" s="56">
        <f>IF(AZ$2=Payroll!$I17,Payroll!$F17,IF(AZ$2&gt;Payroll!$I17,Payroll!$F17*((1+Payroll!$J17)^(ROUNDDOWN(DATEDIF(Payroll!$I17,AZ$2,"M")/Payroll!$K17,0))),0))</f>
        <v/>
      </c>
      <c r="BA93" s="56">
        <f>IF(BA$2=Payroll!$I17,Payroll!$F17,IF(BA$2&gt;Payroll!$I17,Payroll!$F17*((1+Payroll!$J17)^(ROUNDDOWN(DATEDIF(Payroll!$I17,BA$2,"M")/Payroll!$K17,0))),0))</f>
        <v/>
      </c>
      <c r="BB93" s="56">
        <f>IF(BB$2=Payroll!$I17,Payroll!$F17,IF(BB$2&gt;Payroll!$I17,Payroll!$F17*((1+Payroll!$J17)^(ROUNDDOWN(DATEDIF(Payroll!$I17,BB$2,"M")/Payroll!$K17,0))),0))</f>
        <v/>
      </c>
      <c r="BC93" s="56">
        <f>IF(BC$2=Payroll!$I17,Payroll!$F17,IF(BC$2&gt;Payroll!$I17,Payroll!$F17*((1+Payroll!$J17)^(ROUNDDOWN(DATEDIF(Payroll!$I17,BC$2,"M")/Payroll!$K17,0))),0))</f>
        <v/>
      </c>
      <c r="BD93" s="56">
        <f>IF(BD$2=Payroll!$I17,Payroll!$F17,IF(BD$2&gt;Payroll!$I17,Payroll!$F17*((1+Payroll!$J17)^(ROUNDDOWN(DATEDIF(Payroll!$I17,BD$2,"M")/Payroll!$K17,0))),0))</f>
        <v/>
      </c>
      <c r="BE93" s="56">
        <f>IF(BE$2=Payroll!$I17,Payroll!$F17,IF(BE$2&gt;Payroll!$I17,Payroll!$F17*((1+Payroll!$J17)^(ROUNDDOWN(DATEDIF(Payroll!$I17,BE$2,"M")/Payroll!$K17,0))),0))</f>
        <v/>
      </c>
      <c r="BF93" s="56">
        <f>IF(BF$2=Payroll!$I17,Payroll!$F17,IF(BF$2&gt;Payroll!$I17,Payroll!$F17*((1+Payroll!$J17)^(ROUNDDOWN(DATEDIF(Payroll!$I17,BF$2,"M")/Payroll!$K17,0))),0))</f>
        <v/>
      </c>
      <c r="BG93" s="56">
        <f>IF(BG$2=Payroll!$I17,Payroll!$F17,IF(BG$2&gt;Payroll!$I17,Payroll!$F17*((1+Payroll!$J17)^(ROUNDDOWN(DATEDIF(Payroll!$I17,BG$2,"M")/Payroll!$K17,0))),0))</f>
        <v/>
      </c>
      <c r="BH93" s="56">
        <f>IF(BH$2=Payroll!$I17,Payroll!$F17,IF(BH$2&gt;Payroll!$I17,Payroll!$F17*((1+Payroll!$J17)^(ROUNDDOWN(DATEDIF(Payroll!$I17,BH$2,"M")/Payroll!$K17,0))),0))</f>
        <v/>
      </c>
      <c r="BI93" s="56">
        <f>IF(BI$2=Payroll!$I17,Payroll!$F17,IF(BI$2&gt;Payroll!$I17,Payroll!$F17*((1+Payroll!$J17)^(ROUNDDOWN(DATEDIF(Payroll!$I17,BI$2,"M")/Payroll!$K17,0))),0))</f>
        <v/>
      </c>
      <c r="BJ93" s="56">
        <f>IF(BJ$2=Payroll!$I17,Payroll!$F17,IF(BJ$2&gt;Payroll!$I17,Payroll!$F17*((1+Payroll!$J17)^(ROUNDDOWN(DATEDIF(Payroll!$I17,BJ$2,"M")/Payroll!$K17,0))),0))</f>
        <v/>
      </c>
      <c r="BK93" s="56">
        <f>IF(BK$2=Payroll!$I17,Payroll!$F17,IF(BK$2&gt;Payroll!$I17,Payroll!$F17*((1+Payroll!$J17)^(ROUNDDOWN(DATEDIF(Payroll!$I17,BK$2,"M")/Payroll!$K17,0))),0))</f>
        <v/>
      </c>
      <c r="BL93" s="56">
        <f>IF(BL$2=Payroll!$I17,Payroll!$F17,IF(BL$2&gt;Payroll!$I17,Payroll!$F17*((1+Payroll!$J17)^(ROUNDDOWN(DATEDIF(Payroll!$I17,BL$2,"M")/Payroll!$K17,0))),0))</f>
        <v/>
      </c>
      <c r="BM93" s="56">
        <f>IF(BM$2=Payroll!$I17,Payroll!$F17,IF(BM$2&gt;Payroll!$I17,Payroll!$F17*((1+Payroll!$J17)^(ROUNDDOWN(DATEDIF(Payroll!$I17,BM$2,"M")/Payroll!$K17,0))),0))</f>
        <v/>
      </c>
      <c r="BN93" s="56">
        <f>IF(BN$2=Payroll!$I17,Payroll!$F17,IF(BN$2&gt;Payroll!$I17,Payroll!$F17*((1+Payroll!$J17)^(ROUNDDOWN(DATEDIF(Payroll!$I17,BN$2,"M")/Payroll!$K17,0))),0))</f>
        <v/>
      </c>
      <c r="BO93" s="56">
        <f>IF(BO$2=Payroll!$I17,Payroll!$F17,IF(BO$2&gt;Payroll!$I17,Payroll!$F17*((1+Payroll!$J17)^(ROUNDDOWN(DATEDIF(Payroll!$I17,BO$2,"M")/Payroll!$K17,0))),0))</f>
        <v/>
      </c>
      <c r="BP93" s="56">
        <f>IF(BP$2=Payroll!$I17,Payroll!$F17,IF(BP$2&gt;Payroll!$I17,Payroll!$F17*((1+Payroll!$J17)^(ROUNDDOWN(DATEDIF(Payroll!$I17,BP$2,"M")/Payroll!$K17,0))),0))</f>
        <v/>
      </c>
      <c r="BQ93" s="56">
        <f>IF(BQ$2=Payroll!$I17,Payroll!$F17,IF(BQ$2&gt;Payroll!$I17,Payroll!$F17*((1+Payroll!$J17)^(ROUNDDOWN(DATEDIF(Payroll!$I17,BQ$2,"M")/Payroll!$K17,0))),0))</f>
        <v/>
      </c>
      <c r="BR93" s="56">
        <f>IF(BR$2=Payroll!$I17,Payroll!$F17,IF(BR$2&gt;Payroll!$I17,Payroll!$F17*((1+Payroll!$J17)^(ROUNDDOWN(DATEDIF(Payroll!$I17,BR$2,"M")/Payroll!$K17,0))),0))</f>
        <v/>
      </c>
      <c r="BS93" s="56">
        <f>IF(BS$2=Payroll!$I17,Payroll!$F17,IF(BS$2&gt;Payroll!$I17,Payroll!$F17*((1+Payroll!$J17)^(ROUNDDOWN(DATEDIF(Payroll!$I17,BS$2,"M")/Payroll!$K17,0))),0))</f>
        <v/>
      </c>
      <c r="BT93" s="56">
        <f>IF(BT$2=Payroll!$I17,Payroll!$F17,IF(BT$2&gt;Payroll!$I17,Payroll!$F17*((1+Payroll!$J17)^(ROUNDDOWN(DATEDIF(Payroll!$I17,BT$2,"M")/Payroll!$K17,0))),0))</f>
        <v/>
      </c>
      <c r="BU93" s="56">
        <f>IF(BU$2=Payroll!$I17,Payroll!$F17,IF(BU$2&gt;Payroll!$I17,Payroll!$F17*((1+Payroll!$J17)^(ROUNDDOWN(DATEDIF(Payroll!$I17,BU$2,"M")/Payroll!$K17,0))),0))</f>
        <v/>
      </c>
      <c r="BV93" s="56">
        <f>IF(BV$2=Payroll!$I17,Payroll!$F17,IF(BV$2&gt;Payroll!$I17,Payroll!$F17*((1+Payroll!$J17)^(ROUNDDOWN(DATEDIF(Payroll!$I17,BV$2,"M")/Payroll!$K17,0))),0))</f>
        <v/>
      </c>
      <c r="BW93" s="56">
        <f>IF(BW$2=Payroll!$I17,Payroll!$F17,IF(BW$2&gt;Payroll!$I17,Payroll!$F17*((1+Payroll!$J17)^(ROUNDDOWN(DATEDIF(Payroll!$I17,BW$2,"M")/Payroll!$K17,0))),0))</f>
        <v/>
      </c>
      <c r="BX93" s="56">
        <f>IF(BX$2=Payroll!$I17,Payroll!$F17,IF(BX$2&gt;Payroll!$I17,Payroll!$F17*((1+Payroll!$J17)^(ROUNDDOWN(DATEDIF(Payroll!$I17,BX$2,"M")/Payroll!$K17,0))),0))</f>
        <v/>
      </c>
      <c r="BY93" s="56">
        <f>IF(BY$2=Payroll!$I17,Payroll!$F17,IF(BY$2&gt;Payroll!$I17,Payroll!$F17*((1+Payroll!$J17)^(ROUNDDOWN(DATEDIF(Payroll!$I17,BY$2,"M")/Payroll!$K17,0))),0))</f>
        <v/>
      </c>
      <c r="BZ93" s="56">
        <f>IF(BZ$2=Payroll!$I17,Payroll!$F17,IF(BZ$2&gt;Payroll!$I17,Payroll!$F17*((1+Payroll!$J17)^(ROUNDDOWN(DATEDIF(Payroll!$I17,BZ$2,"M")/Payroll!$K17,0))),0))</f>
        <v/>
      </c>
      <c r="CA93" s="56">
        <f>IF(CA$2=Payroll!$I17,Payroll!$F17,IF(CA$2&gt;Payroll!$I17,Payroll!$F17*((1+Payroll!$J17)^(ROUNDDOWN(DATEDIF(Payroll!$I17,CA$2,"M")/Payroll!$K17,0))),0))</f>
        <v/>
      </c>
      <c r="CB93" s="56">
        <f>IF(CB$2=Payroll!$I17,Payroll!$F17,IF(CB$2&gt;Payroll!$I17,Payroll!$F17*((1+Payroll!$J17)^(ROUNDDOWN(DATEDIF(Payroll!$I17,CB$2,"M")/Payroll!$K17,0))),0))</f>
        <v/>
      </c>
      <c r="CC93" s="56">
        <f>IF(CC$2=Payroll!$I17,Payroll!$F17,IF(CC$2&gt;Payroll!$I17,Payroll!$F17*((1+Payroll!$J17)^(ROUNDDOWN(DATEDIF(Payroll!$I17,CC$2,"M")/Payroll!$K17,0))),0))</f>
        <v/>
      </c>
      <c r="CD93" s="56">
        <f>IF(CD$2=Payroll!$I17,Payroll!$F17,IF(CD$2&gt;Payroll!$I17,Payroll!$F17*((1+Payroll!$J17)^(ROUNDDOWN(DATEDIF(Payroll!$I17,CD$2,"M")/Payroll!$K17,0))),0))</f>
        <v/>
      </c>
      <c r="CE93" s="56">
        <f>IF(CE$2=Payroll!$I17,Payroll!$F17,IF(CE$2&gt;Payroll!$I17,Payroll!$F17*((1+Payroll!$J17)^(ROUNDDOWN(DATEDIF(Payroll!$I17,CE$2,"M")/Payroll!$K17,0))),0))</f>
        <v/>
      </c>
      <c r="CF93" s="56">
        <f>IF(CF$2=Payroll!$I17,Payroll!$F17,IF(CF$2&gt;Payroll!$I17,Payroll!$F17*((1+Payroll!$J17)^(ROUNDDOWN(DATEDIF(Payroll!$I17,CF$2,"M")/Payroll!$K17,0))),0))</f>
        <v/>
      </c>
      <c r="CG93" s="56">
        <f>IF(CG$2=Payroll!$I17,Payroll!$F17,IF(CG$2&gt;Payroll!$I17,Payroll!$F17*((1+Payroll!$J17)^(ROUNDDOWN(DATEDIF(Payroll!$I17,CG$2,"M")/Payroll!$K17,0))),0))</f>
        <v/>
      </c>
      <c r="CH93" s="56">
        <f>IF(CH$2=Payroll!$I17,Payroll!$F17,IF(CH$2&gt;Payroll!$I17,Payroll!$F17*((1+Payroll!$J17)^(ROUNDDOWN(DATEDIF(Payroll!$I17,CH$2,"M")/Payroll!$K17,0))),0))</f>
        <v/>
      </c>
      <c r="CI93" s="56">
        <f>IF(CI$2=Payroll!$I17,Payroll!$F17,IF(CI$2&gt;Payroll!$I17,Payroll!$F17*((1+Payroll!$J17)^(ROUNDDOWN(DATEDIF(Payroll!$I17,CI$2,"M")/Payroll!$K17,0))),0))</f>
        <v/>
      </c>
      <c r="CJ93" s="56">
        <f>IF(CJ$2=Payroll!$I17,Payroll!$F17,IF(CJ$2&gt;Payroll!$I17,Payroll!$F17*((1+Payroll!$J17)^(ROUNDDOWN(DATEDIF(Payroll!$I17,CJ$2,"M")/Payroll!$K17,0))),0))</f>
        <v/>
      </c>
      <c r="CK93" s="56">
        <f>IF(CK$2=Payroll!$I17,Payroll!$F17,IF(CK$2&gt;Payroll!$I17,Payroll!$F17*((1+Payroll!$J17)^(ROUNDDOWN(DATEDIF(Payroll!$I17,CK$2,"M")/Payroll!$K17,0))),0))</f>
        <v/>
      </c>
      <c r="CL93" s="56">
        <f>IF(CL$2=Payroll!$I17,Payroll!$F17,IF(CL$2&gt;Payroll!$I17,Payroll!$F17*((1+Payroll!$J17)^(ROUNDDOWN(DATEDIF(Payroll!$I17,CL$2,"M")/Payroll!$K17,0))),0))</f>
        <v/>
      </c>
      <c r="CM93" s="56">
        <f>IF(CM$2=Payroll!$I17,Payroll!$F17,IF(CM$2&gt;Payroll!$I17,Payroll!$F17*((1+Payroll!$J17)^(ROUNDDOWN(DATEDIF(Payroll!$I17,CM$2,"M")/Payroll!$K17,0))),0))</f>
        <v/>
      </c>
      <c r="CN93" s="56">
        <f>IF(CN$2=Payroll!$I17,Payroll!$F17,IF(CN$2&gt;Payroll!$I17,Payroll!$F17*((1+Payroll!$J17)^(ROUNDDOWN(DATEDIF(Payroll!$I17,CN$2,"M")/Payroll!$K17,0))),0))</f>
        <v/>
      </c>
      <c r="CO93" s="56">
        <f>IF(CO$2=Payroll!$I17,Payroll!$F17,IF(CO$2&gt;Payroll!$I17,Payroll!$F17*((1+Payroll!$J17)^(ROUNDDOWN(DATEDIF(Payroll!$I17,CO$2,"M")/Payroll!$K17,0))),0))</f>
        <v/>
      </c>
      <c r="CP93" s="56">
        <f>IF(CP$2=Payroll!$I17,Payroll!$F17,IF(CP$2&gt;Payroll!$I17,Payroll!$F17*((1+Payroll!$J17)^(ROUNDDOWN(DATEDIF(Payroll!$I17,CP$2,"M")/Payroll!$K17,0))),0))</f>
        <v/>
      </c>
      <c r="CQ93" s="56">
        <f>IF(CQ$2=Payroll!$I17,Payroll!$F17,IF(CQ$2&gt;Payroll!$I17,Payroll!$F17*((1+Payroll!$J17)^(ROUNDDOWN(DATEDIF(Payroll!$I17,CQ$2,"M")/Payroll!$K17,0))),0))</f>
        <v/>
      </c>
      <c r="CR93" s="56">
        <f>IF(CR$2=Payroll!$I17,Payroll!$F17,IF(CR$2&gt;Payroll!$I17,Payroll!$F17*((1+Payroll!$J17)^(ROUNDDOWN(DATEDIF(Payroll!$I17,CR$2,"M")/Payroll!$K17,0))),0))</f>
        <v/>
      </c>
      <c r="CS93" s="56">
        <f>IF(CS$2=Payroll!$I17,Payroll!$F17,IF(CS$2&gt;Payroll!$I17,Payroll!$F17*((1+Payroll!$J17)^(ROUNDDOWN(DATEDIF(Payroll!$I17,CS$2,"M")/Payroll!$K17,0))),0))</f>
        <v/>
      </c>
      <c r="CT93" s="56">
        <f>IF(CT$2=Payroll!$I17,Payroll!$F17,IF(CT$2&gt;Payroll!$I17,Payroll!$F17*((1+Payroll!$J17)^(ROUNDDOWN(DATEDIF(Payroll!$I17,CT$2,"M")/Payroll!$K17,0))),0))</f>
        <v/>
      </c>
      <c r="CU93" s="56">
        <f>IF(CU$2=Payroll!$I17,Payroll!$F17,IF(CU$2&gt;Payroll!$I17,Payroll!$F17*((1+Payroll!$J17)^(ROUNDDOWN(DATEDIF(Payroll!$I17,CU$2,"M")/Payroll!$K17,0))),0))</f>
        <v/>
      </c>
      <c r="CV93" s="56">
        <f>IF(CV$2=Payroll!$I17,Payroll!$F17,IF(CV$2&gt;Payroll!$I17,Payroll!$F17*((1+Payroll!$J17)^(ROUNDDOWN(DATEDIF(Payroll!$I17,CV$2,"M")/Payroll!$K17,0))),0))</f>
        <v/>
      </c>
      <c r="CW93" s="56">
        <f>IF(CW$2=Payroll!$I17,Payroll!$F17,IF(CW$2&gt;Payroll!$I17,Payroll!$F17*((1+Payroll!$J17)^(ROUNDDOWN(DATEDIF(Payroll!$I17,CW$2,"M")/Payroll!$K17,0))),0))</f>
        <v/>
      </c>
      <c r="CX93" s="56">
        <f>IF(CX$2=Payroll!$I17,Payroll!$F17,IF(CX$2&gt;Payroll!$I17,Payroll!$F17*((1+Payroll!$J17)^(ROUNDDOWN(DATEDIF(Payroll!$I17,CX$2,"M")/Payroll!$K17,0))),0))</f>
        <v/>
      </c>
    </row>
    <row r="94" outlineLevel="2" ht="15.75" customHeight="1" s="255">
      <c r="A94" s="56">
        <f>Payroll!A18</f>
        <v/>
      </c>
      <c r="B94" s="56" t="n"/>
      <c r="C94" s="56" t="n"/>
      <c r="D94" s="56" t="n"/>
      <c r="E94" s="56">
        <f>IF(E$2=Payroll!$I18,Payroll!$F18,IF(E$2&gt;Payroll!$I18,Payroll!$F18*((1+Payroll!$J18)^(ROUNDDOWN(DATEDIF(Payroll!$I18,E$2,"M")/Payroll!$K18,0))),0))</f>
        <v/>
      </c>
      <c r="F94" s="56">
        <f>IF(F$2=Payroll!$I18,Payroll!$F18,IF(F$2&gt;Payroll!$I18,Payroll!$F18*((1+Payroll!$J18)^(ROUNDDOWN(DATEDIF(Payroll!$I18,F$2,"M")/Payroll!$K18,0))),0))</f>
        <v/>
      </c>
      <c r="G94" s="56">
        <f>IF(G$2=Payroll!$I18,Payroll!$F18,IF(G$2&gt;Payroll!$I18,Payroll!$F18*((1+Payroll!$J18)^(ROUNDDOWN(DATEDIF(Payroll!$I18,G$2,"M")/Payroll!$K18,0))),0))</f>
        <v/>
      </c>
      <c r="H94" s="56">
        <f>IF(H$2=Payroll!$I18,Payroll!$F18,IF(H$2&gt;Payroll!$I18,Payroll!$F18*((1+Payroll!$J18)^(ROUNDDOWN(DATEDIF(Payroll!$I18,H$2,"M")/Payroll!$K18,0))),0))</f>
        <v/>
      </c>
      <c r="I94" s="56">
        <f>IF(I$2=Payroll!$I18,Payroll!$F18,IF(I$2&gt;Payroll!$I18,Payroll!$F18*((1+Payroll!$J18)^(ROUNDDOWN(DATEDIF(Payroll!$I18,I$2,"M")/Payroll!$K18,0))),0))</f>
        <v/>
      </c>
      <c r="J94" s="56">
        <f>IF(J$2=Payroll!$I18,Payroll!$F18,IF(J$2&gt;Payroll!$I18,Payroll!$F18*((1+Payroll!$J18)^(ROUNDDOWN(DATEDIF(Payroll!$I18,J$2,"M")/Payroll!$K18,0))),0))</f>
        <v/>
      </c>
      <c r="K94" s="56">
        <f>IF(K$2=Payroll!$I18,Payroll!$F18,IF(K$2&gt;Payroll!$I18,Payroll!$F18*((1+Payroll!$J18)^(ROUNDDOWN(DATEDIF(Payroll!$I18,K$2,"M")/Payroll!$K18,0))),0))</f>
        <v/>
      </c>
      <c r="L94" s="56">
        <f>IF(L$2=Payroll!$I18,Payroll!$F18,IF(L$2&gt;Payroll!$I18,Payroll!$F18*((1+Payroll!$J18)^(ROUNDDOWN(DATEDIF(Payroll!$I18,L$2,"M")/Payroll!$K18,0))),0))</f>
        <v/>
      </c>
      <c r="M94" s="56">
        <f>IF(M$2=Payroll!$I18,Payroll!$F18,IF(M$2&gt;Payroll!$I18,Payroll!$F18*((1+Payroll!$J18)^(ROUNDDOWN(DATEDIF(Payroll!$I18,M$2,"M")/Payroll!$K18,0))),0))</f>
        <v/>
      </c>
      <c r="N94" s="56">
        <f>IF(N$2=Payroll!$I18,Payroll!$F18,IF(N$2&gt;Payroll!$I18,Payroll!$F18*((1+Payroll!$J18)^(ROUNDDOWN(DATEDIF(Payroll!$I18,N$2,"M")/Payroll!$K18,0))),0))</f>
        <v/>
      </c>
      <c r="O94" s="56">
        <f>IF(O$2=Payroll!$I18,Payroll!$F18,IF(O$2&gt;Payroll!$I18,Payroll!$F18*((1+Payroll!$J18)^(ROUNDDOWN(DATEDIF(Payroll!$I18,O$2,"M")/Payroll!$K18,0))),0))</f>
        <v/>
      </c>
      <c r="P94" s="56">
        <f>IF(P$2=Payroll!$I18,Payroll!$F18,IF(P$2&gt;Payroll!$I18,Payroll!$F18*((1+Payroll!$J18)^(ROUNDDOWN(DATEDIF(Payroll!$I18,P$2,"M")/Payroll!$K18,0))),0))</f>
        <v/>
      </c>
      <c r="Q94" s="56">
        <f>IF(Q$2=Payroll!$I18,Payroll!$F18,IF(Q$2&gt;Payroll!$I18,Payroll!$F18*((1+Payroll!$J18)^(ROUNDDOWN(DATEDIF(Payroll!$I18,Q$2,"M")/Payroll!$K18,0))),0))</f>
        <v/>
      </c>
      <c r="R94" s="56">
        <f>IF(R$2=Payroll!$I18,Payroll!$F18,IF(R$2&gt;Payroll!$I18,Payroll!$F18*((1+Payroll!$J18)^(ROUNDDOWN(DATEDIF(Payroll!$I18,R$2,"M")/Payroll!$K18,0))),0))</f>
        <v/>
      </c>
      <c r="S94" s="56">
        <f>IF(S$2=Payroll!$I18,Payroll!$F18,IF(S$2&gt;Payroll!$I18,Payroll!$F18*((1+Payroll!$J18)^(ROUNDDOWN(DATEDIF(Payroll!$I18,S$2,"M")/Payroll!$K18,0))),0))</f>
        <v/>
      </c>
      <c r="T94" s="56">
        <f>IF(T$2=Payroll!$I18,Payroll!$F18,IF(T$2&gt;Payroll!$I18,Payroll!$F18*((1+Payroll!$J18)^(ROUNDDOWN(DATEDIF(Payroll!$I18,T$2,"M")/Payroll!$K18,0))),0))</f>
        <v/>
      </c>
      <c r="U94" s="56">
        <f>IF(U$2=Payroll!$I18,Payroll!$F18,IF(U$2&gt;Payroll!$I18,Payroll!$F18*((1+Payroll!$J18)^(ROUNDDOWN(DATEDIF(Payroll!$I18,U$2,"M")/Payroll!$K18,0))),0))</f>
        <v/>
      </c>
      <c r="V94" s="56">
        <f>IF(V$2=Payroll!$I18,Payroll!$F18,IF(V$2&gt;Payroll!$I18,Payroll!$F18*((1+Payroll!$J18)^(ROUNDDOWN(DATEDIF(Payroll!$I18,V$2,"M")/Payroll!$K18,0))),0))</f>
        <v/>
      </c>
      <c r="W94" s="56">
        <f>IF(W$2=Payroll!$I18,Payroll!$F18,IF(W$2&gt;Payroll!$I18,Payroll!$F18*((1+Payroll!$J18)^(ROUNDDOWN(DATEDIF(Payroll!$I18,W$2,"M")/Payroll!$K18,0))),0))</f>
        <v/>
      </c>
      <c r="X94" s="56">
        <f>IF(X$2=Payroll!$I18,Payroll!$F18,IF(X$2&gt;Payroll!$I18,Payroll!$F18*((1+Payroll!$J18)^(ROUNDDOWN(DATEDIF(Payroll!$I18,X$2,"M")/Payroll!$K18,0))),0))</f>
        <v/>
      </c>
      <c r="Y94" s="56">
        <f>IF(Y$2=Payroll!$I18,Payroll!$F18,IF(Y$2&gt;Payroll!$I18,Payroll!$F18*((1+Payroll!$J18)^(ROUNDDOWN(DATEDIF(Payroll!$I18,Y$2,"M")/Payroll!$K18,0))),0))</f>
        <v/>
      </c>
      <c r="Z94" s="56">
        <f>IF(Z$2=Payroll!$I18,Payroll!$F18,IF(Z$2&gt;Payroll!$I18,Payroll!$F18*((1+Payroll!$J18)^(ROUNDDOWN(DATEDIF(Payroll!$I18,Z$2,"M")/Payroll!$K18,0))),0))</f>
        <v/>
      </c>
      <c r="AA94" s="56">
        <f>IF(AA$2=Payroll!$I18,Payroll!$F18,IF(AA$2&gt;Payroll!$I18,Payroll!$F18*((1+Payroll!$J18)^(ROUNDDOWN(DATEDIF(Payroll!$I18,AA$2,"M")/Payroll!$K18,0))),0))</f>
        <v/>
      </c>
      <c r="AB94" s="56">
        <f>IF(AB$2=Payroll!$I18,Payroll!$F18,IF(AB$2&gt;Payroll!$I18,Payroll!$F18*((1+Payroll!$J18)^(ROUNDDOWN(DATEDIF(Payroll!$I18,AB$2,"M")/Payroll!$K18,0))),0))</f>
        <v/>
      </c>
      <c r="AC94" s="56">
        <f>IF(AC$2=Payroll!$I18,Payroll!$F18,IF(AC$2&gt;Payroll!$I18,Payroll!$F18*((1+Payroll!$J18)^(ROUNDDOWN(DATEDIF(Payroll!$I18,AC$2,"M")/Payroll!$K18,0))),0))</f>
        <v/>
      </c>
      <c r="AD94" s="56">
        <f>IF(AD$2=Payroll!$I18,Payroll!$F18,IF(AD$2&gt;Payroll!$I18,Payroll!$F18*((1+Payroll!$J18)^(ROUNDDOWN(DATEDIF(Payroll!$I18,AD$2,"M")/Payroll!$K18,0))),0))</f>
        <v/>
      </c>
      <c r="AE94" s="56">
        <f>IF(AE$2=Payroll!$I18,Payroll!$F18,IF(AE$2&gt;Payroll!$I18,Payroll!$F18*((1+Payroll!$J18)^(ROUNDDOWN(DATEDIF(Payroll!$I18,AE$2,"M")/Payroll!$K18,0))),0))</f>
        <v/>
      </c>
      <c r="AF94" s="56">
        <f>IF(AF$2=Payroll!$I18,Payroll!$F18,IF(AF$2&gt;Payroll!$I18,Payroll!$F18*((1+Payroll!$J18)^(ROUNDDOWN(DATEDIF(Payroll!$I18,AF$2,"M")/Payroll!$K18,0))),0))</f>
        <v/>
      </c>
      <c r="AG94" s="56">
        <f>IF(AG$2=Payroll!$I18,Payroll!$F18,IF(AG$2&gt;Payroll!$I18,Payroll!$F18*((1+Payroll!$J18)^(ROUNDDOWN(DATEDIF(Payroll!$I18,AG$2,"M")/Payroll!$K18,0))),0))</f>
        <v/>
      </c>
      <c r="AH94" s="56">
        <f>IF(AH$2=Payroll!$I18,Payroll!$F18,IF(AH$2&gt;Payroll!$I18,Payroll!$F18*((1+Payroll!$J18)^(ROUNDDOWN(DATEDIF(Payroll!$I18,AH$2,"M")/Payroll!$K18,0))),0))</f>
        <v/>
      </c>
      <c r="AI94" s="56">
        <f>IF(AI$2=Payroll!$I18,Payroll!$F18,IF(AI$2&gt;Payroll!$I18,Payroll!$F18*((1+Payroll!$J18)^(ROUNDDOWN(DATEDIF(Payroll!$I18,AI$2,"M")/Payroll!$K18,0))),0))</f>
        <v/>
      </c>
      <c r="AJ94" s="56">
        <f>IF(AJ$2=Payroll!$I18,Payroll!$F18,IF(AJ$2&gt;Payroll!$I18,Payroll!$F18*((1+Payroll!$J18)^(ROUNDDOWN(DATEDIF(Payroll!$I18,AJ$2,"M")/Payroll!$K18,0))),0))</f>
        <v/>
      </c>
      <c r="AK94" s="56">
        <f>IF(AK$2=Payroll!$I18,Payroll!$F18,IF(AK$2&gt;Payroll!$I18,Payroll!$F18*((1+Payroll!$J18)^(ROUNDDOWN(DATEDIF(Payroll!$I18,AK$2,"M")/Payroll!$K18,0))),0))</f>
        <v/>
      </c>
      <c r="AL94" s="56">
        <f>IF(AL$2=Payroll!$I18,Payroll!$F18,IF(AL$2&gt;Payroll!$I18,Payroll!$F18*((1+Payroll!$J18)^(ROUNDDOWN(DATEDIF(Payroll!$I18,AL$2,"M")/Payroll!$K18,0))),0))</f>
        <v/>
      </c>
      <c r="AM94" s="56">
        <f>IF(AM$2=Payroll!$I18,Payroll!$F18,IF(AM$2&gt;Payroll!$I18,Payroll!$F18*((1+Payroll!$J18)^(ROUNDDOWN(DATEDIF(Payroll!$I18,AM$2,"M")/Payroll!$K18,0))),0))</f>
        <v/>
      </c>
      <c r="AN94" s="56">
        <f>IF(AN$2=Payroll!$I18,Payroll!$F18,IF(AN$2&gt;Payroll!$I18,Payroll!$F18*((1+Payroll!$J18)^(ROUNDDOWN(DATEDIF(Payroll!$I18,AN$2,"M")/Payroll!$K18,0))),0))</f>
        <v/>
      </c>
      <c r="AO94" s="56">
        <f>IF(AO$2=Payroll!$I18,Payroll!$F18,IF(AO$2&gt;Payroll!$I18,Payroll!$F18*((1+Payroll!$J18)^(ROUNDDOWN(DATEDIF(Payroll!$I18,AO$2,"M")/Payroll!$K18,0))),0))</f>
        <v/>
      </c>
      <c r="AP94" s="56">
        <f>IF(AP$2=Payroll!$I18,Payroll!$F18,IF(AP$2&gt;Payroll!$I18,Payroll!$F18*((1+Payroll!$J18)^(ROUNDDOWN(DATEDIF(Payroll!$I18,AP$2,"M")/Payroll!$K18,0))),0))</f>
        <v/>
      </c>
      <c r="AQ94" s="56">
        <f>IF(AQ$2=Payroll!$I18,Payroll!$F18,IF(AQ$2&gt;Payroll!$I18,Payroll!$F18*((1+Payroll!$J18)^(ROUNDDOWN(DATEDIF(Payroll!$I18,AQ$2,"M")/Payroll!$K18,0))),0))</f>
        <v/>
      </c>
      <c r="AR94" s="56">
        <f>IF(AR$2=Payroll!$I18,Payroll!$F18,IF(AR$2&gt;Payroll!$I18,Payroll!$F18*((1+Payroll!$J18)^(ROUNDDOWN(DATEDIF(Payroll!$I18,AR$2,"M")/Payroll!$K18,0))),0))</f>
        <v/>
      </c>
      <c r="AS94" s="56">
        <f>IF(AS$2=Payroll!$I18,Payroll!$F18,IF(AS$2&gt;Payroll!$I18,Payroll!$F18*((1+Payroll!$J18)^(ROUNDDOWN(DATEDIF(Payroll!$I18,AS$2,"M")/Payroll!$K18,0))),0))</f>
        <v/>
      </c>
      <c r="AT94" s="56">
        <f>IF(AT$2=Payroll!$I18,Payroll!$F18,IF(AT$2&gt;Payroll!$I18,Payroll!$F18*((1+Payroll!$J18)^(ROUNDDOWN(DATEDIF(Payroll!$I18,AT$2,"M")/Payroll!$K18,0))),0))</f>
        <v/>
      </c>
      <c r="AU94" s="56">
        <f>IF(AU$2=Payroll!$I18,Payroll!$F18,IF(AU$2&gt;Payroll!$I18,Payroll!$F18*((1+Payroll!$J18)^(ROUNDDOWN(DATEDIF(Payroll!$I18,AU$2,"M")/Payroll!$K18,0))),0))</f>
        <v/>
      </c>
      <c r="AV94" s="56">
        <f>IF(AV$2=Payroll!$I18,Payroll!$F18,IF(AV$2&gt;Payroll!$I18,Payroll!$F18*((1+Payroll!$J18)^(ROUNDDOWN(DATEDIF(Payroll!$I18,AV$2,"M")/Payroll!$K18,0))),0))</f>
        <v/>
      </c>
      <c r="AW94" s="56">
        <f>IF(AW$2=Payroll!$I18,Payroll!$F18,IF(AW$2&gt;Payroll!$I18,Payroll!$F18*((1+Payroll!$J18)^(ROUNDDOWN(DATEDIF(Payroll!$I18,AW$2,"M")/Payroll!$K18,0))),0))</f>
        <v/>
      </c>
      <c r="AX94" s="56">
        <f>IF(AX$2=Payroll!$I18,Payroll!$F18,IF(AX$2&gt;Payroll!$I18,Payroll!$F18*((1+Payroll!$J18)^(ROUNDDOWN(DATEDIF(Payroll!$I18,AX$2,"M")/Payroll!$K18,0))),0))</f>
        <v/>
      </c>
      <c r="AY94" s="56">
        <f>IF(AY$2=Payroll!$I18,Payroll!$F18,IF(AY$2&gt;Payroll!$I18,Payroll!$F18*((1+Payroll!$J18)^(ROUNDDOWN(DATEDIF(Payroll!$I18,AY$2,"M")/Payroll!$K18,0))),0))</f>
        <v/>
      </c>
      <c r="AZ94" s="56">
        <f>IF(AZ$2=Payroll!$I18,Payroll!$F18,IF(AZ$2&gt;Payroll!$I18,Payroll!$F18*((1+Payroll!$J18)^(ROUNDDOWN(DATEDIF(Payroll!$I18,AZ$2,"M")/Payroll!$K18,0))),0))</f>
        <v/>
      </c>
      <c r="BA94" s="56">
        <f>IF(BA$2=Payroll!$I18,Payroll!$F18,IF(BA$2&gt;Payroll!$I18,Payroll!$F18*((1+Payroll!$J18)^(ROUNDDOWN(DATEDIF(Payroll!$I18,BA$2,"M")/Payroll!$K18,0))),0))</f>
        <v/>
      </c>
      <c r="BB94" s="56">
        <f>IF(BB$2=Payroll!$I18,Payroll!$F18,IF(BB$2&gt;Payroll!$I18,Payroll!$F18*((1+Payroll!$J18)^(ROUNDDOWN(DATEDIF(Payroll!$I18,BB$2,"M")/Payroll!$K18,0))),0))</f>
        <v/>
      </c>
      <c r="BC94" s="56">
        <f>IF(BC$2=Payroll!$I18,Payroll!$F18,IF(BC$2&gt;Payroll!$I18,Payroll!$F18*((1+Payroll!$J18)^(ROUNDDOWN(DATEDIF(Payroll!$I18,BC$2,"M")/Payroll!$K18,0))),0))</f>
        <v/>
      </c>
      <c r="BD94" s="56">
        <f>IF(BD$2=Payroll!$I18,Payroll!$F18,IF(BD$2&gt;Payroll!$I18,Payroll!$F18*((1+Payroll!$J18)^(ROUNDDOWN(DATEDIF(Payroll!$I18,BD$2,"M")/Payroll!$K18,0))),0))</f>
        <v/>
      </c>
      <c r="BE94" s="56">
        <f>IF(BE$2=Payroll!$I18,Payroll!$F18,IF(BE$2&gt;Payroll!$I18,Payroll!$F18*((1+Payroll!$J18)^(ROUNDDOWN(DATEDIF(Payroll!$I18,BE$2,"M")/Payroll!$K18,0))),0))</f>
        <v/>
      </c>
      <c r="BF94" s="56">
        <f>IF(BF$2=Payroll!$I18,Payroll!$F18,IF(BF$2&gt;Payroll!$I18,Payroll!$F18*((1+Payroll!$J18)^(ROUNDDOWN(DATEDIF(Payroll!$I18,BF$2,"M")/Payroll!$K18,0))),0))</f>
        <v/>
      </c>
      <c r="BG94" s="56">
        <f>IF(BG$2=Payroll!$I18,Payroll!$F18,IF(BG$2&gt;Payroll!$I18,Payroll!$F18*((1+Payroll!$J18)^(ROUNDDOWN(DATEDIF(Payroll!$I18,BG$2,"M")/Payroll!$K18,0))),0))</f>
        <v/>
      </c>
      <c r="BH94" s="56">
        <f>IF(BH$2=Payroll!$I18,Payroll!$F18,IF(BH$2&gt;Payroll!$I18,Payroll!$F18*((1+Payroll!$J18)^(ROUNDDOWN(DATEDIF(Payroll!$I18,BH$2,"M")/Payroll!$K18,0))),0))</f>
        <v/>
      </c>
      <c r="BI94" s="56">
        <f>IF(BI$2=Payroll!$I18,Payroll!$F18,IF(BI$2&gt;Payroll!$I18,Payroll!$F18*((1+Payroll!$J18)^(ROUNDDOWN(DATEDIF(Payroll!$I18,BI$2,"M")/Payroll!$K18,0))),0))</f>
        <v/>
      </c>
      <c r="BJ94" s="56">
        <f>IF(BJ$2=Payroll!$I18,Payroll!$F18,IF(BJ$2&gt;Payroll!$I18,Payroll!$F18*((1+Payroll!$J18)^(ROUNDDOWN(DATEDIF(Payroll!$I18,BJ$2,"M")/Payroll!$K18,0))),0))</f>
        <v/>
      </c>
      <c r="BK94" s="56">
        <f>IF(BK$2=Payroll!$I18,Payroll!$F18,IF(BK$2&gt;Payroll!$I18,Payroll!$F18*((1+Payroll!$J18)^(ROUNDDOWN(DATEDIF(Payroll!$I18,BK$2,"M")/Payroll!$K18,0))),0))</f>
        <v/>
      </c>
      <c r="BL94" s="56">
        <f>IF(BL$2=Payroll!$I18,Payroll!$F18,IF(BL$2&gt;Payroll!$I18,Payroll!$F18*((1+Payroll!$J18)^(ROUNDDOWN(DATEDIF(Payroll!$I18,BL$2,"M")/Payroll!$K18,0))),0))</f>
        <v/>
      </c>
      <c r="BM94" s="56">
        <f>IF(BM$2=Payroll!$I18,Payroll!$F18,IF(BM$2&gt;Payroll!$I18,Payroll!$F18*((1+Payroll!$J18)^(ROUNDDOWN(DATEDIF(Payroll!$I18,BM$2,"M")/Payroll!$K18,0))),0))</f>
        <v/>
      </c>
      <c r="BN94" s="56">
        <f>IF(BN$2=Payroll!$I18,Payroll!$F18,IF(BN$2&gt;Payroll!$I18,Payroll!$F18*((1+Payroll!$J18)^(ROUNDDOWN(DATEDIF(Payroll!$I18,BN$2,"M")/Payroll!$K18,0))),0))</f>
        <v/>
      </c>
      <c r="BO94" s="56">
        <f>IF(BO$2=Payroll!$I18,Payroll!$F18,IF(BO$2&gt;Payroll!$I18,Payroll!$F18*((1+Payroll!$J18)^(ROUNDDOWN(DATEDIF(Payroll!$I18,BO$2,"M")/Payroll!$K18,0))),0))</f>
        <v/>
      </c>
      <c r="BP94" s="56">
        <f>IF(BP$2=Payroll!$I18,Payroll!$F18,IF(BP$2&gt;Payroll!$I18,Payroll!$F18*((1+Payroll!$J18)^(ROUNDDOWN(DATEDIF(Payroll!$I18,BP$2,"M")/Payroll!$K18,0))),0))</f>
        <v/>
      </c>
      <c r="BQ94" s="56">
        <f>IF(BQ$2=Payroll!$I18,Payroll!$F18,IF(BQ$2&gt;Payroll!$I18,Payroll!$F18*((1+Payroll!$J18)^(ROUNDDOWN(DATEDIF(Payroll!$I18,BQ$2,"M")/Payroll!$K18,0))),0))</f>
        <v/>
      </c>
      <c r="BR94" s="56">
        <f>IF(BR$2=Payroll!$I18,Payroll!$F18,IF(BR$2&gt;Payroll!$I18,Payroll!$F18*((1+Payroll!$J18)^(ROUNDDOWN(DATEDIF(Payroll!$I18,BR$2,"M")/Payroll!$K18,0))),0))</f>
        <v/>
      </c>
      <c r="BS94" s="56">
        <f>IF(BS$2=Payroll!$I18,Payroll!$F18,IF(BS$2&gt;Payroll!$I18,Payroll!$F18*((1+Payroll!$J18)^(ROUNDDOWN(DATEDIF(Payroll!$I18,BS$2,"M")/Payroll!$K18,0))),0))</f>
        <v/>
      </c>
      <c r="BT94" s="56">
        <f>IF(BT$2=Payroll!$I18,Payroll!$F18,IF(BT$2&gt;Payroll!$I18,Payroll!$F18*((1+Payroll!$J18)^(ROUNDDOWN(DATEDIF(Payroll!$I18,BT$2,"M")/Payroll!$K18,0))),0))</f>
        <v/>
      </c>
      <c r="BU94" s="56">
        <f>IF(BU$2=Payroll!$I18,Payroll!$F18,IF(BU$2&gt;Payroll!$I18,Payroll!$F18*((1+Payroll!$J18)^(ROUNDDOWN(DATEDIF(Payroll!$I18,BU$2,"M")/Payroll!$K18,0))),0))</f>
        <v/>
      </c>
      <c r="BV94" s="56">
        <f>IF(BV$2=Payroll!$I18,Payroll!$F18,IF(BV$2&gt;Payroll!$I18,Payroll!$F18*((1+Payroll!$J18)^(ROUNDDOWN(DATEDIF(Payroll!$I18,BV$2,"M")/Payroll!$K18,0))),0))</f>
        <v/>
      </c>
      <c r="BW94" s="56">
        <f>IF(BW$2=Payroll!$I18,Payroll!$F18,IF(BW$2&gt;Payroll!$I18,Payroll!$F18*((1+Payroll!$J18)^(ROUNDDOWN(DATEDIF(Payroll!$I18,BW$2,"M")/Payroll!$K18,0))),0))</f>
        <v/>
      </c>
      <c r="BX94" s="56">
        <f>IF(BX$2=Payroll!$I18,Payroll!$F18,IF(BX$2&gt;Payroll!$I18,Payroll!$F18*((1+Payroll!$J18)^(ROUNDDOWN(DATEDIF(Payroll!$I18,BX$2,"M")/Payroll!$K18,0))),0))</f>
        <v/>
      </c>
      <c r="BY94" s="56">
        <f>IF(BY$2=Payroll!$I18,Payroll!$F18,IF(BY$2&gt;Payroll!$I18,Payroll!$F18*((1+Payroll!$J18)^(ROUNDDOWN(DATEDIF(Payroll!$I18,BY$2,"M")/Payroll!$K18,0))),0))</f>
        <v/>
      </c>
      <c r="BZ94" s="56">
        <f>IF(BZ$2=Payroll!$I18,Payroll!$F18,IF(BZ$2&gt;Payroll!$I18,Payroll!$F18*((1+Payroll!$J18)^(ROUNDDOWN(DATEDIF(Payroll!$I18,BZ$2,"M")/Payroll!$K18,0))),0))</f>
        <v/>
      </c>
      <c r="CA94" s="56">
        <f>IF(CA$2=Payroll!$I18,Payroll!$F18,IF(CA$2&gt;Payroll!$I18,Payroll!$F18*((1+Payroll!$J18)^(ROUNDDOWN(DATEDIF(Payroll!$I18,CA$2,"M")/Payroll!$K18,0))),0))</f>
        <v/>
      </c>
      <c r="CB94" s="56">
        <f>IF(CB$2=Payroll!$I18,Payroll!$F18,IF(CB$2&gt;Payroll!$I18,Payroll!$F18*((1+Payroll!$J18)^(ROUNDDOWN(DATEDIF(Payroll!$I18,CB$2,"M")/Payroll!$K18,0))),0))</f>
        <v/>
      </c>
      <c r="CC94" s="56">
        <f>IF(CC$2=Payroll!$I18,Payroll!$F18,IF(CC$2&gt;Payroll!$I18,Payroll!$F18*((1+Payroll!$J18)^(ROUNDDOWN(DATEDIF(Payroll!$I18,CC$2,"M")/Payroll!$K18,0))),0))</f>
        <v/>
      </c>
      <c r="CD94" s="56">
        <f>IF(CD$2=Payroll!$I18,Payroll!$F18,IF(CD$2&gt;Payroll!$I18,Payroll!$F18*((1+Payroll!$J18)^(ROUNDDOWN(DATEDIF(Payroll!$I18,CD$2,"M")/Payroll!$K18,0))),0))</f>
        <v/>
      </c>
      <c r="CE94" s="56">
        <f>IF(CE$2=Payroll!$I18,Payroll!$F18,IF(CE$2&gt;Payroll!$I18,Payroll!$F18*((1+Payroll!$J18)^(ROUNDDOWN(DATEDIF(Payroll!$I18,CE$2,"M")/Payroll!$K18,0))),0))</f>
        <v/>
      </c>
      <c r="CF94" s="56">
        <f>IF(CF$2=Payroll!$I18,Payroll!$F18,IF(CF$2&gt;Payroll!$I18,Payroll!$F18*((1+Payroll!$J18)^(ROUNDDOWN(DATEDIF(Payroll!$I18,CF$2,"M")/Payroll!$K18,0))),0))</f>
        <v/>
      </c>
      <c r="CG94" s="56">
        <f>IF(CG$2=Payroll!$I18,Payroll!$F18,IF(CG$2&gt;Payroll!$I18,Payroll!$F18*((1+Payroll!$J18)^(ROUNDDOWN(DATEDIF(Payroll!$I18,CG$2,"M")/Payroll!$K18,0))),0))</f>
        <v/>
      </c>
      <c r="CH94" s="56">
        <f>IF(CH$2=Payroll!$I18,Payroll!$F18,IF(CH$2&gt;Payroll!$I18,Payroll!$F18*((1+Payroll!$J18)^(ROUNDDOWN(DATEDIF(Payroll!$I18,CH$2,"M")/Payroll!$K18,0))),0))</f>
        <v/>
      </c>
      <c r="CI94" s="56">
        <f>IF(CI$2=Payroll!$I18,Payroll!$F18,IF(CI$2&gt;Payroll!$I18,Payroll!$F18*((1+Payroll!$J18)^(ROUNDDOWN(DATEDIF(Payroll!$I18,CI$2,"M")/Payroll!$K18,0))),0))</f>
        <v/>
      </c>
      <c r="CJ94" s="56">
        <f>IF(CJ$2=Payroll!$I18,Payroll!$F18,IF(CJ$2&gt;Payroll!$I18,Payroll!$F18*((1+Payroll!$J18)^(ROUNDDOWN(DATEDIF(Payroll!$I18,CJ$2,"M")/Payroll!$K18,0))),0))</f>
        <v/>
      </c>
      <c r="CK94" s="56">
        <f>IF(CK$2=Payroll!$I18,Payroll!$F18,IF(CK$2&gt;Payroll!$I18,Payroll!$F18*((1+Payroll!$J18)^(ROUNDDOWN(DATEDIF(Payroll!$I18,CK$2,"M")/Payroll!$K18,0))),0))</f>
        <v/>
      </c>
      <c r="CL94" s="56">
        <f>IF(CL$2=Payroll!$I18,Payroll!$F18,IF(CL$2&gt;Payroll!$I18,Payroll!$F18*((1+Payroll!$J18)^(ROUNDDOWN(DATEDIF(Payroll!$I18,CL$2,"M")/Payroll!$K18,0))),0))</f>
        <v/>
      </c>
      <c r="CM94" s="56">
        <f>IF(CM$2=Payroll!$I18,Payroll!$F18,IF(CM$2&gt;Payroll!$I18,Payroll!$F18*((1+Payroll!$J18)^(ROUNDDOWN(DATEDIF(Payroll!$I18,CM$2,"M")/Payroll!$K18,0))),0))</f>
        <v/>
      </c>
      <c r="CN94" s="56">
        <f>IF(CN$2=Payroll!$I18,Payroll!$F18,IF(CN$2&gt;Payroll!$I18,Payroll!$F18*((1+Payroll!$J18)^(ROUNDDOWN(DATEDIF(Payroll!$I18,CN$2,"M")/Payroll!$K18,0))),0))</f>
        <v/>
      </c>
      <c r="CO94" s="56">
        <f>IF(CO$2=Payroll!$I18,Payroll!$F18,IF(CO$2&gt;Payroll!$I18,Payroll!$F18*((1+Payroll!$J18)^(ROUNDDOWN(DATEDIF(Payroll!$I18,CO$2,"M")/Payroll!$K18,0))),0))</f>
        <v/>
      </c>
      <c r="CP94" s="56">
        <f>IF(CP$2=Payroll!$I18,Payroll!$F18,IF(CP$2&gt;Payroll!$I18,Payroll!$F18*((1+Payroll!$J18)^(ROUNDDOWN(DATEDIF(Payroll!$I18,CP$2,"M")/Payroll!$K18,0))),0))</f>
        <v/>
      </c>
      <c r="CQ94" s="56">
        <f>IF(CQ$2=Payroll!$I18,Payroll!$F18,IF(CQ$2&gt;Payroll!$I18,Payroll!$F18*((1+Payroll!$J18)^(ROUNDDOWN(DATEDIF(Payroll!$I18,CQ$2,"M")/Payroll!$K18,0))),0))</f>
        <v/>
      </c>
      <c r="CR94" s="56">
        <f>IF(CR$2=Payroll!$I18,Payroll!$F18,IF(CR$2&gt;Payroll!$I18,Payroll!$F18*((1+Payroll!$J18)^(ROUNDDOWN(DATEDIF(Payroll!$I18,CR$2,"M")/Payroll!$K18,0))),0))</f>
        <v/>
      </c>
      <c r="CS94" s="56">
        <f>IF(CS$2=Payroll!$I18,Payroll!$F18,IF(CS$2&gt;Payroll!$I18,Payroll!$F18*((1+Payroll!$J18)^(ROUNDDOWN(DATEDIF(Payroll!$I18,CS$2,"M")/Payroll!$K18,0))),0))</f>
        <v/>
      </c>
      <c r="CT94" s="56">
        <f>IF(CT$2=Payroll!$I18,Payroll!$F18,IF(CT$2&gt;Payroll!$I18,Payroll!$F18*((1+Payroll!$J18)^(ROUNDDOWN(DATEDIF(Payroll!$I18,CT$2,"M")/Payroll!$K18,0))),0))</f>
        <v/>
      </c>
      <c r="CU94" s="56">
        <f>IF(CU$2=Payroll!$I18,Payroll!$F18,IF(CU$2&gt;Payroll!$I18,Payroll!$F18*((1+Payroll!$J18)^(ROUNDDOWN(DATEDIF(Payroll!$I18,CU$2,"M")/Payroll!$K18,0))),0))</f>
        <v/>
      </c>
      <c r="CV94" s="56">
        <f>IF(CV$2=Payroll!$I18,Payroll!$F18,IF(CV$2&gt;Payroll!$I18,Payroll!$F18*((1+Payroll!$J18)^(ROUNDDOWN(DATEDIF(Payroll!$I18,CV$2,"M")/Payroll!$K18,0))),0))</f>
        <v/>
      </c>
      <c r="CW94" s="56">
        <f>IF(CW$2=Payroll!$I18,Payroll!$F18,IF(CW$2&gt;Payroll!$I18,Payroll!$F18*((1+Payroll!$J18)^(ROUNDDOWN(DATEDIF(Payroll!$I18,CW$2,"M")/Payroll!$K18,0))),0))</f>
        <v/>
      </c>
      <c r="CX94" s="56">
        <f>IF(CX$2=Payroll!$I18,Payroll!$F18,IF(CX$2&gt;Payroll!$I18,Payroll!$F18*((1+Payroll!$J18)^(ROUNDDOWN(DATEDIF(Payroll!$I18,CX$2,"M")/Payroll!$K18,0))),0))</f>
        <v/>
      </c>
    </row>
    <row r="95" outlineLevel="2" ht="15.75" customHeight="1" s="255">
      <c r="A95" s="56">
        <f>Payroll!A19</f>
        <v/>
      </c>
      <c r="B95" s="56" t="n"/>
      <c r="C95" s="56" t="n"/>
      <c r="D95" s="56" t="n"/>
      <c r="E95" s="56">
        <f>IF(E$2=Payroll!$I19,Payroll!$F19,IF(E$2&gt;Payroll!$I19,Payroll!$F19*((1+Payroll!$J19)^(ROUNDDOWN(DATEDIF(Payroll!$I19,E$2,"M")/Payroll!$K19,0))),0))</f>
        <v/>
      </c>
      <c r="F95" s="56">
        <f>IF(F$2=Payroll!$I19,Payroll!$F19,IF(F$2&gt;Payroll!$I19,Payroll!$F19*((1+Payroll!$J19)^(ROUNDDOWN(DATEDIF(Payroll!$I19,F$2,"M")/Payroll!$K19,0))),0))</f>
        <v/>
      </c>
      <c r="G95" s="56">
        <f>IF(G$2=Payroll!$I19,Payroll!$F19,IF(G$2&gt;Payroll!$I19,Payroll!$F19*((1+Payroll!$J19)^(ROUNDDOWN(DATEDIF(Payroll!$I19,G$2,"M")/Payroll!$K19,0))),0))</f>
        <v/>
      </c>
      <c r="H95" s="56">
        <f>IF(H$2=Payroll!$I19,Payroll!$F19,IF(H$2&gt;Payroll!$I19,Payroll!$F19*((1+Payroll!$J19)^(ROUNDDOWN(DATEDIF(Payroll!$I19,H$2,"M")/Payroll!$K19,0))),0))</f>
        <v/>
      </c>
      <c r="I95" s="56">
        <f>IF(I$2=Payroll!$I19,Payroll!$F19,IF(I$2&gt;Payroll!$I19,Payroll!$F19*((1+Payroll!$J19)^(ROUNDDOWN(DATEDIF(Payroll!$I19,I$2,"M")/Payroll!$K19,0))),0))</f>
        <v/>
      </c>
      <c r="J95" s="56">
        <f>IF(J$2=Payroll!$I19,Payroll!$F19,IF(J$2&gt;Payroll!$I19,Payroll!$F19*((1+Payroll!$J19)^(ROUNDDOWN(DATEDIF(Payroll!$I19,J$2,"M")/Payroll!$K19,0))),0))</f>
        <v/>
      </c>
      <c r="K95" s="56">
        <f>IF(K$2=Payroll!$I19,Payroll!$F19,IF(K$2&gt;Payroll!$I19,Payroll!$F19*((1+Payroll!$J19)^(ROUNDDOWN(DATEDIF(Payroll!$I19,K$2,"M")/Payroll!$K19,0))),0))</f>
        <v/>
      </c>
      <c r="L95" s="56">
        <f>IF(L$2=Payroll!$I19,Payroll!$F19,IF(L$2&gt;Payroll!$I19,Payroll!$F19*((1+Payroll!$J19)^(ROUNDDOWN(DATEDIF(Payroll!$I19,L$2,"M")/Payroll!$K19,0))),0))</f>
        <v/>
      </c>
      <c r="M95" s="56">
        <f>IF(M$2=Payroll!$I19,Payroll!$F19,IF(M$2&gt;Payroll!$I19,Payroll!$F19*((1+Payroll!$J19)^(ROUNDDOWN(DATEDIF(Payroll!$I19,M$2,"M")/Payroll!$K19,0))),0))</f>
        <v/>
      </c>
      <c r="N95" s="56">
        <f>IF(N$2=Payroll!$I19,Payroll!$F19,IF(N$2&gt;Payroll!$I19,Payroll!$F19*((1+Payroll!$J19)^(ROUNDDOWN(DATEDIF(Payroll!$I19,N$2,"M")/Payroll!$K19,0))),0))</f>
        <v/>
      </c>
      <c r="O95" s="56">
        <f>IF(O$2=Payroll!$I19,Payroll!$F19,IF(O$2&gt;Payroll!$I19,Payroll!$F19*((1+Payroll!$J19)^(ROUNDDOWN(DATEDIF(Payroll!$I19,O$2,"M")/Payroll!$K19,0))),0))</f>
        <v/>
      </c>
      <c r="P95" s="56">
        <f>IF(P$2=Payroll!$I19,Payroll!$F19,IF(P$2&gt;Payroll!$I19,Payroll!$F19*((1+Payroll!$J19)^(ROUNDDOWN(DATEDIF(Payroll!$I19,P$2,"M")/Payroll!$K19,0))),0))</f>
        <v/>
      </c>
      <c r="Q95" s="56">
        <f>IF(Q$2=Payroll!$I19,Payroll!$F19,IF(Q$2&gt;Payroll!$I19,Payroll!$F19*((1+Payroll!$J19)^(ROUNDDOWN(DATEDIF(Payroll!$I19,Q$2,"M")/Payroll!$K19,0))),0))</f>
        <v/>
      </c>
      <c r="R95" s="56">
        <f>IF(R$2=Payroll!$I19,Payroll!$F19,IF(R$2&gt;Payroll!$I19,Payroll!$F19*((1+Payroll!$J19)^(ROUNDDOWN(DATEDIF(Payroll!$I19,R$2,"M")/Payroll!$K19,0))),0))</f>
        <v/>
      </c>
      <c r="S95" s="56">
        <f>IF(S$2=Payroll!$I19,Payroll!$F19,IF(S$2&gt;Payroll!$I19,Payroll!$F19*((1+Payroll!$J19)^(ROUNDDOWN(DATEDIF(Payroll!$I19,S$2,"M")/Payroll!$K19,0))),0))</f>
        <v/>
      </c>
      <c r="T95" s="56">
        <f>IF(T$2=Payroll!$I19,Payroll!$F19,IF(T$2&gt;Payroll!$I19,Payroll!$F19*((1+Payroll!$J19)^(ROUNDDOWN(DATEDIF(Payroll!$I19,T$2,"M")/Payroll!$K19,0))),0))</f>
        <v/>
      </c>
      <c r="U95" s="56">
        <f>IF(U$2=Payroll!$I19,Payroll!$F19,IF(U$2&gt;Payroll!$I19,Payroll!$F19*((1+Payroll!$J19)^(ROUNDDOWN(DATEDIF(Payroll!$I19,U$2,"M")/Payroll!$K19,0))),0))</f>
        <v/>
      </c>
      <c r="V95" s="56">
        <f>IF(V$2=Payroll!$I19,Payroll!$F19,IF(V$2&gt;Payroll!$I19,Payroll!$F19*((1+Payroll!$J19)^(ROUNDDOWN(DATEDIF(Payroll!$I19,V$2,"M")/Payroll!$K19,0))),0))</f>
        <v/>
      </c>
      <c r="W95" s="56">
        <f>IF(W$2=Payroll!$I19,Payroll!$F19,IF(W$2&gt;Payroll!$I19,Payroll!$F19*((1+Payroll!$J19)^(ROUNDDOWN(DATEDIF(Payroll!$I19,W$2,"M")/Payroll!$K19,0))),0))</f>
        <v/>
      </c>
      <c r="X95" s="56">
        <f>IF(X$2=Payroll!$I19,Payroll!$F19,IF(X$2&gt;Payroll!$I19,Payroll!$F19*((1+Payroll!$J19)^(ROUNDDOWN(DATEDIF(Payroll!$I19,X$2,"M")/Payroll!$K19,0))),0))</f>
        <v/>
      </c>
      <c r="Y95" s="56">
        <f>IF(Y$2=Payroll!$I19,Payroll!$F19,IF(Y$2&gt;Payroll!$I19,Payroll!$F19*((1+Payroll!$J19)^(ROUNDDOWN(DATEDIF(Payroll!$I19,Y$2,"M")/Payroll!$K19,0))),0))</f>
        <v/>
      </c>
      <c r="Z95" s="56">
        <f>IF(Z$2=Payroll!$I19,Payroll!$F19,IF(Z$2&gt;Payroll!$I19,Payroll!$F19*((1+Payroll!$J19)^(ROUNDDOWN(DATEDIF(Payroll!$I19,Z$2,"M")/Payroll!$K19,0))),0))</f>
        <v/>
      </c>
      <c r="AA95" s="56">
        <f>IF(AA$2=Payroll!$I19,Payroll!$F19,IF(AA$2&gt;Payroll!$I19,Payroll!$F19*((1+Payroll!$J19)^(ROUNDDOWN(DATEDIF(Payroll!$I19,AA$2,"M")/Payroll!$K19,0))),0))</f>
        <v/>
      </c>
      <c r="AB95" s="56">
        <f>IF(AB$2=Payroll!$I19,Payroll!$F19,IF(AB$2&gt;Payroll!$I19,Payroll!$F19*((1+Payroll!$J19)^(ROUNDDOWN(DATEDIF(Payroll!$I19,AB$2,"M")/Payroll!$K19,0))),0))</f>
        <v/>
      </c>
      <c r="AC95" s="56">
        <f>IF(AC$2=Payroll!$I19,Payroll!$F19,IF(AC$2&gt;Payroll!$I19,Payroll!$F19*((1+Payroll!$J19)^(ROUNDDOWN(DATEDIF(Payroll!$I19,AC$2,"M")/Payroll!$K19,0))),0))</f>
        <v/>
      </c>
      <c r="AD95" s="56">
        <f>IF(AD$2=Payroll!$I19,Payroll!$F19,IF(AD$2&gt;Payroll!$I19,Payroll!$F19*((1+Payroll!$J19)^(ROUNDDOWN(DATEDIF(Payroll!$I19,AD$2,"M")/Payroll!$K19,0))),0))</f>
        <v/>
      </c>
      <c r="AE95" s="56">
        <f>IF(AE$2=Payroll!$I19,Payroll!$F19,IF(AE$2&gt;Payroll!$I19,Payroll!$F19*((1+Payroll!$J19)^(ROUNDDOWN(DATEDIF(Payroll!$I19,AE$2,"M")/Payroll!$K19,0))),0))</f>
        <v/>
      </c>
      <c r="AF95" s="56">
        <f>IF(AF$2=Payroll!$I19,Payroll!$F19,IF(AF$2&gt;Payroll!$I19,Payroll!$F19*((1+Payroll!$J19)^(ROUNDDOWN(DATEDIF(Payroll!$I19,AF$2,"M")/Payroll!$K19,0))),0))</f>
        <v/>
      </c>
      <c r="AG95" s="56">
        <f>IF(AG$2=Payroll!$I19,Payroll!$F19,IF(AG$2&gt;Payroll!$I19,Payroll!$F19*((1+Payroll!$J19)^(ROUNDDOWN(DATEDIF(Payroll!$I19,AG$2,"M")/Payroll!$K19,0))),0))</f>
        <v/>
      </c>
      <c r="AH95" s="56">
        <f>IF(AH$2=Payroll!$I19,Payroll!$F19,IF(AH$2&gt;Payroll!$I19,Payroll!$F19*((1+Payroll!$J19)^(ROUNDDOWN(DATEDIF(Payroll!$I19,AH$2,"M")/Payroll!$K19,0))),0))</f>
        <v/>
      </c>
      <c r="AI95" s="56">
        <f>IF(AI$2=Payroll!$I19,Payroll!$F19,IF(AI$2&gt;Payroll!$I19,Payroll!$F19*((1+Payroll!$J19)^(ROUNDDOWN(DATEDIF(Payroll!$I19,AI$2,"M")/Payroll!$K19,0))),0))</f>
        <v/>
      </c>
      <c r="AJ95" s="56">
        <f>IF(AJ$2=Payroll!$I19,Payroll!$F19,IF(AJ$2&gt;Payroll!$I19,Payroll!$F19*((1+Payroll!$J19)^(ROUNDDOWN(DATEDIF(Payroll!$I19,AJ$2,"M")/Payroll!$K19,0))),0))</f>
        <v/>
      </c>
      <c r="AK95" s="56">
        <f>IF(AK$2=Payroll!$I19,Payroll!$F19,IF(AK$2&gt;Payroll!$I19,Payroll!$F19*((1+Payroll!$J19)^(ROUNDDOWN(DATEDIF(Payroll!$I19,AK$2,"M")/Payroll!$K19,0))),0))</f>
        <v/>
      </c>
      <c r="AL95" s="56">
        <f>IF(AL$2=Payroll!$I19,Payroll!$F19,IF(AL$2&gt;Payroll!$I19,Payroll!$F19*((1+Payroll!$J19)^(ROUNDDOWN(DATEDIF(Payroll!$I19,AL$2,"M")/Payroll!$K19,0))),0))</f>
        <v/>
      </c>
      <c r="AM95" s="56">
        <f>IF(AM$2=Payroll!$I19,Payroll!$F19,IF(AM$2&gt;Payroll!$I19,Payroll!$F19*((1+Payroll!$J19)^(ROUNDDOWN(DATEDIF(Payroll!$I19,AM$2,"M")/Payroll!$K19,0))),0))</f>
        <v/>
      </c>
      <c r="AN95" s="56">
        <f>IF(AN$2=Payroll!$I19,Payroll!$F19,IF(AN$2&gt;Payroll!$I19,Payroll!$F19*((1+Payroll!$J19)^(ROUNDDOWN(DATEDIF(Payroll!$I19,AN$2,"M")/Payroll!$K19,0))),0))</f>
        <v/>
      </c>
      <c r="AO95" s="56">
        <f>IF(AO$2=Payroll!$I19,Payroll!$F19,IF(AO$2&gt;Payroll!$I19,Payroll!$F19*((1+Payroll!$J19)^(ROUNDDOWN(DATEDIF(Payroll!$I19,AO$2,"M")/Payroll!$K19,0))),0))</f>
        <v/>
      </c>
      <c r="AP95" s="56">
        <f>IF(AP$2=Payroll!$I19,Payroll!$F19,IF(AP$2&gt;Payroll!$I19,Payroll!$F19*((1+Payroll!$J19)^(ROUNDDOWN(DATEDIF(Payroll!$I19,AP$2,"M")/Payroll!$K19,0))),0))</f>
        <v/>
      </c>
      <c r="AQ95" s="56">
        <f>IF(AQ$2=Payroll!$I19,Payroll!$F19,IF(AQ$2&gt;Payroll!$I19,Payroll!$F19*((1+Payroll!$J19)^(ROUNDDOWN(DATEDIF(Payroll!$I19,AQ$2,"M")/Payroll!$K19,0))),0))</f>
        <v/>
      </c>
      <c r="AR95" s="56">
        <f>IF(AR$2=Payroll!$I19,Payroll!$F19,IF(AR$2&gt;Payroll!$I19,Payroll!$F19*((1+Payroll!$J19)^(ROUNDDOWN(DATEDIF(Payroll!$I19,AR$2,"M")/Payroll!$K19,0))),0))</f>
        <v/>
      </c>
      <c r="AS95" s="56">
        <f>IF(AS$2=Payroll!$I19,Payroll!$F19,IF(AS$2&gt;Payroll!$I19,Payroll!$F19*((1+Payroll!$J19)^(ROUNDDOWN(DATEDIF(Payroll!$I19,AS$2,"M")/Payroll!$K19,0))),0))</f>
        <v/>
      </c>
      <c r="AT95" s="56">
        <f>IF(AT$2=Payroll!$I19,Payroll!$F19,IF(AT$2&gt;Payroll!$I19,Payroll!$F19*((1+Payroll!$J19)^(ROUNDDOWN(DATEDIF(Payroll!$I19,AT$2,"M")/Payroll!$K19,0))),0))</f>
        <v/>
      </c>
      <c r="AU95" s="56">
        <f>IF(AU$2=Payroll!$I19,Payroll!$F19,IF(AU$2&gt;Payroll!$I19,Payroll!$F19*((1+Payroll!$J19)^(ROUNDDOWN(DATEDIF(Payroll!$I19,AU$2,"M")/Payroll!$K19,0))),0))</f>
        <v/>
      </c>
      <c r="AV95" s="56">
        <f>IF(AV$2=Payroll!$I19,Payroll!$F19,IF(AV$2&gt;Payroll!$I19,Payroll!$F19*((1+Payroll!$J19)^(ROUNDDOWN(DATEDIF(Payroll!$I19,AV$2,"M")/Payroll!$K19,0))),0))</f>
        <v/>
      </c>
      <c r="AW95" s="56">
        <f>IF(AW$2=Payroll!$I19,Payroll!$F19,IF(AW$2&gt;Payroll!$I19,Payroll!$F19*((1+Payroll!$J19)^(ROUNDDOWN(DATEDIF(Payroll!$I19,AW$2,"M")/Payroll!$K19,0))),0))</f>
        <v/>
      </c>
      <c r="AX95" s="56">
        <f>IF(AX$2=Payroll!$I19,Payroll!$F19,IF(AX$2&gt;Payroll!$I19,Payroll!$F19*((1+Payroll!$J19)^(ROUNDDOWN(DATEDIF(Payroll!$I19,AX$2,"M")/Payroll!$K19,0))),0))</f>
        <v/>
      </c>
      <c r="AY95" s="56">
        <f>IF(AY$2=Payroll!$I19,Payroll!$F19,IF(AY$2&gt;Payroll!$I19,Payroll!$F19*((1+Payroll!$J19)^(ROUNDDOWN(DATEDIF(Payroll!$I19,AY$2,"M")/Payroll!$K19,0))),0))</f>
        <v/>
      </c>
      <c r="AZ95" s="56">
        <f>IF(AZ$2=Payroll!$I19,Payroll!$F19,IF(AZ$2&gt;Payroll!$I19,Payroll!$F19*((1+Payroll!$J19)^(ROUNDDOWN(DATEDIF(Payroll!$I19,AZ$2,"M")/Payroll!$K19,0))),0))</f>
        <v/>
      </c>
      <c r="BA95" s="56">
        <f>IF(BA$2=Payroll!$I19,Payroll!$F19,IF(BA$2&gt;Payroll!$I19,Payroll!$F19*((1+Payroll!$J19)^(ROUNDDOWN(DATEDIF(Payroll!$I19,BA$2,"M")/Payroll!$K19,0))),0))</f>
        <v/>
      </c>
      <c r="BB95" s="56">
        <f>IF(BB$2=Payroll!$I19,Payroll!$F19,IF(BB$2&gt;Payroll!$I19,Payroll!$F19*((1+Payroll!$J19)^(ROUNDDOWN(DATEDIF(Payroll!$I19,BB$2,"M")/Payroll!$K19,0))),0))</f>
        <v/>
      </c>
      <c r="BC95" s="56">
        <f>IF(BC$2=Payroll!$I19,Payroll!$F19,IF(BC$2&gt;Payroll!$I19,Payroll!$F19*((1+Payroll!$J19)^(ROUNDDOWN(DATEDIF(Payroll!$I19,BC$2,"M")/Payroll!$K19,0))),0))</f>
        <v/>
      </c>
      <c r="BD95" s="56">
        <f>IF(BD$2=Payroll!$I19,Payroll!$F19,IF(BD$2&gt;Payroll!$I19,Payroll!$F19*((1+Payroll!$J19)^(ROUNDDOWN(DATEDIF(Payroll!$I19,BD$2,"M")/Payroll!$K19,0))),0))</f>
        <v/>
      </c>
      <c r="BE95" s="56">
        <f>IF(BE$2=Payroll!$I19,Payroll!$F19,IF(BE$2&gt;Payroll!$I19,Payroll!$F19*((1+Payroll!$J19)^(ROUNDDOWN(DATEDIF(Payroll!$I19,BE$2,"M")/Payroll!$K19,0))),0))</f>
        <v/>
      </c>
      <c r="BF95" s="56">
        <f>IF(BF$2=Payroll!$I19,Payroll!$F19,IF(BF$2&gt;Payroll!$I19,Payroll!$F19*((1+Payroll!$J19)^(ROUNDDOWN(DATEDIF(Payroll!$I19,BF$2,"M")/Payroll!$K19,0))),0))</f>
        <v/>
      </c>
      <c r="BG95" s="56">
        <f>IF(BG$2=Payroll!$I19,Payroll!$F19,IF(BG$2&gt;Payroll!$I19,Payroll!$F19*((1+Payroll!$J19)^(ROUNDDOWN(DATEDIF(Payroll!$I19,BG$2,"M")/Payroll!$K19,0))),0))</f>
        <v/>
      </c>
      <c r="BH95" s="56">
        <f>IF(BH$2=Payroll!$I19,Payroll!$F19,IF(BH$2&gt;Payroll!$I19,Payroll!$F19*((1+Payroll!$J19)^(ROUNDDOWN(DATEDIF(Payroll!$I19,BH$2,"M")/Payroll!$K19,0))),0))</f>
        <v/>
      </c>
      <c r="BI95" s="56">
        <f>IF(BI$2=Payroll!$I19,Payroll!$F19,IF(BI$2&gt;Payroll!$I19,Payroll!$F19*((1+Payroll!$J19)^(ROUNDDOWN(DATEDIF(Payroll!$I19,BI$2,"M")/Payroll!$K19,0))),0))</f>
        <v/>
      </c>
      <c r="BJ95" s="56">
        <f>IF(BJ$2=Payroll!$I19,Payroll!$F19,IF(BJ$2&gt;Payroll!$I19,Payroll!$F19*((1+Payroll!$J19)^(ROUNDDOWN(DATEDIF(Payroll!$I19,BJ$2,"M")/Payroll!$K19,0))),0))</f>
        <v/>
      </c>
      <c r="BK95" s="56">
        <f>IF(BK$2=Payroll!$I19,Payroll!$F19,IF(BK$2&gt;Payroll!$I19,Payroll!$F19*((1+Payroll!$J19)^(ROUNDDOWN(DATEDIF(Payroll!$I19,BK$2,"M")/Payroll!$K19,0))),0))</f>
        <v/>
      </c>
      <c r="BL95" s="56">
        <f>IF(BL$2=Payroll!$I19,Payroll!$F19,IF(BL$2&gt;Payroll!$I19,Payroll!$F19*((1+Payroll!$J19)^(ROUNDDOWN(DATEDIF(Payroll!$I19,BL$2,"M")/Payroll!$K19,0))),0))</f>
        <v/>
      </c>
      <c r="BM95" s="56">
        <f>IF(BM$2=Payroll!$I19,Payroll!$F19,IF(BM$2&gt;Payroll!$I19,Payroll!$F19*((1+Payroll!$J19)^(ROUNDDOWN(DATEDIF(Payroll!$I19,BM$2,"M")/Payroll!$K19,0))),0))</f>
        <v/>
      </c>
      <c r="BN95" s="56">
        <f>IF(BN$2=Payroll!$I19,Payroll!$F19,IF(BN$2&gt;Payroll!$I19,Payroll!$F19*((1+Payroll!$J19)^(ROUNDDOWN(DATEDIF(Payroll!$I19,BN$2,"M")/Payroll!$K19,0))),0))</f>
        <v/>
      </c>
      <c r="BO95" s="56">
        <f>IF(BO$2=Payroll!$I19,Payroll!$F19,IF(BO$2&gt;Payroll!$I19,Payroll!$F19*((1+Payroll!$J19)^(ROUNDDOWN(DATEDIF(Payroll!$I19,BO$2,"M")/Payroll!$K19,0))),0))</f>
        <v/>
      </c>
      <c r="BP95" s="56">
        <f>IF(BP$2=Payroll!$I19,Payroll!$F19,IF(BP$2&gt;Payroll!$I19,Payroll!$F19*((1+Payroll!$J19)^(ROUNDDOWN(DATEDIF(Payroll!$I19,BP$2,"M")/Payroll!$K19,0))),0))</f>
        <v/>
      </c>
      <c r="BQ95" s="56">
        <f>IF(BQ$2=Payroll!$I19,Payroll!$F19,IF(BQ$2&gt;Payroll!$I19,Payroll!$F19*((1+Payroll!$J19)^(ROUNDDOWN(DATEDIF(Payroll!$I19,BQ$2,"M")/Payroll!$K19,0))),0))</f>
        <v/>
      </c>
      <c r="BR95" s="56">
        <f>IF(BR$2=Payroll!$I19,Payroll!$F19,IF(BR$2&gt;Payroll!$I19,Payroll!$F19*((1+Payroll!$J19)^(ROUNDDOWN(DATEDIF(Payroll!$I19,BR$2,"M")/Payroll!$K19,0))),0))</f>
        <v/>
      </c>
      <c r="BS95" s="56">
        <f>IF(BS$2=Payroll!$I19,Payroll!$F19,IF(BS$2&gt;Payroll!$I19,Payroll!$F19*((1+Payroll!$J19)^(ROUNDDOWN(DATEDIF(Payroll!$I19,BS$2,"M")/Payroll!$K19,0))),0))</f>
        <v/>
      </c>
      <c r="BT95" s="56">
        <f>IF(BT$2=Payroll!$I19,Payroll!$F19,IF(BT$2&gt;Payroll!$I19,Payroll!$F19*((1+Payroll!$J19)^(ROUNDDOWN(DATEDIF(Payroll!$I19,BT$2,"M")/Payroll!$K19,0))),0))</f>
        <v/>
      </c>
      <c r="BU95" s="56">
        <f>IF(BU$2=Payroll!$I19,Payroll!$F19,IF(BU$2&gt;Payroll!$I19,Payroll!$F19*((1+Payroll!$J19)^(ROUNDDOWN(DATEDIF(Payroll!$I19,BU$2,"M")/Payroll!$K19,0))),0))</f>
        <v/>
      </c>
      <c r="BV95" s="56">
        <f>IF(BV$2=Payroll!$I19,Payroll!$F19,IF(BV$2&gt;Payroll!$I19,Payroll!$F19*((1+Payroll!$J19)^(ROUNDDOWN(DATEDIF(Payroll!$I19,BV$2,"M")/Payroll!$K19,0))),0))</f>
        <v/>
      </c>
      <c r="BW95" s="56">
        <f>IF(BW$2=Payroll!$I19,Payroll!$F19,IF(BW$2&gt;Payroll!$I19,Payroll!$F19*((1+Payroll!$J19)^(ROUNDDOWN(DATEDIF(Payroll!$I19,BW$2,"M")/Payroll!$K19,0))),0))</f>
        <v/>
      </c>
      <c r="BX95" s="56">
        <f>IF(BX$2=Payroll!$I19,Payroll!$F19,IF(BX$2&gt;Payroll!$I19,Payroll!$F19*((1+Payroll!$J19)^(ROUNDDOWN(DATEDIF(Payroll!$I19,BX$2,"M")/Payroll!$K19,0))),0))</f>
        <v/>
      </c>
      <c r="BY95" s="56">
        <f>IF(BY$2=Payroll!$I19,Payroll!$F19,IF(BY$2&gt;Payroll!$I19,Payroll!$F19*((1+Payroll!$J19)^(ROUNDDOWN(DATEDIF(Payroll!$I19,BY$2,"M")/Payroll!$K19,0))),0))</f>
        <v/>
      </c>
      <c r="BZ95" s="56">
        <f>IF(BZ$2=Payroll!$I19,Payroll!$F19,IF(BZ$2&gt;Payroll!$I19,Payroll!$F19*((1+Payroll!$J19)^(ROUNDDOWN(DATEDIF(Payroll!$I19,BZ$2,"M")/Payroll!$K19,0))),0))</f>
        <v/>
      </c>
      <c r="CA95" s="56">
        <f>IF(CA$2=Payroll!$I19,Payroll!$F19,IF(CA$2&gt;Payroll!$I19,Payroll!$F19*((1+Payroll!$J19)^(ROUNDDOWN(DATEDIF(Payroll!$I19,CA$2,"M")/Payroll!$K19,0))),0))</f>
        <v/>
      </c>
      <c r="CB95" s="56">
        <f>IF(CB$2=Payroll!$I19,Payroll!$F19,IF(CB$2&gt;Payroll!$I19,Payroll!$F19*((1+Payroll!$J19)^(ROUNDDOWN(DATEDIF(Payroll!$I19,CB$2,"M")/Payroll!$K19,0))),0))</f>
        <v/>
      </c>
      <c r="CC95" s="56">
        <f>IF(CC$2=Payroll!$I19,Payroll!$F19,IF(CC$2&gt;Payroll!$I19,Payroll!$F19*((1+Payroll!$J19)^(ROUNDDOWN(DATEDIF(Payroll!$I19,CC$2,"M")/Payroll!$K19,0))),0))</f>
        <v/>
      </c>
      <c r="CD95" s="56">
        <f>IF(CD$2=Payroll!$I19,Payroll!$F19,IF(CD$2&gt;Payroll!$I19,Payroll!$F19*((1+Payroll!$J19)^(ROUNDDOWN(DATEDIF(Payroll!$I19,CD$2,"M")/Payroll!$K19,0))),0))</f>
        <v/>
      </c>
      <c r="CE95" s="56">
        <f>IF(CE$2=Payroll!$I19,Payroll!$F19,IF(CE$2&gt;Payroll!$I19,Payroll!$F19*((1+Payroll!$J19)^(ROUNDDOWN(DATEDIF(Payroll!$I19,CE$2,"M")/Payroll!$K19,0))),0))</f>
        <v/>
      </c>
      <c r="CF95" s="56">
        <f>IF(CF$2=Payroll!$I19,Payroll!$F19,IF(CF$2&gt;Payroll!$I19,Payroll!$F19*((1+Payroll!$J19)^(ROUNDDOWN(DATEDIF(Payroll!$I19,CF$2,"M")/Payroll!$K19,0))),0))</f>
        <v/>
      </c>
      <c r="CG95" s="56">
        <f>IF(CG$2=Payroll!$I19,Payroll!$F19,IF(CG$2&gt;Payroll!$I19,Payroll!$F19*((1+Payroll!$J19)^(ROUNDDOWN(DATEDIF(Payroll!$I19,CG$2,"M")/Payroll!$K19,0))),0))</f>
        <v/>
      </c>
      <c r="CH95" s="56">
        <f>IF(CH$2=Payroll!$I19,Payroll!$F19,IF(CH$2&gt;Payroll!$I19,Payroll!$F19*((1+Payroll!$J19)^(ROUNDDOWN(DATEDIF(Payroll!$I19,CH$2,"M")/Payroll!$K19,0))),0))</f>
        <v/>
      </c>
      <c r="CI95" s="56">
        <f>IF(CI$2=Payroll!$I19,Payroll!$F19,IF(CI$2&gt;Payroll!$I19,Payroll!$F19*((1+Payroll!$J19)^(ROUNDDOWN(DATEDIF(Payroll!$I19,CI$2,"M")/Payroll!$K19,0))),0))</f>
        <v/>
      </c>
      <c r="CJ95" s="56">
        <f>IF(CJ$2=Payroll!$I19,Payroll!$F19,IF(CJ$2&gt;Payroll!$I19,Payroll!$F19*((1+Payroll!$J19)^(ROUNDDOWN(DATEDIF(Payroll!$I19,CJ$2,"M")/Payroll!$K19,0))),0))</f>
        <v/>
      </c>
      <c r="CK95" s="56">
        <f>IF(CK$2=Payroll!$I19,Payroll!$F19,IF(CK$2&gt;Payroll!$I19,Payroll!$F19*((1+Payroll!$J19)^(ROUNDDOWN(DATEDIF(Payroll!$I19,CK$2,"M")/Payroll!$K19,0))),0))</f>
        <v/>
      </c>
      <c r="CL95" s="56">
        <f>IF(CL$2=Payroll!$I19,Payroll!$F19,IF(CL$2&gt;Payroll!$I19,Payroll!$F19*((1+Payroll!$J19)^(ROUNDDOWN(DATEDIF(Payroll!$I19,CL$2,"M")/Payroll!$K19,0))),0))</f>
        <v/>
      </c>
      <c r="CM95" s="56">
        <f>IF(CM$2=Payroll!$I19,Payroll!$F19,IF(CM$2&gt;Payroll!$I19,Payroll!$F19*((1+Payroll!$J19)^(ROUNDDOWN(DATEDIF(Payroll!$I19,CM$2,"M")/Payroll!$K19,0))),0))</f>
        <v/>
      </c>
      <c r="CN95" s="56">
        <f>IF(CN$2=Payroll!$I19,Payroll!$F19,IF(CN$2&gt;Payroll!$I19,Payroll!$F19*((1+Payroll!$J19)^(ROUNDDOWN(DATEDIF(Payroll!$I19,CN$2,"M")/Payroll!$K19,0))),0))</f>
        <v/>
      </c>
      <c r="CO95" s="56">
        <f>IF(CO$2=Payroll!$I19,Payroll!$F19,IF(CO$2&gt;Payroll!$I19,Payroll!$F19*((1+Payroll!$J19)^(ROUNDDOWN(DATEDIF(Payroll!$I19,CO$2,"M")/Payroll!$K19,0))),0))</f>
        <v/>
      </c>
      <c r="CP95" s="56">
        <f>IF(CP$2=Payroll!$I19,Payroll!$F19,IF(CP$2&gt;Payroll!$I19,Payroll!$F19*((1+Payroll!$J19)^(ROUNDDOWN(DATEDIF(Payroll!$I19,CP$2,"M")/Payroll!$K19,0))),0))</f>
        <v/>
      </c>
      <c r="CQ95" s="56">
        <f>IF(CQ$2=Payroll!$I19,Payroll!$F19,IF(CQ$2&gt;Payroll!$I19,Payroll!$F19*((1+Payroll!$J19)^(ROUNDDOWN(DATEDIF(Payroll!$I19,CQ$2,"M")/Payroll!$K19,0))),0))</f>
        <v/>
      </c>
      <c r="CR95" s="56">
        <f>IF(CR$2=Payroll!$I19,Payroll!$F19,IF(CR$2&gt;Payroll!$I19,Payroll!$F19*((1+Payroll!$J19)^(ROUNDDOWN(DATEDIF(Payroll!$I19,CR$2,"M")/Payroll!$K19,0))),0))</f>
        <v/>
      </c>
      <c r="CS95" s="56">
        <f>IF(CS$2=Payroll!$I19,Payroll!$F19,IF(CS$2&gt;Payroll!$I19,Payroll!$F19*((1+Payroll!$J19)^(ROUNDDOWN(DATEDIF(Payroll!$I19,CS$2,"M")/Payroll!$K19,0))),0))</f>
        <v/>
      </c>
      <c r="CT95" s="56">
        <f>IF(CT$2=Payroll!$I19,Payroll!$F19,IF(CT$2&gt;Payroll!$I19,Payroll!$F19*((1+Payroll!$J19)^(ROUNDDOWN(DATEDIF(Payroll!$I19,CT$2,"M")/Payroll!$K19,0))),0))</f>
        <v/>
      </c>
      <c r="CU95" s="56">
        <f>IF(CU$2=Payroll!$I19,Payroll!$F19,IF(CU$2&gt;Payroll!$I19,Payroll!$F19*((1+Payroll!$J19)^(ROUNDDOWN(DATEDIF(Payroll!$I19,CU$2,"M")/Payroll!$K19,0))),0))</f>
        <v/>
      </c>
      <c r="CV95" s="56">
        <f>IF(CV$2=Payroll!$I19,Payroll!$F19,IF(CV$2&gt;Payroll!$I19,Payroll!$F19*((1+Payroll!$J19)^(ROUNDDOWN(DATEDIF(Payroll!$I19,CV$2,"M")/Payroll!$K19,0))),0))</f>
        <v/>
      </c>
      <c r="CW95" s="56">
        <f>IF(CW$2=Payroll!$I19,Payroll!$F19,IF(CW$2&gt;Payroll!$I19,Payroll!$F19*((1+Payroll!$J19)^(ROUNDDOWN(DATEDIF(Payroll!$I19,CW$2,"M")/Payroll!$K19,0))),0))</f>
        <v/>
      </c>
      <c r="CX95" s="56">
        <f>IF(CX$2=Payroll!$I19,Payroll!$F19,IF(CX$2&gt;Payroll!$I19,Payroll!$F19*((1+Payroll!$J19)^(ROUNDDOWN(DATEDIF(Payroll!$I19,CX$2,"M")/Payroll!$K19,0))),0))</f>
        <v/>
      </c>
    </row>
    <row r="96" outlineLevel="2" ht="15.75" customHeight="1" s="255">
      <c r="A96" s="56">
        <f>Payroll!A20</f>
        <v/>
      </c>
      <c r="B96" s="56" t="n"/>
      <c r="C96" s="56" t="n"/>
      <c r="D96" s="56" t="n"/>
      <c r="E96" s="56">
        <f>IF(E$2=Payroll!$I20,Payroll!$F20,IF(E$2&gt;Payroll!$I20,Payroll!$F20*((1+Payroll!$J20)^(ROUNDDOWN(DATEDIF(Payroll!$I20,E$2,"M")/Payroll!$K20,0))),0))</f>
        <v/>
      </c>
      <c r="F96" s="56">
        <f>IF(F$2=Payroll!$I20,Payroll!$F20,IF(F$2&gt;Payroll!$I20,Payroll!$F20*((1+Payroll!$J20)^(ROUNDDOWN(DATEDIF(Payroll!$I20,F$2,"M")/Payroll!$K20,0))),0))</f>
        <v/>
      </c>
      <c r="G96" s="56">
        <f>IF(G$2=Payroll!$I20,Payroll!$F20,IF(G$2&gt;Payroll!$I20,Payroll!$F20*((1+Payroll!$J20)^(ROUNDDOWN(DATEDIF(Payroll!$I20,G$2,"M")/Payroll!$K20,0))),0))</f>
        <v/>
      </c>
      <c r="H96" s="56">
        <f>IF(H$2=Payroll!$I20,Payroll!$F20,IF(H$2&gt;Payroll!$I20,Payroll!$F20*((1+Payroll!$J20)^(ROUNDDOWN(DATEDIF(Payroll!$I20,H$2,"M")/Payroll!$K20,0))),0))</f>
        <v/>
      </c>
      <c r="I96" s="56">
        <f>IF(I$2=Payroll!$I20,Payroll!$F20,IF(I$2&gt;Payroll!$I20,Payroll!$F20*((1+Payroll!$J20)^(ROUNDDOWN(DATEDIF(Payroll!$I20,I$2,"M")/Payroll!$K20,0))),0))</f>
        <v/>
      </c>
      <c r="J96" s="56">
        <f>IF(J$2=Payroll!$I20,Payroll!$F20,IF(J$2&gt;Payroll!$I20,Payroll!$F20*((1+Payroll!$J20)^(ROUNDDOWN(DATEDIF(Payroll!$I20,J$2,"M")/Payroll!$K20,0))),0))</f>
        <v/>
      </c>
      <c r="K96" s="56">
        <f>IF(K$2=Payroll!$I20,Payroll!$F20,IF(K$2&gt;Payroll!$I20,Payroll!$F20*((1+Payroll!$J20)^(ROUNDDOWN(DATEDIF(Payroll!$I20,K$2,"M")/Payroll!$K20,0))),0))</f>
        <v/>
      </c>
      <c r="L96" s="56">
        <f>IF(L$2=Payroll!$I20,Payroll!$F20,IF(L$2&gt;Payroll!$I20,Payroll!$F20*((1+Payroll!$J20)^(ROUNDDOWN(DATEDIF(Payroll!$I20,L$2,"M")/Payroll!$K20,0))),0))</f>
        <v/>
      </c>
      <c r="M96" s="56">
        <f>IF(M$2=Payroll!$I20,Payroll!$F20,IF(M$2&gt;Payroll!$I20,Payroll!$F20*((1+Payroll!$J20)^(ROUNDDOWN(DATEDIF(Payroll!$I20,M$2,"M")/Payroll!$K20,0))),0))</f>
        <v/>
      </c>
      <c r="N96" s="56">
        <f>IF(N$2=Payroll!$I20,Payroll!$F20,IF(N$2&gt;Payroll!$I20,Payroll!$F20*((1+Payroll!$J20)^(ROUNDDOWN(DATEDIF(Payroll!$I20,N$2,"M")/Payroll!$K20,0))),0))</f>
        <v/>
      </c>
      <c r="O96" s="56">
        <f>IF(O$2=Payroll!$I20,Payroll!$F20,IF(O$2&gt;Payroll!$I20,Payroll!$F20*((1+Payroll!$J20)^(ROUNDDOWN(DATEDIF(Payroll!$I20,O$2,"M")/Payroll!$K20,0))),0))</f>
        <v/>
      </c>
      <c r="P96" s="56">
        <f>IF(P$2=Payroll!$I20,Payroll!$F20,IF(P$2&gt;Payroll!$I20,Payroll!$F20*((1+Payroll!$J20)^(ROUNDDOWN(DATEDIF(Payroll!$I20,P$2,"M")/Payroll!$K20,0))),0))</f>
        <v/>
      </c>
      <c r="Q96" s="56">
        <f>IF(Q$2=Payroll!$I20,Payroll!$F20,IF(Q$2&gt;Payroll!$I20,Payroll!$F20*((1+Payroll!$J20)^(ROUNDDOWN(DATEDIF(Payroll!$I20,Q$2,"M")/Payroll!$K20,0))),0))</f>
        <v/>
      </c>
      <c r="R96" s="56">
        <f>IF(R$2=Payroll!$I20,Payroll!$F20,IF(R$2&gt;Payroll!$I20,Payroll!$F20*((1+Payroll!$J20)^(ROUNDDOWN(DATEDIF(Payroll!$I20,R$2,"M")/Payroll!$K20,0))),0))</f>
        <v/>
      </c>
      <c r="S96" s="56">
        <f>IF(S$2=Payroll!$I20,Payroll!$F20,IF(S$2&gt;Payroll!$I20,Payroll!$F20*((1+Payroll!$J20)^(ROUNDDOWN(DATEDIF(Payroll!$I20,S$2,"M")/Payroll!$K20,0))),0))</f>
        <v/>
      </c>
      <c r="T96" s="56">
        <f>IF(T$2=Payroll!$I20,Payroll!$F20,IF(T$2&gt;Payroll!$I20,Payroll!$F20*((1+Payroll!$J20)^(ROUNDDOWN(DATEDIF(Payroll!$I20,T$2,"M")/Payroll!$K20,0))),0))</f>
        <v/>
      </c>
      <c r="U96" s="56">
        <f>IF(U$2=Payroll!$I20,Payroll!$F20,IF(U$2&gt;Payroll!$I20,Payroll!$F20*((1+Payroll!$J20)^(ROUNDDOWN(DATEDIF(Payroll!$I20,U$2,"M")/Payroll!$K20,0))),0))</f>
        <v/>
      </c>
      <c r="V96" s="56">
        <f>IF(V$2=Payroll!$I20,Payroll!$F20,IF(V$2&gt;Payroll!$I20,Payroll!$F20*((1+Payroll!$J20)^(ROUNDDOWN(DATEDIF(Payroll!$I20,V$2,"M")/Payroll!$K20,0))),0))</f>
        <v/>
      </c>
      <c r="W96" s="56">
        <f>IF(W$2=Payroll!$I20,Payroll!$F20,IF(W$2&gt;Payroll!$I20,Payroll!$F20*((1+Payroll!$J20)^(ROUNDDOWN(DATEDIF(Payroll!$I20,W$2,"M")/Payroll!$K20,0))),0))</f>
        <v/>
      </c>
      <c r="X96" s="56">
        <f>IF(X$2=Payroll!$I20,Payroll!$F20,IF(X$2&gt;Payroll!$I20,Payroll!$F20*((1+Payroll!$J20)^(ROUNDDOWN(DATEDIF(Payroll!$I20,X$2,"M")/Payroll!$K20,0))),0))</f>
        <v/>
      </c>
      <c r="Y96" s="56">
        <f>IF(Y$2=Payroll!$I20,Payroll!$F20,IF(Y$2&gt;Payroll!$I20,Payroll!$F20*((1+Payroll!$J20)^(ROUNDDOWN(DATEDIF(Payroll!$I20,Y$2,"M")/Payroll!$K20,0))),0))</f>
        <v/>
      </c>
      <c r="Z96" s="56">
        <f>IF(Z$2=Payroll!$I20,Payroll!$F20,IF(Z$2&gt;Payroll!$I20,Payroll!$F20*((1+Payroll!$J20)^(ROUNDDOWN(DATEDIF(Payroll!$I20,Z$2,"M")/Payroll!$K20,0))),0))</f>
        <v/>
      </c>
      <c r="AA96" s="56">
        <f>IF(AA$2=Payroll!$I20,Payroll!$F20,IF(AA$2&gt;Payroll!$I20,Payroll!$F20*((1+Payroll!$J20)^(ROUNDDOWN(DATEDIF(Payroll!$I20,AA$2,"M")/Payroll!$K20,0))),0))</f>
        <v/>
      </c>
      <c r="AB96" s="56">
        <f>IF(AB$2=Payroll!$I20,Payroll!$F20,IF(AB$2&gt;Payroll!$I20,Payroll!$F20*((1+Payroll!$J20)^(ROUNDDOWN(DATEDIF(Payroll!$I20,AB$2,"M")/Payroll!$K20,0))),0))</f>
        <v/>
      </c>
      <c r="AC96" s="56">
        <f>IF(AC$2=Payroll!$I20,Payroll!$F20,IF(AC$2&gt;Payroll!$I20,Payroll!$F20*((1+Payroll!$J20)^(ROUNDDOWN(DATEDIF(Payroll!$I20,AC$2,"M")/Payroll!$K20,0))),0))</f>
        <v/>
      </c>
      <c r="AD96" s="56">
        <f>IF(AD$2=Payroll!$I20,Payroll!$F20,IF(AD$2&gt;Payroll!$I20,Payroll!$F20*((1+Payroll!$J20)^(ROUNDDOWN(DATEDIF(Payroll!$I20,AD$2,"M")/Payroll!$K20,0))),0))</f>
        <v/>
      </c>
      <c r="AE96" s="56">
        <f>IF(AE$2=Payroll!$I20,Payroll!$F20,IF(AE$2&gt;Payroll!$I20,Payroll!$F20*((1+Payroll!$J20)^(ROUNDDOWN(DATEDIF(Payroll!$I20,AE$2,"M")/Payroll!$K20,0))),0))</f>
        <v/>
      </c>
      <c r="AF96" s="56">
        <f>IF(AF$2=Payroll!$I20,Payroll!$F20,IF(AF$2&gt;Payroll!$I20,Payroll!$F20*((1+Payroll!$J20)^(ROUNDDOWN(DATEDIF(Payroll!$I20,AF$2,"M")/Payroll!$K20,0))),0))</f>
        <v/>
      </c>
      <c r="AG96" s="56">
        <f>IF(AG$2=Payroll!$I20,Payroll!$F20,IF(AG$2&gt;Payroll!$I20,Payroll!$F20*((1+Payroll!$J20)^(ROUNDDOWN(DATEDIF(Payroll!$I20,AG$2,"M")/Payroll!$K20,0))),0))</f>
        <v/>
      </c>
      <c r="AH96" s="56">
        <f>IF(AH$2=Payroll!$I20,Payroll!$F20,IF(AH$2&gt;Payroll!$I20,Payroll!$F20*((1+Payroll!$J20)^(ROUNDDOWN(DATEDIF(Payroll!$I20,AH$2,"M")/Payroll!$K20,0))),0))</f>
        <v/>
      </c>
      <c r="AI96" s="56">
        <f>IF(AI$2=Payroll!$I20,Payroll!$F20,IF(AI$2&gt;Payroll!$I20,Payroll!$F20*((1+Payroll!$J20)^(ROUNDDOWN(DATEDIF(Payroll!$I20,AI$2,"M")/Payroll!$K20,0))),0))</f>
        <v/>
      </c>
      <c r="AJ96" s="56">
        <f>IF(AJ$2=Payroll!$I20,Payroll!$F20,IF(AJ$2&gt;Payroll!$I20,Payroll!$F20*((1+Payroll!$J20)^(ROUNDDOWN(DATEDIF(Payroll!$I20,AJ$2,"M")/Payroll!$K20,0))),0))</f>
        <v/>
      </c>
      <c r="AK96" s="56">
        <f>IF(AK$2=Payroll!$I20,Payroll!$F20,IF(AK$2&gt;Payroll!$I20,Payroll!$F20*((1+Payroll!$J20)^(ROUNDDOWN(DATEDIF(Payroll!$I20,AK$2,"M")/Payroll!$K20,0))),0))</f>
        <v/>
      </c>
      <c r="AL96" s="56">
        <f>IF(AL$2=Payroll!$I20,Payroll!$F20,IF(AL$2&gt;Payroll!$I20,Payroll!$F20*((1+Payroll!$J20)^(ROUNDDOWN(DATEDIF(Payroll!$I20,AL$2,"M")/Payroll!$K20,0))),0))</f>
        <v/>
      </c>
      <c r="AM96" s="56">
        <f>IF(AM$2=Payroll!$I20,Payroll!$F20,IF(AM$2&gt;Payroll!$I20,Payroll!$F20*((1+Payroll!$J20)^(ROUNDDOWN(DATEDIF(Payroll!$I20,AM$2,"M")/Payroll!$K20,0))),0))</f>
        <v/>
      </c>
      <c r="AN96" s="56">
        <f>IF(AN$2=Payroll!$I20,Payroll!$F20,IF(AN$2&gt;Payroll!$I20,Payroll!$F20*((1+Payroll!$J20)^(ROUNDDOWN(DATEDIF(Payroll!$I20,AN$2,"M")/Payroll!$K20,0))),0))</f>
        <v/>
      </c>
      <c r="AO96" s="56">
        <f>IF(AO$2=Payroll!$I20,Payroll!$F20,IF(AO$2&gt;Payroll!$I20,Payroll!$F20*((1+Payroll!$J20)^(ROUNDDOWN(DATEDIF(Payroll!$I20,AO$2,"M")/Payroll!$K20,0))),0))</f>
        <v/>
      </c>
      <c r="AP96" s="56">
        <f>IF(AP$2=Payroll!$I20,Payroll!$F20,IF(AP$2&gt;Payroll!$I20,Payroll!$F20*((1+Payroll!$J20)^(ROUNDDOWN(DATEDIF(Payroll!$I20,AP$2,"M")/Payroll!$K20,0))),0))</f>
        <v/>
      </c>
      <c r="AQ96" s="56">
        <f>IF(AQ$2=Payroll!$I20,Payroll!$F20,IF(AQ$2&gt;Payroll!$I20,Payroll!$F20*((1+Payroll!$J20)^(ROUNDDOWN(DATEDIF(Payroll!$I20,AQ$2,"M")/Payroll!$K20,0))),0))</f>
        <v/>
      </c>
      <c r="AR96" s="56">
        <f>IF(AR$2=Payroll!$I20,Payroll!$F20,IF(AR$2&gt;Payroll!$I20,Payroll!$F20*((1+Payroll!$J20)^(ROUNDDOWN(DATEDIF(Payroll!$I20,AR$2,"M")/Payroll!$K20,0))),0))</f>
        <v/>
      </c>
      <c r="AS96" s="56">
        <f>IF(AS$2=Payroll!$I20,Payroll!$F20,IF(AS$2&gt;Payroll!$I20,Payroll!$F20*((1+Payroll!$J20)^(ROUNDDOWN(DATEDIF(Payroll!$I20,AS$2,"M")/Payroll!$K20,0))),0))</f>
        <v/>
      </c>
      <c r="AT96" s="56">
        <f>IF(AT$2=Payroll!$I20,Payroll!$F20,IF(AT$2&gt;Payroll!$I20,Payroll!$F20*((1+Payroll!$J20)^(ROUNDDOWN(DATEDIF(Payroll!$I20,AT$2,"M")/Payroll!$K20,0))),0))</f>
        <v/>
      </c>
      <c r="AU96" s="56">
        <f>IF(AU$2=Payroll!$I20,Payroll!$F20,IF(AU$2&gt;Payroll!$I20,Payroll!$F20*((1+Payroll!$J20)^(ROUNDDOWN(DATEDIF(Payroll!$I20,AU$2,"M")/Payroll!$K20,0))),0))</f>
        <v/>
      </c>
      <c r="AV96" s="56">
        <f>IF(AV$2=Payroll!$I20,Payroll!$F20,IF(AV$2&gt;Payroll!$I20,Payroll!$F20*((1+Payroll!$J20)^(ROUNDDOWN(DATEDIF(Payroll!$I20,AV$2,"M")/Payroll!$K20,0))),0))</f>
        <v/>
      </c>
      <c r="AW96" s="56">
        <f>IF(AW$2=Payroll!$I20,Payroll!$F20,IF(AW$2&gt;Payroll!$I20,Payroll!$F20*((1+Payroll!$J20)^(ROUNDDOWN(DATEDIF(Payroll!$I20,AW$2,"M")/Payroll!$K20,0))),0))</f>
        <v/>
      </c>
      <c r="AX96" s="56">
        <f>IF(AX$2=Payroll!$I20,Payroll!$F20,IF(AX$2&gt;Payroll!$I20,Payroll!$F20*((1+Payroll!$J20)^(ROUNDDOWN(DATEDIF(Payroll!$I20,AX$2,"M")/Payroll!$K20,0))),0))</f>
        <v/>
      </c>
      <c r="AY96" s="56">
        <f>IF(AY$2=Payroll!$I20,Payroll!$F20,IF(AY$2&gt;Payroll!$I20,Payroll!$F20*((1+Payroll!$J20)^(ROUNDDOWN(DATEDIF(Payroll!$I20,AY$2,"M")/Payroll!$K20,0))),0))</f>
        <v/>
      </c>
      <c r="AZ96" s="56">
        <f>IF(AZ$2=Payroll!$I20,Payroll!$F20,IF(AZ$2&gt;Payroll!$I20,Payroll!$F20*((1+Payroll!$J20)^(ROUNDDOWN(DATEDIF(Payroll!$I20,AZ$2,"M")/Payroll!$K20,0))),0))</f>
        <v/>
      </c>
      <c r="BA96" s="56">
        <f>IF(BA$2=Payroll!$I20,Payroll!$F20,IF(BA$2&gt;Payroll!$I20,Payroll!$F20*((1+Payroll!$J20)^(ROUNDDOWN(DATEDIF(Payroll!$I20,BA$2,"M")/Payroll!$K20,0))),0))</f>
        <v/>
      </c>
      <c r="BB96" s="56">
        <f>IF(BB$2=Payroll!$I20,Payroll!$F20,IF(BB$2&gt;Payroll!$I20,Payroll!$F20*((1+Payroll!$J20)^(ROUNDDOWN(DATEDIF(Payroll!$I20,BB$2,"M")/Payroll!$K20,0))),0))</f>
        <v/>
      </c>
      <c r="BC96" s="56">
        <f>IF(BC$2=Payroll!$I20,Payroll!$F20,IF(BC$2&gt;Payroll!$I20,Payroll!$F20*((1+Payroll!$J20)^(ROUNDDOWN(DATEDIF(Payroll!$I20,BC$2,"M")/Payroll!$K20,0))),0))</f>
        <v/>
      </c>
      <c r="BD96" s="56">
        <f>IF(BD$2=Payroll!$I20,Payroll!$F20,IF(BD$2&gt;Payroll!$I20,Payroll!$F20*((1+Payroll!$J20)^(ROUNDDOWN(DATEDIF(Payroll!$I20,BD$2,"M")/Payroll!$K20,0))),0))</f>
        <v/>
      </c>
      <c r="BE96" s="56">
        <f>IF(BE$2=Payroll!$I20,Payroll!$F20,IF(BE$2&gt;Payroll!$I20,Payroll!$F20*((1+Payroll!$J20)^(ROUNDDOWN(DATEDIF(Payroll!$I20,BE$2,"M")/Payroll!$K20,0))),0))</f>
        <v/>
      </c>
      <c r="BF96" s="56">
        <f>IF(BF$2=Payroll!$I20,Payroll!$F20,IF(BF$2&gt;Payroll!$I20,Payroll!$F20*((1+Payroll!$J20)^(ROUNDDOWN(DATEDIF(Payroll!$I20,BF$2,"M")/Payroll!$K20,0))),0))</f>
        <v/>
      </c>
      <c r="BG96" s="56">
        <f>IF(BG$2=Payroll!$I20,Payroll!$F20,IF(BG$2&gt;Payroll!$I20,Payroll!$F20*((1+Payroll!$J20)^(ROUNDDOWN(DATEDIF(Payroll!$I20,BG$2,"M")/Payroll!$K20,0))),0))</f>
        <v/>
      </c>
      <c r="BH96" s="56">
        <f>IF(BH$2=Payroll!$I20,Payroll!$F20,IF(BH$2&gt;Payroll!$I20,Payroll!$F20*((1+Payroll!$J20)^(ROUNDDOWN(DATEDIF(Payroll!$I20,BH$2,"M")/Payroll!$K20,0))),0))</f>
        <v/>
      </c>
      <c r="BI96" s="56">
        <f>IF(BI$2=Payroll!$I20,Payroll!$F20,IF(BI$2&gt;Payroll!$I20,Payroll!$F20*((1+Payroll!$J20)^(ROUNDDOWN(DATEDIF(Payroll!$I20,BI$2,"M")/Payroll!$K20,0))),0))</f>
        <v/>
      </c>
      <c r="BJ96" s="56">
        <f>IF(BJ$2=Payroll!$I20,Payroll!$F20,IF(BJ$2&gt;Payroll!$I20,Payroll!$F20*((1+Payroll!$J20)^(ROUNDDOWN(DATEDIF(Payroll!$I20,BJ$2,"M")/Payroll!$K20,0))),0))</f>
        <v/>
      </c>
      <c r="BK96" s="56">
        <f>IF(BK$2=Payroll!$I20,Payroll!$F20,IF(BK$2&gt;Payroll!$I20,Payroll!$F20*((1+Payroll!$J20)^(ROUNDDOWN(DATEDIF(Payroll!$I20,BK$2,"M")/Payroll!$K20,0))),0))</f>
        <v/>
      </c>
      <c r="BL96" s="56">
        <f>IF(BL$2=Payroll!$I20,Payroll!$F20,IF(BL$2&gt;Payroll!$I20,Payroll!$F20*((1+Payroll!$J20)^(ROUNDDOWN(DATEDIF(Payroll!$I20,BL$2,"M")/Payroll!$K20,0))),0))</f>
        <v/>
      </c>
      <c r="BM96" s="56">
        <f>IF(BM$2=Payroll!$I20,Payroll!$F20,IF(BM$2&gt;Payroll!$I20,Payroll!$F20*((1+Payroll!$J20)^(ROUNDDOWN(DATEDIF(Payroll!$I20,BM$2,"M")/Payroll!$K20,0))),0))</f>
        <v/>
      </c>
      <c r="BN96" s="56">
        <f>IF(BN$2=Payroll!$I20,Payroll!$F20,IF(BN$2&gt;Payroll!$I20,Payroll!$F20*((1+Payroll!$J20)^(ROUNDDOWN(DATEDIF(Payroll!$I20,BN$2,"M")/Payroll!$K20,0))),0))</f>
        <v/>
      </c>
      <c r="BO96" s="56">
        <f>IF(BO$2=Payroll!$I20,Payroll!$F20,IF(BO$2&gt;Payroll!$I20,Payroll!$F20*((1+Payroll!$J20)^(ROUNDDOWN(DATEDIF(Payroll!$I20,BO$2,"M")/Payroll!$K20,0))),0))</f>
        <v/>
      </c>
      <c r="BP96" s="56">
        <f>IF(BP$2=Payroll!$I20,Payroll!$F20,IF(BP$2&gt;Payroll!$I20,Payroll!$F20*((1+Payroll!$J20)^(ROUNDDOWN(DATEDIF(Payroll!$I20,BP$2,"M")/Payroll!$K20,0))),0))</f>
        <v/>
      </c>
      <c r="BQ96" s="56">
        <f>IF(BQ$2=Payroll!$I20,Payroll!$F20,IF(BQ$2&gt;Payroll!$I20,Payroll!$F20*((1+Payroll!$J20)^(ROUNDDOWN(DATEDIF(Payroll!$I20,BQ$2,"M")/Payroll!$K20,0))),0))</f>
        <v/>
      </c>
      <c r="BR96" s="56">
        <f>IF(BR$2=Payroll!$I20,Payroll!$F20,IF(BR$2&gt;Payroll!$I20,Payroll!$F20*((1+Payroll!$J20)^(ROUNDDOWN(DATEDIF(Payroll!$I20,BR$2,"M")/Payroll!$K20,0))),0))</f>
        <v/>
      </c>
      <c r="BS96" s="56">
        <f>IF(BS$2=Payroll!$I20,Payroll!$F20,IF(BS$2&gt;Payroll!$I20,Payroll!$F20*((1+Payroll!$J20)^(ROUNDDOWN(DATEDIF(Payroll!$I20,BS$2,"M")/Payroll!$K20,0))),0))</f>
        <v/>
      </c>
      <c r="BT96" s="56">
        <f>IF(BT$2=Payroll!$I20,Payroll!$F20,IF(BT$2&gt;Payroll!$I20,Payroll!$F20*((1+Payroll!$J20)^(ROUNDDOWN(DATEDIF(Payroll!$I20,BT$2,"M")/Payroll!$K20,0))),0))</f>
        <v/>
      </c>
      <c r="BU96" s="56">
        <f>IF(BU$2=Payroll!$I20,Payroll!$F20,IF(BU$2&gt;Payroll!$I20,Payroll!$F20*((1+Payroll!$J20)^(ROUNDDOWN(DATEDIF(Payroll!$I20,BU$2,"M")/Payroll!$K20,0))),0))</f>
        <v/>
      </c>
      <c r="BV96" s="56">
        <f>IF(BV$2=Payroll!$I20,Payroll!$F20,IF(BV$2&gt;Payroll!$I20,Payroll!$F20*((1+Payroll!$J20)^(ROUNDDOWN(DATEDIF(Payroll!$I20,BV$2,"M")/Payroll!$K20,0))),0))</f>
        <v/>
      </c>
      <c r="BW96" s="56">
        <f>IF(BW$2=Payroll!$I20,Payroll!$F20,IF(BW$2&gt;Payroll!$I20,Payroll!$F20*((1+Payroll!$J20)^(ROUNDDOWN(DATEDIF(Payroll!$I20,BW$2,"M")/Payroll!$K20,0))),0))</f>
        <v/>
      </c>
      <c r="BX96" s="56">
        <f>IF(BX$2=Payroll!$I20,Payroll!$F20,IF(BX$2&gt;Payroll!$I20,Payroll!$F20*((1+Payroll!$J20)^(ROUNDDOWN(DATEDIF(Payroll!$I20,BX$2,"M")/Payroll!$K20,0))),0))</f>
        <v/>
      </c>
      <c r="BY96" s="56">
        <f>IF(BY$2=Payroll!$I20,Payroll!$F20,IF(BY$2&gt;Payroll!$I20,Payroll!$F20*((1+Payroll!$J20)^(ROUNDDOWN(DATEDIF(Payroll!$I20,BY$2,"M")/Payroll!$K20,0))),0))</f>
        <v/>
      </c>
      <c r="BZ96" s="56">
        <f>IF(BZ$2=Payroll!$I20,Payroll!$F20,IF(BZ$2&gt;Payroll!$I20,Payroll!$F20*((1+Payroll!$J20)^(ROUNDDOWN(DATEDIF(Payroll!$I20,BZ$2,"M")/Payroll!$K20,0))),0))</f>
        <v/>
      </c>
      <c r="CA96" s="56">
        <f>IF(CA$2=Payroll!$I20,Payroll!$F20,IF(CA$2&gt;Payroll!$I20,Payroll!$F20*((1+Payroll!$J20)^(ROUNDDOWN(DATEDIF(Payroll!$I20,CA$2,"M")/Payroll!$K20,0))),0))</f>
        <v/>
      </c>
      <c r="CB96" s="56">
        <f>IF(CB$2=Payroll!$I20,Payroll!$F20,IF(CB$2&gt;Payroll!$I20,Payroll!$F20*((1+Payroll!$J20)^(ROUNDDOWN(DATEDIF(Payroll!$I20,CB$2,"M")/Payroll!$K20,0))),0))</f>
        <v/>
      </c>
      <c r="CC96" s="56">
        <f>IF(CC$2=Payroll!$I20,Payroll!$F20,IF(CC$2&gt;Payroll!$I20,Payroll!$F20*((1+Payroll!$J20)^(ROUNDDOWN(DATEDIF(Payroll!$I20,CC$2,"M")/Payroll!$K20,0))),0))</f>
        <v/>
      </c>
      <c r="CD96" s="56">
        <f>IF(CD$2=Payroll!$I20,Payroll!$F20,IF(CD$2&gt;Payroll!$I20,Payroll!$F20*((1+Payroll!$J20)^(ROUNDDOWN(DATEDIF(Payroll!$I20,CD$2,"M")/Payroll!$K20,0))),0))</f>
        <v/>
      </c>
      <c r="CE96" s="56">
        <f>IF(CE$2=Payroll!$I20,Payroll!$F20,IF(CE$2&gt;Payroll!$I20,Payroll!$F20*((1+Payroll!$J20)^(ROUNDDOWN(DATEDIF(Payroll!$I20,CE$2,"M")/Payroll!$K20,0))),0))</f>
        <v/>
      </c>
      <c r="CF96" s="56">
        <f>IF(CF$2=Payroll!$I20,Payroll!$F20,IF(CF$2&gt;Payroll!$I20,Payroll!$F20*((1+Payroll!$J20)^(ROUNDDOWN(DATEDIF(Payroll!$I20,CF$2,"M")/Payroll!$K20,0))),0))</f>
        <v/>
      </c>
      <c r="CG96" s="56">
        <f>IF(CG$2=Payroll!$I20,Payroll!$F20,IF(CG$2&gt;Payroll!$I20,Payroll!$F20*((1+Payroll!$J20)^(ROUNDDOWN(DATEDIF(Payroll!$I20,CG$2,"M")/Payroll!$K20,0))),0))</f>
        <v/>
      </c>
      <c r="CH96" s="56">
        <f>IF(CH$2=Payroll!$I20,Payroll!$F20,IF(CH$2&gt;Payroll!$I20,Payroll!$F20*((1+Payroll!$J20)^(ROUNDDOWN(DATEDIF(Payroll!$I20,CH$2,"M")/Payroll!$K20,0))),0))</f>
        <v/>
      </c>
      <c r="CI96" s="56">
        <f>IF(CI$2=Payroll!$I20,Payroll!$F20,IF(CI$2&gt;Payroll!$I20,Payroll!$F20*((1+Payroll!$J20)^(ROUNDDOWN(DATEDIF(Payroll!$I20,CI$2,"M")/Payroll!$K20,0))),0))</f>
        <v/>
      </c>
      <c r="CJ96" s="56">
        <f>IF(CJ$2=Payroll!$I20,Payroll!$F20,IF(CJ$2&gt;Payroll!$I20,Payroll!$F20*((1+Payroll!$J20)^(ROUNDDOWN(DATEDIF(Payroll!$I20,CJ$2,"M")/Payroll!$K20,0))),0))</f>
        <v/>
      </c>
      <c r="CK96" s="56">
        <f>IF(CK$2=Payroll!$I20,Payroll!$F20,IF(CK$2&gt;Payroll!$I20,Payroll!$F20*((1+Payroll!$J20)^(ROUNDDOWN(DATEDIF(Payroll!$I20,CK$2,"M")/Payroll!$K20,0))),0))</f>
        <v/>
      </c>
      <c r="CL96" s="56">
        <f>IF(CL$2=Payroll!$I20,Payroll!$F20,IF(CL$2&gt;Payroll!$I20,Payroll!$F20*((1+Payroll!$J20)^(ROUNDDOWN(DATEDIF(Payroll!$I20,CL$2,"M")/Payroll!$K20,0))),0))</f>
        <v/>
      </c>
      <c r="CM96" s="56">
        <f>IF(CM$2=Payroll!$I20,Payroll!$F20,IF(CM$2&gt;Payroll!$I20,Payroll!$F20*((1+Payroll!$J20)^(ROUNDDOWN(DATEDIF(Payroll!$I20,CM$2,"M")/Payroll!$K20,0))),0))</f>
        <v/>
      </c>
      <c r="CN96" s="56">
        <f>IF(CN$2=Payroll!$I20,Payroll!$F20,IF(CN$2&gt;Payroll!$I20,Payroll!$F20*((1+Payroll!$J20)^(ROUNDDOWN(DATEDIF(Payroll!$I20,CN$2,"M")/Payroll!$K20,0))),0))</f>
        <v/>
      </c>
      <c r="CO96" s="56">
        <f>IF(CO$2=Payroll!$I20,Payroll!$F20,IF(CO$2&gt;Payroll!$I20,Payroll!$F20*((1+Payroll!$J20)^(ROUNDDOWN(DATEDIF(Payroll!$I20,CO$2,"M")/Payroll!$K20,0))),0))</f>
        <v/>
      </c>
      <c r="CP96" s="56">
        <f>IF(CP$2=Payroll!$I20,Payroll!$F20,IF(CP$2&gt;Payroll!$I20,Payroll!$F20*((1+Payroll!$J20)^(ROUNDDOWN(DATEDIF(Payroll!$I20,CP$2,"M")/Payroll!$K20,0))),0))</f>
        <v/>
      </c>
      <c r="CQ96" s="56">
        <f>IF(CQ$2=Payroll!$I20,Payroll!$F20,IF(CQ$2&gt;Payroll!$I20,Payroll!$F20*((1+Payroll!$J20)^(ROUNDDOWN(DATEDIF(Payroll!$I20,CQ$2,"M")/Payroll!$K20,0))),0))</f>
        <v/>
      </c>
      <c r="CR96" s="56">
        <f>IF(CR$2=Payroll!$I20,Payroll!$F20,IF(CR$2&gt;Payroll!$I20,Payroll!$F20*((1+Payroll!$J20)^(ROUNDDOWN(DATEDIF(Payroll!$I20,CR$2,"M")/Payroll!$K20,0))),0))</f>
        <v/>
      </c>
      <c r="CS96" s="56">
        <f>IF(CS$2=Payroll!$I20,Payroll!$F20,IF(CS$2&gt;Payroll!$I20,Payroll!$F20*((1+Payroll!$J20)^(ROUNDDOWN(DATEDIF(Payroll!$I20,CS$2,"M")/Payroll!$K20,0))),0))</f>
        <v/>
      </c>
      <c r="CT96" s="56">
        <f>IF(CT$2=Payroll!$I20,Payroll!$F20,IF(CT$2&gt;Payroll!$I20,Payroll!$F20*((1+Payroll!$J20)^(ROUNDDOWN(DATEDIF(Payroll!$I20,CT$2,"M")/Payroll!$K20,0))),0))</f>
        <v/>
      </c>
      <c r="CU96" s="56">
        <f>IF(CU$2=Payroll!$I20,Payroll!$F20,IF(CU$2&gt;Payroll!$I20,Payroll!$F20*((1+Payroll!$J20)^(ROUNDDOWN(DATEDIF(Payroll!$I20,CU$2,"M")/Payroll!$K20,0))),0))</f>
        <v/>
      </c>
      <c r="CV96" s="56">
        <f>IF(CV$2=Payroll!$I20,Payroll!$F20,IF(CV$2&gt;Payroll!$I20,Payroll!$F20*((1+Payroll!$J20)^(ROUNDDOWN(DATEDIF(Payroll!$I20,CV$2,"M")/Payroll!$K20,0))),0))</f>
        <v/>
      </c>
      <c r="CW96" s="56">
        <f>IF(CW$2=Payroll!$I20,Payroll!$F20,IF(CW$2&gt;Payroll!$I20,Payroll!$F20*((1+Payroll!$J20)^(ROUNDDOWN(DATEDIF(Payroll!$I20,CW$2,"M")/Payroll!$K20,0))),0))</f>
        <v/>
      </c>
      <c r="CX96" s="56">
        <f>IF(CX$2=Payroll!$I20,Payroll!$F20,IF(CX$2&gt;Payroll!$I20,Payroll!$F20*((1+Payroll!$J20)^(ROUNDDOWN(DATEDIF(Payroll!$I20,CX$2,"M")/Payroll!$K20,0))),0))</f>
        <v/>
      </c>
    </row>
    <row r="97" outlineLevel="2" ht="15.75" customHeight="1" s="255">
      <c r="A97" s="56">
        <f>Payroll!A21</f>
        <v/>
      </c>
      <c r="B97" s="56" t="n"/>
      <c r="C97" s="56" t="n"/>
      <c r="D97" s="56" t="n"/>
      <c r="E97" s="56">
        <f>IF(E$2=Payroll!$I21,Payroll!$F21,IF(E$2&gt;Payroll!$I21,Payroll!$F21*((1+Payroll!$J21)^(ROUNDDOWN(DATEDIF(Payroll!$I21,E$2,"M")/Payroll!$K21,0))),0))</f>
        <v/>
      </c>
      <c r="F97" s="56">
        <f>IF(F$2=Payroll!$I21,Payroll!$F21,IF(F$2&gt;Payroll!$I21,Payroll!$F21*((1+Payroll!$J21)^(ROUNDDOWN(DATEDIF(Payroll!$I21,F$2,"M")/Payroll!$K21,0))),0))</f>
        <v/>
      </c>
      <c r="G97" s="56">
        <f>IF(G$2=Payroll!$I21,Payroll!$F21,IF(G$2&gt;Payroll!$I21,Payroll!$F21*((1+Payroll!$J21)^(ROUNDDOWN(DATEDIF(Payroll!$I21,G$2,"M")/Payroll!$K21,0))),0))</f>
        <v/>
      </c>
      <c r="H97" s="56">
        <f>IF(H$2=Payroll!$I21,Payroll!$F21,IF(H$2&gt;Payroll!$I21,Payroll!$F21*((1+Payroll!$J21)^(ROUNDDOWN(DATEDIF(Payroll!$I21,H$2,"M")/Payroll!$K21,0))),0))</f>
        <v/>
      </c>
      <c r="I97" s="56">
        <f>IF(I$2=Payroll!$I21,Payroll!$F21,IF(I$2&gt;Payroll!$I21,Payroll!$F21*((1+Payroll!$J21)^(ROUNDDOWN(DATEDIF(Payroll!$I21,I$2,"M")/Payroll!$K21,0))),0))</f>
        <v/>
      </c>
      <c r="J97" s="56">
        <f>IF(J$2=Payroll!$I21,Payroll!$F21,IF(J$2&gt;Payroll!$I21,Payroll!$F21*((1+Payroll!$J21)^(ROUNDDOWN(DATEDIF(Payroll!$I21,J$2,"M")/Payroll!$K21,0))),0))</f>
        <v/>
      </c>
      <c r="K97" s="56">
        <f>IF(K$2=Payroll!$I21,Payroll!$F21,IF(K$2&gt;Payroll!$I21,Payroll!$F21*((1+Payroll!$J21)^(ROUNDDOWN(DATEDIF(Payroll!$I21,K$2,"M")/Payroll!$K21,0))),0))</f>
        <v/>
      </c>
      <c r="L97" s="56">
        <f>IF(L$2=Payroll!$I21,Payroll!$F21,IF(L$2&gt;Payroll!$I21,Payroll!$F21*((1+Payroll!$J21)^(ROUNDDOWN(DATEDIF(Payroll!$I21,L$2,"M")/Payroll!$K21,0))),0))</f>
        <v/>
      </c>
      <c r="M97" s="56">
        <f>IF(M$2=Payroll!$I21,Payroll!$F21,IF(M$2&gt;Payroll!$I21,Payroll!$F21*((1+Payroll!$J21)^(ROUNDDOWN(DATEDIF(Payroll!$I21,M$2,"M")/Payroll!$K21,0))),0))</f>
        <v/>
      </c>
      <c r="N97" s="56">
        <f>IF(N$2=Payroll!$I21,Payroll!$F21,IF(N$2&gt;Payroll!$I21,Payroll!$F21*((1+Payroll!$J21)^(ROUNDDOWN(DATEDIF(Payroll!$I21,N$2,"M")/Payroll!$K21,0))),0))</f>
        <v/>
      </c>
      <c r="O97" s="56">
        <f>IF(O$2=Payroll!$I21,Payroll!$F21,IF(O$2&gt;Payroll!$I21,Payroll!$F21*((1+Payroll!$J21)^(ROUNDDOWN(DATEDIF(Payroll!$I21,O$2,"M")/Payroll!$K21,0))),0))</f>
        <v/>
      </c>
      <c r="P97" s="56">
        <f>IF(P$2=Payroll!$I21,Payroll!$F21,IF(P$2&gt;Payroll!$I21,Payroll!$F21*((1+Payroll!$J21)^(ROUNDDOWN(DATEDIF(Payroll!$I21,P$2,"M")/Payroll!$K21,0))),0))</f>
        <v/>
      </c>
      <c r="Q97" s="56">
        <f>IF(Q$2=Payroll!$I21,Payroll!$F21,IF(Q$2&gt;Payroll!$I21,Payroll!$F21*((1+Payroll!$J21)^(ROUNDDOWN(DATEDIF(Payroll!$I21,Q$2,"M")/Payroll!$K21,0))),0))</f>
        <v/>
      </c>
      <c r="R97" s="56">
        <f>IF(R$2=Payroll!$I21,Payroll!$F21,IF(R$2&gt;Payroll!$I21,Payroll!$F21*((1+Payroll!$J21)^(ROUNDDOWN(DATEDIF(Payroll!$I21,R$2,"M")/Payroll!$K21,0))),0))</f>
        <v/>
      </c>
      <c r="S97" s="56">
        <f>IF(S$2=Payroll!$I21,Payroll!$F21,IF(S$2&gt;Payroll!$I21,Payroll!$F21*((1+Payroll!$J21)^(ROUNDDOWN(DATEDIF(Payroll!$I21,S$2,"M")/Payroll!$K21,0))),0))</f>
        <v/>
      </c>
      <c r="T97" s="56">
        <f>IF(T$2=Payroll!$I21,Payroll!$F21,IF(T$2&gt;Payroll!$I21,Payroll!$F21*((1+Payroll!$J21)^(ROUNDDOWN(DATEDIF(Payroll!$I21,T$2,"M")/Payroll!$K21,0))),0))</f>
        <v/>
      </c>
      <c r="U97" s="56">
        <f>IF(U$2=Payroll!$I21,Payroll!$F21,IF(U$2&gt;Payroll!$I21,Payroll!$F21*((1+Payroll!$J21)^(ROUNDDOWN(DATEDIF(Payroll!$I21,U$2,"M")/Payroll!$K21,0))),0))</f>
        <v/>
      </c>
      <c r="V97" s="56">
        <f>IF(V$2=Payroll!$I21,Payroll!$F21,IF(V$2&gt;Payroll!$I21,Payroll!$F21*((1+Payroll!$J21)^(ROUNDDOWN(DATEDIF(Payroll!$I21,V$2,"M")/Payroll!$K21,0))),0))</f>
        <v/>
      </c>
      <c r="W97" s="56">
        <f>IF(W$2=Payroll!$I21,Payroll!$F21,IF(W$2&gt;Payroll!$I21,Payroll!$F21*((1+Payroll!$J21)^(ROUNDDOWN(DATEDIF(Payroll!$I21,W$2,"M")/Payroll!$K21,0))),0))</f>
        <v/>
      </c>
      <c r="X97" s="56">
        <f>IF(X$2=Payroll!$I21,Payroll!$F21,IF(X$2&gt;Payroll!$I21,Payroll!$F21*((1+Payroll!$J21)^(ROUNDDOWN(DATEDIF(Payroll!$I21,X$2,"M")/Payroll!$K21,0))),0))</f>
        <v/>
      </c>
      <c r="Y97" s="56">
        <f>IF(Y$2=Payroll!$I21,Payroll!$F21,IF(Y$2&gt;Payroll!$I21,Payroll!$F21*((1+Payroll!$J21)^(ROUNDDOWN(DATEDIF(Payroll!$I21,Y$2,"M")/Payroll!$K21,0))),0))</f>
        <v/>
      </c>
      <c r="Z97" s="56">
        <f>IF(Z$2=Payroll!$I21,Payroll!$F21,IF(Z$2&gt;Payroll!$I21,Payroll!$F21*((1+Payroll!$J21)^(ROUNDDOWN(DATEDIF(Payroll!$I21,Z$2,"M")/Payroll!$K21,0))),0))</f>
        <v/>
      </c>
      <c r="AA97" s="56">
        <f>IF(AA$2=Payroll!$I21,Payroll!$F21,IF(AA$2&gt;Payroll!$I21,Payroll!$F21*((1+Payroll!$J21)^(ROUNDDOWN(DATEDIF(Payroll!$I21,AA$2,"M")/Payroll!$K21,0))),0))</f>
        <v/>
      </c>
      <c r="AB97" s="56">
        <f>IF(AB$2=Payroll!$I21,Payroll!$F21,IF(AB$2&gt;Payroll!$I21,Payroll!$F21*((1+Payroll!$J21)^(ROUNDDOWN(DATEDIF(Payroll!$I21,AB$2,"M")/Payroll!$K21,0))),0))</f>
        <v/>
      </c>
      <c r="AC97" s="56">
        <f>IF(AC$2=Payroll!$I21,Payroll!$F21,IF(AC$2&gt;Payroll!$I21,Payroll!$F21*((1+Payroll!$J21)^(ROUNDDOWN(DATEDIF(Payroll!$I21,AC$2,"M")/Payroll!$K21,0))),0))</f>
        <v/>
      </c>
      <c r="AD97" s="56">
        <f>IF(AD$2=Payroll!$I21,Payroll!$F21,IF(AD$2&gt;Payroll!$I21,Payroll!$F21*((1+Payroll!$J21)^(ROUNDDOWN(DATEDIF(Payroll!$I21,AD$2,"M")/Payroll!$K21,0))),0))</f>
        <v/>
      </c>
      <c r="AE97" s="56">
        <f>IF(AE$2=Payroll!$I21,Payroll!$F21,IF(AE$2&gt;Payroll!$I21,Payroll!$F21*((1+Payroll!$J21)^(ROUNDDOWN(DATEDIF(Payroll!$I21,AE$2,"M")/Payroll!$K21,0))),0))</f>
        <v/>
      </c>
      <c r="AF97" s="56">
        <f>IF(AF$2=Payroll!$I21,Payroll!$F21,IF(AF$2&gt;Payroll!$I21,Payroll!$F21*((1+Payroll!$J21)^(ROUNDDOWN(DATEDIF(Payroll!$I21,AF$2,"M")/Payroll!$K21,0))),0))</f>
        <v/>
      </c>
      <c r="AG97" s="56">
        <f>IF(AG$2=Payroll!$I21,Payroll!$F21,IF(AG$2&gt;Payroll!$I21,Payroll!$F21*((1+Payroll!$J21)^(ROUNDDOWN(DATEDIF(Payroll!$I21,AG$2,"M")/Payroll!$K21,0))),0))</f>
        <v/>
      </c>
      <c r="AH97" s="56">
        <f>IF(AH$2=Payroll!$I21,Payroll!$F21,IF(AH$2&gt;Payroll!$I21,Payroll!$F21*((1+Payroll!$J21)^(ROUNDDOWN(DATEDIF(Payroll!$I21,AH$2,"M")/Payroll!$K21,0))),0))</f>
        <v/>
      </c>
      <c r="AI97" s="56">
        <f>IF(AI$2=Payroll!$I21,Payroll!$F21,IF(AI$2&gt;Payroll!$I21,Payroll!$F21*((1+Payroll!$J21)^(ROUNDDOWN(DATEDIF(Payroll!$I21,AI$2,"M")/Payroll!$K21,0))),0))</f>
        <v/>
      </c>
      <c r="AJ97" s="56">
        <f>IF(AJ$2=Payroll!$I21,Payroll!$F21,IF(AJ$2&gt;Payroll!$I21,Payroll!$F21*((1+Payroll!$J21)^(ROUNDDOWN(DATEDIF(Payroll!$I21,AJ$2,"M")/Payroll!$K21,0))),0))</f>
        <v/>
      </c>
      <c r="AK97" s="56">
        <f>IF(AK$2=Payroll!$I21,Payroll!$F21,IF(AK$2&gt;Payroll!$I21,Payroll!$F21*((1+Payroll!$J21)^(ROUNDDOWN(DATEDIF(Payroll!$I21,AK$2,"M")/Payroll!$K21,0))),0))</f>
        <v/>
      </c>
      <c r="AL97" s="56">
        <f>IF(AL$2=Payroll!$I21,Payroll!$F21,IF(AL$2&gt;Payroll!$I21,Payroll!$F21*((1+Payroll!$J21)^(ROUNDDOWN(DATEDIF(Payroll!$I21,AL$2,"M")/Payroll!$K21,0))),0))</f>
        <v/>
      </c>
      <c r="AM97" s="56">
        <f>IF(AM$2=Payroll!$I21,Payroll!$F21,IF(AM$2&gt;Payroll!$I21,Payroll!$F21*((1+Payroll!$J21)^(ROUNDDOWN(DATEDIF(Payroll!$I21,AM$2,"M")/Payroll!$K21,0))),0))</f>
        <v/>
      </c>
      <c r="AN97" s="56">
        <f>IF(AN$2=Payroll!$I21,Payroll!$F21,IF(AN$2&gt;Payroll!$I21,Payroll!$F21*((1+Payroll!$J21)^(ROUNDDOWN(DATEDIF(Payroll!$I21,AN$2,"M")/Payroll!$K21,0))),0))</f>
        <v/>
      </c>
      <c r="AO97" s="56">
        <f>IF(AO$2=Payroll!$I21,Payroll!$F21,IF(AO$2&gt;Payroll!$I21,Payroll!$F21*((1+Payroll!$J21)^(ROUNDDOWN(DATEDIF(Payroll!$I21,AO$2,"M")/Payroll!$K21,0))),0))</f>
        <v/>
      </c>
      <c r="AP97" s="56">
        <f>IF(AP$2=Payroll!$I21,Payroll!$F21,IF(AP$2&gt;Payroll!$I21,Payroll!$F21*((1+Payroll!$J21)^(ROUNDDOWN(DATEDIF(Payroll!$I21,AP$2,"M")/Payroll!$K21,0))),0))</f>
        <v/>
      </c>
      <c r="AQ97" s="56">
        <f>IF(AQ$2=Payroll!$I21,Payroll!$F21,IF(AQ$2&gt;Payroll!$I21,Payroll!$F21*((1+Payroll!$J21)^(ROUNDDOWN(DATEDIF(Payroll!$I21,AQ$2,"M")/Payroll!$K21,0))),0))</f>
        <v/>
      </c>
      <c r="AR97" s="56">
        <f>IF(AR$2=Payroll!$I21,Payroll!$F21,IF(AR$2&gt;Payroll!$I21,Payroll!$F21*((1+Payroll!$J21)^(ROUNDDOWN(DATEDIF(Payroll!$I21,AR$2,"M")/Payroll!$K21,0))),0))</f>
        <v/>
      </c>
      <c r="AS97" s="56">
        <f>IF(AS$2=Payroll!$I21,Payroll!$F21,IF(AS$2&gt;Payroll!$I21,Payroll!$F21*((1+Payroll!$J21)^(ROUNDDOWN(DATEDIF(Payroll!$I21,AS$2,"M")/Payroll!$K21,0))),0))</f>
        <v/>
      </c>
      <c r="AT97" s="56">
        <f>IF(AT$2=Payroll!$I21,Payroll!$F21,IF(AT$2&gt;Payroll!$I21,Payroll!$F21*((1+Payroll!$J21)^(ROUNDDOWN(DATEDIF(Payroll!$I21,AT$2,"M")/Payroll!$K21,0))),0))</f>
        <v/>
      </c>
      <c r="AU97" s="56">
        <f>IF(AU$2=Payroll!$I21,Payroll!$F21,IF(AU$2&gt;Payroll!$I21,Payroll!$F21*((1+Payroll!$J21)^(ROUNDDOWN(DATEDIF(Payroll!$I21,AU$2,"M")/Payroll!$K21,0))),0))</f>
        <v/>
      </c>
      <c r="AV97" s="56">
        <f>IF(AV$2=Payroll!$I21,Payroll!$F21,IF(AV$2&gt;Payroll!$I21,Payroll!$F21*((1+Payroll!$J21)^(ROUNDDOWN(DATEDIF(Payroll!$I21,AV$2,"M")/Payroll!$K21,0))),0))</f>
        <v/>
      </c>
      <c r="AW97" s="56">
        <f>IF(AW$2=Payroll!$I21,Payroll!$F21,IF(AW$2&gt;Payroll!$I21,Payroll!$F21*((1+Payroll!$J21)^(ROUNDDOWN(DATEDIF(Payroll!$I21,AW$2,"M")/Payroll!$K21,0))),0))</f>
        <v/>
      </c>
      <c r="AX97" s="56">
        <f>IF(AX$2=Payroll!$I21,Payroll!$F21,IF(AX$2&gt;Payroll!$I21,Payroll!$F21*((1+Payroll!$J21)^(ROUNDDOWN(DATEDIF(Payroll!$I21,AX$2,"M")/Payroll!$K21,0))),0))</f>
        <v/>
      </c>
      <c r="AY97" s="56">
        <f>IF(AY$2=Payroll!$I21,Payroll!$F21,IF(AY$2&gt;Payroll!$I21,Payroll!$F21*((1+Payroll!$J21)^(ROUNDDOWN(DATEDIF(Payroll!$I21,AY$2,"M")/Payroll!$K21,0))),0))</f>
        <v/>
      </c>
      <c r="AZ97" s="56">
        <f>IF(AZ$2=Payroll!$I21,Payroll!$F21,IF(AZ$2&gt;Payroll!$I21,Payroll!$F21*((1+Payroll!$J21)^(ROUNDDOWN(DATEDIF(Payroll!$I21,AZ$2,"M")/Payroll!$K21,0))),0))</f>
        <v/>
      </c>
      <c r="BA97" s="56">
        <f>IF(BA$2=Payroll!$I21,Payroll!$F21,IF(BA$2&gt;Payroll!$I21,Payroll!$F21*((1+Payroll!$J21)^(ROUNDDOWN(DATEDIF(Payroll!$I21,BA$2,"M")/Payroll!$K21,0))),0))</f>
        <v/>
      </c>
      <c r="BB97" s="56">
        <f>IF(BB$2=Payroll!$I21,Payroll!$F21,IF(BB$2&gt;Payroll!$I21,Payroll!$F21*((1+Payroll!$J21)^(ROUNDDOWN(DATEDIF(Payroll!$I21,BB$2,"M")/Payroll!$K21,0))),0))</f>
        <v/>
      </c>
      <c r="BC97" s="56">
        <f>IF(BC$2=Payroll!$I21,Payroll!$F21,IF(BC$2&gt;Payroll!$I21,Payroll!$F21*((1+Payroll!$J21)^(ROUNDDOWN(DATEDIF(Payroll!$I21,BC$2,"M")/Payroll!$K21,0))),0))</f>
        <v/>
      </c>
      <c r="BD97" s="56">
        <f>IF(BD$2=Payroll!$I21,Payroll!$F21,IF(BD$2&gt;Payroll!$I21,Payroll!$F21*((1+Payroll!$J21)^(ROUNDDOWN(DATEDIF(Payroll!$I21,BD$2,"M")/Payroll!$K21,0))),0))</f>
        <v/>
      </c>
      <c r="BE97" s="56">
        <f>IF(BE$2=Payroll!$I21,Payroll!$F21,IF(BE$2&gt;Payroll!$I21,Payroll!$F21*((1+Payroll!$J21)^(ROUNDDOWN(DATEDIF(Payroll!$I21,BE$2,"M")/Payroll!$K21,0))),0))</f>
        <v/>
      </c>
      <c r="BF97" s="56">
        <f>IF(BF$2=Payroll!$I21,Payroll!$F21,IF(BF$2&gt;Payroll!$I21,Payroll!$F21*((1+Payroll!$J21)^(ROUNDDOWN(DATEDIF(Payroll!$I21,BF$2,"M")/Payroll!$K21,0))),0))</f>
        <v/>
      </c>
      <c r="BG97" s="56">
        <f>IF(BG$2=Payroll!$I21,Payroll!$F21,IF(BG$2&gt;Payroll!$I21,Payroll!$F21*((1+Payroll!$J21)^(ROUNDDOWN(DATEDIF(Payroll!$I21,BG$2,"M")/Payroll!$K21,0))),0))</f>
        <v/>
      </c>
      <c r="BH97" s="56">
        <f>IF(BH$2=Payroll!$I21,Payroll!$F21,IF(BH$2&gt;Payroll!$I21,Payroll!$F21*((1+Payroll!$J21)^(ROUNDDOWN(DATEDIF(Payroll!$I21,BH$2,"M")/Payroll!$K21,0))),0))</f>
        <v/>
      </c>
      <c r="BI97" s="56">
        <f>IF(BI$2=Payroll!$I21,Payroll!$F21,IF(BI$2&gt;Payroll!$I21,Payroll!$F21*((1+Payroll!$J21)^(ROUNDDOWN(DATEDIF(Payroll!$I21,BI$2,"M")/Payroll!$K21,0))),0))</f>
        <v/>
      </c>
      <c r="BJ97" s="56">
        <f>IF(BJ$2=Payroll!$I21,Payroll!$F21,IF(BJ$2&gt;Payroll!$I21,Payroll!$F21*((1+Payroll!$J21)^(ROUNDDOWN(DATEDIF(Payroll!$I21,BJ$2,"M")/Payroll!$K21,0))),0))</f>
        <v/>
      </c>
      <c r="BK97" s="56">
        <f>IF(BK$2=Payroll!$I21,Payroll!$F21,IF(BK$2&gt;Payroll!$I21,Payroll!$F21*((1+Payroll!$J21)^(ROUNDDOWN(DATEDIF(Payroll!$I21,BK$2,"M")/Payroll!$K21,0))),0))</f>
        <v/>
      </c>
      <c r="BL97" s="56">
        <f>IF(BL$2=Payroll!$I21,Payroll!$F21,IF(BL$2&gt;Payroll!$I21,Payroll!$F21*((1+Payroll!$J21)^(ROUNDDOWN(DATEDIF(Payroll!$I21,BL$2,"M")/Payroll!$K21,0))),0))</f>
        <v/>
      </c>
      <c r="BM97" s="56">
        <f>IF(BM$2=Payroll!$I21,Payroll!$F21,IF(BM$2&gt;Payroll!$I21,Payroll!$F21*((1+Payroll!$J21)^(ROUNDDOWN(DATEDIF(Payroll!$I21,BM$2,"M")/Payroll!$K21,0))),0))</f>
        <v/>
      </c>
      <c r="BN97" s="56">
        <f>IF(BN$2=Payroll!$I21,Payroll!$F21,IF(BN$2&gt;Payroll!$I21,Payroll!$F21*((1+Payroll!$J21)^(ROUNDDOWN(DATEDIF(Payroll!$I21,BN$2,"M")/Payroll!$K21,0))),0))</f>
        <v/>
      </c>
      <c r="BO97" s="56">
        <f>IF(BO$2=Payroll!$I21,Payroll!$F21,IF(BO$2&gt;Payroll!$I21,Payroll!$F21*((1+Payroll!$J21)^(ROUNDDOWN(DATEDIF(Payroll!$I21,BO$2,"M")/Payroll!$K21,0))),0))</f>
        <v/>
      </c>
      <c r="BP97" s="56">
        <f>IF(BP$2=Payroll!$I21,Payroll!$F21,IF(BP$2&gt;Payroll!$I21,Payroll!$F21*((1+Payroll!$J21)^(ROUNDDOWN(DATEDIF(Payroll!$I21,BP$2,"M")/Payroll!$K21,0))),0))</f>
        <v/>
      </c>
      <c r="BQ97" s="56">
        <f>IF(BQ$2=Payroll!$I21,Payroll!$F21,IF(BQ$2&gt;Payroll!$I21,Payroll!$F21*((1+Payroll!$J21)^(ROUNDDOWN(DATEDIF(Payroll!$I21,BQ$2,"M")/Payroll!$K21,0))),0))</f>
        <v/>
      </c>
      <c r="BR97" s="56">
        <f>IF(BR$2=Payroll!$I21,Payroll!$F21,IF(BR$2&gt;Payroll!$I21,Payroll!$F21*((1+Payroll!$J21)^(ROUNDDOWN(DATEDIF(Payroll!$I21,BR$2,"M")/Payroll!$K21,0))),0))</f>
        <v/>
      </c>
      <c r="BS97" s="56">
        <f>IF(BS$2=Payroll!$I21,Payroll!$F21,IF(BS$2&gt;Payroll!$I21,Payroll!$F21*((1+Payroll!$J21)^(ROUNDDOWN(DATEDIF(Payroll!$I21,BS$2,"M")/Payroll!$K21,0))),0))</f>
        <v/>
      </c>
      <c r="BT97" s="56">
        <f>IF(BT$2=Payroll!$I21,Payroll!$F21,IF(BT$2&gt;Payroll!$I21,Payroll!$F21*((1+Payroll!$J21)^(ROUNDDOWN(DATEDIF(Payroll!$I21,BT$2,"M")/Payroll!$K21,0))),0))</f>
        <v/>
      </c>
      <c r="BU97" s="56">
        <f>IF(BU$2=Payroll!$I21,Payroll!$F21,IF(BU$2&gt;Payroll!$I21,Payroll!$F21*((1+Payroll!$J21)^(ROUNDDOWN(DATEDIF(Payroll!$I21,BU$2,"M")/Payroll!$K21,0))),0))</f>
        <v/>
      </c>
      <c r="BV97" s="56">
        <f>IF(BV$2=Payroll!$I21,Payroll!$F21,IF(BV$2&gt;Payroll!$I21,Payroll!$F21*((1+Payroll!$J21)^(ROUNDDOWN(DATEDIF(Payroll!$I21,BV$2,"M")/Payroll!$K21,0))),0))</f>
        <v/>
      </c>
      <c r="BW97" s="56">
        <f>IF(BW$2=Payroll!$I21,Payroll!$F21,IF(BW$2&gt;Payroll!$I21,Payroll!$F21*((1+Payroll!$J21)^(ROUNDDOWN(DATEDIF(Payroll!$I21,BW$2,"M")/Payroll!$K21,0))),0))</f>
        <v/>
      </c>
      <c r="BX97" s="56">
        <f>IF(BX$2=Payroll!$I21,Payroll!$F21,IF(BX$2&gt;Payroll!$I21,Payroll!$F21*((1+Payroll!$J21)^(ROUNDDOWN(DATEDIF(Payroll!$I21,BX$2,"M")/Payroll!$K21,0))),0))</f>
        <v/>
      </c>
      <c r="BY97" s="56">
        <f>IF(BY$2=Payroll!$I21,Payroll!$F21,IF(BY$2&gt;Payroll!$I21,Payroll!$F21*((1+Payroll!$J21)^(ROUNDDOWN(DATEDIF(Payroll!$I21,BY$2,"M")/Payroll!$K21,0))),0))</f>
        <v/>
      </c>
      <c r="BZ97" s="56">
        <f>IF(BZ$2=Payroll!$I21,Payroll!$F21,IF(BZ$2&gt;Payroll!$I21,Payroll!$F21*((1+Payroll!$J21)^(ROUNDDOWN(DATEDIF(Payroll!$I21,BZ$2,"M")/Payroll!$K21,0))),0))</f>
        <v/>
      </c>
      <c r="CA97" s="56">
        <f>IF(CA$2=Payroll!$I21,Payroll!$F21,IF(CA$2&gt;Payroll!$I21,Payroll!$F21*((1+Payroll!$J21)^(ROUNDDOWN(DATEDIF(Payroll!$I21,CA$2,"M")/Payroll!$K21,0))),0))</f>
        <v/>
      </c>
      <c r="CB97" s="56">
        <f>IF(CB$2=Payroll!$I21,Payroll!$F21,IF(CB$2&gt;Payroll!$I21,Payroll!$F21*((1+Payroll!$J21)^(ROUNDDOWN(DATEDIF(Payroll!$I21,CB$2,"M")/Payroll!$K21,0))),0))</f>
        <v/>
      </c>
      <c r="CC97" s="56">
        <f>IF(CC$2=Payroll!$I21,Payroll!$F21,IF(CC$2&gt;Payroll!$I21,Payroll!$F21*((1+Payroll!$J21)^(ROUNDDOWN(DATEDIF(Payroll!$I21,CC$2,"M")/Payroll!$K21,0))),0))</f>
        <v/>
      </c>
      <c r="CD97" s="56">
        <f>IF(CD$2=Payroll!$I21,Payroll!$F21,IF(CD$2&gt;Payroll!$I21,Payroll!$F21*((1+Payroll!$J21)^(ROUNDDOWN(DATEDIF(Payroll!$I21,CD$2,"M")/Payroll!$K21,0))),0))</f>
        <v/>
      </c>
      <c r="CE97" s="56">
        <f>IF(CE$2=Payroll!$I21,Payroll!$F21,IF(CE$2&gt;Payroll!$I21,Payroll!$F21*((1+Payroll!$J21)^(ROUNDDOWN(DATEDIF(Payroll!$I21,CE$2,"M")/Payroll!$K21,0))),0))</f>
        <v/>
      </c>
      <c r="CF97" s="56">
        <f>IF(CF$2=Payroll!$I21,Payroll!$F21,IF(CF$2&gt;Payroll!$I21,Payroll!$F21*((1+Payroll!$J21)^(ROUNDDOWN(DATEDIF(Payroll!$I21,CF$2,"M")/Payroll!$K21,0))),0))</f>
        <v/>
      </c>
      <c r="CG97" s="56">
        <f>IF(CG$2=Payroll!$I21,Payroll!$F21,IF(CG$2&gt;Payroll!$I21,Payroll!$F21*((1+Payroll!$J21)^(ROUNDDOWN(DATEDIF(Payroll!$I21,CG$2,"M")/Payroll!$K21,0))),0))</f>
        <v/>
      </c>
      <c r="CH97" s="56">
        <f>IF(CH$2=Payroll!$I21,Payroll!$F21,IF(CH$2&gt;Payroll!$I21,Payroll!$F21*((1+Payroll!$J21)^(ROUNDDOWN(DATEDIF(Payroll!$I21,CH$2,"M")/Payroll!$K21,0))),0))</f>
        <v/>
      </c>
      <c r="CI97" s="56">
        <f>IF(CI$2=Payroll!$I21,Payroll!$F21,IF(CI$2&gt;Payroll!$I21,Payroll!$F21*((1+Payroll!$J21)^(ROUNDDOWN(DATEDIF(Payroll!$I21,CI$2,"M")/Payroll!$K21,0))),0))</f>
        <v/>
      </c>
      <c r="CJ97" s="56">
        <f>IF(CJ$2=Payroll!$I21,Payroll!$F21,IF(CJ$2&gt;Payroll!$I21,Payroll!$F21*((1+Payroll!$J21)^(ROUNDDOWN(DATEDIF(Payroll!$I21,CJ$2,"M")/Payroll!$K21,0))),0))</f>
        <v/>
      </c>
      <c r="CK97" s="56">
        <f>IF(CK$2=Payroll!$I21,Payroll!$F21,IF(CK$2&gt;Payroll!$I21,Payroll!$F21*((1+Payroll!$J21)^(ROUNDDOWN(DATEDIF(Payroll!$I21,CK$2,"M")/Payroll!$K21,0))),0))</f>
        <v/>
      </c>
      <c r="CL97" s="56">
        <f>IF(CL$2=Payroll!$I21,Payroll!$F21,IF(CL$2&gt;Payroll!$I21,Payroll!$F21*((1+Payroll!$J21)^(ROUNDDOWN(DATEDIF(Payroll!$I21,CL$2,"M")/Payroll!$K21,0))),0))</f>
        <v/>
      </c>
      <c r="CM97" s="56">
        <f>IF(CM$2=Payroll!$I21,Payroll!$F21,IF(CM$2&gt;Payroll!$I21,Payroll!$F21*((1+Payroll!$J21)^(ROUNDDOWN(DATEDIF(Payroll!$I21,CM$2,"M")/Payroll!$K21,0))),0))</f>
        <v/>
      </c>
      <c r="CN97" s="56">
        <f>IF(CN$2=Payroll!$I21,Payroll!$F21,IF(CN$2&gt;Payroll!$I21,Payroll!$F21*((1+Payroll!$J21)^(ROUNDDOWN(DATEDIF(Payroll!$I21,CN$2,"M")/Payroll!$K21,0))),0))</f>
        <v/>
      </c>
      <c r="CO97" s="56">
        <f>IF(CO$2=Payroll!$I21,Payroll!$F21,IF(CO$2&gt;Payroll!$I21,Payroll!$F21*((1+Payroll!$J21)^(ROUNDDOWN(DATEDIF(Payroll!$I21,CO$2,"M")/Payroll!$K21,0))),0))</f>
        <v/>
      </c>
      <c r="CP97" s="56">
        <f>IF(CP$2=Payroll!$I21,Payroll!$F21,IF(CP$2&gt;Payroll!$I21,Payroll!$F21*((1+Payroll!$J21)^(ROUNDDOWN(DATEDIF(Payroll!$I21,CP$2,"M")/Payroll!$K21,0))),0))</f>
        <v/>
      </c>
      <c r="CQ97" s="56">
        <f>IF(CQ$2=Payroll!$I21,Payroll!$F21,IF(CQ$2&gt;Payroll!$I21,Payroll!$F21*((1+Payroll!$J21)^(ROUNDDOWN(DATEDIF(Payroll!$I21,CQ$2,"M")/Payroll!$K21,0))),0))</f>
        <v/>
      </c>
      <c r="CR97" s="56">
        <f>IF(CR$2=Payroll!$I21,Payroll!$F21,IF(CR$2&gt;Payroll!$I21,Payroll!$F21*((1+Payroll!$J21)^(ROUNDDOWN(DATEDIF(Payroll!$I21,CR$2,"M")/Payroll!$K21,0))),0))</f>
        <v/>
      </c>
      <c r="CS97" s="56">
        <f>IF(CS$2=Payroll!$I21,Payroll!$F21,IF(CS$2&gt;Payroll!$I21,Payroll!$F21*((1+Payroll!$J21)^(ROUNDDOWN(DATEDIF(Payroll!$I21,CS$2,"M")/Payroll!$K21,0))),0))</f>
        <v/>
      </c>
      <c r="CT97" s="56">
        <f>IF(CT$2=Payroll!$I21,Payroll!$F21,IF(CT$2&gt;Payroll!$I21,Payroll!$F21*((1+Payroll!$J21)^(ROUNDDOWN(DATEDIF(Payroll!$I21,CT$2,"M")/Payroll!$K21,0))),0))</f>
        <v/>
      </c>
      <c r="CU97" s="56">
        <f>IF(CU$2=Payroll!$I21,Payroll!$F21,IF(CU$2&gt;Payroll!$I21,Payroll!$F21*((1+Payroll!$J21)^(ROUNDDOWN(DATEDIF(Payroll!$I21,CU$2,"M")/Payroll!$K21,0))),0))</f>
        <v/>
      </c>
      <c r="CV97" s="56">
        <f>IF(CV$2=Payroll!$I21,Payroll!$F21,IF(CV$2&gt;Payroll!$I21,Payroll!$F21*((1+Payroll!$J21)^(ROUNDDOWN(DATEDIF(Payroll!$I21,CV$2,"M")/Payroll!$K21,0))),0))</f>
        <v/>
      </c>
      <c r="CW97" s="56">
        <f>IF(CW$2=Payroll!$I21,Payroll!$F21,IF(CW$2&gt;Payroll!$I21,Payroll!$F21*((1+Payroll!$J21)^(ROUNDDOWN(DATEDIF(Payroll!$I21,CW$2,"M")/Payroll!$K21,0))),0))</f>
        <v/>
      </c>
      <c r="CX97" s="56">
        <f>IF(CX$2=Payroll!$I21,Payroll!$F21,IF(CX$2&gt;Payroll!$I21,Payroll!$F21*((1+Payroll!$J21)^(ROUNDDOWN(DATEDIF(Payroll!$I21,CX$2,"M")/Payroll!$K21,0))),0))</f>
        <v/>
      </c>
    </row>
    <row r="98" outlineLevel="2" ht="15.75" customHeight="1" s="255">
      <c r="A98" s="56">
        <f>Payroll!A22</f>
        <v/>
      </c>
      <c r="B98" s="56" t="n"/>
      <c r="C98" s="56" t="n"/>
      <c r="D98" s="56" t="n"/>
      <c r="E98" s="56">
        <f>IF(E$2=Payroll!$I22,Payroll!$F22,IF(E$2&gt;Payroll!$I22,Payroll!$F22*((1+Payroll!$J22)^(ROUNDDOWN(DATEDIF(Payroll!$I22,E$2,"M")/Payroll!$K22,0))),0))</f>
        <v/>
      </c>
      <c r="F98" s="56">
        <f>IF(F$2=Payroll!$I22,Payroll!$F22,IF(F$2&gt;Payroll!$I22,Payroll!$F22*((1+Payroll!$J22)^(ROUNDDOWN(DATEDIF(Payroll!$I22,F$2,"M")/Payroll!$K22,0))),0))</f>
        <v/>
      </c>
      <c r="G98" s="56">
        <f>IF(G$2=Payroll!$I22,Payroll!$F22,IF(G$2&gt;Payroll!$I22,Payroll!$F22*((1+Payroll!$J22)^(ROUNDDOWN(DATEDIF(Payroll!$I22,G$2,"M")/Payroll!$K22,0))),0))</f>
        <v/>
      </c>
      <c r="H98" s="56">
        <f>IF(H$2=Payroll!$I22,Payroll!$F22,IF(H$2&gt;Payroll!$I22,Payroll!$F22*((1+Payroll!$J22)^(ROUNDDOWN(DATEDIF(Payroll!$I22,H$2,"M")/Payroll!$K22,0))),0))</f>
        <v/>
      </c>
      <c r="I98" s="56">
        <f>IF(I$2=Payroll!$I22,Payroll!$F22,IF(I$2&gt;Payroll!$I22,Payroll!$F22*((1+Payroll!$J22)^(ROUNDDOWN(DATEDIF(Payroll!$I22,I$2,"M")/Payroll!$K22,0))),0))</f>
        <v/>
      </c>
      <c r="J98" s="56">
        <f>IF(J$2=Payroll!$I22,Payroll!$F22,IF(J$2&gt;Payroll!$I22,Payroll!$F22*((1+Payroll!$J22)^(ROUNDDOWN(DATEDIF(Payroll!$I22,J$2,"M")/Payroll!$K22,0))),0))</f>
        <v/>
      </c>
      <c r="K98" s="56">
        <f>IF(K$2=Payroll!$I22,Payroll!$F22,IF(K$2&gt;Payroll!$I22,Payroll!$F22*((1+Payroll!$J22)^(ROUNDDOWN(DATEDIF(Payroll!$I22,K$2,"M")/Payroll!$K22,0))),0))</f>
        <v/>
      </c>
      <c r="L98" s="56">
        <f>IF(L$2=Payroll!$I22,Payroll!$F22,IF(L$2&gt;Payroll!$I22,Payroll!$F22*((1+Payroll!$J22)^(ROUNDDOWN(DATEDIF(Payroll!$I22,L$2,"M")/Payroll!$K22,0))),0))</f>
        <v/>
      </c>
      <c r="M98" s="56">
        <f>IF(M$2=Payroll!$I22,Payroll!$F22,IF(M$2&gt;Payroll!$I22,Payroll!$F22*((1+Payroll!$J22)^(ROUNDDOWN(DATEDIF(Payroll!$I22,M$2,"M")/Payroll!$K22,0))),0))</f>
        <v/>
      </c>
      <c r="N98" s="56">
        <f>IF(N$2=Payroll!$I22,Payroll!$F22,IF(N$2&gt;Payroll!$I22,Payroll!$F22*((1+Payroll!$J22)^(ROUNDDOWN(DATEDIF(Payroll!$I22,N$2,"M")/Payroll!$K22,0))),0))</f>
        <v/>
      </c>
      <c r="O98" s="56">
        <f>IF(O$2=Payroll!$I22,Payroll!$F22,IF(O$2&gt;Payroll!$I22,Payroll!$F22*((1+Payroll!$J22)^(ROUNDDOWN(DATEDIF(Payroll!$I22,O$2,"M")/Payroll!$K22,0))),0))</f>
        <v/>
      </c>
      <c r="P98" s="56">
        <f>IF(P$2=Payroll!$I22,Payroll!$F22,IF(P$2&gt;Payroll!$I22,Payroll!$F22*((1+Payroll!$J22)^(ROUNDDOWN(DATEDIF(Payroll!$I22,P$2,"M")/Payroll!$K22,0))),0))</f>
        <v/>
      </c>
      <c r="Q98" s="56">
        <f>IF(Q$2=Payroll!$I22,Payroll!$F22,IF(Q$2&gt;Payroll!$I22,Payroll!$F22*((1+Payroll!$J22)^(ROUNDDOWN(DATEDIF(Payroll!$I22,Q$2,"M")/Payroll!$K22,0))),0))</f>
        <v/>
      </c>
      <c r="R98" s="56">
        <f>IF(R$2=Payroll!$I22,Payroll!$F22,IF(R$2&gt;Payroll!$I22,Payroll!$F22*((1+Payroll!$J22)^(ROUNDDOWN(DATEDIF(Payroll!$I22,R$2,"M")/Payroll!$K22,0))),0))</f>
        <v/>
      </c>
      <c r="S98" s="56">
        <f>IF(S$2=Payroll!$I22,Payroll!$F22,IF(S$2&gt;Payroll!$I22,Payroll!$F22*((1+Payroll!$J22)^(ROUNDDOWN(DATEDIF(Payroll!$I22,S$2,"M")/Payroll!$K22,0))),0))</f>
        <v/>
      </c>
      <c r="T98" s="56">
        <f>IF(T$2=Payroll!$I22,Payroll!$F22,IF(T$2&gt;Payroll!$I22,Payroll!$F22*((1+Payroll!$J22)^(ROUNDDOWN(DATEDIF(Payroll!$I22,T$2,"M")/Payroll!$K22,0))),0))</f>
        <v/>
      </c>
      <c r="U98" s="56">
        <f>IF(U$2=Payroll!$I22,Payroll!$F22,IF(U$2&gt;Payroll!$I22,Payroll!$F22*((1+Payroll!$J22)^(ROUNDDOWN(DATEDIF(Payroll!$I22,U$2,"M")/Payroll!$K22,0))),0))</f>
        <v/>
      </c>
      <c r="V98" s="56">
        <f>IF(V$2=Payroll!$I22,Payroll!$F22,IF(V$2&gt;Payroll!$I22,Payroll!$F22*((1+Payroll!$J22)^(ROUNDDOWN(DATEDIF(Payroll!$I22,V$2,"M")/Payroll!$K22,0))),0))</f>
        <v/>
      </c>
      <c r="W98" s="56">
        <f>IF(W$2=Payroll!$I22,Payroll!$F22,IF(W$2&gt;Payroll!$I22,Payroll!$F22*((1+Payroll!$J22)^(ROUNDDOWN(DATEDIF(Payroll!$I22,W$2,"M")/Payroll!$K22,0))),0))</f>
        <v/>
      </c>
      <c r="X98" s="56">
        <f>IF(X$2=Payroll!$I22,Payroll!$F22,IF(X$2&gt;Payroll!$I22,Payroll!$F22*((1+Payroll!$J22)^(ROUNDDOWN(DATEDIF(Payroll!$I22,X$2,"M")/Payroll!$K22,0))),0))</f>
        <v/>
      </c>
      <c r="Y98" s="56">
        <f>IF(Y$2=Payroll!$I22,Payroll!$F22,IF(Y$2&gt;Payroll!$I22,Payroll!$F22*((1+Payroll!$J22)^(ROUNDDOWN(DATEDIF(Payroll!$I22,Y$2,"M")/Payroll!$K22,0))),0))</f>
        <v/>
      </c>
      <c r="Z98" s="56">
        <f>IF(Z$2=Payroll!$I22,Payroll!$F22,IF(Z$2&gt;Payroll!$I22,Payroll!$F22*((1+Payroll!$J22)^(ROUNDDOWN(DATEDIF(Payroll!$I22,Z$2,"M")/Payroll!$K22,0))),0))</f>
        <v/>
      </c>
      <c r="AA98" s="56">
        <f>IF(AA$2=Payroll!$I22,Payroll!$F22,IF(AA$2&gt;Payroll!$I22,Payroll!$F22*((1+Payroll!$J22)^(ROUNDDOWN(DATEDIF(Payroll!$I22,AA$2,"M")/Payroll!$K22,0))),0))</f>
        <v/>
      </c>
      <c r="AB98" s="56">
        <f>IF(AB$2=Payroll!$I22,Payroll!$F22,IF(AB$2&gt;Payroll!$I22,Payroll!$F22*((1+Payroll!$J22)^(ROUNDDOWN(DATEDIF(Payroll!$I22,AB$2,"M")/Payroll!$K22,0))),0))</f>
        <v/>
      </c>
      <c r="AC98" s="56">
        <f>IF(AC$2=Payroll!$I22,Payroll!$F22,IF(AC$2&gt;Payroll!$I22,Payroll!$F22*((1+Payroll!$J22)^(ROUNDDOWN(DATEDIF(Payroll!$I22,AC$2,"M")/Payroll!$K22,0))),0))</f>
        <v/>
      </c>
      <c r="AD98" s="56">
        <f>IF(AD$2=Payroll!$I22,Payroll!$F22,IF(AD$2&gt;Payroll!$I22,Payroll!$F22*((1+Payroll!$J22)^(ROUNDDOWN(DATEDIF(Payroll!$I22,AD$2,"M")/Payroll!$K22,0))),0))</f>
        <v/>
      </c>
      <c r="AE98" s="56">
        <f>IF(AE$2=Payroll!$I22,Payroll!$F22,IF(AE$2&gt;Payroll!$I22,Payroll!$F22*((1+Payroll!$J22)^(ROUNDDOWN(DATEDIF(Payroll!$I22,AE$2,"M")/Payroll!$K22,0))),0))</f>
        <v/>
      </c>
      <c r="AF98" s="56">
        <f>IF(AF$2=Payroll!$I22,Payroll!$F22,IF(AF$2&gt;Payroll!$I22,Payroll!$F22*((1+Payroll!$J22)^(ROUNDDOWN(DATEDIF(Payroll!$I22,AF$2,"M")/Payroll!$K22,0))),0))</f>
        <v/>
      </c>
      <c r="AG98" s="56">
        <f>IF(AG$2=Payroll!$I22,Payroll!$F22,IF(AG$2&gt;Payroll!$I22,Payroll!$F22*((1+Payroll!$J22)^(ROUNDDOWN(DATEDIF(Payroll!$I22,AG$2,"M")/Payroll!$K22,0))),0))</f>
        <v/>
      </c>
      <c r="AH98" s="56">
        <f>IF(AH$2=Payroll!$I22,Payroll!$F22,IF(AH$2&gt;Payroll!$I22,Payroll!$F22*((1+Payroll!$J22)^(ROUNDDOWN(DATEDIF(Payroll!$I22,AH$2,"M")/Payroll!$K22,0))),0))</f>
        <v/>
      </c>
      <c r="AI98" s="56">
        <f>IF(AI$2=Payroll!$I22,Payroll!$F22,IF(AI$2&gt;Payroll!$I22,Payroll!$F22*((1+Payroll!$J22)^(ROUNDDOWN(DATEDIF(Payroll!$I22,AI$2,"M")/Payroll!$K22,0))),0))</f>
        <v/>
      </c>
      <c r="AJ98" s="56">
        <f>IF(AJ$2=Payroll!$I22,Payroll!$F22,IF(AJ$2&gt;Payroll!$I22,Payroll!$F22*((1+Payroll!$J22)^(ROUNDDOWN(DATEDIF(Payroll!$I22,AJ$2,"M")/Payroll!$K22,0))),0))</f>
        <v/>
      </c>
      <c r="AK98" s="56">
        <f>IF(AK$2=Payroll!$I22,Payroll!$F22,IF(AK$2&gt;Payroll!$I22,Payroll!$F22*((1+Payroll!$J22)^(ROUNDDOWN(DATEDIF(Payroll!$I22,AK$2,"M")/Payroll!$K22,0))),0))</f>
        <v/>
      </c>
      <c r="AL98" s="56">
        <f>IF(AL$2=Payroll!$I22,Payroll!$F22,IF(AL$2&gt;Payroll!$I22,Payroll!$F22*((1+Payroll!$J22)^(ROUNDDOWN(DATEDIF(Payroll!$I22,AL$2,"M")/Payroll!$K22,0))),0))</f>
        <v/>
      </c>
      <c r="AM98" s="56">
        <f>IF(AM$2=Payroll!$I22,Payroll!$F22,IF(AM$2&gt;Payroll!$I22,Payroll!$F22*((1+Payroll!$J22)^(ROUNDDOWN(DATEDIF(Payroll!$I22,AM$2,"M")/Payroll!$K22,0))),0))</f>
        <v/>
      </c>
      <c r="AN98" s="56">
        <f>IF(AN$2=Payroll!$I22,Payroll!$F22,IF(AN$2&gt;Payroll!$I22,Payroll!$F22*((1+Payroll!$J22)^(ROUNDDOWN(DATEDIF(Payroll!$I22,AN$2,"M")/Payroll!$K22,0))),0))</f>
        <v/>
      </c>
      <c r="AO98" s="56">
        <f>IF(AO$2=Payroll!$I22,Payroll!$F22,IF(AO$2&gt;Payroll!$I22,Payroll!$F22*((1+Payroll!$J22)^(ROUNDDOWN(DATEDIF(Payroll!$I22,AO$2,"M")/Payroll!$K22,0))),0))</f>
        <v/>
      </c>
      <c r="AP98" s="56">
        <f>IF(AP$2=Payroll!$I22,Payroll!$F22,IF(AP$2&gt;Payroll!$I22,Payroll!$F22*((1+Payroll!$J22)^(ROUNDDOWN(DATEDIF(Payroll!$I22,AP$2,"M")/Payroll!$K22,0))),0))</f>
        <v/>
      </c>
      <c r="AQ98" s="56">
        <f>IF(AQ$2=Payroll!$I22,Payroll!$F22,IF(AQ$2&gt;Payroll!$I22,Payroll!$F22*((1+Payroll!$J22)^(ROUNDDOWN(DATEDIF(Payroll!$I22,AQ$2,"M")/Payroll!$K22,0))),0))</f>
        <v/>
      </c>
      <c r="AR98" s="56">
        <f>IF(AR$2=Payroll!$I22,Payroll!$F22,IF(AR$2&gt;Payroll!$I22,Payroll!$F22*((1+Payroll!$J22)^(ROUNDDOWN(DATEDIF(Payroll!$I22,AR$2,"M")/Payroll!$K22,0))),0))</f>
        <v/>
      </c>
      <c r="AS98" s="56">
        <f>IF(AS$2=Payroll!$I22,Payroll!$F22,IF(AS$2&gt;Payroll!$I22,Payroll!$F22*((1+Payroll!$J22)^(ROUNDDOWN(DATEDIF(Payroll!$I22,AS$2,"M")/Payroll!$K22,0))),0))</f>
        <v/>
      </c>
      <c r="AT98" s="56">
        <f>IF(AT$2=Payroll!$I22,Payroll!$F22,IF(AT$2&gt;Payroll!$I22,Payroll!$F22*((1+Payroll!$J22)^(ROUNDDOWN(DATEDIF(Payroll!$I22,AT$2,"M")/Payroll!$K22,0))),0))</f>
        <v/>
      </c>
      <c r="AU98" s="56">
        <f>IF(AU$2=Payroll!$I22,Payroll!$F22,IF(AU$2&gt;Payroll!$I22,Payroll!$F22*((1+Payroll!$J22)^(ROUNDDOWN(DATEDIF(Payroll!$I22,AU$2,"M")/Payroll!$K22,0))),0))</f>
        <v/>
      </c>
      <c r="AV98" s="56">
        <f>IF(AV$2=Payroll!$I22,Payroll!$F22,IF(AV$2&gt;Payroll!$I22,Payroll!$F22*((1+Payroll!$J22)^(ROUNDDOWN(DATEDIF(Payroll!$I22,AV$2,"M")/Payroll!$K22,0))),0))</f>
        <v/>
      </c>
      <c r="AW98" s="56">
        <f>IF(AW$2=Payroll!$I22,Payroll!$F22,IF(AW$2&gt;Payroll!$I22,Payroll!$F22*((1+Payroll!$J22)^(ROUNDDOWN(DATEDIF(Payroll!$I22,AW$2,"M")/Payroll!$K22,0))),0))</f>
        <v/>
      </c>
      <c r="AX98" s="56">
        <f>IF(AX$2=Payroll!$I22,Payroll!$F22,IF(AX$2&gt;Payroll!$I22,Payroll!$F22*((1+Payroll!$J22)^(ROUNDDOWN(DATEDIF(Payroll!$I22,AX$2,"M")/Payroll!$K22,0))),0))</f>
        <v/>
      </c>
      <c r="AY98" s="56">
        <f>IF(AY$2=Payroll!$I22,Payroll!$F22,IF(AY$2&gt;Payroll!$I22,Payroll!$F22*((1+Payroll!$J22)^(ROUNDDOWN(DATEDIF(Payroll!$I22,AY$2,"M")/Payroll!$K22,0))),0))</f>
        <v/>
      </c>
      <c r="AZ98" s="56">
        <f>IF(AZ$2=Payroll!$I22,Payroll!$F22,IF(AZ$2&gt;Payroll!$I22,Payroll!$F22*((1+Payroll!$J22)^(ROUNDDOWN(DATEDIF(Payroll!$I22,AZ$2,"M")/Payroll!$K22,0))),0))</f>
        <v/>
      </c>
      <c r="BA98" s="56">
        <f>IF(BA$2=Payroll!$I22,Payroll!$F22,IF(BA$2&gt;Payroll!$I22,Payroll!$F22*((1+Payroll!$J22)^(ROUNDDOWN(DATEDIF(Payroll!$I22,BA$2,"M")/Payroll!$K22,0))),0))</f>
        <v/>
      </c>
      <c r="BB98" s="56">
        <f>IF(BB$2=Payroll!$I22,Payroll!$F22,IF(BB$2&gt;Payroll!$I22,Payroll!$F22*((1+Payroll!$J22)^(ROUNDDOWN(DATEDIF(Payroll!$I22,BB$2,"M")/Payroll!$K22,0))),0))</f>
        <v/>
      </c>
      <c r="BC98" s="56">
        <f>IF(BC$2=Payroll!$I22,Payroll!$F22,IF(BC$2&gt;Payroll!$I22,Payroll!$F22*((1+Payroll!$J22)^(ROUNDDOWN(DATEDIF(Payroll!$I22,BC$2,"M")/Payroll!$K22,0))),0))</f>
        <v/>
      </c>
      <c r="BD98" s="56">
        <f>IF(BD$2=Payroll!$I22,Payroll!$F22,IF(BD$2&gt;Payroll!$I22,Payroll!$F22*((1+Payroll!$J22)^(ROUNDDOWN(DATEDIF(Payroll!$I22,BD$2,"M")/Payroll!$K22,0))),0))</f>
        <v/>
      </c>
      <c r="BE98" s="56">
        <f>IF(BE$2=Payroll!$I22,Payroll!$F22,IF(BE$2&gt;Payroll!$I22,Payroll!$F22*((1+Payroll!$J22)^(ROUNDDOWN(DATEDIF(Payroll!$I22,BE$2,"M")/Payroll!$K22,0))),0))</f>
        <v/>
      </c>
      <c r="BF98" s="56">
        <f>IF(BF$2=Payroll!$I22,Payroll!$F22,IF(BF$2&gt;Payroll!$I22,Payroll!$F22*((1+Payroll!$J22)^(ROUNDDOWN(DATEDIF(Payroll!$I22,BF$2,"M")/Payroll!$K22,0))),0))</f>
        <v/>
      </c>
      <c r="BG98" s="56">
        <f>IF(BG$2=Payroll!$I22,Payroll!$F22,IF(BG$2&gt;Payroll!$I22,Payroll!$F22*((1+Payroll!$J22)^(ROUNDDOWN(DATEDIF(Payroll!$I22,BG$2,"M")/Payroll!$K22,0))),0))</f>
        <v/>
      </c>
      <c r="BH98" s="56">
        <f>IF(BH$2=Payroll!$I22,Payroll!$F22,IF(BH$2&gt;Payroll!$I22,Payroll!$F22*((1+Payroll!$J22)^(ROUNDDOWN(DATEDIF(Payroll!$I22,BH$2,"M")/Payroll!$K22,0))),0))</f>
        <v/>
      </c>
      <c r="BI98" s="56">
        <f>IF(BI$2=Payroll!$I22,Payroll!$F22,IF(BI$2&gt;Payroll!$I22,Payroll!$F22*((1+Payroll!$J22)^(ROUNDDOWN(DATEDIF(Payroll!$I22,BI$2,"M")/Payroll!$K22,0))),0))</f>
        <v/>
      </c>
      <c r="BJ98" s="56">
        <f>IF(BJ$2=Payroll!$I22,Payroll!$F22,IF(BJ$2&gt;Payroll!$I22,Payroll!$F22*((1+Payroll!$J22)^(ROUNDDOWN(DATEDIF(Payroll!$I22,BJ$2,"M")/Payroll!$K22,0))),0))</f>
        <v/>
      </c>
      <c r="BK98" s="56">
        <f>IF(BK$2=Payroll!$I22,Payroll!$F22,IF(BK$2&gt;Payroll!$I22,Payroll!$F22*((1+Payroll!$J22)^(ROUNDDOWN(DATEDIF(Payroll!$I22,BK$2,"M")/Payroll!$K22,0))),0))</f>
        <v/>
      </c>
      <c r="BL98" s="56">
        <f>IF(BL$2=Payroll!$I22,Payroll!$F22,IF(BL$2&gt;Payroll!$I22,Payroll!$F22*((1+Payroll!$J22)^(ROUNDDOWN(DATEDIF(Payroll!$I22,BL$2,"M")/Payroll!$K22,0))),0))</f>
        <v/>
      </c>
      <c r="BM98" s="56">
        <f>IF(BM$2=Payroll!$I22,Payroll!$F22,IF(BM$2&gt;Payroll!$I22,Payroll!$F22*((1+Payroll!$J22)^(ROUNDDOWN(DATEDIF(Payroll!$I22,BM$2,"M")/Payroll!$K22,0))),0))</f>
        <v/>
      </c>
      <c r="BN98" s="56">
        <f>IF(BN$2=Payroll!$I22,Payroll!$F22,IF(BN$2&gt;Payroll!$I22,Payroll!$F22*((1+Payroll!$J22)^(ROUNDDOWN(DATEDIF(Payroll!$I22,BN$2,"M")/Payroll!$K22,0))),0))</f>
        <v/>
      </c>
      <c r="BO98" s="56">
        <f>IF(BO$2=Payroll!$I22,Payroll!$F22,IF(BO$2&gt;Payroll!$I22,Payroll!$F22*((1+Payroll!$J22)^(ROUNDDOWN(DATEDIF(Payroll!$I22,BO$2,"M")/Payroll!$K22,0))),0))</f>
        <v/>
      </c>
      <c r="BP98" s="56">
        <f>IF(BP$2=Payroll!$I22,Payroll!$F22,IF(BP$2&gt;Payroll!$I22,Payroll!$F22*((1+Payroll!$J22)^(ROUNDDOWN(DATEDIF(Payroll!$I22,BP$2,"M")/Payroll!$K22,0))),0))</f>
        <v/>
      </c>
      <c r="BQ98" s="56">
        <f>IF(BQ$2=Payroll!$I22,Payroll!$F22,IF(BQ$2&gt;Payroll!$I22,Payroll!$F22*((1+Payroll!$J22)^(ROUNDDOWN(DATEDIF(Payroll!$I22,BQ$2,"M")/Payroll!$K22,0))),0))</f>
        <v/>
      </c>
      <c r="BR98" s="56">
        <f>IF(BR$2=Payroll!$I22,Payroll!$F22,IF(BR$2&gt;Payroll!$I22,Payroll!$F22*((1+Payroll!$J22)^(ROUNDDOWN(DATEDIF(Payroll!$I22,BR$2,"M")/Payroll!$K22,0))),0))</f>
        <v/>
      </c>
      <c r="BS98" s="56">
        <f>IF(BS$2=Payroll!$I22,Payroll!$F22,IF(BS$2&gt;Payroll!$I22,Payroll!$F22*((1+Payroll!$J22)^(ROUNDDOWN(DATEDIF(Payroll!$I22,BS$2,"M")/Payroll!$K22,0))),0))</f>
        <v/>
      </c>
      <c r="BT98" s="56">
        <f>IF(BT$2=Payroll!$I22,Payroll!$F22,IF(BT$2&gt;Payroll!$I22,Payroll!$F22*((1+Payroll!$J22)^(ROUNDDOWN(DATEDIF(Payroll!$I22,BT$2,"M")/Payroll!$K22,0))),0))</f>
        <v/>
      </c>
      <c r="BU98" s="56">
        <f>IF(BU$2=Payroll!$I22,Payroll!$F22,IF(BU$2&gt;Payroll!$I22,Payroll!$F22*((1+Payroll!$J22)^(ROUNDDOWN(DATEDIF(Payroll!$I22,BU$2,"M")/Payroll!$K22,0))),0))</f>
        <v/>
      </c>
      <c r="BV98" s="56">
        <f>IF(BV$2=Payroll!$I22,Payroll!$F22,IF(BV$2&gt;Payroll!$I22,Payroll!$F22*((1+Payroll!$J22)^(ROUNDDOWN(DATEDIF(Payroll!$I22,BV$2,"M")/Payroll!$K22,0))),0))</f>
        <v/>
      </c>
      <c r="BW98" s="56">
        <f>IF(BW$2=Payroll!$I22,Payroll!$F22,IF(BW$2&gt;Payroll!$I22,Payroll!$F22*((1+Payroll!$J22)^(ROUNDDOWN(DATEDIF(Payroll!$I22,BW$2,"M")/Payroll!$K22,0))),0))</f>
        <v/>
      </c>
      <c r="BX98" s="56">
        <f>IF(BX$2=Payroll!$I22,Payroll!$F22,IF(BX$2&gt;Payroll!$I22,Payroll!$F22*((1+Payroll!$J22)^(ROUNDDOWN(DATEDIF(Payroll!$I22,BX$2,"M")/Payroll!$K22,0))),0))</f>
        <v/>
      </c>
      <c r="BY98" s="56">
        <f>IF(BY$2=Payroll!$I22,Payroll!$F22,IF(BY$2&gt;Payroll!$I22,Payroll!$F22*((1+Payroll!$J22)^(ROUNDDOWN(DATEDIF(Payroll!$I22,BY$2,"M")/Payroll!$K22,0))),0))</f>
        <v/>
      </c>
      <c r="BZ98" s="56">
        <f>IF(BZ$2=Payroll!$I22,Payroll!$F22,IF(BZ$2&gt;Payroll!$I22,Payroll!$F22*((1+Payroll!$J22)^(ROUNDDOWN(DATEDIF(Payroll!$I22,BZ$2,"M")/Payroll!$K22,0))),0))</f>
        <v/>
      </c>
      <c r="CA98" s="56">
        <f>IF(CA$2=Payroll!$I22,Payroll!$F22,IF(CA$2&gt;Payroll!$I22,Payroll!$F22*((1+Payroll!$J22)^(ROUNDDOWN(DATEDIF(Payroll!$I22,CA$2,"M")/Payroll!$K22,0))),0))</f>
        <v/>
      </c>
      <c r="CB98" s="56">
        <f>IF(CB$2=Payroll!$I22,Payroll!$F22,IF(CB$2&gt;Payroll!$I22,Payroll!$F22*((1+Payroll!$J22)^(ROUNDDOWN(DATEDIF(Payroll!$I22,CB$2,"M")/Payroll!$K22,0))),0))</f>
        <v/>
      </c>
      <c r="CC98" s="56">
        <f>IF(CC$2=Payroll!$I22,Payroll!$F22,IF(CC$2&gt;Payroll!$I22,Payroll!$F22*((1+Payroll!$J22)^(ROUNDDOWN(DATEDIF(Payroll!$I22,CC$2,"M")/Payroll!$K22,0))),0))</f>
        <v/>
      </c>
      <c r="CD98" s="56">
        <f>IF(CD$2=Payroll!$I22,Payroll!$F22,IF(CD$2&gt;Payroll!$I22,Payroll!$F22*((1+Payroll!$J22)^(ROUNDDOWN(DATEDIF(Payroll!$I22,CD$2,"M")/Payroll!$K22,0))),0))</f>
        <v/>
      </c>
      <c r="CE98" s="56">
        <f>IF(CE$2=Payroll!$I22,Payroll!$F22,IF(CE$2&gt;Payroll!$I22,Payroll!$F22*((1+Payroll!$J22)^(ROUNDDOWN(DATEDIF(Payroll!$I22,CE$2,"M")/Payroll!$K22,0))),0))</f>
        <v/>
      </c>
      <c r="CF98" s="56">
        <f>IF(CF$2=Payroll!$I22,Payroll!$F22,IF(CF$2&gt;Payroll!$I22,Payroll!$F22*((1+Payroll!$J22)^(ROUNDDOWN(DATEDIF(Payroll!$I22,CF$2,"M")/Payroll!$K22,0))),0))</f>
        <v/>
      </c>
      <c r="CG98" s="56">
        <f>IF(CG$2=Payroll!$I22,Payroll!$F22,IF(CG$2&gt;Payroll!$I22,Payroll!$F22*((1+Payroll!$J22)^(ROUNDDOWN(DATEDIF(Payroll!$I22,CG$2,"M")/Payroll!$K22,0))),0))</f>
        <v/>
      </c>
      <c r="CH98" s="56">
        <f>IF(CH$2=Payroll!$I22,Payroll!$F22,IF(CH$2&gt;Payroll!$I22,Payroll!$F22*((1+Payroll!$J22)^(ROUNDDOWN(DATEDIF(Payroll!$I22,CH$2,"M")/Payroll!$K22,0))),0))</f>
        <v/>
      </c>
      <c r="CI98" s="56">
        <f>IF(CI$2=Payroll!$I22,Payroll!$F22,IF(CI$2&gt;Payroll!$I22,Payroll!$F22*((1+Payroll!$J22)^(ROUNDDOWN(DATEDIF(Payroll!$I22,CI$2,"M")/Payroll!$K22,0))),0))</f>
        <v/>
      </c>
      <c r="CJ98" s="56">
        <f>IF(CJ$2=Payroll!$I22,Payroll!$F22,IF(CJ$2&gt;Payroll!$I22,Payroll!$F22*((1+Payroll!$J22)^(ROUNDDOWN(DATEDIF(Payroll!$I22,CJ$2,"M")/Payroll!$K22,0))),0))</f>
        <v/>
      </c>
      <c r="CK98" s="56">
        <f>IF(CK$2=Payroll!$I22,Payroll!$F22,IF(CK$2&gt;Payroll!$I22,Payroll!$F22*((1+Payroll!$J22)^(ROUNDDOWN(DATEDIF(Payroll!$I22,CK$2,"M")/Payroll!$K22,0))),0))</f>
        <v/>
      </c>
      <c r="CL98" s="56">
        <f>IF(CL$2=Payroll!$I22,Payroll!$F22,IF(CL$2&gt;Payroll!$I22,Payroll!$F22*((1+Payroll!$J22)^(ROUNDDOWN(DATEDIF(Payroll!$I22,CL$2,"M")/Payroll!$K22,0))),0))</f>
        <v/>
      </c>
      <c r="CM98" s="56">
        <f>IF(CM$2=Payroll!$I22,Payroll!$F22,IF(CM$2&gt;Payroll!$I22,Payroll!$F22*((1+Payroll!$J22)^(ROUNDDOWN(DATEDIF(Payroll!$I22,CM$2,"M")/Payroll!$K22,0))),0))</f>
        <v/>
      </c>
      <c r="CN98" s="56">
        <f>IF(CN$2=Payroll!$I22,Payroll!$F22,IF(CN$2&gt;Payroll!$I22,Payroll!$F22*((1+Payroll!$J22)^(ROUNDDOWN(DATEDIF(Payroll!$I22,CN$2,"M")/Payroll!$K22,0))),0))</f>
        <v/>
      </c>
      <c r="CO98" s="56">
        <f>IF(CO$2=Payroll!$I22,Payroll!$F22,IF(CO$2&gt;Payroll!$I22,Payroll!$F22*((1+Payroll!$J22)^(ROUNDDOWN(DATEDIF(Payroll!$I22,CO$2,"M")/Payroll!$K22,0))),0))</f>
        <v/>
      </c>
      <c r="CP98" s="56">
        <f>IF(CP$2=Payroll!$I22,Payroll!$F22,IF(CP$2&gt;Payroll!$I22,Payroll!$F22*((1+Payroll!$J22)^(ROUNDDOWN(DATEDIF(Payroll!$I22,CP$2,"M")/Payroll!$K22,0))),0))</f>
        <v/>
      </c>
      <c r="CQ98" s="56">
        <f>IF(CQ$2=Payroll!$I22,Payroll!$F22,IF(CQ$2&gt;Payroll!$I22,Payroll!$F22*((1+Payroll!$J22)^(ROUNDDOWN(DATEDIF(Payroll!$I22,CQ$2,"M")/Payroll!$K22,0))),0))</f>
        <v/>
      </c>
      <c r="CR98" s="56">
        <f>IF(CR$2=Payroll!$I22,Payroll!$F22,IF(CR$2&gt;Payroll!$I22,Payroll!$F22*((1+Payroll!$J22)^(ROUNDDOWN(DATEDIF(Payroll!$I22,CR$2,"M")/Payroll!$K22,0))),0))</f>
        <v/>
      </c>
      <c r="CS98" s="56">
        <f>IF(CS$2=Payroll!$I22,Payroll!$F22,IF(CS$2&gt;Payroll!$I22,Payroll!$F22*((1+Payroll!$J22)^(ROUNDDOWN(DATEDIF(Payroll!$I22,CS$2,"M")/Payroll!$K22,0))),0))</f>
        <v/>
      </c>
      <c r="CT98" s="56">
        <f>IF(CT$2=Payroll!$I22,Payroll!$F22,IF(CT$2&gt;Payroll!$I22,Payroll!$F22*((1+Payroll!$J22)^(ROUNDDOWN(DATEDIF(Payroll!$I22,CT$2,"M")/Payroll!$K22,0))),0))</f>
        <v/>
      </c>
      <c r="CU98" s="56">
        <f>IF(CU$2=Payroll!$I22,Payroll!$F22,IF(CU$2&gt;Payroll!$I22,Payroll!$F22*((1+Payroll!$J22)^(ROUNDDOWN(DATEDIF(Payroll!$I22,CU$2,"M")/Payroll!$K22,0))),0))</f>
        <v/>
      </c>
      <c r="CV98" s="56">
        <f>IF(CV$2=Payroll!$I22,Payroll!$F22,IF(CV$2&gt;Payroll!$I22,Payroll!$F22*((1+Payroll!$J22)^(ROUNDDOWN(DATEDIF(Payroll!$I22,CV$2,"M")/Payroll!$K22,0))),0))</f>
        <v/>
      </c>
      <c r="CW98" s="56">
        <f>IF(CW$2=Payroll!$I22,Payroll!$F22,IF(CW$2&gt;Payroll!$I22,Payroll!$F22*((1+Payroll!$J22)^(ROUNDDOWN(DATEDIF(Payroll!$I22,CW$2,"M")/Payroll!$K22,0))),0))</f>
        <v/>
      </c>
      <c r="CX98" s="56">
        <f>IF(CX$2=Payroll!$I22,Payroll!$F22,IF(CX$2&gt;Payroll!$I22,Payroll!$F22*((1+Payroll!$J22)^(ROUNDDOWN(DATEDIF(Payroll!$I22,CX$2,"M")/Payroll!$K22,0))),0))</f>
        <v/>
      </c>
    </row>
    <row r="99" outlineLevel="2" ht="15.75" customHeight="1" s="255">
      <c r="A99" s="56">
        <f>Payroll!A23</f>
        <v/>
      </c>
      <c r="B99" s="56" t="n"/>
      <c r="C99" s="56" t="n"/>
      <c r="D99" s="56" t="n"/>
      <c r="E99" s="56">
        <f>IF(E$2=Payroll!$I23,Payroll!$F23,IF(E$2&gt;Payroll!$I23,Payroll!$F23*((1+Payroll!$J23)^(ROUNDDOWN(DATEDIF(Payroll!$I23,E$2,"M")/Payroll!$K23,0))),0))</f>
        <v/>
      </c>
      <c r="F99" s="56">
        <f>IF(F$2=Payroll!$I23,Payroll!$F23,IF(F$2&gt;Payroll!$I23,Payroll!$F23*((1+Payroll!$J23)^(ROUNDDOWN(DATEDIF(Payroll!$I23,F$2,"M")/Payroll!$K23,0))),0))</f>
        <v/>
      </c>
      <c r="G99" s="56">
        <f>IF(G$2=Payroll!$I23,Payroll!$F23,IF(G$2&gt;Payroll!$I23,Payroll!$F23*((1+Payroll!$J23)^(ROUNDDOWN(DATEDIF(Payroll!$I23,G$2,"M")/Payroll!$K23,0))),0))</f>
        <v/>
      </c>
      <c r="H99" s="56">
        <f>IF(H$2=Payroll!$I23,Payroll!$F23,IF(H$2&gt;Payroll!$I23,Payroll!$F23*((1+Payroll!$J23)^(ROUNDDOWN(DATEDIF(Payroll!$I23,H$2,"M")/Payroll!$K23,0))),0))</f>
        <v/>
      </c>
      <c r="I99" s="56">
        <f>IF(I$2=Payroll!$I23,Payroll!$F23,IF(I$2&gt;Payroll!$I23,Payroll!$F23*((1+Payroll!$J23)^(ROUNDDOWN(DATEDIF(Payroll!$I23,I$2,"M")/Payroll!$K23,0))),0))</f>
        <v/>
      </c>
      <c r="J99" s="56">
        <f>IF(J$2=Payroll!$I23,Payroll!$F23,IF(J$2&gt;Payroll!$I23,Payroll!$F23*((1+Payroll!$J23)^(ROUNDDOWN(DATEDIF(Payroll!$I23,J$2,"M")/Payroll!$K23,0))),0))</f>
        <v/>
      </c>
      <c r="K99" s="56">
        <f>IF(K$2=Payroll!$I23,Payroll!$F23,IF(K$2&gt;Payroll!$I23,Payroll!$F23*((1+Payroll!$J23)^(ROUNDDOWN(DATEDIF(Payroll!$I23,K$2,"M")/Payroll!$K23,0))),0))</f>
        <v/>
      </c>
      <c r="L99" s="56">
        <f>IF(L$2=Payroll!$I23,Payroll!$F23,IF(L$2&gt;Payroll!$I23,Payroll!$F23*((1+Payroll!$J23)^(ROUNDDOWN(DATEDIF(Payroll!$I23,L$2,"M")/Payroll!$K23,0))),0))</f>
        <v/>
      </c>
      <c r="M99" s="56">
        <f>IF(M$2=Payroll!$I23,Payroll!$F23,IF(M$2&gt;Payroll!$I23,Payroll!$F23*((1+Payroll!$J23)^(ROUNDDOWN(DATEDIF(Payroll!$I23,M$2,"M")/Payroll!$K23,0))),0))</f>
        <v/>
      </c>
      <c r="N99" s="56">
        <f>IF(N$2=Payroll!$I23,Payroll!$F23,IF(N$2&gt;Payroll!$I23,Payroll!$F23*((1+Payroll!$J23)^(ROUNDDOWN(DATEDIF(Payroll!$I23,N$2,"M")/Payroll!$K23,0))),0))</f>
        <v/>
      </c>
      <c r="O99" s="56">
        <f>IF(O$2=Payroll!$I23,Payroll!$F23,IF(O$2&gt;Payroll!$I23,Payroll!$F23*((1+Payroll!$J23)^(ROUNDDOWN(DATEDIF(Payroll!$I23,O$2,"M")/Payroll!$K23,0))),0))</f>
        <v/>
      </c>
      <c r="P99" s="56">
        <f>IF(P$2=Payroll!$I23,Payroll!$F23,IF(P$2&gt;Payroll!$I23,Payroll!$F23*((1+Payroll!$J23)^(ROUNDDOWN(DATEDIF(Payroll!$I23,P$2,"M")/Payroll!$K23,0))),0))</f>
        <v/>
      </c>
      <c r="Q99" s="56">
        <f>IF(Q$2=Payroll!$I23,Payroll!$F23,IF(Q$2&gt;Payroll!$I23,Payroll!$F23*((1+Payroll!$J23)^(ROUNDDOWN(DATEDIF(Payroll!$I23,Q$2,"M")/Payroll!$K23,0))),0))</f>
        <v/>
      </c>
      <c r="R99" s="56">
        <f>IF(R$2=Payroll!$I23,Payroll!$F23,IF(R$2&gt;Payroll!$I23,Payroll!$F23*((1+Payroll!$J23)^(ROUNDDOWN(DATEDIF(Payroll!$I23,R$2,"M")/Payroll!$K23,0))),0))</f>
        <v/>
      </c>
      <c r="S99" s="56">
        <f>IF(S$2=Payroll!$I23,Payroll!$F23,IF(S$2&gt;Payroll!$I23,Payroll!$F23*((1+Payroll!$J23)^(ROUNDDOWN(DATEDIF(Payroll!$I23,S$2,"M")/Payroll!$K23,0))),0))</f>
        <v/>
      </c>
      <c r="T99" s="56">
        <f>IF(T$2=Payroll!$I23,Payroll!$F23,IF(T$2&gt;Payroll!$I23,Payroll!$F23*((1+Payroll!$J23)^(ROUNDDOWN(DATEDIF(Payroll!$I23,T$2,"M")/Payroll!$K23,0))),0))</f>
        <v/>
      </c>
      <c r="U99" s="56">
        <f>IF(U$2=Payroll!$I23,Payroll!$F23,IF(U$2&gt;Payroll!$I23,Payroll!$F23*((1+Payroll!$J23)^(ROUNDDOWN(DATEDIF(Payroll!$I23,U$2,"M")/Payroll!$K23,0))),0))</f>
        <v/>
      </c>
      <c r="V99" s="56">
        <f>IF(V$2=Payroll!$I23,Payroll!$F23,IF(V$2&gt;Payroll!$I23,Payroll!$F23*((1+Payroll!$J23)^(ROUNDDOWN(DATEDIF(Payroll!$I23,V$2,"M")/Payroll!$K23,0))),0))</f>
        <v/>
      </c>
      <c r="W99" s="56">
        <f>IF(W$2=Payroll!$I23,Payroll!$F23,IF(W$2&gt;Payroll!$I23,Payroll!$F23*((1+Payroll!$J23)^(ROUNDDOWN(DATEDIF(Payroll!$I23,W$2,"M")/Payroll!$K23,0))),0))</f>
        <v/>
      </c>
      <c r="X99" s="56">
        <f>IF(X$2=Payroll!$I23,Payroll!$F23,IF(X$2&gt;Payroll!$I23,Payroll!$F23*((1+Payroll!$J23)^(ROUNDDOWN(DATEDIF(Payroll!$I23,X$2,"M")/Payroll!$K23,0))),0))</f>
        <v/>
      </c>
      <c r="Y99" s="56">
        <f>IF(Y$2=Payroll!$I23,Payroll!$F23,IF(Y$2&gt;Payroll!$I23,Payroll!$F23*((1+Payroll!$J23)^(ROUNDDOWN(DATEDIF(Payroll!$I23,Y$2,"M")/Payroll!$K23,0))),0))</f>
        <v/>
      </c>
      <c r="Z99" s="56">
        <f>IF(Z$2=Payroll!$I23,Payroll!$F23,IF(Z$2&gt;Payroll!$I23,Payroll!$F23*((1+Payroll!$J23)^(ROUNDDOWN(DATEDIF(Payroll!$I23,Z$2,"M")/Payroll!$K23,0))),0))</f>
        <v/>
      </c>
      <c r="AA99" s="56">
        <f>IF(AA$2=Payroll!$I23,Payroll!$F23,IF(AA$2&gt;Payroll!$I23,Payroll!$F23*((1+Payroll!$J23)^(ROUNDDOWN(DATEDIF(Payroll!$I23,AA$2,"M")/Payroll!$K23,0))),0))</f>
        <v/>
      </c>
      <c r="AB99" s="56">
        <f>IF(AB$2=Payroll!$I23,Payroll!$F23,IF(AB$2&gt;Payroll!$I23,Payroll!$F23*((1+Payroll!$J23)^(ROUNDDOWN(DATEDIF(Payroll!$I23,AB$2,"M")/Payroll!$K23,0))),0))</f>
        <v/>
      </c>
      <c r="AC99" s="56">
        <f>IF(AC$2=Payroll!$I23,Payroll!$F23,IF(AC$2&gt;Payroll!$I23,Payroll!$F23*((1+Payroll!$J23)^(ROUNDDOWN(DATEDIF(Payroll!$I23,AC$2,"M")/Payroll!$K23,0))),0))</f>
        <v/>
      </c>
      <c r="AD99" s="56">
        <f>IF(AD$2=Payroll!$I23,Payroll!$F23,IF(AD$2&gt;Payroll!$I23,Payroll!$F23*((1+Payroll!$J23)^(ROUNDDOWN(DATEDIF(Payroll!$I23,AD$2,"M")/Payroll!$K23,0))),0))</f>
        <v/>
      </c>
      <c r="AE99" s="56">
        <f>IF(AE$2=Payroll!$I23,Payroll!$F23,IF(AE$2&gt;Payroll!$I23,Payroll!$F23*((1+Payroll!$J23)^(ROUNDDOWN(DATEDIF(Payroll!$I23,AE$2,"M")/Payroll!$K23,0))),0))</f>
        <v/>
      </c>
      <c r="AF99" s="56">
        <f>IF(AF$2=Payroll!$I23,Payroll!$F23,IF(AF$2&gt;Payroll!$I23,Payroll!$F23*((1+Payroll!$J23)^(ROUNDDOWN(DATEDIF(Payroll!$I23,AF$2,"M")/Payroll!$K23,0))),0))</f>
        <v/>
      </c>
      <c r="AG99" s="56">
        <f>IF(AG$2=Payroll!$I23,Payroll!$F23,IF(AG$2&gt;Payroll!$I23,Payroll!$F23*((1+Payroll!$J23)^(ROUNDDOWN(DATEDIF(Payroll!$I23,AG$2,"M")/Payroll!$K23,0))),0))</f>
        <v/>
      </c>
      <c r="AH99" s="56">
        <f>IF(AH$2=Payroll!$I23,Payroll!$F23,IF(AH$2&gt;Payroll!$I23,Payroll!$F23*((1+Payroll!$J23)^(ROUNDDOWN(DATEDIF(Payroll!$I23,AH$2,"M")/Payroll!$K23,0))),0))</f>
        <v/>
      </c>
      <c r="AI99" s="56">
        <f>IF(AI$2=Payroll!$I23,Payroll!$F23,IF(AI$2&gt;Payroll!$I23,Payroll!$F23*((1+Payroll!$J23)^(ROUNDDOWN(DATEDIF(Payroll!$I23,AI$2,"M")/Payroll!$K23,0))),0))</f>
        <v/>
      </c>
      <c r="AJ99" s="56">
        <f>IF(AJ$2=Payroll!$I23,Payroll!$F23,IF(AJ$2&gt;Payroll!$I23,Payroll!$F23*((1+Payroll!$J23)^(ROUNDDOWN(DATEDIF(Payroll!$I23,AJ$2,"M")/Payroll!$K23,0))),0))</f>
        <v/>
      </c>
      <c r="AK99" s="56">
        <f>IF(AK$2=Payroll!$I23,Payroll!$F23,IF(AK$2&gt;Payroll!$I23,Payroll!$F23*((1+Payroll!$J23)^(ROUNDDOWN(DATEDIF(Payroll!$I23,AK$2,"M")/Payroll!$K23,0))),0))</f>
        <v/>
      </c>
      <c r="AL99" s="56">
        <f>IF(AL$2=Payroll!$I23,Payroll!$F23,IF(AL$2&gt;Payroll!$I23,Payroll!$F23*((1+Payroll!$J23)^(ROUNDDOWN(DATEDIF(Payroll!$I23,AL$2,"M")/Payroll!$K23,0))),0))</f>
        <v/>
      </c>
      <c r="AM99" s="56">
        <f>IF(AM$2=Payroll!$I23,Payroll!$F23,IF(AM$2&gt;Payroll!$I23,Payroll!$F23*((1+Payroll!$J23)^(ROUNDDOWN(DATEDIF(Payroll!$I23,AM$2,"M")/Payroll!$K23,0))),0))</f>
        <v/>
      </c>
      <c r="AN99" s="56">
        <f>IF(AN$2=Payroll!$I23,Payroll!$F23,IF(AN$2&gt;Payroll!$I23,Payroll!$F23*((1+Payroll!$J23)^(ROUNDDOWN(DATEDIF(Payroll!$I23,AN$2,"M")/Payroll!$K23,0))),0))</f>
        <v/>
      </c>
      <c r="AO99" s="56">
        <f>IF(AO$2=Payroll!$I23,Payroll!$F23,IF(AO$2&gt;Payroll!$I23,Payroll!$F23*((1+Payroll!$J23)^(ROUNDDOWN(DATEDIF(Payroll!$I23,AO$2,"M")/Payroll!$K23,0))),0))</f>
        <v/>
      </c>
      <c r="AP99" s="56">
        <f>IF(AP$2=Payroll!$I23,Payroll!$F23,IF(AP$2&gt;Payroll!$I23,Payroll!$F23*((1+Payroll!$J23)^(ROUNDDOWN(DATEDIF(Payroll!$I23,AP$2,"M")/Payroll!$K23,0))),0))</f>
        <v/>
      </c>
      <c r="AQ99" s="56">
        <f>IF(AQ$2=Payroll!$I23,Payroll!$F23,IF(AQ$2&gt;Payroll!$I23,Payroll!$F23*((1+Payroll!$J23)^(ROUNDDOWN(DATEDIF(Payroll!$I23,AQ$2,"M")/Payroll!$K23,0))),0))</f>
        <v/>
      </c>
      <c r="AR99" s="56">
        <f>IF(AR$2=Payroll!$I23,Payroll!$F23,IF(AR$2&gt;Payroll!$I23,Payroll!$F23*((1+Payroll!$J23)^(ROUNDDOWN(DATEDIF(Payroll!$I23,AR$2,"M")/Payroll!$K23,0))),0))</f>
        <v/>
      </c>
      <c r="AS99" s="56">
        <f>IF(AS$2=Payroll!$I23,Payroll!$F23,IF(AS$2&gt;Payroll!$I23,Payroll!$F23*((1+Payroll!$J23)^(ROUNDDOWN(DATEDIF(Payroll!$I23,AS$2,"M")/Payroll!$K23,0))),0))</f>
        <v/>
      </c>
      <c r="AT99" s="56">
        <f>IF(AT$2=Payroll!$I23,Payroll!$F23,IF(AT$2&gt;Payroll!$I23,Payroll!$F23*((1+Payroll!$J23)^(ROUNDDOWN(DATEDIF(Payroll!$I23,AT$2,"M")/Payroll!$K23,0))),0))</f>
        <v/>
      </c>
      <c r="AU99" s="56">
        <f>IF(AU$2=Payroll!$I23,Payroll!$F23,IF(AU$2&gt;Payroll!$I23,Payroll!$F23*((1+Payroll!$J23)^(ROUNDDOWN(DATEDIF(Payroll!$I23,AU$2,"M")/Payroll!$K23,0))),0))</f>
        <v/>
      </c>
      <c r="AV99" s="56">
        <f>IF(AV$2=Payroll!$I23,Payroll!$F23,IF(AV$2&gt;Payroll!$I23,Payroll!$F23*((1+Payroll!$J23)^(ROUNDDOWN(DATEDIF(Payroll!$I23,AV$2,"M")/Payroll!$K23,0))),0))</f>
        <v/>
      </c>
      <c r="AW99" s="56">
        <f>IF(AW$2=Payroll!$I23,Payroll!$F23,IF(AW$2&gt;Payroll!$I23,Payroll!$F23*((1+Payroll!$J23)^(ROUNDDOWN(DATEDIF(Payroll!$I23,AW$2,"M")/Payroll!$K23,0))),0))</f>
        <v/>
      </c>
      <c r="AX99" s="56">
        <f>IF(AX$2=Payroll!$I23,Payroll!$F23,IF(AX$2&gt;Payroll!$I23,Payroll!$F23*((1+Payroll!$J23)^(ROUNDDOWN(DATEDIF(Payroll!$I23,AX$2,"M")/Payroll!$K23,0))),0))</f>
        <v/>
      </c>
      <c r="AY99" s="56">
        <f>IF(AY$2=Payroll!$I23,Payroll!$F23,IF(AY$2&gt;Payroll!$I23,Payroll!$F23*((1+Payroll!$J23)^(ROUNDDOWN(DATEDIF(Payroll!$I23,AY$2,"M")/Payroll!$K23,0))),0))</f>
        <v/>
      </c>
      <c r="AZ99" s="56">
        <f>IF(AZ$2=Payroll!$I23,Payroll!$F23,IF(AZ$2&gt;Payroll!$I23,Payroll!$F23*((1+Payroll!$J23)^(ROUNDDOWN(DATEDIF(Payroll!$I23,AZ$2,"M")/Payroll!$K23,0))),0))</f>
        <v/>
      </c>
      <c r="BA99" s="56">
        <f>IF(BA$2=Payroll!$I23,Payroll!$F23,IF(BA$2&gt;Payroll!$I23,Payroll!$F23*((1+Payroll!$J23)^(ROUNDDOWN(DATEDIF(Payroll!$I23,BA$2,"M")/Payroll!$K23,0))),0))</f>
        <v/>
      </c>
      <c r="BB99" s="56">
        <f>IF(BB$2=Payroll!$I23,Payroll!$F23,IF(BB$2&gt;Payroll!$I23,Payroll!$F23*((1+Payroll!$J23)^(ROUNDDOWN(DATEDIF(Payroll!$I23,BB$2,"M")/Payroll!$K23,0))),0))</f>
        <v/>
      </c>
      <c r="BC99" s="56">
        <f>IF(BC$2=Payroll!$I23,Payroll!$F23,IF(BC$2&gt;Payroll!$I23,Payroll!$F23*((1+Payroll!$J23)^(ROUNDDOWN(DATEDIF(Payroll!$I23,BC$2,"M")/Payroll!$K23,0))),0))</f>
        <v/>
      </c>
      <c r="BD99" s="56">
        <f>IF(BD$2=Payroll!$I23,Payroll!$F23,IF(BD$2&gt;Payroll!$I23,Payroll!$F23*((1+Payroll!$J23)^(ROUNDDOWN(DATEDIF(Payroll!$I23,BD$2,"M")/Payroll!$K23,0))),0))</f>
        <v/>
      </c>
      <c r="BE99" s="56">
        <f>IF(BE$2=Payroll!$I23,Payroll!$F23,IF(BE$2&gt;Payroll!$I23,Payroll!$F23*((1+Payroll!$J23)^(ROUNDDOWN(DATEDIF(Payroll!$I23,BE$2,"M")/Payroll!$K23,0))),0))</f>
        <v/>
      </c>
      <c r="BF99" s="56">
        <f>IF(BF$2=Payroll!$I23,Payroll!$F23,IF(BF$2&gt;Payroll!$I23,Payroll!$F23*((1+Payroll!$J23)^(ROUNDDOWN(DATEDIF(Payroll!$I23,BF$2,"M")/Payroll!$K23,0))),0))</f>
        <v/>
      </c>
      <c r="BG99" s="56">
        <f>IF(BG$2=Payroll!$I23,Payroll!$F23,IF(BG$2&gt;Payroll!$I23,Payroll!$F23*((1+Payroll!$J23)^(ROUNDDOWN(DATEDIF(Payroll!$I23,BG$2,"M")/Payroll!$K23,0))),0))</f>
        <v/>
      </c>
      <c r="BH99" s="56">
        <f>IF(BH$2=Payroll!$I23,Payroll!$F23,IF(BH$2&gt;Payroll!$I23,Payroll!$F23*((1+Payroll!$J23)^(ROUNDDOWN(DATEDIF(Payroll!$I23,BH$2,"M")/Payroll!$K23,0))),0))</f>
        <v/>
      </c>
      <c r="BI99" s="56">
        <f>IF(BI$2=Payroll!$I23,Payroll!$F23,IF(BI$2&gt;Payroll!$I23,Payroll!$F23*((1+Payroll!$J23)^(ROUNDDOWN(DATEDIF(Payroll!$I23,BI$2,"M")/Payroll!$K23,0))),0))</f>
        <v/>
      </c>
      <c r="BJ99" s="56">
        <f>IF(BJ$2=Payroll!$I23,Payroll!$F23,IF(BJ$2&gt;Payroll!$I23,Payroll!$F23*((1+Payroll!$J23)^(ROUNDDOWN(DATEDIF(Payroll!$I23,BJ$2,"M")/Payroll!$K23,0))),0))</f>
        <v/>
      </c>
      <c r="BK99" s="56">
        <f>IF(BK$2=Payroll!$I23,Payroll!$F23,IF(BK$2&gt;Payroll!$I23,Payroll!$F23*((1+Payroll!$J23)^(ROUNDDOWN(DATEDIF(Payroll!$I23,BK$2,"M")/Payroll!$K23,0))),0))</f>
        <v/>
      </c>
      <c r="BL99" s="56">
        <f>IF(BL$2=Payroll!$I23,Payroll!$F23,IF(BL$2&gt;Payroll!$I23,Payroll!$F23*((1+Payroll!$J23)^(ROUNDDOWN(DATEDIF(Payroll!$I23,BL$2,"M")/Payroll!$K23,0))),0))</f>
        <v/>
      </c>
      <c r="BM99" s="56">
        <f>IF(BM$2=Payroll!$I23,Payroll!$F23,IF(BM$2&gt;Payroll!$I23,Payroll!$F23*((1+Payroll!$J23)^(ROUNDDOWN(DATEDIF(Payroll!$I23,BM$2,"M")/Payroll!$K23,0))),0))</f>
        <v/>
      </c>
      <c r="BN99" s="56">
        <f>IF(BN$2=Payroll!$I23,Payroll!$F23,IF(BN$2&gt;Payroll!$I23,Payroll!$F23*((1+Payroll!$J23)^(ROUNDDOWN(DATEDIF(Payroll!$I23,BN$2,"M")/Payroll!$K23,0))),0))</f>
        <v/>
      </c>
      <c r="BO99" s="56">
        <f>IF(BO$2=Payroll!$I23,Payroll!$F23,IF(BO$2&gt;Payroll!$I23,Payroll!$F23*((1+Payroll!$J23)^(ROUNDDOWN(DATEDIF(Payroll!$I23,BO$2,"M")/Payroll!$K23,0))),0))</f>
        <v/>
      </c>
      <c r="BP99" s="56">
        <f>IF(BP$2=Payroll!$I23,Payroll!$F23,IF(BP$2&gt;Payroll!$I23,Payroll!$F23*((1+Payroll!$J23)^(ROUNDDOWN(DATEDIF(Payroll!$I23,BP$2,"M")/Payroll!$K23,0))),0))</f>
        <v/>
      </c>
      <c r="BQ99" s="56">
        <f>IF(BQ$2=Payroll!$I23,Payroll!$F23,IF(BQ$2&gt;Payroll!$I23,Payroll!$F23*((1+Payroll!$J23)^(ROUNDDOWN(DATEDIF(Payroll!$I23,BQ$2,"M")/Payroll!$K23,0))),0))</f>
        <v/>
      </c>
      <c r="BR99" s="56">
        <f>IF(BR$2=Payroll!$I23,Payroll!$F23,IF(BR$2&gt;Payroll!$I23,Payroll!$F23*((1+Payroll!$J23)^(ROUNDDOWN(DATEDIF(Payroll!$I23,BR$2,"M")/Payroll!$K23,0))),0))</f>
        <v/>
      </c>
      <c r="BS99" s="56">
        <f>IF(BS$2=Payroll!$I23,Payroll!$F23,IF(BS$2&gt;Payroll!$I23,Payroll!$F23*((1+Payroll!$J23)^(ROUNDDOWN(DATEDIF(Payroll!$I23,BS$2,"M")/Payroll!$K23,0))),0))</f>
        <v/>
      </c>
      <c r="BT99" s="56">
        <f>IF(BT$2=Payroll!$I23,Payroll!$F23,IF(BT$2&gt;Payroll!$I23,Payroll!$F23*((1+Payroll!$J23)^(ROUNDDOWN(DATEDIF(Payroll!$I23,BT$2,"M")/Payroll!$K23,0))),0))</f>
        <v/>
      </c>
      <c r="BU99" s="56">
        <f>IF(BU$2=Payroll!$I23,Payroll!$F23,IF(BU$2&gt;Payroll!$I23,Payroll!$F23*((1+Payroll!$J23)^(ROUNDDOWN(DATEDIF(Payroll!$I23,BU$2,"M")/Payroll!$K23,0))),0))</f>
        <v/>
      </c>
      <c r="BV99" s="56">
        <f>IF(BV$2=Payroll!$I23,Payroll!$F23,IF(BV$2&gt;Payroll!$I23,Payroll!$F23*((1+Payroll!$J23)^(ROUNDDOWN(DATEDIF(Payroll!$I23,BV$2,"M")/Payroll!$K23,0))),0))</f>
        <v/>
      </c>
      <c r="BW99" s="56">
        <f>IF(BW$2=Payroll!$I23,Payroll!$F23,IF(BW$2&gt;Payroll!$I23,Payroll!$F23*((1+Payroll!$J23)^(ROUNDDOWN(DATEDIF(Payroll!$I23,BW$2,"M")/Payroll!$K23,0))),0))</f>
        <v/>
      </c>
      <c r="BX99" s="56">
        <f>IF(BX$2=Payroll!$I23,Payroll!$F23,IF(BX$2&gt;Payroll!$I23,Payroll!$F23*((1+Payroll!$J23)^(ROUNDDOWN(DATEDIF(Payroll!$I23,BX$2,"M")/Payroll!$K23,0))),0))</f>
        <v/>
      </c>
      <c r="BY99" s="56">
        <f>IF(BY$2=Payroll!$I23,Payroll!$F23,IF(BY$2&gt;Payroll!$I23,Payroll!$F23*((1+Payroll!$J23)^(ROUNDDOWN(DATEDIF(Payroll!$I23,BY$2,"M")/Payroll!$K23,0))),0))</f>
        <v/>
      </c>
      <c r="BZ99" s="56">
        <f>IF(BZ$2=Payroll!$I23,Payroll!$F23,IF(BZ$2&gt;Payroll!$I23,Payroll!$F23*((1+Payroll!$J23)^(ROUNDDOWN(DATEDIF(Payroll!$I23,BZ$2,"M")/Payroll!$K23,0))),0))</f>
        <v/>
      </c>
      <c r="CA99" s="56">
        <f>IF(CA$2=Payroll!$I23,Payroll!$F23,IF(CA$2&gt;Payroll!$I23,Payroll!$F23*((1+Payroll!$J23)^(ROUNDDOWN(DATEDIF(Payroll!$I23,CA$2,"M")/Payroll!$K23,0))),0))</f>
        <v/>
      </c>
      <c r="CB99" s="56">
        <f>IF(CB$2=Payroll!$I23,Payroll!$F23,IF(CB$2&gt;Payroll!$I23,Payroll!$F23*((1+Payroll!$J23)^(ROUNDDOWN(DATEDIF(Payroll!$I23,CB$2,"M")/Payroll!$K23,0))),0))</f>
        <v/>
      </c>
      <c r="CC99" s="56">
        <f>IF(CC$2=Payroll!$I23,Payroll!$F23,IF(CC$2&gt;Payroll!$I23,Payroll!$F23*((1+Payroll!$J23)^(ROUNDDOWN(DATEDIF(Payroll!$I23,CC$2,"M")/Payroll!$K23,0))),0))</f>
        <v/>
      </c>
      <c r="CD99" s="56">
        <f>IF(CD$2=Payroll!$I23,Payroll!$F23,IF(CD$2&gt;Payroll!$I23,Payroll!$F23*((1+Payroll!$J23)^(ROUNDDOWN(DATEDIF(Payroll!$I23,CD$2,"M")/Payroll!$K23,0))),0))</f>
        <v/>
      </c>
      <c r="CE99" s="56">
        <f>IF(CE$2=Payroll!$I23,Payroll!$F23,IF(CE$2&gt;Payroll!$I23,Payroll!$F23*((1+Payroll!$J23)^(ROUNDDOWN(DATEDIF(Payroll!$I23,CE$2,"M")/Payroll!$K23,0))),0))</f>
        <v/>
      </c>
      <c r="CF99" s="56">
        <f>IF(CF$2=Payroll!$I23,Payroll!$F23,IF(CF$2&gt;Payroll!$I23,Payroll!$F23*((1+Payroll!$J23)^(ROUNDDOWN(DATEDIF(Payroll!$I23,CF$2,"M")/Payroll!$K23,0))),0))</f>
        <v/>
      </c>
      <c r="CG99" s="56">
        <f>IF(CG$2=Payroll!$I23,Payroll!$F23,IF(CG$2&gt;Payroll!$I23,Payroll!$F23*((1+Payroll!$J23)^(ROUNDDOWN(DATEDIF(Payroll!$I23,CG$2,"M")/Payroll!$K23,0))),0))</f>
        <v/>
      </c>
      <c r="CH99" s="56">
        <f>IF(CH$2=Payroll!$I23,Payroll!$F23,IF(CH$2&gt;Payroll!$I23,Payroll!$F23*((1+Payroll!$J23)^(ROUNDDOWN(DATEDIF(Payroll!$I23,CH$2,"M")/Payroll!$K23,0))),0))</f>
        <v/>
      </c>
      <c r="CI99" s="56">
        <f>IF(CI$2=Payroll!$I23,Payroll!$F23,IF(CI$2&gt;Payroll!$I23,Payroll!$F23*((1+Payroll!$J23)^(ROUNDDOWN(DATEDIF(Payroll!$I23,CI$2,"M")/Payroll!$K23,0))),0))</f>
        <v/>
      </c>
      <c r="CJ99" s="56">
        <f>IF(CJ$2=Payroll!$I23,Payroll!$F23,IF(CJ$2&gt;Payroll!$I23,Payroll!$F23*((1+Payroll!$J23)^(ROUNDDOWN(DATEDIF(Payroll!$I23,CJ$2,"M")/Payroll!$K23,0))),0))</f>
        <v/>
      </c>
      <c r="CK99" s="56">
        <f>IF(CK$2=Payroll!$I23,Payroll!$F23,IF(CK$2&gt;Payroll!$I23,Payroll!$F23*((1+Payroll!$J23)^(ROUNDDOWN(DATEDIF(Payroll!$I23,CK$2,"M")/Payroll!$K23,0))),0))</f>
        <v/>
      </c>
      <c r="CL99" s="56">
        <f>IF(CL$2=Payroll!$I23,Payroll!$F23,IF(CL$2&gt;Payroll!$I23,Payroll!$F23*((1+Payroll!$J23)^(ROUNDDOWN(DATEDIF(Payroll!$I23,CL$2,"M")/Payroll!$K23,0))),0))</f>
        <v/>
      </c>
      <c r="CM99" s="56">
        <f>IF(CM$2=Payroll!$I23,Payroll!$F23,IF(CM$2&gt;Payroll!$I23,Payroll!$F23*((1+Payroll!$J23)^(ROUNDDOWN(DATEDIF(Payroll!$I23,CM$2,"M")/Payroll!$K23,0))),0))</f>
        <v/>
      </c>
      <c r="CN99" s="56">
        <f>IF(CN$2=Payroll!$I23,Payroll!$F23,IF(CN$2&gt;Payroll!$I23,Payroll!$F23*((1+Payroll!$J23)^(ROUNDDOWN(DATEDIF(Payroll!$I23,CN$2,"M")/Payroll!$K23,0))),0))</f>
        <v/>
      </c>
      <c r="CO99" s="56">
        <f>IF(CO$2=Payroll!$I23,Payroll!$F23,IF(CO$2&gt;Payroll!$I23,Payroll!$F23*((1+Payroll!$J23)^(ROUNDDOWN(DATEDIF(Payroll!$I23,CO$2,"M")/Payroll!$K23,0))),0))</f>
        <v/>
      </c>
      <c r="CP99" s="56">
        <f>IF(CP$2=Payroll!$I23,Payroll!$F23,IF(CP$2&gt;Payroll!$I23,Payroll!$F23*((1+Payroll!$J23)^(ROUNDDOWN(DATEDIF(Payroll!$I23,CP$2,"M")/Payroll!$K23,0))),0))</f>
        <v/>
      </c>
      <c r="CQ99" s="56">
        <f>IF(CQ$2=Payroll!$I23,Payroll!$F23,IF(CQ$2&gt;Payroll!$I23,Payroll!$F23*((1+Payroll!$J23)^(ROUNDDOWN(DATEDIF(Payroll!$I23,CQ$2,"M")/Payroll!$K23,0))),0))</f>
        <v/>
      </c>
      <c r="CR99" s="56">
        <f>IF(CR$2=Payroll!$I23,Payroll!$F23,IF(CR$2&gt;Payroll!$I23,Payroll!$F23*((1+Payroll!$J23)^(ROUNDDOWN(DATEDIF(Payroll!$I23,CR$2,"M")/Payroll!$K23,0))),0))</f>
        <v/>
      </c>
      <c r="CS99" s="56">
        <f>IF(CS$2=Payroll!$I23,Payroll!$F23,IF(CS$2&gt;Payroll!$I23,Payroll!$F23*((1+Payroll!$J23)^(ROUNDDOWN(DATEDIF(Payroll!$I23,CS$2,"M")/Payroll!$K23,0))),0))</f>
        <v/>
      </c>
      <c r="CT99" s="56">
        <f>IF(CT$2=Payroll!$I23,Payroll!$F23,IF(CT$2&gt;Payroll!$I23,Payroll!$F23*((1+Payroll!$J23)^(ROUNDDOWN(DATEDIF(Payroll!$I23,CT$2,"M")/Payroll!$K23,0))),0))</f>
        <v/>
      </c>
      <c r="CU99" s="56">
        <f>IF(CU$2=Payroll!$I23,Payroll!$F23,IF(CU$2&gt;Payroll!$I23,Payroll!$F23*((1+Payroll!$J23)^(ROUNDDOWN(DATEDIF(Payroll!$I23,CU$2,"M")/Payroll!$K23,0))),0))</f>
        <v/>
      </c>
      <c r="CV99" s="56">
        <f>IF(CV$2=Payroll!$I23,Payroll!$F23,IF(CV$2&gt;Payroll!$I23,Payroll!$F23*((1+Payroll!$J23)^(ROUNDDOWN(DATEDIF(Payroll!$I23,CV$2,"M")/Payroll!$K23,0))),0))</f>
        <v/>
      </c>
      <c r="CW99" s="56">
        <f>IF(CW$2=Payroll!$I23,Payroll!$F23,IF(CW$2&gt;Payroll!$I23,Payroll!$F23*((1+Payroll!$J23)^(ROUNDDOWN(DATEDIF(Payroll!$I23,CW$2,"M")/Payroll!$K23,0))),0))</f>
        <v/>
      </c>
      <c r="CX99" s="56">
        <f>IF(CX$2=Payroll!$I23,Payroll!$F23,IF(CX$2&gt;Payroll!$I23,Payroll!$F23*((1+Payroll!$J23)^(ROUNDDOWN(DATEDIF(Payroll!$I23,CX$2,"M")/Payroll!$K23,0))),0))</f>
        <v/>
      </c>
    </row>
    <row r="100" outlineLevel="2" ht="15.75" customHeight="1" s="255">
      <c r="A100" s="56">
        <f>Payroll!A24</f>
        <v/>
      </c>
      <c r="B100" s="56" t="n"/>
      <c r="C100" s="56" t="n"/>
      <c r="D100" s="56" t="n"/>
      <c r="E100" s="56">
        <f>IF(E$2=Payroll!$I24,Payroll!$F24,IF(E$2&gt;Payroll!$I24,Payroll!$F24*((1+Payroll!$J24)^(ROUNDDOWN(DATEDIF(Payroll!$I24,E$2,"M")/Payroll!$K24,0))),0))</f>
        <v/>
      </c>
      <c r="F100" s="56">
        <f>IF(F$2=Payroll!$I24,Payroll!$F24,IF(F$2&gt;Payroll!$I24,Payroll!$F24*((1+Payroll!$J24)^(ROUNDDOWN(DATEDIF(Payroll!$I24,F$2,"M")/Payroll!$K24,0))),0))</f>
        <v/>
      </c>
      <c r="G100" s="56">
        <f>IF(G$2=Payroll!$I24,Payroll!$F24,IF(G$2&gt;Payroll!$I24,Payroll!$F24*((1+Payroll!$J24)^(ROUNDDOWN(DATEDIF(Payroll!$I24,G$2,"M")/Payroll!$K24,0))),0))</f>
        <v/>
      </c>
      <c r="H100" s="56">
        <f>IF(H$2=Payroll!$I24,Payroll!$F24,IF(H$2&gt;Payroll!$I24,Payroll!$F24*((1+Payroll!$J24)^(ROUNDDOWN(DATEDIF(Payroll!$I24,H$2,"M")/Payroll!$K24,0))),0))</f>
        <v/>
      </c>
      <c r="I100" s="56">
        <f>IF(I$2=Payroll!$I24,Payroll!$F24,IF(I$2&gt;Payroll!$I24,Payroll!$F24*((1+Payroll!$J24)^(ROUNDDOWN(DATEDIF(Payroll!$I24,I$2,"M")/Payroll!$K24,0))),0))</f>
        <v/>
      </c>
      <c r="J100" s="56">
        <f>IF(J$2=Payroll!$I24,Payroll!$F24,IF(J$2&gt;Payroll!$I24,Payroll!$F24*((1+Payroll!$J24)^(ROUNDDOWN(DATEDIF(Payroll!$I24,J$2,"M")/Payroll!$K24,0))),0))</f>
        <v/>
      </c>
      <c r="K100" s="56">
        <f>IF(K$2=Payroll!$I24,Payroll!$F24,IF(K$2&gt;Payroll!$I24,Payroll!$F24*((1+Payroll!$J24)^(ROUNDDOWN(DATEDIF(Payroll!$I24,K$2,"M")/Payroll!$K24,0))),0))</f>
        <v/>
      </c>
      <c r="L100" s="56">
        <f>IF(L$2=Payroll!$I24,Payroll!$F24,IF(L$2&gt;Payroll!$I24,Payroll!$F24*((1+Payroll!$J24)^(ROUNDDOWN(DATEDIF(Payroll!$I24,L$2,"M")/Payroll!$K24,0))),0))</f>
        <v/>
      </c>
      <c r="M100" s="56">
        <f>IF(M$2=Payroll!$I24,Payroll!$F24,IF(M$2&gt;Payroll!$I24,Payroll!$F24*((1+Payroll!$J24)^(ROUNDDOWN(DATEDIF(Payroll!$I24,M$2,"M")/Payroll!$K24,0))),0))</f>
        <v/>
      </c>
      <c r="N100" s="56">
        <f>IF(N$2=Payroll!$I24,Payroll!$F24,IF(N$2&gt;Payroll!$I24,Payroll!$F24*((1+Payroll!$J24)^(ROUNDDOWN(DATEDIF(Payroll!$I24,N$2,"M")/Payroll!$K24,0))),0))</f>
        <v/>
      </c>
      <c r="O100" s="56">
        <f>IF(O$2=Payroll!$I24,Payroll!$F24,IF(O$2&gt;Payroll!$I24,Payroll!$F24*((1+Payroll!$J24)^(ROUNDDOWN(DATEDIF(Payroll!$I24,O$2,"M")/Payroll!$K24,0))),0))</f>
        <v/>
      </c>
      <c r="P100" s="56">
        <f>IF(P$2=Payroll!$I24,Payroll!$F24,IF(P$2&gt;Payroll!$I24,Payroll!$F24*((1+Payroll!$J24)^(ROUNDDOWN(DATEDIF(Payroll!$I24,P$2,"M")/Payroll!$K24,0))),0))</f>
        <v/>
      </c>
      <c r="Q100" s="56">
        <f>IF(Q$2=Payroll!$I24,Payroll!$F24,IF(Q$2&gt;Payroll!$I24,Payroll!$F24*((1+Payroll!$J24)^(ROUNDDOWN(DATEDIF(Payroll!$I24,Q$2,"M")/Payroll!$K24,0))),0))</f>
        <v/>
      </c>
      <c r="R100" s="56">
        <f>IF(R$2=Payroll!$I24,Payroll!$F24,IF(R$2&gt;Payroll!$I24,Payroll!$F24*((1+Payroll!$J24)^(ROUNDDOWN(DATEDIF(Payroll!$I24,R$2,"M")/Payroll!$K24,0))),0))</f>
        <v/>
      </c>
      <c r="S100" s="56">
        <f>IF(S$2=Payroll!$I24,Payroll!$F24,IF(S$2&gt;Payroll!$I24,Payroll!$F24*((1+Payroll!$J24)^(ROUNDDOWN(DATEDIF(Payroll!$I24,S$2,"M")/Payroll!$K24,0))),0))</f>
        <v/>
      </c>
      <c r="T100" s="56">
        <f>IF(T$2=Payroll!$I24,Payroll!$F24,IF(T$2&gt;Payroll!$I24,Payroll!$F24*((1+Payroll!$J24)^(ROUNDDOWN(DATEDIF(Payroll!$I24,T$2,"M")/Payroll!$K24,0))),0))</f>
        <v/>
      </c>
      <c r="U100" s="56">
        <f>IF(U$2=Payroll!$I24,Payroll!$F24,IF(U$2&gt;Payroll!$I24,Payroll!$F24*((1+Payroll!$J24)^(ROUNDDOWN(DATEDIF(Payroll!$I24,U$2,"M")/Payroll!$K24,0))),0))</f>
        <v/>
      </c>
      <c r="V100" s="56">
        <f>IF(V$2=Payroll!$I24,Payroll!$F24,IF(V$2&gt;Payroll!$I24,Payroll!$F24*((1+Payroll!$J24)^(ROUNDDOWN(DATEDIF(Payroll!$I24,V$2,"M")/Payroll!$K24,0))),0))</f>
        <v/>
      </c>
      <c r="W100" s="56">
        <f>IF(W$2=Payroll!$I24,Payroll!$F24,IF(W$2&gt;Payroll!$I24,Payroll!$F24*((1+Payroll!$J24)^(ROUNDDOWN(DATEDIF(Payroll!$I24,W$2,"M")/Payroll!$K24,0))),0))</f>
        <v/>
      </c>
      <c r="X100" s="56">
        <f>IF(X$2=Payroll!$I24,Payroll!$F24,IF(X$2&gt;Payroll!$I24,Payroll!$F24*((1+Payroll!$J24)^(ROUNDDOWN(DATEDIF(Payroll!$I24,X$2,"M")/Payroll!$K24,0))),0))</f>
        <v/>
      </c>
      <c r="Y100" s="56">
        <f>IF(Y$2=Payroll!$I24,Payroll!$F24,IF(Y$2&gt;Payroll!$I24,Payroll!$F24*((1+Payroll!$J24)^(ROUNDDOWN(DATEDIF(Payroll!$I24,Y$2,"M")/Payroll!$K24,0))),0))</f>
        <v/>
      </c>
      <c r="Z100" s="56">
        <f>IF(Z$2=Payroll!$I24,Payroll!$F24,IF(Z$2&gt;Payroll!$I24,Payroll!$F24*((1+Payroll!$J24)^(ROUNDDOWN(DATEDIF(Payroll!$I24,Z$2,"M")/Payroll!$K24,0))),0))</f>
        <v/>
      </c>
      <c r="AA100" s="56">
        <f>IF(AA$2=Payroll!$I24,Payroll!$F24,IF(AA$2&gt;Payroll!$I24,Payroll!$F24*((1+Payroll!$J24)^(ROUNDDOWN(DATEDIF(Payroll!$I24,AA$2,"M")/Payroll!$K24,0))),0))</f>
        <v/>
      </c>
      <c r="AB100" s="56">
        <f>IF(AB$2=Payroll!$I24,Payroll!$F24,IF(AB$2&gt;Payroll!$I24,Payroll!$F24*((1+Payroll!$J24)^(ROUNDDOWN(DATEDIF(Payroll!$I24,AB$2,"M")/Payroll!$K24,0))),0))</f>
        <v/>
      </c>
      <c r="AC100" s="56">
        <f>IF(AC$2=Payroll!$I24,Payroll!$F24,IF(AC$2&gt;Payroll!$I24,Payroll!$F24*((1+Payroll!$J24)^(ROUNDDOWN(DATEDIF(Payroll!$I24,AC$2,"M")/Payroll!$K24,0))),0))</f>
        <v/>
      </c>
      <c r="AD100" s="56">
        <f>IF(AD$2=Payroll!$I24,Payroll!$F24,IF(AD$2&gt;Payroll!$I24,Payroll!$F24*((1+Payroll!$J24)^(ROUNDDOWN(DATEDIF(Payroll!$I24,AD$2,"M")/Payroll!$K24,0))),0))</f>
        <v/>
      </c>
      <c r="AE100" s="56">
        <f>IF(AE$2=Payroll!$I24,Payroll!$F24,IF(AE$2&gt;Payroll!$I24,Payroll!$F24*((1+Payroll!$J24)^(ROUNDDOWN(DATEDIF(Payroll!$I24,AE$2,"M")/Payroll!$K24,0))),0))</f>
        <v/>
      </c>
      <c r="AF100" s="56">
        <f>IF(AF$2=Payroll!$I24,Payroll!$F24,IF(AF$2&gt;Payroll!$I24,Payroll!$F24*((1+Payroll!$J24)^(ROUNDDOWN(DATEDIF(Payroll!$I24,AF$2,"M")/Payroll!$K24,0))),0))</f>
        <v/>
      </c>
      <c r="AG100" s="56">
        <f>IF(AG$2=Payroll!$I24,Payroll!$F24,IF(AG$2&gt;Payroll!$I24,Payroll!$F24*((1+Payroll!$J24)^(ROUNDDOWN(DATEDIF(Payroll!$I24,AG$2,"M")/Payroll!$K24,0))),0))</f>
        <v/>
      </c>
      <c r="AH100" s="56">
        <f>IF(AH$2=Payroll!$I24,Payroll!$F24,IF(AH$2&gt;Payroll!$I24,Payroll!$F24*((1+Payroll!$J24)^(ROUNDDOWN(DATEDIF(Payroll!$I24,AH$2,"M")/Payroll!$K24,0))),0))</f>
        <v/>
      </c>
      <c r="AI100" s="56">
        <f>IF(AI$2=Payroll!$I24,Payroll!$F24,IF(AI$2&gt;Payroll!$I24,Payroll!$F24*((1+Payroll!$J24)^(ROUNDDOWN(DATEDIF(Payroll!$I24,AI$2,"M")/Payroll!$K24,0))),0))</f>
        <v/>
      </c>
      <c r="AJ100" s="56">
        <f>IF(AJ$2=Payroll!$I24,Payroll!$F24,IF(AJ$2&gt;Payroll!$I24,Payroll!$F24*((1+Payroll!$J24)^(ROUNDDOWN(DATEDIF(Payroll!$I24,AJ$2,"M")/Payroll!$K24,0))),0))</f>
        <v/>
      </c>
      <c r="AK100" s="56">
        <f>IF(AK$2=Payroll!$I24,Payroll!$F24,IF(AK$2&gt;Payroll!$I24,Payroll!$F24*((1+Payroll!$J24)^(ROUNDDOWN(DATEDIF(Payroll!$I24,AK$2,"M")/Payroll!$K24,0))),0))</f>
        <v/>
      </c>
      <c r="AL100" s="56">
        <f>IF(AL$2=Payroll!$I24,Payroll!$F24,IF(AL$2&gt;Payroll!$I24,Payroll!$F24*((1+Payroll!$J24)^(ROUNDDOWN(DATEDIF(Payroll!$I24,AL$2,"M")/Payroll!$K24,0))),0))</f>
        <v/>
      </c>
      <c r="AM100" s="56">
        <f>IF(AM$2=Payroll!$I24,Payroll!$F24,IF(AM$2&gt;Payroll!$I24,Payroll!$F24*((1+Payroll!$J24)^(ROUNDDOWN(DATEDIF(Payroll!$I24,AM$2,"M")/Payroll!$K24,0))),0))</f>
        <v/>
      </c>
      <c r="AN100" s="56">
        <f>IF(AN$2=Payroll!$I24,Payroll!$F24,IF(AN$2&gt;Payroll!$I24,Payroll!$F24*((1+Payroll!$J24)^(ROUNDDOWN(DATEDIF(Payroll!$I24,AN$2,"M")/Payroll!$K24,0))),0))</f>
        <v/>
      </c>
      <c r="AO100" s="56">
        <f>IF(AO$2=Payroll!$I24,Payroll!$F24,IF(AO$2&gt;Payroll!$I24,Payroll!$F24*((1+Payroll!$J24)^(ROUNDDOWN(DATEDIF(Payroll!$I24,AO$2,"M")/Payroll!$K24,0))),0))</f>
        <v/>
      </c>
      <c r="AP100" s="56">
        <f>IF(AP$2=Payroll!$I24,Payroll!$F24,IF(AP$2&gt;Payroll!$I24,Payroll!$F24*((1+Payroll!$J24)^(ROUNDDOWN(DATEDIF(Payroll!$I24,AP$2,"M")/Payroll!$K24,0))),0))</f>
        <v/>
      </c>
      <c r="AQ100" s="56">
        <f>IF(AQ$2=Payroll!$I24,Payroll!$F24,IF(AQ$2&gt;Payroll!$I24,Payroll!$F24*((1+Payroll!$J24)^(ROUNDDOWN(DATEDIF(Payroll!$I24,AQ$2,"M")/Payroll!$K24,0))),0))</f>
        <v/>
      </c>
      <c r="AR100" s="56">
        <f>IF(AR$2=Payroll!$I24,Payroll!$F24,IF(AR$2&gt;Payroll!$I24,Payroll!$F24*((1+Payroll!$J24)^(ROUNDDOWN(DATEDIF(Payroll!$I24,AR$2,"M")/Payroll!$K24,0))),0))</f>
        <v/>
      </c>
      <c r="AS100" s="56">
        <f>IF(AS$2=Payroll!$I24,Payroll!$F24,IF(AS$2&gt;Payroll!$I24,Payroll!$F24*((1+Payroll!$J24)^(ROUNDDOWN(DATEDIF(Payroll!$I24,AS$2,"M")/Payroll!$K24,0))),0))</f>
        <v/>
      </c>
      <c r="AT100" s="56">
        <f>IF(AT$2=Payroll!$I24,Payroll!$F24,IF(AT$2&gt;Payroll!$I24,Payroll!$F24*((1+Payroll!$J24)^(ROUNDDOWN(DATEDIF(Payroll!$I24,AT$2,"M")/Payroll!$K24,0))),0))</f>
        <v/>
      </c>
      <c r="AU100" s="56">
        <f>IF(AU$2=Payroll!$I24,Payroll!$F24,IF(AU$2&gt;Payroll!$I24,Payroll!$F24*((1+Payroll!$J24)^(ROUNDDOWN(DATEDIF(Payroll!$I24,AU$2,"M")/Payroll!$K24,0))),0))</f>
        <v/>
      </c>
      <c r="AV100" s="56">
        <f>IF(AV$2=Payroll!$I24,Payroll!$F24,IF(AV$2&gt;Payroll!$I24,Payroll!$F24*((1+Payroll!$J24)^(ROUNDDOWN(DATEDIF(Payroll!$I24,AV$2,"M")/Payroll!$K24,0))),0))</f>
        <v/>
      </c>
      <c r="AW100" s="56">
        <f>IF(AW$2=Payroll!$I24,Payroll!$F24,IF(AW$2&gt;Payroll!$I24,Payroll!$F24*((1+Payroll!$J24)^(ROUNDDOWN(DATEDIF(Payroll!$I24,AW$2,"M")/Payroll!$K24,0))),0))</f>
        <v/>
      </c>
      <c r="AX100" s="56">
        <f>IF(AX$2=Payroll!$I24,Payroll!$F24,IF(AX$2&gt;Payroll!$I24,Payroll!$F24*((1+Payroll!$J24)^(ROUNDDOWN(DATEDIF(Payroll!$I24,AX$2,"M")/Payroll!$K24,0))),0))</f>
        <v/>
      </c>
      <c r="AY100" s="56">
        <f>IF(AY$2=Payroll!$I24,Payroll!$F24,IF(AY$2&gt;Payroll!$I24,Payroll!$F24*((1+Payroll!$J24)^(ROUNDDOWN(DATEDIF(Payroll!$I24,AY$2,"M")/Payroll!$K24,0))),0))</f>
        <v/>
      </c>
      <c r="AZ100" s="56">
        <f>IF(AZ$2=Payroll!$I24,Payroll!$F24,IF(AZ$2&gt;Payroll!$I24,Payroll!$F24*((1+Payroll!$J24)^(ROUNDDOWN(DATEDIF(Payroll!$I24,AZ$2,"M")/Payroll!$K24,0))),0))</f>
        <v/>
      </c>
      <c r="BA100" s="56">
        <f>IF(BA$2=Payroll!$I24,Payroll!$F24,IF(BA$2&gt;Payroll!$I24,Payroll!$F24*((1+Payroll!$J24)^(ROUNDDOWN(DATEDIF(Payroll!$I24,BA$2,"M")/Payroll!$K24,0))),0))</f>
        <v/>
      </c>
      <c r="BB100" s="56">
        <f>IF(BB$2=Payroll!$I24,Payroll!$F24,IF(BB$2&gt;Payroll!$I24,Payroll!$F24*((1+Payroll!$J24)^(ROUNDDOWN(DATEDIF(Payroll!$I24,BB$2,"M")/Payroll!$K24,0))),0))</f>
        <v/>
      </c>
      <c r="BC100" s="56">
        <f>IF(BC$2=Payroll!$I24,Payroll!$F24,IF(BC$2&gt;Payroll!$I24,Payroll!$F24*((1+Payroll!$J24)^(ROUNDDOWN(DATEDIF(Payroll!$I24,BC$2,"M")/Payroll!$K24,0))),0))</f>
        <v/>
      </c>
      <c r="BD100" s="56">
        <f>IF(BD$2=Payroll!$I24,Payroll!$F24,IF(BD$2&gt;Payroll!$I24,Payroll!$F24*((1+Payroll!$J24)^(ROUNDDOWN(DATEDIF(Payroll!$I24,BD$2,"M")/Payroll!$K24,0))),0))</f>
        <v/>
      </c>
      <c r="BE100" s="56">
        <f>IF(BE$2=Payroll!$I24,Payroll!$F24,IF(BE$2&gt;Payroll!$I24,Payroll!$F24*((1+Payroll!$J24)^(ROUNDDOWN(DATEDIF(Payroll!$I24,BE$2,"M")/Payroll!$K24,0))),0))</f>
        <v/>
      </c>
      <c r="BF100" s="56">
        <f>IF(BF$2=Payroll!$I24,Payroll!$F24,IF(BF$2&gt;Payroll!$I24,Payroll!$F24*((1+Payroll!$J24)^(ROUNDDOWN(DATEDIF(Payroll!$I24,BF$2,"M")/Payroll!$K24,0))),0))</f>
        <v/>
      </c>
      <c r="BG100" s="56">
        <f>IF(BG$2=Payroll!$I24,Payroll!$F24,IF(BG$2&gt;Payroll!$I24,Payroll!$F24*((1+Payroll!$J24)^(ROUNDDOWN(DATEDIF(Payroll!$I24,BG$2,"M")/Payroll!$K24,0))),0))</f>
        <v/>
      </c>
      <c r="BH100" s="56">
        <f>IF(BH$2=Payroll!$I24,Payroll!$F24,IF(BH$2&gt;Payroll!$I24,Payroll!$F24*((1+Payroll!$J24)^(ROUNDDOWN(DATEDIF(Payroll!$I24,BH$2,"M")/Payroll!$K24,0))),0))</f>
        <v/>
      </c>
      <c r="BI100" s="56">
        <f>IF(BI$2=Payroll!$I24,Payroll!$F24,IF(BI$2&gt;Payroll!$I24,Payroll!$F24*((1+Payroll!$J24)^(ROUNDDOWN(DATEDIF(Payroll!$I24,BI$2,"M")/Payroll!$K24,0))),0))</f>
        <v/>
      </c>
      <c r="BJ100" s="56">
        <f>IF(BJ$2=Payroll!$I24,Payroll!$F24,IF(BJ$2&gt;Payroll!$I24,Payroll!$F24*((1+Payroll!$J24)^(ROUNDDOWN(DATEDIF(Payroll!$I24,BJ$2,"M")/Payroll!$K24,0))),0))</f>
        <v/>
      </c>
      <c r="BK100" s="56">
        <f>IF(BK$2=Payroll!$I24,Payroll!$F24,IF(BK$2&gt;Payroll!$I24,Payroll!$F24*((1+Payroll!$J24)^(ROUNDDOWN(DATEDIF(Payroll!$I24,BK$2,"M")/Payroll!$K24,0))),0))</f>
        <v/>
      </c>
      <c r="BL100" s="56">
        <f>IF(BL$2=Payroll!$I24,Payroll!$F24,IF(BL$2&gt;Payroll!$I24,Payroll!$F24*((1+Payroll!$J24)^(ROUNDDOWN(DATEDIF(Payroll!$I24,BL$2,"M")/Payroll!$K24,0))),0))</f>
        <v/>
      </c>
      <c r="BM100" s="56">
        <f>IF(BM$2=Payroll!$I24,Payroll!$F24,IF(BM$2&gt;Payroll!$I24,Payroll!$F24*((1+Payroll!$J24)^(ROUNDDOWN(DATEDIF(Payroll!$I24,BM$2,"M")/Payroll!$K24,0))),0))</f>
        <v/>
      </c>
      <c r="BN100" s="56">
        <f>IF(BN$2=Payroll!$I24,Payroll!$F24,IF(BN$2&gt;Payroll!$I24,Payroll!$F24*((1+Payroll!$J24)^(ROUNDDOWN(DATEDIF(Payroll!$I24,BN$2,"M")/Payroll!$K24,0))),0))</f>
        <v/>
      </c>
      <c r="BO100" s="56">
        <f>IF(BO$2=Payroll!$I24,Payroll!$F24,IF(BO$2&gt;Payroll!$I24,Payroll!$F24*((1+Payroll!$J24)^(ROUNDDOWN(DATEDIF(Payroll!$I24,BO$2,"M")/Payroll!$K24,0))),0))</f>
        <v/>
      </c>
      <c r="BP100" s="56">
        <f>IF(BP$2=Payroll!$I24,Payroll!$F24,IF(BP$2&gt;Payroll!$I24,Payroll!$F24*((1+Payroll!$J24)^(ROUNDDOWN(DATEDIF(Payroll!$I24,BP$2,"M")/Payroll!$K24,0))),0))</f>
        <v/>
      </c>
      <c r="BQ100" s="56">
        <f>IF(BQ$2=Payroll!$I24,Payroll!$F24,IF(BQ$2&gt;Payroll!$I24,Payroll!$F24*((1+Payroll!$J24)^(ROUNDDOWN(DATEDIF(Payroll!$I24,BQ$2,"M")/Payroll!$K24,0))),0))</f>
        <v/>
      </c>
      <c r="BR100" s="56">
        <f>IF(BR$2=Payroll!$I24,Payroll!$F24,IF(BR$2&gt;Payroll!$I24,Payroll!$F24*((1+Payroll!$J24)^(ROUNDDOWN(DATEDIF(Payroll!$I24,BR$2,"M")/Payroll!$K24,0))),0))</f>
        <v/>
      </c>
      <c r="BS100" s="56">
        <f>IF(BS$2=Payroll!$I24,Payroll!$F24,IF(BS$2&gt;Payroll!$I24,Payroll!$F24*((1+Payroll!$J24)^(ROUNDDOWN(DATEDIF(Payroll!$I24,BS$2,"M")/Payroll!$K24,0))),0))</f>
        <v/>
      </c>
      <c r="BT100" s="56">
        <f>IF(BT$2=Payroll!$I24,Payroll!$F24,IF(BT$2&gt;Payroll!$I24,Payroll!$F24*((1+Payroll!$J24)^(ROUNDDOWN(DATEDIF(Payroll!$I24,BT$2,"M")/Payroll!$K24,0))),0))</f>
        <v/>
      </c>
      <c r="BU100" s="56">
        <f>IF(BU$2=Payroll!$I24,Payroll!$F24,IF(BU$2&gt;Payroll!$I24,Payroll!$F24*((1+Payroll!$J24)^(ROUNDDOWN(DATEDIF(Payroll!$I24,BU$2,"M")/Payroll!$K24,0))),0))</f>
        <v/>
      </c>
      <c r="BV100" s="56">
        <f>IF(BV$2=Payroll!$I24,Payroll!$F24,IF(BV$2&gt;Payroll!$I24,Payroll!$F24*((1+Payroll!$J24)^(ROUNDDOWN(DATEDIF(Payroll!$I24,BV$2,"M")/Payroll!$K24,0))),0))</f>
        <v/>
      </c>
      <c r="BW100" s="56">
        <f>IF(BW$2=Payroll!$I24,Payroll!$F24,IF(BW$2&gt;Payroll!$I24,Payroll!$F24*((1+Payroll!$J24)^(ROUNDDOWN(DATEDIF(Payroll!$I24,BW$2,"M")/Payroll!$K24,0))),0))</f>
        <v/>
      </c>
      <c r="BX100" s="56">
        <f>IF(BX$2=Payroll!$I24,Payroll!$F24,IF(BX$2&gt;Payroll!$I24,Payroll!$F24*((1+Payroll!$J24)^(ROUNDDOWN(DATEDIF(Payroll!$I24,BX$2,"M")/Payroll!$K24,0))),0))</f>
        <v/>
      </c>
      <c r="BY100" s="56">
        <f>IF(BY$2=Payroll!$I24,Payroll!$F24,IF(BY$2&gt;Payroll!$I24,Payroll!$F24*((1+Payroll!$J24)^(ROUNDDOWN(DATEDIF(Payroll!$I24,BY$2,"M")/Payroll!$K24,0))),0))</f>
        <v/>
      </c>
      <c r="BZ100" s="56">
        <f>IF(BZ$2=Payroll!$I24,Payroll!$F24,IF(BZ$2&gt;Payroll!$I24,Payroll!$F24*((1+Payroll!$J24)^(ROUNDDOWN(DATEDIF(Payroll!$I24,BZ$2,"M")/Payroll!$K24,0))),0))</f>
        <v/>
      </c>
      <c r="CA100" s="56">
        <f>IF(CA$2=Payroll!$I24,Payroll!$F24,IF(CA$2&gt;Payroll!$I24,Payroll!$F24*((1+Payroll!$J24)^(ROUNDDOWN(DATEDIF(Payroll!$I24,CA$2,"M")/Payroll!$K24,0))),0))</f>
        <v/>
      </c>
      <c r="CB100" s="56">
        <f>IF(CB$2=Payroll!$I24,Payroll!$F24,IF(CB$2&gt;Payroll!$I24,Payroll!$F24*((1+Payroll!$J24)^(ROUNDDOWN(DATEDIF(Payroll!$I24,CB$2,"M")/Payroll!$K24,0))),0))</f>
        <v/>
      </c>
      <c r="CC100" s="56">
        <f>IF(CC$2=Payroll!$I24,Payroll!$F24,IF(CC$2&gt;Payroll!$I24,Payroll!$F24*((1+Payroll!$J24)^(ROUNDDOWN(DATEDIF(Payroll!$I24,CC$2,"M")/Payroll!$K24,0))),0))</f>
        <v/>
      </c>
      <c r="CD100" s="56">
        <f>IF(CD$2=Payroll!$I24,Payroll!$F24,IF(CD$2&gt;Payroll!$I24,Payroll!$F24*((1+Payroll!$J24)^(ROUNDDOWN(DATEDIF(Payroll!$I24,CD$2,"M")/Payroll!$K24,0))),0))</f>
        <v/>
      </c>
      <c r="CE100" s="56">
        <f>IF(CE$2=Payroll!$I24,Payroll!$F24,IF(CE$2&gt;Payroll!$I24,Payroll!$F24*((1+Payroll!$J24)^(ROUNDDOWN(DATEDIF(Payroll!$I24,CE$2,"M")/Payroll!$K24,0))),0))</f>
        <v/>
      </c>
      <c r="CF100" s="56">
        <f>IF(CF$2=Payroll!$I24,Payroll!$F24,IF(CF$2&gt;Payroll!$I24,Payroll!$F24*((1+Payroll!$J24)^(ROUNDDOWN(DATEDIF(Payroll!$I24,CF$2,"M")/Payroll!$K24,0))),0))</f>
        <v/>
      </c>
      <c r="CG100" s="56">
        <f>IF(CG$2=Payroll!$I24,Payroll!$F24,IF(CG$2&gt;Payroll!$I24,Payroll!$F24*((1+Payroll!$J24)^(ROUNDDOWN(DATEDIF(Payroll!$I24,CG$2,"M")/Payroll!$K24,0))),0))</f>
        <v/>
      </c>
      <c r="CH100" s="56">
        <f>IF(CH$2=Payroll!$I24,Payroll!$F24,IF(CH$2&gt;Payroll!$I24,Payroll!$F24*((1+Payroll!$J24)^(ROUNDDOWN(DATEDIF(Payroll!$I24,CH$2,"M")/Payroll!$K24,0))),0))</f>
        <v/>
      </c>
      <c r="CI100" s="56">
        <f>IF(CI$2=Payroll!$I24,Payroll!$F24,IF(CI$2&gt;Payroll!$I24,Payroll!$F24*((1+Payroll!$J24)^(ROUNDDOWN(DATEDIF(Payroll!$I24,CI$2,"M")/Payroll!$K24,0))),0))</f>
        <v/>
      </c>
      <c r="CJ100" s="56">
        <f>IF(CJ$2=Payroll!$I24,Payroll!$F24,IF(CJ$2&gt;Payroll!$I24,Payroll!$F24*((1+Payroll!$J24)^(ROUNDDOWN(DATEDIF(Payroll!$I24,CJ$2,"M")/Payroll!$K24,0))),0))</f>
        <v/>
      </c>
      <c r="CK100" s="56">
        <f>IF(CK$2=Payroll!$I24,Payroll!$F24,IF(CK$2&gt;Payroll!$I24,Payroll!$F24*((1+Payroll!$J24)^(ROUNDDOWN(DATEDIF(Payroll!$I24,CK$2,"M")/Payroll!$K24,0))),0))</f>
        <v/>
      </c>
      <c r="CL100" s="56">
        <f>IF(CL$2=Payroll!$I24,Payroll!$F24,IF(CL$2&gt;Payroll!$I24,Payroll!$F24*((1+Payroll!$J24)^(ROUNDDOWN(DATEDIF(Payroll!$I24,CL$2,"M")/Payroll!$K24,0))),0))</f>
        <v/>
      </c>
      <c r="CM100" s="56">
        <f>IF(CM$2=Payroll!$I24,Payroll!$F24,IF(CM$2&gt;Payroll!$I24,Payroll!$F24*((1+Payroll!$J24)^(ROUNDDOWN(DATEDIF(Payroll!$I24,CM$2,"M")/Payroll!$K24,0))),0))</f>
        <v/>
      </c>
      <c r="CN100" s="56">
        <f>IF(CN$2=Payroll!$I24,Payroll!$F24,IF(CN$2&gt;Payroll!$I24,Payroll!$F24*((1+Payroll!$J24)^(ROUNDDOWN(DATEDIF(Payroll!$I24,CN$2,"M")/Payroll!$K24,0))),0))</f>
        <v/>
      </c>
      <c r="CO100" s="56">
        <f>IF(CO$2=Payroll!$I24,Payroll!$F24,IF(CO$2&gt;Payroll!$I24,Payroll!$F24*((1+Payroll!$J24)^(ROUNDDOWN(DATEDIF(Payroll!$I24,CO$2,"M")/Payroll!$K24,0))),0))</f>
        <v/>
      </c>
      <c r="CP100" s="56">
        <f>IF(CP$2=Payroll!$I24,Payroll!$F24,IF(CP$2&gt;Payroll!$I24,Payroll!$F24*((1+Payroll!$J24)^(ROUNDDOWN(DATEDIF(Payroll!$I24,CP$2,"M")/Payroll!$K24,0))),0))</f>
        <v/>
      </c>
      <c r="CQ100" s="56">
        <f>IF(CQ$2=Payroll!$I24,Payroll!$F24,IF(CQ$2&gt;Payroll!$I24,Payroll!$F24*((1+Payroll!$J24)^(ROUNDDOWN(DATEDIF(Payroll!$I24,CQ$2,"M")/Payroll!$K24,0))),0))</f>
        <v/>
      </c>
      <c r="CR100" s="56">
        <f>IF(CR$2=Payroll!$I24,Payroll!$F24,IF(CR$2&gt;Payroll!$I24,Payroll!$F24*((1+Payroll!$J24)^(ROUNDDOWN(DATEDIF(Payroll!$I24,CR$2,"M")/Payroll!$K24,0))),0))</f>
        <v/>
      </c>
      <c r="CS100" s="56">
        <f>IF(CS$2=Payroll!$I24,Payroll!$F24,IF(CS$2&gt;Payroll!$I24,Payroll!$F24*((1+Payroll!$J24)^(ROUNDDOWN(DATEDIF(Payroll!$I24,CS$2,"M")/Payroll!$K24,0))),0))</f>
        <v/>
      </c>
      <c r="CT100" s="56">
        <f>IF(CT$2=Payroll!$I24,Payroll!$F24,IF(CT$2&gt;Payroll!$I24,Payroll!$F24*((1+Payroll!$J24)^(ROUNDDOWN(DATEDIF(Payroll!$I24,CT$2,"M")/Payroll!$K24,0))),0))</f>
        <v/>
      </c>
      <c r="CU100" s="56">
        <f>IF(CU$2=Payroll!$I24,Payroll!$F24,IF(CU$2&gt;Payroll!$I24,Payroll!$F24*((1+Payroll!$J24)^(ROUNDDOWN(DATEDIF(Payroll!$I24,CU$2,"M")/Payroll!$K24,0))),0))</f>
        <v/>
      </c>
      <c r="CV100" s="56">
        <f>IF(CV$2=Payroll!$I24,Payroll!$F24,IF(CV$2&gt;Payroll!$I24,Payroll!$F24*((1+Payroll!$J24)^(ROUNDDOWN(DATEDIF(Payroll!$I24,CV$2,"M")/Payroll!$K24,0))),0))</f>
        <v/>
      </c>
      <c r="CW100" s="56">
        <f>IF(CW$2=Payroll!$I24,Payroll!$F24,IF(CW$2&gt;Payroll!$I24,Payroll!$F24*((1+Payroll!$J24)^(ROUNDDOWN(DATEDIF(Payroll!$I24,CW$2,"M")/Payroll!$K24,0))),0))</f>
        <v/>
      </c>
      <c r="CX100" s="56">
        <f>IF(CX$2=Payroll!$I24,Payroll!$F24,IF(CX$2&gt;Payroll!$I24,Payroll!$F24*((1+Payroll!$J24)^(ROUNDDOWN(DATEDIF(Payroll!$I24,CX$2,"M")/Payroll!$K24,0))),0))</f>
        <v/>
      </c>
    </row>
    <row r="101" outlineLevel="2" ht="15.75" customHeight="1" s="255">
      <c r="A101" s="56">
        <f>Payroll!A25</f>
        <v/>
      </c>
      <c r="B101" s="56" t="n"/>
      <c r="C101" s="56" t="n"/>
      <c r="D101" s="56" t="n"/>
      <c r="E101" s="56">
        <f>IF(E$2=Payroll!$I25,Payroll!$F25,IF(E$2&gt;Payroll!$I25,Payroll!$F25*((1+Payroll!$J25)^(ROUNDDOWN(DATEDIF(Payroll!$I25,E$2,"M")/Payroll!$K25,0))),0))</f>
        <v/>
      </c>
      <c r="F101" s="56">
        <f>IF(F$2=Payroll!$I25,Payroll!$F25,IF(F$2&gt;Payroll!$I25,Payroll!$F25*((1+Payroll!$J25)^(ROUNDDOWN(DATEDIF(Payroll!$I25,F$2,"M")/Payroll!$K25,0))),0))</f>
        <v/>
      </c>
      <c r="G101" s="56">
        <f>IF(G$2=Payroll!$I25,Payroll!$F25,IF(G$2&gt;Payroll!$I25,Payroll!$F25*((1+Payroll!$J25)^(ROUNDDOWN(DATEDIF(Payroll!$I25,G$2,"M")/Payroll!$K25,0))),0))</f>
        <v/>
      </c>
      <c r="H101" s="56">
        <f>IF(H$2=Payroll!$I25,Payroll!$F25,IF(H$2&gt;Payroll!$I25,Payroll!$F25*((1+Payroll!$J25)^(ROUNDDOWN(DATEDIF(Payroll!$I25,H$2,"M")/Payroll!$K25,0))),0))</f>
        <v/>
      </c>
      <c r="I101" s="56">
        <f>IF(I$2=Payroll!$I25,Payroll!$F25,IF(I$2&gt;Payroll!$I25,Payroll!$F25*((1+Payroll!$J25)^(ROUNDDOWN(DATEDIF(Payroll!$I25,I$2,"M")/Payroll!$K25,0))),0))</f>
        <v/>
      </c>
      <c r="J101" s="56">
        <f>IF(J$2=Payroll!$I25,Payroll!$F25,IF(J$2&gt;Payroll!$I25,Payroll!$F25*((1+Payroll!$J25)^(ROUNDDOWN(DATEDIF(Payroll!$I25,J$2,"M")/Payroll!$K25,0))),0))</f>
        <v/>
      </c>
      <c r="K101" s="56">
        <f>IF(K$2=Payroll!$I25,Payroll!$F25,IF(K$2&gt;Payroll!$I25,Payroll!$F25*((1+Payroll!$J25)^(ROUNDDOWN(DATEDIF(Payroll!$I25,K$2,"M")/Payroll!$K25,0))),0))</f>
        <v/>
      </c>
      <c r="L101" s="56">
        <f>IF(L$2=Payroll!$I25,Payroll!$F25,IF(L$2&gt;Payroll!$I25,Payroll!$F25*((1+Payroll!$J25)^(ROUNDDOWN(DATEDIF(Payroll!$I25,L$2,"M")/Payroll!$K25,0))),0))</f>
        <v/>
      </c>
      <c r="M101" s="56">
        <f>IF(M$2=Payroll!$I25,Payroll!$F25,IF(M$2&gt;Payroll!$I25,Payroll!$F25*((1+Payroll!$J25)^(ROUNDDOWN(DATEDIF(Payroll!$I25,M$2,"M")/Payroll!$K25,0))),0))</f>
        <v/>
      </c>
      <c r="N101" s="56">
        <f>IF(N$2=Payroll!$I25,Payroll!$F25,IF(N$2&gt;Payroll!$I25,Payroll!$F25*((1+Payroll!$J25)^(ROUNDDOWN(DATEDIF(Payroll!$I25,N$2,"M")/Payroll!$K25,0))),0))</f>
        <v/>
      </c>
      <c r="O101" s="56">
        <f>IF(O$2=Payroll!$I25,Payroll!$F25,IF(O$2&gt;Payroll!$I25,Payroll!$F25*((1+Payroll!$J25)^(ROUNDDOWN(DATEDIF(Payroll!$I25,O$2,"M")/Payroll!$K25,0))),0))</f>
        <v/>
      </c>
      <c r="P101" s="56">
        <f>IF(P$2=Payroll!$I25,Payroll!$F25,IF(P$2&gt;Payroll!$I25,Payroll!$F25*((1+Payroll!$J25)^(ROUNDDOWN(DATEDIF(Payroll!$I25,P$2,"M")/Payroll!$K25,0))),0))</f>
        <v/>
      </c>
      <c r="Q101" s="56">
        <f>IF(Q$2=Payroll!$I25,Payroll!$F25,IF(Q$2&gt;Payroll!$I25,Payroll!$F25*((1+Payroll!$J25)^(ROUNDDOWN(DATEDIF(Payroll!$I25,Q$2,"M")/Payroll!$K25,0))),0))</f>
        <v/>
      </c>
      <c r="R101" s="56">
        <f>IF(R$2=Payroll!$I25,Payroll!$F25,IF(R$2&gt;Payroll!$I25,Payroll!$F25*((1+Payroll!$J25)^(ROUNDDOWN(DATEDIF(Payroll!$I25,R$2,"M")/Payroll!$K25,0))),0))</f>
        <v/>
      </c>
      <c r="S101" s="56">
        <f>IF(S$2=Payroll!$I25,Payroll!$F25,IF(S$2&gt;Payroll!$I25,Payroll!$F25*((1+Payroll!$J25)^(ROUNDDOWN(DATEDIF(Payroll!$I25,S$2,"M")/Payroll!$K25,0))),0))</f>
        <v/>
      </c>
      <c r="T101" s="56">
        <f>IF(T$2=Payroll!$I25,Payroll!$F25,IF(T$2&gt;Payroll!$I25,Payroll!$F25*((1+Payroll!$J25)^(ROUNDDOWN(DATEDIF(Payroll!$I25,T$2,"M")/Payroll!$K25,0))),0))</f>
        <v/>
      </c>
      <c r="U101" s="56">
        <f>IF(U$2=Payroll!$I25,Payroll!$F25,IF(U$2&gt;Payroll!$I25,Payroll!$F25*((1+Payroll!$J25)^(ROUNDDOWN(DATEDIF(Payroll!$I25,U$2,"M")/Payroll!$K25,0))),0))</f>
        <v/>
      </c>
      <c r="V101" s="56">
        <f>IF(V$2=Payroll!$I25,Payroll!$F25,IF(V$2&gt;Payroll!$I25,Payroll!$F25*((1+Payroll!$J25)^(ROUNDDOWN(DATEDIF(Payroll!$I25,V$2,"M")/Payroll!$K25,0))),0))</f>
        <v/>
      </c>
      <c r="W101" s="56">
        <f>IF(W$2=Payroll!$I25,Payroll!$F25,IF(W$2&gt;Payroll!$I25,Payroll!$F25*((1+Payroll!$J25)^(ROUNDDOWN(DATEDIF(Payroll!$I25,W$2,"M")/Payroll!$K25,0))),0))</f>
        <v/>
      </c>
      <c r="X101" s="56">
        <f>IF(X$2=Payroll!$I25,Payroll!$F25,IF(X$2&gt;Payroll!$I25,Payroll!$F25*((1+Payroll!$J25)^(ROUNDDOWN(DATEDIF(Payroll!$I25,X$2,"M")/Payroll!$K25,0))),0))</f>
        <v/>
      </c>
      <c r="Y101" s="56">
        <f>IF(Y$2=Payroll!$I25,Payroll!$F25,IF(Y$2&gt;Payroll!$I25,Payroll!$F25*((1+Payroll!$J25)^(ROUNDDOWN(DATEDIF(Payroll!$I25,Y$2,"M")/Payroll!$K25,0))),0))</f>
        <v/>
      </c>
      <c r="Z101" s="56">
        <f>IF(Z$2=Payroll!$I25,Payroll!$F25,IF(Z$2&gt;Payroll!$I25,Payroll!$F25*((1+Payroll!$J25)^(ROUNDDOWN(DATEDIF(Payroll!$I25,Z$2,"M")/Payroll!$K25,0))),0))</f>
        <v/>
      </c>
      <c r="AA101" s="56">
        <f>IF(AA$2=Payroll!$I25,Payroll!$F25,IF(AA$2&gt;Payroll!$I25,Payroll!$F25*((1+Payroll!$J25)^(ROUNDDOWN(DATEDIF(Payroll!$I25,AA$2,"M")/Payroll!$K25,0))),0))</f>
        <v/>
      </c>
      <c r="AB101" s="56">
        <f>IF(AB$2=Payroll!$I25,Payroll!$F25,IF(AB$2&gt;Payroll!$I25,Payroll!$F25*((1+Payroll!$J25)^(ROUNDDOWN(DATEDIF(Payroll!$I25,AB$2,"M")/Payroll!$K25,0))),0))</f>
        <v/>
      </c>
      <c r="AC101" s="56">
        <f>IF(AC$2=Payroll!$I25,Payroll!$F25,IF(AC$2&gt;Payroll!$I25,Payroll!$F25*((1+Payroll!$J25)^(ROUNDDOWN(DATEDIF(Payroll!$I25,AC$2,"M")/Payroll!$K25,0))),0))</f>
        <v/>
      </c>
      <c r="AD101" s="56">
        <f>IF(AD$2=Payroll!$I25,Payroll!$F25,IF(AD$2&gt;Payroll!$I25,Payroll!$F25*((1+Payroll!$J25)^(ROUNDDOWN(DATEDIF(Payroll!$I25,AD$2,"M")/Payroll!$K25,0))),0))</f>
        <v/>
      </c>
      <c r="AE101" s="56">
        <f>IF(AE$2=Payroll!$I25,Payroll!$F25,IF(AE$2&gt;Payroll!$I25,Payroll!$F25*((1+Payroll!$J25)^(ROUNDDOWN(DATEDIF(Payroll!$I25,AE$2,"M")/Payroll!$K25,0))),0))</f>
        <v/>
      </c>
      <c r="AF101" s="56">
        <f>IF(AF$2=Payroll!$I25,Payroll!$F25,IF(AF$2&gt;Payroll!$I25,Payroll!$F25*((1+Payroll!$J25)^(ROUNDDOWN(DATEDIF(Payroll!$I25,AF$2,"M")/Payroll!$K25,0))),0))</f>
        <v/>
      </c>
      <c r="AG101" s="56">
        <f>IF(AG$2=Payroll!$I25,Payroll!$F25,IF(AG$2&gt;Payroll!$I25,Payroll!$F25*((1+Payroll!$J25)^(ROUNDDOWN(DATEDIF(Payroll!$I25,AG$2,"M")/Payroll!$K25,0))),0))</f>
        <v/>
      </c>
      <c r="AH101" s="56">
        <f>IF(AH$2=Payroll!$I25,Payroll!$F25,IF(AH$2&gt;Payroll!$I25,Payroll!$F25*((1+Payroll!$J25)^(ROUNDDOWN(DATEDIF(Payroll!$I25,AH$2,"M")/Payroll!$K25,0))),0))</f>
        <v/>
      </c>
      <c r="AI101" s="56">
        <f>IF(AI$2=Payroll!$I25,Payroll!$F25,IF(AI$2&gt;Payroll!$I25,Payroll!$F25*((1+Payroll!$J25)^(ROUNDDOWN(DATEDIF(Payroll!$I25,AI$2,"M")/Payroll!$K25,0))),0))</f>
        <v/>
      </c>
      <c r="AJ101" s="56">
        <f>IF(AJ$2=Payroll!$I25,Payroll!$F25,IF(AJ$2&gt;Payroll!$I25,Payroll!$F25*((1+Payroll!$J25)^(ROUNDDOWN(DATEDIF(Payroll!$I25,AJ$2,"M")/Payroll!$K25,0))),0))</f>
        <v/>
      </c>
      <c r="AK101" s="56">
        <f>IF(AK$2=Payroll!$I25,Payroll!$F25,IF(AK$2&gt;Payroll!$I25,Payroll!$F25*((1+Payroll!$J25)^(ROUNDDOWN(DATEDIF(Payroll!$I25,AK$2,"M")/Payroll!$K25,0))),0))</f>
        <v/>
      </c>
      <c r="AL101" s="56">
        <f>IF(AL$2=Payroll!$I25,Payroll!$F25,IF(AL$2&gt;Payroll!$I25,Payroll!$F25*((1+Payroll!$J25)^(ROUNDDOWN(DATEDIF(Payroll!$I25,AL$2,"M")/Payroll!$K25,0))),0))</f>
        <v/>
      </c>
      <c r="AM101" s="56">
        <f>IF(AM$2=Payroll!$I25,Payroll!$F25,IF(AM$2&gt;Payroll!$I25,Payroll!$F25*((1+Payroll!$J25)^(ROUNDDOWN(DATEDIF(Payroll!$I25,AM$2,"M")/Payroll!$K25,0))),0))</f>
        <v/>
      </c>
      <c r="AN101" s="56">
        <f>IF(AN$2=Payroll!$I25,Payroll!$F25,IF(AN$2&gt;Payroll!$I25,Payroll!$F25*((1+Payroll!$J25)^(ROUNDDOWN(DATEDIF(Payroll!$I25,AN$2,"M")/Payroll!$K25,0))),0))</f>
        <v/>
      </c>
      <c r="AO101" s="56">
        <f>IF(AO$2=Payroll!$I25,Payroll!$F25,IF(AO$2&gt;Payroll!$I25,Payroll!$F25*((1+Payroll!$J25)^(ROUNDDOWN(DATEDIF(Payroll!$I25,AO$2,"M")/Payroll!$K25,0))),0))</f>
        <v/>
      </c>
      <c r="AP101" s="56">
        <f>IF(AP$2=Payroll!$I25,Payroll!$F25,IF(AP$2&gt;Payroll!$I25,Payroll!$F25*((1+Payroll!$J25)^(ROUNDDOWN(DATEDIF(Payroll!$I25,AP$2,"M")/Payroll!$K25,0))),0))</f>
        <v/>
      </c>
      <c r="AQ101" s="56">
        <f>IF(AQ$2=Payroll!$I25,Payroll!$F25,IF(AQ$2&gt;Payroll!$I25,Payroll!$F25*((1+Payroll!$J25)^(ROUNDDOWN(DATEDIF(Payroll!$I25,AQ$2,"M")/Payroll!$K25,0))),0))</f>
        <v/>
      </c>
      <c r="AR101" s="56">
        <f>IF(AR$2=Payroll!$I25,Payroll!$F25,IF(AR$2&gt;Payroll!$I25,Payroll!$F25*((1+Payroll!$J25)^(ROUNDDOWN(DATEDIF(Payroll!$I25,AR$2,"M")/Payroll!$K25,0))),0))</f>
        <v/>
      </c>
      <c r="AS101" s="56">
        <f>IF(AS$2=Payroll!$I25,Payroll!$F25,IF(AS$2&gt;Payroll!$I25,Payroll!$F25*((1+Payroll!$J25)^(ROUNDDOWN(DATEDIF(Payroll!$I25,AS$2,"M")/Payroll!$K25,0))),0))</f>
        <v/>
      </c>
      <c r="AT101" s="56">
        <f>IF(AT$2=Payroll!$I25,Payroll!$F25,IF(AT$2&gt;Payroll!$I25,Payroll!$F25*((1+Payroll!$J25)^(ROUNDDOWN(DATEDIF(Payroll!$I25,AT$2,"M")/Payroll!$K25,0))),0))</f>
        <v/>
      </c>
      <c r="AU101" s="56">
        <f>IF(AU$2=Payroll!$I25,Payroll!$F25,IF(AU$2&gt;Payroll!$I25,Payroll!$F25*((1+Payroll!$J25)^(ROUNDDOWN(DATEDIF(Payroll!$I25,AU$2,"M")/Payroll!$K25,0))),0))</f>
        <v/>
      </c>
      <c r="AV101" s="56">
        <f>IF(AV$2=Payroll!$I25,Payroll!$F25,IF(AV$2&gt;Payroll!$I25,Payroll!$F25*((1+Payroll!$J25)^(ROUNDDOWN(DATEDIF(Payroll!$I25,AV$2,"M")/Payroll!$K25,0))),0))</f>
        <v/>
      </c>
      <c r="AW101" s="56">
        <f>IF(AW$2=Payroll!$I25,Payroll!$F25,IF(AW$2&gt;Payroll!$I25,Payroll!$F25*((1+Payroll!$J25)^(ROUNDDOWN(DATEDIF(Payroll!$I25,AW$2,"M")/Payroll!$K25,0))),0))</f>
        <v/>
      </c>
      <c r="AX101" s="56">
        <f>IF(AX$2=Payroll!$I25,Payroll!$F25,IF(AX$2&gt;Payroll!$I25,Payroll!$F25*((1+Payroll!$J25)^(ROUNDDOWN(DATEDIF(Payroll!$I25,AX$2,"M")/Payroll!$K25,0))),0))</f>
        <v/>
      </c>
      <c r="AY101" s="56">
        <f>IF(AY$2=Payroll!$I25,Payroll!$F25,IF(AY$2&gt;Payroll!$I25,Payroll!$F25*((1+Payroll!$J25)^(ROUNDDOWN(DATEDIF(Payroll!$I25,AY$2,"M")/Payroll!$K25,0))),0))</f>
        <v/>
      </c>
      <c r="AZ101" s="56">
        <f>IF(AZ$2=Payroll!$I25,Payroll!$F25,IF(AZ$2&gt;Payroll!$I25,Payroll!$F25*((1+Payroll!$J25)^(ROUNDDOWN(DATEDIF(Payroll!$I25,AZ$2,"M")/Payroll!$K25,0))),0))</f>
        <v/>
      </c>
      <c r="BA101" s="56">
        <f>IF(BA$2=Payroll!$I25,Payroll!$F25,IF(BA$2&gt;Payroll!$I25,Payroll!$F25*((1+Payroll!$J25)^(ROUNDDOWN(DATEDIF(Payroll!$I25,BA$2,"M")/Payroll!$K25,0))),0))</f>
        <v/>
      </c>
      <c r="BB101" s="56">
        <f>IF(BB$2=Payroll!$I25,Payroll!$F25,IF(BB$2&gt;Payroll!$I25,Payroll!$F25*((1+Payroll!$J25)^(ROUNDDOWN(DATEDIF(Payroll!$I25,BB$2,"M")/Payroll!$K25,0))),0))</f>
        <v/>
      </c>
      <c r="BC101" s="56">
        <f>IF(BC$2=Payroll!$I25,Payroll!$F25,IF(BC$2&gt;Payroll!$I25,Payroll!$F25*((1+Payroll!$J25)^(ROUNDDOWN(DATEDIF(Payroll!$I25,BC$2,"M")/Payroll!$K25,0))),0))</f>
        <v/>
      </c>
      <c r="BD101" s="56">
        <f>IF(BD$2=Payroll!$I25,Payroll!$F25,IF(BD$2&gt;Payroll!$I25,Payroll!$F25*((1+Payroll!$J25)^(ROUNDDOWN(DATEDIF(Payroll!$I25,BD$2,"M")/Payroll!$K25,0))),0))</f>
        <v/>
      </c>
      <c r="BE101" s="56">
        <f>IF(BE$2=Payroll!$I25,Payroll!$F25,IF(BE$2&gt;Payroll!$I25,Payroll!$F25*((1+Payroll!$J25)^(ROUNDDOWN(DATEDIF(Payroll!$I25,BE$2,"M")/Payroll!$K25,0))),0))</f>
        <v/>
      </c>
      <c r="BF101" s="56">
        <f>IF(BF$2=Payroll!$I25,Payroll!$F25,IF(BF$2&gt;Payroll!$I25,Payroll!$F25*((1+Payroll!$J25)^(ROUNDDOWN(DATEDIF(Payroll!$I25,BF$2,"M")/Payroll!$K25,0))),0))</f>
        <v/>
      </c>
      <c r="BG101" s="56">
        <f>IF(BG$2=Payroll!$I25,Payroll!$F25,IF(BG$2&gt;Payroll!$I25,Payroll!$F25*((1+Payroll!$J25)^(ROUNDDOWN(DATEDIF(Payroll!$I25,BG$2,"M")/Payroll!$K25,0))),0))</f>
        <v/>
      </c>
      <c r="BH101" s="56">
        <f>IF(BH$2=Payroll!$I25,Payroll!$F25,IF(BH$2&gt;Payroll!$I25,Payroll!$F25*((1+Payroll!$J25)^(ROUNDDOWN(DATEDIF(Payroll!$I25,BH$2,"M")/Payroll!$K25,0))),0))</f>
        <v/>
      </c>
      <c r="BI101" s="56">
        <f>IF(BI$2=Payroll!$I25,Payroll!$F25,IF(BI$2&gt;Payroll!$I25,Payroll!$F25*((1+Payroll!$J25)^(ROUNDDOWN(DATEDIF(Payroll!$I25,BI$2,"M")/Payroll!$K25,0))),0))</f>
        <v/>
      </c>
      <c r="BJ101" s="56">
        <f>IF(BJ$2=Payroll!$I25,Payroll!$F25,IF(BJ$2&gt;Payroll!$I25,Payroll!$F25*((1+Payroll!$J25)^(ROUNDDOWN(DATEDIF(Payroll!$I25,BJ$2,"M")/Payroll!$K25,0))),0))</f>
        <v/>
      </c>
      <c r="BK101" s="56">
        <f>IF(BK$2=Payroll!$I25,Payroll!$F25,IF(BK$2&gt;Payroll!$I25,Payroll!$F25*((1+Payroll!$J25)^(ROUNDDOWN(DATEDIF(Payroll!$I25,BK$2,"M")/Payroll!$K25,0))),0))</f>
        <v/>
      </c>
      <c r="BL101" s="56">
        <f>IF(BL$2=Payroll!$I25,Payroll!$F25,IF(BL$2&gt;Payroll!$I25,Payroll!$F25*((1+Payroll!$J25)^(ROUNDDOWN(DATEDIF(Payroll!$I25,BL$2,"M")/Payroll!$K25,0))),0))</f>
        <v/>
      </c>
      <c r="BM101" s="56">
        <f>IF(BM$2=Payroll!$I25,Payroll!$F25,IF(BM$2&gt;Payroll!$I25,Payroll!$F25*((1+Payroll!$J25)^(ROUNDDOWN(DATEDIF(Payroll!$I25,BM$2,"M")/Payroll!$K25,0))),0))</f>
        <v/>
      </c>
      <c r="BN101" s="56">
        <f>IF(BN$2=Payroll!$I25,Payroll!$F25,IF(BN$2&gt;Payroll!$I25,Payroll!$F25*((1+Payroll!$J25)^(ROUNDDOWN(DATEDIF(Payroll!$I25,BN$2,"M")/Payroll!$K25,0))),0))</f>
        <v/>
      </c>
      <c r="BO101" s="56">
        <f>IF(BO$2=Payroll!$I25,Payroll!$F25,IF(BO$2&gt;Payroll!$I25,Payroll!$F25*((1+Payroll!$J25)^(ROUNDDOWN(DATEDIF(Payroll!$I25,BO$2,"M")/Payroll!$K25,0))),0))</f>
        <v/>
      </c>
      <c r="BP101" s="56">
        <f>IF(BP$2=Payroll!$I25,Payroll!$F25,IF(BP$2&gt;Payroll!$I25,Payroll!$F25*((1+Payroll!$J25)^(ROUNDDOWN(DATEDIF(Payroll!$I25,BP$2,"M")/Payroll!$K25,0))),0))</f>
        <v/>
      </c>
      <c r="BQ101" s="56">
        <f>IF(BQ$2=Payroll!$I25,Payroll!$F25,IF(BQ$2&gt;Payroll!$I25,Payroll!$F25*((1+Payroll!$J25)^(ROUNDDOWN(DATEDIF(Payroll!$I25,BQ$2,"M")/Payroll!$K25,0))),0))</f>
        <v/>
      </c>
      <c r="BR101" s="56">
        <f>IF(BR$2=Payroll!$I25,Payroll!$F25,IF(BR$2&gt;Payroll!$I25,Payroll!$F25*((1+Payroll!$J25)^(ROUNDDOWN(DATEDIF(Payroll!$I25,BR$2,"M")/Payroll!$K25,0))),0))</f>
        <v/>
      </c>
      <c r="BS101" s="56">
        <f>IF(BS$2=Payroll!$I25,Payroll!$F25,IF(BS$2&gt;Payroll!$I25,Payroll!$F25*((1+Payroll!$J25)^(ROUNDDOWN(DATEDIF(Payroll!$I25,BS$2,"M")/Payroll!$K25,0))),0))</f>
        <v/>
      </c>
      <c r="BT101" s="56">
        <f>IF(BT$2=Payroll!$I25,Payroll!$F25,IF(BT$2&gt;Payroll!$I25,Payroll!$F25*((1+Payroll!$J25)^(ROUNDDOWN(DATEDIF(Payroll!$I25,BT$2,"M")/Payroll!$K25,0))),0))</f>
        <v/>
      </c>
      <c r="BU101" s="56">
        <f>IF(BU$2=Payroll!$I25,Payroll!$F25,IF(BU$2&gt;Payroll!$I25,Payroll!$F25*((1+Payroll!$J25)^(ROUNDDOWN(DATEDIF(Payroll!$I25,BU$2,"M")/Payroll!$K25,0))),0))</f>
        <v/>
      </c>
      <c r="BV101" s="56">
        <f>IF(BV$2=Payroll!$I25,Payroll!$F25,IF(BV$2&gt;Payroll!$I25,Payroll!$F25*((1+Payroll!$J25)^(ROUNDDOWN(DATEDIF(Payroll!$I25,BV$2,"M")/Payroll!$K25,0))),0))</f>
        <v/>
      </c>
      <c r="BW101" s="56">
        <f>IF(BW$2=Payroll!$I25,Payroll!$F25,IF(BW$2&gt;Payroll!$I25,Payroll!$F25*((1+Payroll!$J25)^(ROUNDDOWN(DATEDIF(Payroll!$I25,BW$2,"M")/Payroll!$K25,0))),0))</f>
        <v/>
      </c>
      <c r="BX101" s="56">
        <f>IF(BX$2=Payroll!$I25,Payroll!$F25,IF(BX$2&gt;Payroll!$I25,Payroll!$F25*((1+Payroll!$J25)^(ROUNDDOWN(DATEDIF(Payroll!$I25,BX$2,"M")/Payroll!$K25,0))),0))</f>
        <v/>
      </c>
      <c r="BY101" s="56">
        <f>IF(BY$2=Payroll!$I25,Payroll!$F25,IF(BY$2&gt;Payroll!$I25,Payroll!$F25*((1+Payroll!$J25)^(ROUNDDOWN(DATEDIF(Payroll!$I25,BY$2,"M")/Payroll!$K25,0))),0))</f>
        <v/>
      </c>
      <c r="BZ101" s="56">
        <f>IF(BZ$2=Payroll!$I25,Payroll!$F25,IF(BZ$2&gt;Payroll!$I25,Payroll!$F25*((1+Payroll!$J25)^(ROUNDDOWN(DATEDIF(Payroll!$I25,BZ$2,"M")/Payroll!$K25,0))),0))</f>
        <v/>
      </c>
      <c r="CA101" s="56">
        <f>IF(CA$2=Payroll!$I25,Payroll!$F25,IF(CA$2&gt;Payroll!$I25,Payroll!$F25*((1+Payroll!$J25)^(ROUNDDOWN(DATEDIF(Payroll!$I25,CA$2,"M")/Payroll!$K25,0))),0))</f>
        <v/>
      </c>
      <c r="CB101" s="56">
        <f>IF(CB$2=Payroll!$I25,Payroll!$F25,IF(CB$2&gt;Payroll!$I25,Payroll!$F25*((1+Payroll!$J25)^(ROUNDDOWN(DATEDIF(Payroll!$I25,CB$2,"M")/Payroll!$K25,0))),0))</f>
        <v/>
      </c>
      <c r="CC101" s="56">
        <f>IF(CC$2=Payroll!$I25,Payroll!$F25,IF(CC$2&gt;Payroll!$I25,Payroll!$F25*((1+Payroll!$J25)^(ROUNDDOWN(DATEDIF(Payroll!$I25,CC$2,"M")/Payroll!$K25,0))),0))</f>
        <v/>
      </c>
      <c r="CD101" s="56">
        <f>IF(CD$2=Payroll!$I25,Payroll!$F25,IF(CD$2&gt;Payroll!$I25,Payroll!$F25*((1+Payroll!$J25)^(ROUNDDOWN(DATEDIF(Payroll!$I25,CD$2,"M")/Payroll!$K25,0))),0))</f>
        <v/>
      </c>
      <c r="CE101" s="56">
        <f>IF(CE$2=Payroll!$I25,Payroll!$F25,IF(CE$2&gt;Payroll!$I25,Payroll!$F25*((1+Payroll!$J25)^(ROUNDDOWN(DATEDIF(Payroll!$I25,CE$2,"M")/Payroll!$K25,0))),0))</f>
        <v/>
      </c>
      <c r="CF101" s="56">
        <f>IF(CF$2=Payroll!$I25,Payroll!$F25,IF(CF$2&gt;Payroll!$I25,Payroll!$F25*((1+Payroll!$J25)^(ROUNDDOWN(DATEDIF(Payroll!$I25,CF$2,"M")/Payroll!$K25,0))),0))</f>
        <v/>
      </c>
      <c r="CG101" s="56">
        <f>IF(CG$2=Payroll!$I25,Payroll!$F25,IF(CG$2&gt;Payroll!$I25,Payroll!$F25*((1+Payroll!$J25)^(ROUNDDOWN(DATEDIF(Payroll!$I25,CG$2,"M")/Payroll!$K25,0))),0))</f>
        <v/>
      </c>
      <c r="CH101" s="56">
        <f>IF(CH$2=Payroll!$I25,Payroll!$F25,IF(CH$2&gt;Payroll!$I25,Payroll!$F25*((1+Payroll!$J25)^(ROUNDDOWN(DATEDIF(Payroll!$I25,CH$2,"M")/Payroll!$K25,0))),0))</f>
        <v/>
      </c>
      <c r="CI101" s="56">
        <f>IF(CI$2=Payroll!$I25,Payroll!$F25,IF(CI$2&gt;Payroll!$I25,Payroll!$F25*((1+Payroll!$J25)^(ROUNDDOWN(DATEDIF(Payroll!$I25,CI$2,"M")/Payroll!$K25,0))),0))</f>
        <v/>
      </c>
      <c r="CJ101" s="56">
        <f>IF(CJ$2=Payroll!$I25,Payroll!$F25,IF(CJ$2&gt;Payroll!$I25,Payroll!$F25*((1+Payroll!$J25)^(ROUNDDOWN(DATEDIF(Payroll!$I25,CJ$2,"M")/Payroll!$K25,0))),0))</f>
        <v/>
      </c>
      <c r="CK101" s="56">
        <f>IF(CK$2=Payroll!$I25,Payroll!$F25,IF(CK$2&gt;Payroll!$I25,Payroll!$F25*((1+Payroll!$J25)^(ROUNDDOWN(DATEDIF(Payroll!$I25,CK$2,"M")/Payroll!$K25,0))),0))</f>
        <v/>
      </c>
      <c r="CL101" s="56">
        <f>IF(CL$2=Payroll!$I25,Payroll!$F25,IF(CL$2&gt;Payroll!$I25,Payroll!$F25*((1+Payroll!$J25)^(ROUNDDOWN(DATEDIF(Payroll!$I25,CL$2,"M")/Payroll!$K25,0))),0))</f>
        <v/>
      </c>
      <c r="CM101" s="56">
        <f>IF(CM$2=Payroll!$I25,Payroll!$F25,IF(CM$2&gt;Payroll!$I25,Payroll!$F25*((1+Payroll!$J25)^(ROUNDDOWN(DATEDIF(Payroll!$I25,CM$2,"M")/Payroll!$K25,0))),0))</f>
        <v/>
      </c>
      <c r="CN101" s="56">
        <f>IF(CN$2=Payroll!$I25,Payroll!$F25,IF(CN$2&gt;Payroll!$I25,Payroll!$F25*((1+Payroll!$J25)^(ROUNDDOWN(DATEDIF(Payroll!$I25,CN$2,"M")/Payroll!$K25,0))),0))</f>
        <v/>
      </c>
      <c r="CO101" s="56">
        <f>IF(CO$2=Payroll!$I25,Payroll!$F25,IF(CO$2&gt;Payroll!$I25,Payroll!$F25*((1+Payroll!$J25)^(ROUNDDOWN(DATEDIF(Payroll!$I25,CO$2,"M")/Payroll!$K25,0))),0))</f>
        <v/>
      </c>
      <c r="CP101" s="56">
        <f>IF(CP$2=Payroll!$I25,Payroll!$F25,IF(CP$2&gt;Payroll!$I25,Payroll!$F25*((1+Payroll!$J25)^(ROUNDDOWN(DATEDIF(Payroll!$I25,CP$2,"M")/Payroll!$K25,0))),0))</f>
        <v/>
      </c>
      <c r="CQ101" s="56">
        <f>IF(CQ$2=Payroll!$I25,Payroll!$F25,IF(CQ$2&gt;Payroll!$I25,Payroll!$F25*((1+Payroll!$J25)^(ROUNDDOWN(DATEDIF(Payroll!$I25,CQ$2,"M")/Payroll!$K25,0))),0))</f>
        <v/>
      </c>
      <c r="CR101" s="56">
        <f>IF(CR$2=Payroll!$I25,Payroll!$F25,IF(CR$2&gt;Payroll!$I25,Payroll!$F25*((1+Payroll!$J25)^(ROUNDDOWN(DATEDIF(Payroll!$I25,CR$2,"M")/Payroll!$K25,0))),0))</f>
        <v/>
      </c>
      <c r="CS101" s="56">
        <f>IF(CS$2=Payroll!$I25,Payroll!$F25,IF(CS$2&gt;Payroll!$I25,Payroll!$F25*((1+Payroll!$J25)^(ROUNDDOWN(DATEDIF(Payroll!$I25,CS$2,"M")/Payroll!$K25,0))),0))</f>
        <v/>
      </c>
      <c r="CT101" s="56">
        <f>IF(CT$2=Payroll!$I25,Payroll!$F25,IF(CT$2&gt;Payroll!$I25,Payroll!$F25*((1+Payroll!$J25)^(ROUNDDOWN(DATEDIF(Payroll!$I25,CT$2,"M")/Payroll!$K25,0))),0))</f>
        <v/>
      </c>
      <c r="CU101" s="56">
        <f>IF(CU$2=Payroll!$I25,Payroll!$F25,IF(CU$2&gt;Payroll!$I25,Payroll!$F25*((1+Payroll!$J25)^(ROUNDDOWN(DATEDIF(Payroll!$I25,CU$2,"M")/Payroll!$K25,0))),0))</f>
        <v/>
      </c>
      <c r="CV101" s="56">
        <f>IF(CV$2=Payroll!$I25,Payroll!$F25,IF(CV$2&gt;Payroll!$I25,Payroll!$F25*((1+Payroll!$J25)^(ROUNDDOWN(DATEDIF(Payroll!$I25,CV$2,"M")/Payroll!$K25,0))),0))</f>
        <v/>
      </c>
      <c r="CW101" s="56">
        <f>IF(CW$2=Payroll!$I25,Payroll!$F25,IF(CW$2&gt;Payroll!$I25,Payroll!$F25*((1+Payroll!$J25)^(ROUNDDOWN(DATEDIF(Payroll!$I25,CW$2,"M")/Payroll!$K25,0))),0))</f>
        <v/>
      </c>
      <c r="CX101" s="56">
        <f>IF(CX$2=Payroll!$I25,Payroll!$F25,IF(CX$2&gt;Payroll!$I25,Payroll!$F25*((1+Payroll!$J25)^(ROUNDDOWN(DATEDIF(Payroll!$I25,CX$2,"M")/Payroll!$K25,0))),0))</f>
        <v/>
      </c>
    </row>
    <row r="102" outlineLevel="2" ht="15.75" customHeight="1" s="255">
      <c r="A102" s="56">
        <f>Payroll!A28</f>
        <v/>
      </c>
      <c r="B102" s="56" t="n"/>
      <c r="C102" s="56" t="n"/>
      <c r="D102" s="56" t="n"/>
      <c r="E102" s="56">
        <f>IF(E$2=Payroll!$I28,Payroll!$F28,IF(E$2&gt;Payroll!$I28,Payroll!$F28*((1+Payroll!$J28)^(ROUNDDOWN(DATEDIF(Payroll!$I28,E$2,"M")/Payroll!$K28,0))),0))</f>
        <v/>
      </c>
      <c r="F102" s="56">
        <f>IF(F$2=Payroll!$I28,Payroll!$F28,IF(F$2&gt;Payroll!$I28,Payroll!$F28*((1+Payroll!$J28)^(ROUNDDOWN(DATEDIF(Payroll!$I28,F$2,"M")/Payroll!$K28,0))),0))</f>
        <v/>
      </c>
      <c r="G102" s="56">
        <f>IF(G$2=Payroll!$I28,Payroll!$F28,IF(G$2&gt;Payroll!$I28,Payroll!$F28*((1+Payroll!$J28)^(ROUNDDOWN(DATEDIF(Payroll!$I28,G$2,"M")/Payroll!$K28,0))),0))</f>
        <v/>
      </c>
      <c r="H102" s="56">
        <f>IF(H$2=Payroll!$I28,Payroll!$F28,IF(H$2&gt;Payroll!$I28,Payroll!$F28*((1+Payroll!$J28)^(ROUNDDOWN(DATEDIF(Payroll!$I28,H$2,"M")/Payroll!$K28,0))),0))</f>
        <v/>
      </c>
      <c r="I102" s="56">
        <f>IF(I$2=Payroll!$I28,Payroll!$F28,IF(I$2&gt;Payroll!$I28,Payroll!$F28*((1+Payroll!$J28)^(ROUNDDOWN(DATEDIF(Payroll!$I28,I$2,"M")/Payroll!$K28,0))),0))</f>
        <v/>
      </c>
      <c r="J102" s="56">
        <f>IF(J$2=Payroll!$I28,Payroll!$F28,IF(J$2&gt;Payroll!$I28,Payroll!$F28*((1+Payroll!$J28)^(ROUNDDOWN(DATEDIF(Payroll!$I28,J$2,"M")/Payroll!$K28,0))),0))</f>
        <v/>
      </c>
      <c r="K102" s="56">
        <f>IF(K$2=Payroll!$I28,Payroll!$F28,IF(K$2&gt;Payroll!$I28,Payroll!$F28*((1+Payroll!$J28)^(ROUNDDOWN(DATEDIF(Payroll!$I28,K$2,"M")/Payroll!$K28,0))),0))</f>
        <v/>
      </c>
      <c r="L102" s="56">
        <f>IF(L$2=Payroll!$I28,Payroll!$F28,IF(L$2&gt;Payroll!$I28,Payroll!$F28*((1+Payroll!$J28)^(ROUNDDOWN(DATEDIF(Payroll!$I28,L$2,"M")/Payroll!$K28,0))),0))</f>
        <v/>
      </c>
      <c r="M102" s="56">
        <f>IF(M$2=Payroll!$I28,Payroll!$F28,IF(M$2&gt;Payroll!$I28,Payroll!$F28*((1+Payroll!$J28)^(ROUNDDOWN(DATEDIF(Payroll!$I28,M$2,"M")/Payroll!$K28,0))),0))</f>
        <v/>
      </c>
      <c r="N102" s="56">
        <f>IF(N$2=Payroll!$I28,Payroll!$F28,IF(N$2&gt;Payroll!$I28,Payroll!$F28*((1+Payroll!$J28)^(ROUNDDOWN(DATEDIF(Payroll!$I28,N$2,"M")/Payroll!$K28,0))),0))</f>
        <v/>
      </c>
      <c r="O102" s="56">
        <f>IF(O$2=Payroll!$I28,Payroll!$F28,IF(O$2&gt;Payroll!$I28,Payroll!$F28*((1+Payroll!$J28)^(ROUNDDOWN(DATEDIF(Payroll!$I28,O$2,"M")/Payroll!$K28,0))),0))</f>
        <v/>
      </c>
      <c r="P102" s="56">
        <f>IF(P$2=Payroll!$I28,Payroll!$F28,IF(P$2&gt;Payroll!$I28,Payroll!$F28*((1+Payroll!$J28)^(ROUNDDOWN(DATEDIF(Payroll!$I28,P$2,"M")/Payroll!$K28,0))),0))</f>
        <v/>
      </c>
      <c r="Q102" s="56">
        <f>IF(Q$2=Payroll!$I28,Payroll!$F28,IF(Q$2&gt;Payroll!$I28,Payroll!$F28*((1+Payroll!$J28)^(ROUNDDOWN(DATEDIF(Payroll!$I28,Q$2,"M")/Payroll!$K28,0))),0))</f>
        <v/>
      </c>
      <c r="R102" s="56">
        <f>IF(R$2=Payroll!$I28,Payroll!$F28,IF(R$2&gt;Payroll!$I28,Payroll!$F28*((1+Payroll!$J28)^(ROUNDDOWN(DATEDIF(Payroll!$I28,R$2,"M")/Payroll!$K28,0))),0))</f>
        <v/>
      </c>
      <c r="S102" s="56">
        <f>IF(S$2=Payroll!$I28,Payroll!$F28,IF(S$2&gt;Payroll!$I28,Payroll!$F28*((1+Payroll!$J28)^(ROUNDDOWN(DATEDIF(Payroll!$I28,S$2,"M")/Payroll!$K28,0))),0))</f>
        <v/>
      </c>
      <c r="T102" s="56">
        <f>IF(T$2=Payroll!$I28,Payroll!$F28,IF(T$2&gt;Payroll!$I28,Payroll!$F28*((1+Payroll!$J28)^(ROUNDDOWN(DATEDIF(Payroll!$I28,T$2,"M")/Payroll!$K28,0))),0))</f>
        <v/>
      </c>
      <c r="U102" s="56">
        <f>IF(U$2=Payroll!$I28,Payroll!$F28,IF(U$2&gt;Payroll!$I28,Payroll!$F28*((1+Payroll!$J28)^(ROUNDDOWN(DATEDIF(Payroll!$I28,U$2,"M")/Payroll!$K28,0))),0))</f>
        <v/>
      </c>
      <c r="V102" s="56">
        <f>IF(V$2=Payroll!$I28,Payroll!$F28,IF(V$2&gt;Payroll!$I28,Payroll!$F28*((1+Payroll!$J28)^(ROUNDDOWN(DATEDIF(Payroll!$I28,V$2,"M")/Payroll!$K28,0))),0))</f>
        <v/>
      </c>
      <c r="W102" s="56">
        <f>IF(W$2=Payroll!$I28,Payroll!$F28,IF(W$2&gt;Payroll!$I28,Payroll!$F28*((1+Payroll!$J28)^(ROUNDDOWN(DATEDIF(Payroll!$I28,W$2,"M")/Payroll!$K28,0))),0))</f>
        <v/>
      </c>
      <c r="X102" s="56">
        <f>IF(X$2=Payroll!$I28,Payroll!$F28,IF(X$2&gt;Payroll!$I28,Payroll!$F28*((1+Payroll!$J28)^(ROUNDDOWN(DATEDIF(Payroll!$I28,X$2,"M")/Payroll!$K28,0))),0))</f>
        <v/>
      </c>
      <c r="Y102" s="56">
        <f>IF(Y$2=Payroll!$I28,Payroll!$F28,IF(Y$2&gt;Payroll!$I28,Payroll!$F28*((1+Payroll!$J28)^(ROUNDDOWN(DATEDIF(Payroll!$I28,Y$2,"M")/Payroll!$K28,0))),0))</f>
        <v/>
      </c>
      <c r="Z102" s="56">
        <f>IF(Z$2=Payroll!$I28,Payroll!$F28,IF(Z$2&gt;Payroll!$I28,Payroll!$F28*((1+Payroll!$J28)^(ROUNDDOWN(DATEDIF(Payroll!$I28,Z$2,"M")/Payroll!$K28,0))),0))</f>
        <v/>
      </c>
      <c r="AA102" s="56">
        <f>IF(AA$2=Payroll!$I28,Payroll!$F28,IF(AA$2&gt;Payroll!$I28,Payroll!$F28*((1+Payroll!$J28)^(ROUNDDOWN(DATEDIF(Payroll!$I28,AA$2,"M")/Payroll!$K28,0))),0))</f>
        <v/>
      </c>
      <c r="AB102" s="56">
        <f>IF(AB$2=Payroll!$I28,Payroll!$F28,IF(AB$2&gt;Payroll!$I28,Payroll!$F28*((1+Payroll!$J28)^(ROUNDDOWN(DATEDIF(Payroll!$I28,AB$2,"M")/Payroll!$K28,0))),0))</f>
        <v/>
      </c>
      <c r="AC102" s="56">
        <f>IF(AC$2=Payroll!$I28,Payroll!$F28,IF(AC$2&gt;Payroll!$I28,Payroll!$F28*((1+Payroll!$J28)^(ROUNDDOWN(DATEDIF(Payroll!$I28,AC$2,"M")/Payroll!$K28,0))),0))</f>
        <v/>
      </c>
      <c r="AD102" s="56">
        <f>IF(AD$2=Payroll!$I28,Payroll!$F28,IF(AD$2&gt;Payroll!$I28,Payroll!$F28*((1+Payroll!$J28)^(ROUNDDOWN(DATEDIF(Payroll!$I28,AD$2,"M")/Payroll!$K28,0))),0))</f>
        <v/>
      </c>
      <c r="AE102" s="56">
        <f>IF(AE$2=Payroll!$I28,Payroll!$F28,IF(AE$2&gt;Payroll!$I28,Payroll!$F28*((1+Payroll!$J28)^(ROUNDDOWN(DATEDIF(Payroll!$I28,AE$2,"M")/Payroll!$K28,0))),0))</f>
        <v/>
      </c>
      <c r="AF102" s="56">
        <f>IF(AF$2=Payroll!$I28,Payroll!$F28,IF(AF$2&gt;Payroll!$I28,Payroll!$F28*((1+Payroll!$J28)^(ROUNDDOWN(DATEDIF(Payroll!$I28,AF$2,"M")/Payroll!$K28,0))),0))</f>
        <v/>
      </c>
      <c r="AG102" s="56">
        <f>IF(AG$2=Payroll!$I28,Payroll!$F28,IF(AG$2&gt;Payroll!$I28,Payroll!$F28*((1+Payroll!$J28)^(ROUNDDOWN(DATEDIF(Payroll!$I28,AG$2,"M")/Payroll!$K28,0))),0))</f>
        <v/>
      </c>
      <c r="AH102" s="56">
        <f>IF(AH$2=Payroll!$I28,Payroll!$F28,IF(AH$2&gt;Payroll!$I28,Payroll!$F28*((1+Payroll!$J28)^(ROUNDDOWN(DATEDIF(Payroll!$I28,AH$2,"M")/Payroll!$K28,0))),0))</f>
        <v/>
      </c>
      <c r="AI102" s="56">
        <f>IF(AI$2=Payroll!$I28,Payroll!$F28,IF(AI$2&gt;Payroll!$I28,Payroll!$F28*((1+Payroll!$J28)^(ROUNDDOWN(DATEDIF(Payroll!$I28,AI$2,"M")/Payroll!$K28,0))),0))</f>
        <v/>
      </c>
      <c r="AJ102" s="56">
        <f>IF(AJ$2=Payroll!$I28,Payroll!$F28,IF(AJ$2&gt;Payroll!$I28,Payroll!$F28*((1+Payroll!$J28)^(ROUNDDOWN(DATEDIF(Payroll!$I28,AJ$2,"M")/Payroll!$K28,0))),0))</f>
        <v/>
      </c>
      <c r="AK102" s="56">
        <f>IF(AK$2=Payroll!$I28,Payroll!$F28,IF(AK$2&gt;Payroll!$I28,Payroll!$F28*((1+Payroll!$J28)^(ROUNDDOWN(DATEDIF(Payroll!$I28,AK$2,"M")/Payroll!$K28,0))),0))</f>
        <v/>
      </c>
      <c r="AL102" s="56">
        <f>IF(AL$2=Payroll!$I28,Payroll!$F28,IF(AL$2&gt;Payroll!$I28,Payroll!$F28*((1+Payroll!$J28)^(ROUNDDOWN(DATEDIF(Payroll!$I28,AL$2,"M")/Payroll!$K28,0))),0))</f>
        <v/>
      </c>
      <c r="AM102" s="56">
        <f>IF(AM$2=Payroll!$I28,Payroll!$F28,IF(AM$2&gt;Payroll!$I28,Payroll!$F28*((1+Payroll!$J28)^(ROUNDDOWN(DATEDIF(Payroll!$I28,AM$2,"M")/Payroll!$K28,0))),0))</f>
        <v/>
      </c>
      <c r="AN102" s="56">
        <f>IF(AN$2=Payroll!$I28,Payroll!$F28,IF(AN$2&gt;Payroll!$I28,Payroll!$F28*((1+Payroll!$J28)^(ROUNDDOWN(DATEDIF(Payroll!$I28,AN$2,"M")/Payroll!$K28,0))),0))</f>
        <v/>
      </c>
      <c r="AO102" s="56">
        <f>IF(AO$2=Payroll!$I28,Payroll!$F28,IF(AO$2&gt;Payroll!$I28,Payroll!$F28*((1+Payroll!$J28)^(ROUNDDOWN(DATEDIF(Payroll!$I28,AO$2,"M")/Payroll!$K28,0))),0))</f>
        <v/>
      </c>
      <c r="AP102" s="56">
        <f>IF(AP$2=Payroll!$I28,Payroll!$F28,IF(AP$2&gt;Payroll!$I28,Payroll!$F28*((1+Payroll!$J28)^(ROUNDDOWN(DATEDIF(Payroll!$I28,AP$2,"M")/Payroll!$K28,0))),0))</f>
        <v/>
      </c>
      <c r="AQ102" s="56">
        <f>IF(AQ$2=Payroll!$I28,Payroll!$F28,IF(AQ$2&gt;Payroll!$I28,Payroll!$F28*((1+Payroll!$J28)^(ROUNDDOWN(DATEDIF(Payroll!$I28,AQ$2,"M")/Payroll!$K28,0))),0))</f>
        <v/>
      </c>
      <c r="AR102" s="56">
        <f>IF(AR$2=Payroll!$I28,Payroll!$F28,IF(AR$2&gt;Payroll!$I28,Payroll!$F28*((1+Payroll!$J28)^(ROUNDDOWN(DATEDIF(Payroll!$I28,AR$2,"M")/Payroll!$K28,0))),0))</f>
        <v/>
      </c>
      <c r="AS102" s="56">
        <f>IF(AS$2=Payroll!$I28,Payroll!$F28,IF(AS$2&gt;Payroll!$I28,Payroll!$F28*((1+Payroll!$J28)^(ROUNDDOWN(DATEDIF(Payroll!$I28,AS$2,"M")/Payroll!$K28,0))),0))</f>
        <v/>
      </c>
      <c r="AT102" s="56">
        <f>IF(AT$2=Payroll!$I28,Payroll!$F28,IF(AT$2&gt;Payroll!$I28,Payroll!$F28*((1+Payroll!$J28)^(ROUNDDOWN(DATEDIF(Payroll!$I28,AT$2,"M")/Payroll!$K28,0))),0))</f>
        <v/>
      </c>
      <c r="AU102" s="56">
        <f>IF(AU$2=Payroll!$I28,Payroll!$F28,IF(AU$2&gt;Payroll!$I28,Payroll!$F28*((1+Payroll!$J28)^(ROUNDDOWN(DATEDIF(Payroll!$I28,AU$2,"M")/Payroll!$K28,0))),0))</f>
        <v/>
      </c>
      <c r="AV102" s="56">
        <f>IF(AV$2=Payroll!$I28,Payroll!$F28,IF(AV$2&gt;Payroll!$I28,Payroll!$F28*((1+Payroll!$J28)^(ROUNDDOWN(DATEDIF(Payroll!$I28,AV$2,"M")/Payroll!$K28,0))),0))</f>
        <v/>
      </c>
      <c r="AW102" s="56">
        <f>IF(AW$2=Payroll!$I28,Payroll!$F28,IF(AW$2&gt;Payroll!$I28,Payroll!$F28*((1+Payroll!$J28)^(ROUNDDOWN(DATEDIF(Payroll!$I28,AW$2,"M")/Payroll!$K28,0))),0))</f>
        <v/>
      </c>
      <c r="AX102" s="56">
        <f>IF(AX$2=Payroll!$I28,Payroll!$F28,IF(AX$2&gt;Payroll!$I28,Payroll!$F28*((1+Payroll!$J28)^(ROUNDDOWN(DATEDIF(Payroll!$I28,AX$2,"M")/Payroll!$K28,0))),0))</f>
        <v/>
      </c>
      <c r="AY102" s="56">
        <f>IF(AY$2=Payroll!$I28,Payroll!$F28,IF(AY$2&gt;Payroll!$I28,Payroll!$F28*((1+Payroll!$J28)^(ROUNDDOWN(DATEDIF(Payroll!$I28,AY$2,"M")/Payroll!$K28,0))),0))</f>
        <v/>
      </c>
      <c r="AZ102" s="56">
        <f>IF(AZ$2=Payroll!$I28,Payroll!$F28,IF(AZ$2&gt;Payroll!$I28,Payroll!$F28*((1+Payroll!$J28)^(ROUNDDOWN(DATEDIF(Payroll!$I28,AZ$2,"M")/Payroll!$K28,0))),0))</f>
        <v/>
      </c>
      <c r="BA102" s="56">
        <f>IF(BA$2=Payroll!$I28,Payroll!$F28,IF(BA$2&gt;Payroll!$I28,Payroll!$F28*((1+Payroll!$J28)^(ROUNDDOWN(DATEDIF(Payroll!$I28,BA$2,"M")/Payroll!$K28,0))),0))</f>
        <v/>
      </c>
      <c r="BB102" s="56">
        <f>IF(BB$2=Payroll!$I28,Payroll!$F28,IF(BB$2&gt;Payroll!$I28,Payroll!$F28*((1+Payroll!$J28)^(ROUNDDOWN(DATEDIF(Payroll!$I28,BB$2,"M")/Payroll!$K28,0))),0))</f>
        <v/>
      </c>
      <c r="BC102" s="56">
        <f>IF(BC$2=Payroll!$I28,Payroll!$F28,IF(BC$2&gt;Payroll!$I28,Payroll!$F28*((1+Payroll!$J28)^(ROUNDDOWN(DATEDIF(Payroll!$I28,BC$2,"M")/Payroll!$K28,0))),0))</f>
        <v/>
      </c>
      <c r="BD102" s="56">
        <f>IF(BD$2=Payroll!$I28,Payroll!$F28,IF(BD$2&gt;Payroll!$I28,Payroll!$F28*((1+Payroll!$J28)^(ROUNDDOWN(DATEDIF(Payroll!$I28,BD$2,"M")/Payroll!$K28,0))),0))</f>
        <v/>
      </c>
      <c r="BE102" s="56">
        <f>IF(BE$2=Payroll!$I28,Payroll!$F28,IF(BE$2&gt;Payroll!$I28,Payroll!$F28*((1+Payroll!$J28)^(ROUNDDOWN(DATEDIF(Payroll!$I28,BE$2,"M")/Payroll!$K28,0))),0))</f>
        <v/>
      </c>
      <c r="BF102" s="56">
        <f>IF(BF$2=Payroll!$I28,Payroll!$F28,IF(BF$2&gt;Payroll!$I28,Payroll!$F28*((1+Payroll!$J28)^(ROUNDDOWN(DATEDIF(Payroll!$I28,BF$2,"M")/Payroll!$K28,0))),0))</f>
        <v/>
      </c>
      <c r="BG102" s="56">
        <f>IF(BG$2=Payroll!$I28,Payroll!$F28,IF(BG$2&gt;Payroll!$I28,Payroll!$F28*((1+Payroll!$J28)^(ROUNDDOWN(DATEDIF(Payroll!$I28,BG$2,"M")/Payroll!$K28,0))),0))</f>
        <v/>
      </c>
      <c r="BH102" s="56">
        <f>IF(BH$2=Payroll!$I28,Payroll!$F28,IF(BH$2&gt;Payroll!$I28,Payroll!$F28*((1+Payroll!$J28)^(ROUNDDOWN(DATEDIF(Payroll!$I28,BH$2,"M")/Payroll!$K28,0))),0))</f>
        <v/>
      </c>
      <c r="BI102" s="56">
        <f>IF(BI$2=Payroll!$I28,Payroll!$F28,IF(BI$2&gt;Payroll!$I28,Payroll!$F28*((1+Payroll!$J28)^(ROUNDDOWN(DATEDIF(Payroll!$I28,BI$2,"M")/Payroll!$K28,0))),0))</f>
        <v/>
      </c>
      <c r="BJ102" s="56">
        <f>IF(BJ$2=Payroll!$I28,Payroll!$F28,IF(BJ$2&gt;Payroll!$I28,Payroll!$F28*((1+Payroll!$J28)^(ROUNDDOWN(DATEDIF(Payroll!$I28,BJ$2,"M")/Payroll!$K28,0))),0))</f>
        <v/>
      </c>
      <c r="BK102" s="56">
        <f>IF(BK$2=Payroll!$I28,Payroll!$F28,IF(BK$2&gt;Payroll!$I28,Payroll!$F28*((1+Payroll!$J28)^(ROUNDDOWN(DATEDIF(Payroll!$I28,BK$2,"M")/Payroll!$K28,0))),0))</f>
        <v/>
      </c>
      <c r="BL102" s="56">
        <f>IF(BL$2=Payroll!$I28,Payroll!$F28,IF(BL$2&gt;Payroll!$I28,Payroll!$F28*((1+Payroll!$J28)^(ROUNDDOWN(DATEDIF(Payroll!$I28,BL$2,"M")/Payroll!$K28,0))),0))</f>
        <v/>
      </c>
      <c r="BM102" s="56">
        <f>IF(BM$2=Payroll!$I28,Payroll!$F28,IF(BM$2&gt;Payroll!$I28,Payroll!$F28*((1+Payroll!$J28)^(ROUNDDOWN(DATEDIF(Payroll!$I28,BM$2,"M")/Payroll!$K28,0))),0))</f>
        <v/>
      </c>
      <c r="BN102" s="56">
        <f>IF(BN$2=Payroll!$I28,Payroll!$F28,IF(BN$2&gt;Payroll!$I28,Payroll!$F28*((1+Payroll!$J28)^(ROUNDDOWN(DATEDIF(Payroll!$I28,BN$2,"M")/Payroll!$K28,0))),0))</f>
        <v/>
      </c>
      <c r="BO102" s="56">
        <f>IF(BO$2=Payroll!$I28,Payroll!$F28,IF(BO$2&gt;Payroll!$I28,Payroll!$F28*((1+Payroll!$J28)^(ROUNDDOWN(DATEDIF(Payroll!$I28,BO$2,"M")/Payroll!$K28,0))),0))</f>
        <v/>
      </c>
      <c r="BP102" s="56">
        <f>IF(BP$2=Payroll!$I28,Payroll!$F28,IF(BP$2&gt;Payroll!$I28,Payroll!$F28*((1+Payroll!$J28)^(ROUNDDOWN(DATEDIF(Payroll!$I28,BP$2,"M")/Payroll!$K28,0))),0))</f>
        <v/>
      </c>
      <c r="BQ102" s="56">
        <f>IF(BQ$2=Payroll!$I28,Payroll!$F28,IF(BQ$2&gt;Payroll!$I28,Payroll!$F28*((1+Payroll!$J28)^(ROUNDDOWN(DATEDIF(Payroll!$I28,BQ$2,"M")/Payroll!$K28,0))),0))</f>
        <v/>
      </c>
      <c r="BR102" s="56">
        <f>IF(BR$2=Payroll!$I28,Payroll!$F28,IF(BR$2&gt;Payroll!$I28,Payroll!$F28*((1+Payroll!$J28)^(ROUNDDOWN(DATEDIF(Payroll!$I28,BR$2,"M")/Payroll!$K28,0))),0))</f>
        <v/>
      </c>
      <c r="BS102" s="56">
        <f>IF(BS$2=Payroll!$I28,Payroll!$F28,IF(BS$2&gt;Payroll!$I28,Payroll!$F28*((1+Payroll!$J28)^(ROUNDDOWN(DATEDIF(Payroll!$I28,BS$2,"M")/Payroll!$K28,0))),0))</f>
        <v/>
      </c>
      <c r="BT102" s="56">
        <f>IF(BT$2=Payroll!$I28,Payroll!$F28,IF(BT$2&gt;Payroll!$I28,Payroll!$F28*((1+Payroll!$J28)^(ROUNDDOWN(DATEDIF(Payroll!$I28,BT$2,"M")/Payroll!$K28,0))),0))</f>
        <v/>
      </c>
      <c r="BU102" s="56">
        <f>IF(BU$2=Payroll!$I28,Payroll!$F28,IF(BU$2&gt;Payroll!$I28,Payroll!$F28*((1+Payroll!$J28)^(ROUNDDOWN(DATEDIF(Payroll!$I28,BU$2,"M")/Payroll!$K28,0))),0))</f>
        <v/>
      </c>
      <c r="BV102" s="56">
        <f>IF(BV$2=Payroll!$I28,Payroll!$F28,IF(BV$2&gt;Payroll!$I28,Payroll!$F28*((1+Payroll!$J28)^(ROUNDDOWN(DATEDIF(Payroll!$I28,BV$2,"M")/Payroll!$K28,0))),0))</f>
        <v/>
      </c>
      <c r="BW102" s="56">
        <f>IF(BW$2=Payroll!$I28,Payroll!$F28,IF(BW$2&gt;Payroll!$I28,Payroll!$F28*((1+Payroll!$J28)^(ROUNDDOWN(DATEDIF(Payroll!$I28,BW$2,"M")/Payroll!$K28,0))),0))</f>
        <v/>
      </c>
      <c r="BX102" s="56">
        <f>IF(BX$2=Payroll!$I28,Payroll!$F28,IF(BX$2&gt;Payroll!$I28,Payroll!$F28*((1+Payroll!$J28)^(ROUNDDOWN(DATEDIF(Payroll!$I28,BX$2,"M")/Payroll!$K28,0))),0))</f>
        <v/>
      </c>
      <c r="BY102" s="56">
        <f>IF(BY$2=Payroll!$I28,Payroll!$F28,IF(BY$2&gt;Payroll!$I28,Payroll!$F28*((1+Payroll!$J28)^(ROUNDDOWN(DATEDIF(Payroll!$I28,BY$2,"M")/Payroll!$K28,0))),0))</f>
        <v/>
      </c>
      <c r="BZ102" s="56">
        <f>IF(BZ$2=Payroll!$I28,Payroll!$F28,IF(BZ$2&gt;Payroll!$I28,Payroll!$F28*((1+Payroll!$J28)^(ROUNDDOWN(DATEDIF(Payroll!$I28,BZ$2,"M")/Payroll!$K28,0))),0))</f>
        <v/>
      </c>
      <c r="CA102" s="56">
        <f>IF(CA$2=Payroll!$I28,Payroll!$F28,IF(CA$2&gt;Payroll!$I28,Payroll!$F28*((1+Payroll!$J28)^(ROUNDDOWN(DATEDIF(Payroll!$I28,CA$2,"M")/Payroll!$K28,0))),0))</f>
        <v/>
      </c>
      <c r="CB102" s="56">
        <f>IF(CB$2=Payroll!$I28,Payroll!$F28,IF(CB$2&gt;Payroll!$I28,Payroll!$F28*((1+Payroll!$J28)^(ROUNDDOWN(DATEDIF(Payroll!$I28,CB$2,"M")/Payroll!$K28,0))),0))</f>
        <v/>
      </c>
      <c r="CC102" s="56">
        <f>IF(CC$2=Payroll!$I28,Payroll!$F28,IF(CC$2&gt;Payroll!$I28,Payroll!$F28*((1+Payroll!$J28)^(ROUNDDOWN(DATEDIF(Payroll!$I28,CC$2,"M")/Payroll!$K28,0))),0))</f>
        <v/>
      </c>
      <c r="CD102" s="56">
        <f>IF(CD$2=Payroll!$I28,Payroll!$F28,IF(CD$2&gt;Payroll!$I28,Payroll!$F28*((1+Payroll!$J28)^(ROUNDDOWN(DATEDIF(Payroll!$I28,CD$2,"M")/Payroll!$K28,0))),0))</f>
        <v/>
      </c>
      <c r="CE102" s="56">
        <f>IF(CE$2=Payroll!$I28,Payroll!$F28,IF(CE$2&gt;Payroll!$I28,Payroll!$F28*((1+Payroll!$J28)^(ROUNDDOWN(DATEDIF(Payroll!$I28,CE$2,"M")/Payroll!$K28,0))),0))</f>
        <v/>
      </c>
      <c r="CF102" s="56">
        <f>IF(CF$2=Payroll!$I28,Payroll!$F28,IF(CF$2&gt;Payroll!$I28,Payroll!$F28*((1+Payroll!$J28)^(ROUNDDOWN(DATEDIF(Payroll!$I28,CF$2,"M")/Payroll!$K28,0))),0))</f>
        <v/>
      </c>
      <c r="CG102" s="56">
        <f>IF(CG$2=Payroll!$I28,Payroll!$F28,IF(CG$2&gt;Payroll!$I28,Payroll!$F28*((1+Payroll!$J28)^(ROUNDDOWN(DATEDIF(Payroll!$I28,CG$2,"M")/Payroll!$K28,0))),0))</f>
        <v/>
      </c>
      <c r="CH102" s="56">
        <f>IF(CH$2=Payroll!$I28,Payroll!$F28,IF(CH$2&gt;Payroll!$I28,Payroll!$F28*((1+Payroll!$J28)^(ROUNDDOWN(DATEDIF(Payroll!$I28,CH$2,"M")/Payroll!$K28,0))),0))</f>
        <v/>
      </c>
      <c r="CI102" s="56">
        <f>IF(CI$2=Payroll!$I28,Payroll!$F28,IF(CI$2&gt;Payroll!$I28,Payroll!$F28*((1+Payroll!$J28)^(ROUNDDOWN(DATEDIF(Payroll!$I28,CI$2,"M")/Payroll!$K28,0))),0))</f>
        <v/>
      </c>
      <c r="CJ102" s="56">
        <f>IF(CJ$2=Payroll!$I28,Payroll!$F28,IF(CJ$2&gt;Payroll!$I28,Payroll!$F28*((1+Payroll!$J28)^(ROUNDDOWN(DATEDIF(Payroll!$I28,CJ$2,"M")/Payroll!$K28,0))),0))</f>
        <v/>
      </c>
      <c r="CK102" s="56">
        <f>IF(CK$2=Payroll!$I28,Payroll!$F28,IF(CK$2&gt;Payroll!$I28,Payroll!$F28*((1+Payroll!$J28)^(ROUNDDOWN(DATEDIF(Payroll!$I28,CK$2,"M")/Payroll!$K28,0))),0))</f>
        <v/>
      </c>
      <c r="CL102" s="56">
        <f>IF(CL$2=Payroll!$I28,Payroll!$F28,IF(CL$2&gt;Payroll!$I28,Payroll!$F28*((1+Payroll!$J28)^(ROUNDDOWN(DATEDIF(Payroll!$I28,CL$2,"M")/Payroll!$K28,0))),0))</f>
        <v/>
      </c>
      <c r="CM102" s="56">
        <f>IF(CM$2=Payroll!$I28,Payroll!$F28,IF(CM$2&gt;Payroll!$I28,Payroll!$F28*((1+Payroll!$J28)^(ROUNDDOWN(DATEDIF(Payroll!$I28,CM$2,"M")/Payroll!$K28,0))),0))</f>
        <v/>
      </c>
      <c r="CN102" s="56">
        <f>IF(CN$2=Payroll!$I28,Payroll!$F28,IF(CN$2&gt;Payroll!$I28,Payroll!$F28*((1+Payroll!$J28)^(ROUNDDOWN(DATEDIF(Payroll!$I28,CN$2,"M")/Payroll!$K28,0))),0))</f>
        <v/>
      </c>
      <c r="CO102" s="56">
        <f>IF(CO$2=Payroll!$I28,Payroll!$F28,IF(CO$2&gt;Payroll!$I28,Payroll!$F28*((1+Payroll!$J28)^(ROUNDDOWN(DATEDIF(Payroll!$I28,CO$2,"M")/Payroll!$K28,0))),0))</f>
        <v/>
      </c>
      <c r="CP102" s="56">
        <f>IF(CP$2=Payroll!$I28,Payroll!$F28,IF(CP$2&gt;Payroll!$I28,Payroll!$F28*((1+Payroll!$J28)^(ROUNDDOWN(DATEDIF(Payroll!$I28,CP$2,"M")/Payroll!$K28,0))),0))</f>
        <v/>
      </c>
      <c r="CQ102" s="56">
        <f>IF(CQ$2=Payroll!$I28,Payroll!$F28,IF(CQ$2&gt;Payroll!$I28,Payroll!$F28*((1+Payroll!$J28)^(ROUNDDOWN(DATEDIF(Payroll!$I28,CQ$2,"M")/Payroll!$K28,0))),0))</f>
        <v/>
      </c>
      <c r="CR102" s="56">
        <f>IF(CR$2=Payroll!$I28,Payroll!$F28,IF(CR$2&gt;Payroll!$I28,Payroll!$F28*((1+Payroll!$J28)^(ROUNDDOWN(DATEDIF(Payroll!$I28,CR$2,"M")/Payroll!$K28,0))),0))</f>
        <v/>
      </c>
      <c r="CS102" s="56">
        <f>IF(CS$2=Payroll!$I28,Payroll!$F28,IF(CS$2&gt;Payroll!$I28,Payroll!$F28*((1+Payroll!$J28)^(ROUNDDOWN(DATEDIF(Payroll!$I28,CS$2,"M")/Payroll!$K28,0))),0))</f>
        <v/>
      </c>
      <c r="CT102" s="56">
        <f>IF(CT$2=Payroll!$I28,Payroll!$F28,IF(CT$2&gt;Payroll!$I28,Payroll!$F28*((1+Payroll!$J28)^(ROUNDDOWN(DATEDIF(Payroll!$I28,CT$2,"M")/Payroll!$K28,0))),0))</f>
        <v/>
      </c>
      <c r="CU102" s="56">
        <f>IF(CU$2=Payroll!$I28,Payroll!$F28,IF(CU$2&gt;Payroll!$I28,Payroll!$F28*((1+Payroll!$J28)^(ROUNDDOWN(DATEDIF(Payroll!$I28,CU$2,"M")/Payroll!$K28,0))),0))</f>
        <v/>
      </c>
      <c r="CV102" s="56">
        <f>IF(CV$2=Payroll!$I28,Payroll!$F28,IF(CV$2&gt;Payroll!$I28,Payroll!$F28*((1+Payroll!$J28)^(ROUNDDOWN(DATEDIF(Payroll!$I28,CV$2,"M")/Payroll!$K28,0))),0))</f>
        <v/>
      </c>
      <c r="CW102" s="56">
        <f>IF(CW$2=Payroll!$I28,Payroll!$F28,IF(CW$2&gt;Payroll!$I28,Payroll!$F28*((1+Payroll!$J28)^(ROUNDDOWN(DATEDIF(Payroll!$I28,CW$2,"M")/Payroll!$K28,0))),0))</f>
        <v/>
      </c>
      <c r="CX102" s="56">
        <f>IF(CX$2=Payroll!$I28,Payroll!$F28,IF(CX$2&gt;Payroll!$I28,Payroll!$F28*((1+Payroll!$J28)^(ROUNDDOWN(DATEDIF(Payroll!$I28,CX$2,"M")/Payroll!$K28,0))),0))</f>
        <v/>
      </c>
    </row>
    <row r="103" outlineLevel="1" ht="15.75" customHeight="1" s="255">
      <c r="A103" s="56" t="n"/>
      <c r="B103" s="56" t="n"/>
      <c r="C103" s="56" t="n"/>
      <c r="D103" s="56" t="n"/>
      <c r="E103" s="56" t="inlineStr">
        <is>
          <t> </t>
        </is>
      </c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  <c r="CW103" s="56" t="n"/>
      <c r="CX103" s="56" t="n"/>
    </row>
    <row r="104" outlineLevel="1" ht="15.75" customHeight="1" s="255">
      <c r="A104" s="60">
        <f>Payroll!A5</f>
        <v/>
      </c>
      <c r="B104" s="60" t="inlineStr">
        <is>
          <t>Operations</t>
        </is>
      </c>
      <c r="C104" s="60" t="n"/>
      <c r="D104" s="60" t="n"/>
      <c r="E104" s="60">
        <f>SUM(E105:E107)</f>
        <v/>
      </c>
      <c r="F104" s="60">
        <f>SUM(F105:F107)</f>
        <v/>
      </c>
      <c r="G104" s="60">
        <f>SUM(G105:G107)</f>
        <v/>
      </c>
      <c r="H104" s="60">
        <f>SUM(H105:H107)</f>
        <v/>
      </c>
      <c r="I104" s="60">
        <f>SUM(I105:I107)</f>
        <v/>
      </c>
      <c r="J104" s="60">
        <f>SUM(J105:J107)</f>
        <v/>
      </c>
      <c r="K104" s="60">
        <f>SUM(K105:K107)</f>
        <v/>
      </c>
      <c r="L104" s="60">
        <f>SUM(L105:L107)</f>
        <v/>
      </c>
      <c r="M104" s="60">
        <f>SUM(M105:M107)</f>
        <v/>
      </c>
      <c r="N104" s="60">
        <f>SUM(N105:N107)</f>
        <v/>
      </c>
      <c r="O104" s="60">
        <f>SUM(O105:O107)</f>
        <v/>
      </c>
      <c r="P104" s="60">
        <f>SUM(P105:P107)</f>
        <v/>
      </c>
      <c r="Q104" s="60">
        <f>SUM(Q105:Q107)</f>
        <v/>
      </c>
      <c r="R104" s="60">
        <f>SUM(R105:R107)</f>
        <v/>
      </c>
      <c r="S104" s="60">
        <f>SUM(S105:S107)</f>
        <v/>
      </c>
      <c r="T104" s="60">
        <f>SUM(T105:T107)</f>
        <v/>
      </c>
      <c r="U104" s="60">
        <f>SUM(U105:U107)</f>
        <v/>
      </c>
      <c r="V104" s="60">
        <f>SUM(V105:V107)</f>
        <v/>
      </c>
      <c r="W104" s="60">
        <f>SUM(W105:W107)</f>
        <v/>
      </c>
      <c r="X104" s="60">
        <f>SUM(X105:X107)</f>
        <v/>
      </c>
      <c r="Y104" s="60">
        <f>SUM(Y105:Y107)</f>
        <v/>
      </c>
      <c r="Z104" s="60">
        <f>SUM(Z105:Z107)</f>
        <v/>
      </c>
      <c r="AA104" s="60">
        <f>SUM(AA105:AA107)</f>
        <v/>
      </c>
      <c r="AB104" s="60">
        <f>SUM(AB105:AB107)</f>
        <v/>
      </c>
      <c r="AC104" s="60">
        <f>SUM(AC105:AC107)</f>
        <v/>
      </c>
      <c r="AD104" s="60">
        <f>SUM(AD105:AD107)</f>
        <v/>
      </c>
      <c r="AE104" s="60">
        <f>SUM(AE105:AE107)</f>
        <v/>
      </c>
      <c r="AF104" s="60">
        <f>SUM(AF105:AF107)</f>
        <v/>
      </c>
      <c r="AG104" s="60">
        <f>SUM(AG105:AG107)</f>
        <v/>
      </c>
      <c r="AH104" s="60">
        <f>SUM(AH105:AH107)</f>
        <v/>
      </c>
      <c r="AI104" s="60">
        <f>SUM(AI105:AI107)</f>
        <v/>
      </c>
      <c r="AJ104" s="60">
        <f>SUM(AJ105:AJ107)</f>
        <v/>
      </c>
      <c r="AK104" s="60">
        <f>SUM(AK105:AK107)</f>
        <v/>
      </c>
      <c r="AL104" s="60">
        <f>SUM(AL105:AL107)</f>
        <v/>
      </c>
      <c r="AM104" s="60">
        <f>SUM(AM105:AM107)</f>
        <v/>
      </c>
      <c r="AN104" s="60">
        <f>SUM(AN105:AN107)</f>
        <v/>
      </c>
      <c r="AO104" s="60">
        <f>SUM(AO105:AO107)</f>
        <v/>
      </c>
      <c r="AP104" s="60">
        <f>SUM(AP105:AP107)</f>
        <v/>
      </c>
      <c r="AQ104" s="60">
        <f>SUM(AQ105:AQ107)</f>
        <v/>
      </c>
      <c r="AR104" s="60">
        <f>SUM(AR105:AR107)</f>
        <v/>
      </c>
      <c r="AS104" s="60">
        <f>SUM(AS105:AS107)</f>
        <v/>
      </c>
      <c r="AT104" s="60">
        <f>SUM(AT105:AT107)</f>
        <v/>
      </c>
      <c r="AU104" s="60">
        <f>SUM(AU105:AU107)</f>
        <v/>
      </c>
      <c r="AV104" s="60">
        <f>SUM(AV105:AV107)</f>
        <v/>
      </c>
      <c r="AW104" s="60">
        <f>SUM(AW105:AW107)</f>
        <v/>
      </c>
      <c r="AX104" s="60">
        <f>SUM(AX105:AX107)</f>
        <v/>
      </c>
      <c r="AY104" s="60">
        <f>SUM(AY105:AY107)</f>
        <v/>
      </c>
      <c r="AZ104" s="60">
        <f>SUM(AZ105:AZ107)</f>
        <v/>
      </c>
      <c r="BA104" s="60">
        <f>SUM(BA105:BA107)</f>
        <v/>
      </c>
      <c r="BB104" s="60">
        <f>SUM(BB105:BB107)</f>
        <v/>
      </c>
      <c r="BC104" s="60">
        <f>SUM(BC105:BC107)</f>
        <v/>
      </c>
      <c r="BD104" s="60">
        <f>SUM(BD105:BD107)</f>
        <v/>
      </c>
      <c r="BE104" s="60">
        <f>SUM(BE105:BE107)</f>
        <v/>
      </c>
      <c r="BF104" s="60">
        <f>SUM(BF105:BF107)</f>
        <v/>
      </c>
      <c r="BG104" s="60">
        <f>SUM(BG105:BG107)</f>
        <v/>
      </c>
      <c r="BH104" s="60">
        <f>SUM(BH105:BH107)</f>
        <v/>
      </c>
      <c r="BI104" s="60">
        <f>SUM(BI105:BI107)</f>
        <v/>
      </c>
      <c r="BJ104" s="60">
        <f>SUM(BJ105:BJ107)</f>
        <v/>
      </c>
      <c r="BK104" s="60">
        <f>SUM(BK105:BK107)</f>
        <v/>
      </c>
      <c r="BL104" s="60">
        <f>SUM(BL105:BL107)</f>
        <v/>
      </c>
      <c r="BM104" s="60">
        <f>SUM(BM105:BM107)</f>
        <v/>
      </c>
      <c r="BN104" s="60">
        <f>SUM(BN105:BN107)</f>
        <v/>
      </c>
      <c r="BO104" s="60">
        <f>SUM(BO105:BO107)</f>
        <v/>
      </c>
      <c r="BP104" s="60">
        <f>SUM(BP105:BP107)</f>
        <v/>
      </c>
      <c r="BQ104" s="60">
        <f>SUM(BQ105:BQ107)</f>
        <v/>
      </c>
      <c r="BR104" s="60">
        <f>SUM(BR105:BR107)</f>
        <v/>
      </c>
      <c r="BS104" s="60">
        <f>SUM(BS105:BS107)</f>
        <v/>
      </c>
      <c r="BT104" s="60">
        <f>SUM(BT105:BT107)</f>
        <v/>
      </c>
      <c r="BU104" s="60">
        <f>SUM(BU105:BU107)</f>
        <v/>
      </c>
      <c r="BV104" s="60">
        <f>SUM(BV105:BV107)</f>
        <v/>
      </c>
      <c r="BW104" s="60">
        <f>SUM(BW105:BW107)</f>
        <v/>
      </c>
      <c r="BX104" s="60">
        <f>SUM(BX105:BX107)</f>
        <v/>
      </c>
      <c r="BY104" s="60">
        <f>SUM(BY105:BY107)</f>
        <v/>
      </c>
      <c r="BZ104" s="60">
        <f>SUM(BZ105:BZ107)</f>
        <v/>
      </c>
      <c r="CA104" s="60">
        <f>SUM(CA105:CA107)</f>
        <v/>
      </c>
      <c r="CB104" s="60">
        <f>SUM(CB105:CB107)</f>
        <v/>
      </c>
      <c r="CC104" s="60">
        <f>SUM(CC105:CC107)</f>
        <v/>
      </c>
      <c r="CD104" s="60">
        <f>SUM(CD105:CD107)</f>
        <v/>
      </c>
      <c r="CE104" s="60">
        <f>SUM(CE105:CE107)</f>
        <v/>
      </c>
      <c r="CF104" s="60">
        <f>SUM(CF105:CF107)</f>
        <v/>
      </c>
      <c r="CG104" s="60">
        <f>SUM(CG105:CG107)</f>
        <v/>
      </c>
      <c r="CH104" s="60">
        <f>SUM(CH105:CH107)</f>
        <v/>
      </c>
      <c r="CI104" s="60">
        <f>SUM(CI105:CI107)</f>
        <v/>
      </c>
      <c r="CJ104" s="60">
        <f>SUM(CJ105:CJ107)</f>
        <v/>
      </c>
      <c r="CK104" s="60">
        <f>SUM(CK105:CK107)</f>
        <v/>
      </c>
      <c r="CL104" s="60">
        <f>SUM(CL105:CL107)</f>
        <v/>
      </c>
      <c r="CM104" s="60">
        <f>SUM(CM105:CM107)</f>
        <v/>
      </c>
      <c r="CN104" s="60">
        <f>SUM(CN105:CN107)</f>
        <v/>
      </c>
      <c r="CO104" s="60">
        <f>SUM(CO105:CO107)</f>
        <v/>
      </c>
      <c r="CP104" s="60">
        <f>SUM(CP105:CP107)</f>
        <v/>
      </c>
      <c r="CQ104" s="60">
        <f>SUM(CQ105:CQ107)</f>
        <v/>
      </c>
      <c r="CR104" s="60">
        <f>SUM(CR105:CR107)</f>
        <v/>
      </c>
      <c r="CS104" s="60">
        <f>SUM(CS105:CS107)</f>
        <v/>
      </c>
      <c r="CT104" s="60">
        <f>SUM(CT105:CT107)</f>
        <v/>
      </c>
      <c r="CU104" s="60">
        <f>SUM(CU105:CU107)</f>
        <v/>
      </c>
      <c r="CV104" s="60">
        <f>SUM(CV105:CV107)</f>
        <v/>
      </c>
      <c r="CW104" s="60">
        <f>SUM(CW105:CW107)</f>
        <v/>
      </c>
      <c r="CX104" s="60">
        <f>SUM(CX105:CX107)</f>
        <v/>
      </c>
    </row>
    <row r="105" outlineLevel="2" ht="15.75" customHeight="1" s="255">
      <c r="A105" s="56">
        <f>Payroll!A6</f>
        <v/>
      </c>
      <c r="B105" s="56" t="n"/>
      <c r="C105" s="56" t="n"/>
      <c r="D105" s="56" t="n"/>
      <c r="E105" s="56">
        <f>IF(E$2=Payroll!$I6,Payroll!$F6,IF(E$2&gt;Payroll!$I6,Payroll!$F6*((1+Payroll!$J6)^(ROUNDDOWN(DATEDIF(Payroll!$I6,E$2,"M")/Payroll!$K6,0))),0))</f>
        <v/>
      </c>
      <c r="F105" s="56">
        <f>IF(F$2=Payroll!$I6,Payroll!$F6,IF(F$2&gt;Payroll!$I6,Payroll!$F6*((1+Payroll!$J6)^(ROUNDDOWN(DATEDIF(Payroll!$I6,F$2,"M")/Payroll!$K6,0))),0))</f>
        <v/>
      </c>
      <c r="G105" s="56">
        <f>IF(G$2=Payroll!$I6,Payroll!$F6,IF(G$2&gt;Payroll!$I6,Payroll!$F6*((1+Payroll!$J6)^(ROUNDDOWN(DATEDIF(Payroll!$I6,G$2,"M")/Payroll!$K6,0))),0))</f>
        <v/>
      </c>
      <c r="H105" s="56">
        <f>IF(H$2=Payroll!$I6,Payroll!$F6,IF(H$2&gt;Payroll!$I6,Payroll!$F6*((1+Payroll!$J6)^(ROUNDDOWN(DATEDIF(Payroll!$I6,H$2,"M")/Payroll!$K6,0))),0))</f>
        <v/>
      </c>
      <c r="I105" s="56">
        <f>IF(I$2=Payroll!$I6,Payroll!$F6,IF(I$2&gt;Payroll!$I6,Payroll!$F6*((1+Payroll!$J6)^(ROUNDDOWN(DATEDIF(Payroll!$I6,I$2,"M")/Payroll!$K6,0))),0))</f>
        <v/>
      </c>
      <c r="J105" s="56">
        <f>IF(J$2=Payroll!$I6,Payroll!$F6,IF(J$2&gt;Payroll!$I6,Payroll!$F6*((1+Payroll!$J6)^(ROUNDDOWN(DATEDIF(Payroll!$I6,J$2,"M")/Payroll!$K6,0))),0))</f>
        <v/>
      </c>
      <c r="K105" s="56">
        <f>IF(K$2=Payroll!$I6,Payroll!$F6,IF(K$2&gt;Payroll!$I6,Payroll!$F6*((1+Payroll!$J6)^(ROUNDDOWN(DATEDIF(Payroll!$I6,K$2,"M")/Payroll!$K6,0))),0))</f>
        <v/>
      </c>
      <c r="L105" s="56">
        <f>IF(L$2=Payroll!$I6,Payroll!$F6,IF(L$2&gt;Payroll!$I6,Payroll!$F6*((1+Payroll!$J6)^(ROUNDDOWN(DATEDIF(Payroll!$I6,L$2,"M")/Payroll!$K6,0))),0))</f>
        <v/>
      </c>
      <c r="M105" s="56">
        <f>IF(M$2=Payroll!$I6,Payroll!$F6,IF(M$2&gt;Payroll!$I6,Payroll!$F6*((1+Payroll!$J6)^(ROUNDDOWN(DATEDIF(Payroll!$I6,M$2,"M")/Payroll!$K6,0))),0))</f>
        <v/>
      </c>
      <c r="N105" s="56">
        <f>IF(N$2=Payroll!$I6,Payroll!$F6,IF(N$2&gt;Payroll!$I6,Payroll!$F6*((1+Payroll!$J6)^(ROUNDDOWN(DATEDIF(Payroll!$I6,N$2,"M")/Payroll!$K6,0))),0))</f>
        <v/>
      </c>
      <c r="O105" s="56">
        <f>IF(O$2=Payroll!$I6,Payroll!$F6,IF(O$2&gt;Payroll!$I6,Payroll!$F6*((1+Payroll!$J6)^(ROUNDDOWN(DATEDIF(Payroll!$I6,O$2,"M")/Payroll!$K6,0))),0))</f>
        <v/>
      </c>
      <c r="P105" s="56">
        <f>IF(P$2=Payroll!$I6,Payroll!$F6,IF(P$2&gt;Payroll!$I6,Payroll!$F6*((1+Payroll!$J6)^(ROUNDDOWN(DATEDIF(Payroll!$I6,P$2,"M")/Payroll!$K6,0))),0))</f>
        <v/>
      </c>
      <c r="Q105" s="56">
        <f>IF(Q$2=Payroll!$I6,Payroll!$F6,IF(Q$2&gt;Payroll!$I6,Payroll!$F6*((1+Payroll!$J6)^(ROUNDDOWN(DATEDIF(Payroll!$I6,Q$2,"M")/Payroll!$K6,0))),0))</f>
        <v/>
      </c>
      <c r="R105" s="56">
        <f>IF(R$2=Payroll!$I6,Payroll!$F6,IF(R$2&gt;Payroll!$I6,Payroll!$F6*((1+Payroll!$J6)^(ROUNDDOWN(DATEDIF(Payroll!$I6,R$2,"M")/Payroll!$K6,0))),0))</f>
        <v/>
      </c>
      <c r="S105" s="56">
        <f>IF(S$2=Payroll!$I6,Payroll!$F6,IF(S$2&gt;Payroll!$I6,Payroll!$F6*((1+Payroll!$J6)^(ROUNDDOWN(DATEDIF(Payroll!$I6,S$2,"M")/Payroll!$K6,0))),0))</f>
        <v/>
      </c>
      <c r="T105" s="56">
        <f>IF(T$2=Payroll!$I6,Payroll!$F6,IF(T$2&gt;Payroll!$I6,Payroll!$F6*((1+Payroll!$J6)^(ROUNDDOWN(DATEDIF(Payroll!$I6,T$2,"M")/Payroll!$K6,0))),0))</f>
        <v/>
      </c>
      <c r="U105" s="56">
        <f>IF(U$2=Payroll!$I6,Payroll!$F6,IF(U$2&gt;Payroll!$I6,Payroll!$F6*((1+Payroll!$J6)^(ROUNDDOWN(DATEDIF(Payroll!$I6,U$2,"M")/Payroll!$K6,0))),0))</f>
        <v/>
      </c>
      <c r="V105" s="56">
        <f>IF(V$2=Payroll!$I6,Payroll!$F6,IF(V$2&gt;Payroll!$I6,Payroll!$F6*((1+Payroll!$J6)^(ROUNDDOWN(DATEDIF(Payroll!$I6,V$2,"M")/Payroll!$K6,0))),0))</f>
        <v/>
      </c>
      <c r="W105" s="56">
        <f>IF(W$2=Payroll!$I6,Payroll!$F6,IF(W$2&gt;Payroll!$I6,Payroll!$F6*((1+Payroll!$J6)^(ROUNDDOWN(DATEDIF(Payroll!$I6,W$2,"M")/Payroll!$K6,0))),0))</f>
        <v/>
      </c>
      <c r="X105" s="56">
        <f>IF(X$2=Payroll!$I6,Payroll!$F6,IF(X$2&gt;Payroll!$I6,Payroll!$F6*((1+Payroll!$J6)^(ROUNDDOWN(DATEDIF(Payroll!$I6,X$2,"M")/Payroll!$K6,0))),0))</f>
        <v/>
      </c>
      <c r="Y105" s="56">
        <f>IF(Y$2=Payroll!$I6,Payroll!$F6,IF(Y$2&gt;Payroll!$I6,Payroll!$F6*((1+Payroll!$J6)^(ROUNDDOWN(DATEDIF(Payroll!$I6,Y$2,"M")/Payroll!$K6,0))),0))</f>
        <v/>
      </c>
      <c r="Z105" s="56">
        <f>IF(Z$2=Payroll!$I6,Payroll!$F6,IF(Z$2&gt;Payroll!$I6,Payroll!$F6*((1+Payroll!$J6)^(ROUNDDOWN(DATEDIF(Payroll!$I6,Z$2,"M")/Payroll!$K6,0))),0))</f>
        <v/>
      </c>
      <c r="AA105" s="56">
        <f>IF(AA$2=Payroll!$I6,Payroll!$F6,IF(AA$2&gt;Payroll!$I6,Payroll!$F6*((1+Payroll!$J6)^(ROUNDDOWN(DATEDIF(Payroll!$I6,AA$2,"M")/Payroll!$K6,0))),0))</f>
        <v/>
      </c>
      <c r="AB105" s="56">
        <f>IF(AB$2=Payroll!$I6,Payroll!$F6,IF(AB$2&gt;Payroll!$I6,Payroll!$F6*((1+Payroll!$J6)^(ROUNDDOWN(DATEDIF(Payroll!$I6,AB$2,"M")/Payroll!$K6,0))),0))</f>
        <v/>
      </c>
      <c r="AC105" s="56">
        <f>IF(AC$2=Payroll!$I6,Payroll!$F6,IF(AC$2&gt;Payroll!$I6,Payroll!$F6*((1+Payroll!$J6)^(ROUNDDOWN(DATEDIF(Payroll!$I6,AC$2,"M")/Payroll!$K6,0))),0))</f>
        <v/>
      </c>
      <c r="AD105" s="56">
        <f>IF(AD$2=Payroll!$I6,Payroll!$F6,IF(AD$2&gt;Payroll!$I6,Payroll!$F6*((1+Payroll!$J6)^(ROUNDDOWN(DATEDIF(Payroll!$I6,AD$2,"M")/Payroll!$K6,0))),0))</f>
        <v/>
      </c>
      <c r="AE105" s="56">
        <f>IF(AE$2=Payroll!$I6,Payroll!$F6,IF(AE$2&gt;Payroll!$I6,Payroll!$F6*((1+Payroll!$J6)^(ROUNDDOWN(DATEDIF(Payroll!$I6,AE$2,"M")/Payroll!$K6,0))),0))</f>
        <v/>
      </c>
      <c r="AF105" s="56">
        <f>IF(AF$2=Payroll!$I6,Payroll!$F6,IF(AF$2&gt;Payroll!$I6,Payroll!$F6*((1+Payroll!$J6)^(ROUNDDOWN(DATEDIF(Payroll!$I6,AF$2,"M")/Payroll!$K6,0))),0))</f>
        <v/>
      </c>
      <c r="AG105" s="56">
        <f>IF(AG$2=Payroll!$I6,Payroll!$F6,IF(AG$2&gt;Payroll!$I6,Payroll!$F6*((1+Payroll!$J6)^(ROUNDDOWN(DATEDIF(Payroll!$I6,AG$2,"M")/Payroll!$K6,0))),0))</f>
        <v/>
      </c>
      <c r="AH105" s="56">
        <f>IF(AH$2=Payroll!$I6,Payroll!$F6,IF(AH$2&gt;Payroll!$I6,Payroll!$F6*((1+Payroll!$J6)^(ROUNDDOWN(DATEDIF(Payroll!$I6,AH$2,"M")/Payroll!$K6,0))),0))</f>
        <v/>
      </c>
      <c r="AI105" s="56">
        <f>IF(AI$2=Payroll!$I6,Payroll!$F6,IF(AI$2&gt;Payroll!$I6,Payroll!$F6*((1+Payroll!$J6)^(ROUNDDOWN(DATEDIF(Payroll!$I6,AI$2,"M")/Payroll!$K6,0))),0))</f>
        <v/>
      </c>
      <c r="AJ105" s="56">
        <f>IF(AJ$2=Payroll!$I6,Payroll!$F6,IF(AJ$2&gt;Payroll!$I6,Payroll!$F6*((1+Payroll!$J6)^(ROUNDDOWN(DATEDIF(Payroll!$I6,AJ$2,"M")/Payroll!$K6,0))),0))</f>
        <v/>
      </c>
      <c r="AK105" s="56">
        <f>IF(AK$2=Payroll!$I6,Payroll!$F6,IF(AK$2&gt;Payroll!$I6,Payroll!$F6*((1+Payroll!$J6)^(ROUNDDOWN(DATEDIF(Payroll!$I6,AK$2,"M")/Payroll!$K6,0))),0))</f>
        <v/>
      </c>
      <c r="AL105" s="56">
        <f>IF(AL$2=Payroll!$I6,Payroll!$F6,IF(AL$2&gt;Payroll!$I6,Payroll!$F6*((1+Payroll!$J6)^(ROUNDDOWN(DATEDIF(Payroll!$I6,AL$2,"M")/Payroll!$K6,0))),0))</f>
        <v/>
      </c>
      <c r="AM105" s="56">
        <f>IF(AM$2=Payroll!$I6,Payroll!$F6,IF(AM$2&gt;Payroll!$I6,Payroll!$F6*((1+Payroll!$J6)^(ROUNDDOWN(DATEDIF(Payroll!$I6,AM$2,"M")/Payroll!$K6,0))),0))</f>
        <v/>
      </c>
      <c r="AN105" s="56">
        <f>IF(AN$2=Payroll!$I6,Payroll!$F6,IF(AN$2&gt;Payroll!$I6,Payroll!$F6*((1+Payroll!$J6)^(ROUNDDOWN(DATEDIF(Payroll!$I6,AN$2,"M")/Payroll!$K6,0))),0))</f>
        <v/>
      </c>
      <c r="AO105" s="56">
        <f>IF(AO$2=Payroll!$I6,Payroll!$F6,IF(AO$2&gt;Payroll!$I6,Payroll!$F6*((1+Payroll!$J6)^(ROUNDDOWN(DATEDIF(Payroll!$I6,AO$2,"M")/Payroll!$K6,0))),0))</f>
        <v/>
      </c>
      <c r="AP105" s="56">
        <f>IF(AP$2=Payroll!$I6,Payroll!$F6,IF(AP$2&gt;Payroll!$I6,Payroll!$F6*((1+Payroll!$J6)^(ROUNDDOWN(DATEDIF(Payroll!$I6,AP$2,"M")/Payroll!$K6,0))),0))</f>
        <v/>
      </c>
      <c r="AQ105" s="56">
        <f>IF(AQ$2=Payroll!$I6,Payroll!$F6,IF(AQ$2&gt;Payroll!$I6,Payroll!$F6*((1+Payroll!$J6)^(ROUNDDOWN(DATEDIF(Payroll!$I6,AQ$2,"M")/Payroll!$K6,0))),0))</f>
        <v/>
      </c>
      <c r="AR105" s="56">
        <f>IF(AR$2=Payroll!$I6,Payroll!$F6,IF(AR$2&gt;Payroll!$I6,Payroll!$F6*((1+Payroll!$J6)^(ROUNDDOWN(DATEDIF(Payroll!$I6,AR$2,"M")/Payroll!$K6,0))),0))</f>
        <v/>
      </c>
      <c r="AS105" s="56">
        <f>IF(AS$2=Payroll!$I6,Payroll!$F6,IF(AS$2&gt;Payroll!$I6,Payroll!$F6*((1+Payroll!$J6)^(ROUNDDOWN(DATEDIF(Payroll!$I6,AS$2,"M")/Payroll!$K6,0))),0))</f>
        <v/>
      </c>
      <c r="AT105" s="56">
        <f>IF(AT$2=Payroll!$I6,Payroll!$F6,IF(AT$2&gt;Payroll!$I6,Payroll!$F6*((1+Payroll!$J6)^(ROUNDDOWN(DATEDIF(Payroll!$I6,AT$2,"M")/Payroll!$K6,0))),0))</f>
        <v/>
      </c>
      <c r="AU105" s="56">
        <f>IF(AU$2=Payroll!$I6,Payroll!$F6,IF(AU$2&gt;Payroll!$I6,Payroll!$F6*((1+Payroll!$J6)^(ROUNDDOWN(DATEDIF(Payroll!$I6,AU$2,"M")/Payroll!$K6,0))),0))</f>
        <v/>
      </c>
      <c r="AV105" s="56">
        <f>IF(AV$2=Payroll!$I6,Payroll!$F6,IF(AV$2&gt;Payroll!$I6,Payroll!$F6*((1+Payroll!$J6)^(ROUNDDOWN(DATEDIF(Payroll!$I6,AV$2,"M")/Payroll!$K6,0))),0))</f>
        <v/>
      </c>
      <c r="AW105" s="56">
        <f>IF(AW$2=Payroll!$I6,Payroll!$F6,IF(AW$2&gt;Payroll!$I6,Payroll!$F6*((1+Payroll!$J6)^(ROUNDDOWN(DATEDIF(Payroll!$I6,AW$2,"M")/Payroll!$K6,0))),0))</f>
        <v/>
      </c>
      <c r="AX105" s="56">
        <f>IF(AX$2=Payroll!$I6,Payroll!$F6,IF(AX$2&gt;Payroll!$I6,Payroll!$F6*((1+Payroll!$J6)^(ROUNDDOWN(DATEDIF(Payroll!$I6,AX$2,"M")/Payroll!$K6,0))),0))</f>
        <v/>
      </c>
      <c r="AY105" s="56">
        <f>IF(AY$2=Payroll!$I6,Payroll!$F6,IF(AY$2&gt;Payroll!$I6,Payroll!$F6*((1+Payroll!$J6)^(ROUNDDOWN(DATEDIF(Payroll!$I6,AY$2,"M")/Payroll!$K6,0))),0))</f>
        <v/>
      </c>
      <c r="AZ105" s="56">
        <f>IF(AZ$2=Payroll!$I6,Payroll!$F6,IF(AZ$2&gt;Payroll!$I6,Payroll!$F6*((1+Payroll!$J6)^(ROUNDDOWN(DATEDIF(Payroll!$I6,AZ$2,"M")/Payroll!$K6,0))),0))</f>
        <v/>
      </c>
      <c r="BA105" s="56">
        <f>IF(BA$2=Payroll!$I6,Payroll!$F6,IF(BA$2&gt;Payroll!$I6,Payroll!$F6*((1+Payroll!$J6)^(ROUNDDOWN(DATEDIF(Payroll!$I6,BA$2,"M")/Payroll!$K6,0))),0))</f>
        <v/>
      </c>
      <c r="BB105" s="56">
        <f>IF(BB$2=Payroll!$I6,Payroll!$F6,IF(BB$2&gt;Payroll!$I6,Payroll!$F6*((1+Payroll!$J6)^(ROUNDDOWN(DATEDIF(Payroll!$I6,BB$2,"M")/Payroll!$K6,0))),0))</f>
        <v/>
      </c>
      <c r="BC105" s="56">
        <f>IF(BC$2=Payroll!$I6,Payroll!$F6,IF(BC$2&gt;Payroll!$I6,Payroll!$F6*((1+Payroll!$J6)^(ROUNDDOWN(DATEDIF(Payroll!$I6,BC$2,"M")/Payroll!$K6,0))),0))</f>
        <v/>
      </c>
      <c r="BD105" s="56">
        <f>IF(BD$2=Payroll!$I6,Payroll!$F6,IF(BD$2&gt;Payroll!$I6,Payroll!$F6*((1+Payroll!$J6)^(ROUNDDOWN(DATEDIF(Payroll!$I6,BD$2,"M")/Payroll!$K6,0))),0))</f>
        <v/>
      </c>
      <c r="BE105" s="56">
        <f>IF(BE$2=Payroll!$I6,Payroll!$F6,IF(BE$2&gt;Payroll!$I6,Payroll!$F6*((1+Payroll!$J6)^(ROUNDDOWN(DATEDIF(Payroll!$I6,BE$2,"M")/Payroll!$K6,0))),0))</f>
        <v/>
      </c>
      <c r="BF105" s="56">
        <f>IF(BF$2=Payroll!$I6,Payroll!$F6,IF(BF$2&gt;Payroll!$I6,Payroll!$F6*((1+Payroll!$J6)^(ROUNDDOWN(DATEDIF(Payroll!$I6,BF$2,"M")/Payroll!$K6,0))),0))</f>
        <v/>
      </c>
      <c r="BG105" s="56">
        <f>IF(BG$2=Payroll!$I6,Payroll!$F6,IF(BG$2&gt;Payroll!$I6,Payroll!$F6*((1+Payroll!$J6)^(ROUNDDOWN(DATEDIF(Payroll!$I6,BG$2,"M")/Payroll!$K6,0))),0))</f>
        <v/>
      </c>
      <c r="BH105" s="56">
        <f>IF(BH$2=Payroll!$I6,Payroll!$F6,IF(BH$2&gt;Payroll!$I6,Payroll!$F6*((1+Payroll!$J6)^(ROUNDDOWN(DATEDIF(Payroll!$I6,BH$2,"M")/Payroll!$K6,0))),0))</f>
        <v/>
      </c>
      <c r="BI105" s="56">
        <f>IF(BI$2=Payroll!$I6,Payroll!$F6,IF(BI$2&gt;Payroll!$I6,Payroll!$F6*((1+Payroll!$J6)^(ROUNDDOWN(DATEDIF(Payroll!$I6,BI$2,"M")/Payroll!$K6,0))),0))</f>
        <v/>
      </c>
      <c r="BJ105" s="56">
        <f>IF(BJ$2=Payroll!$I6,Payroll!$F6,IF(BJ$2&gt;Payroll!$I6,Payroll!$F6*((1+Payroll!$J6)^(ROUNDDOWN(DATEDIF(Payroll!$I6,BJ$2,"M")/Payroll!$K6,0))),0))</f>
        <v/>
      </c>
      <c r="BK105" s="56">
        <f>IF(BK$2=Payroll!$I6,Payroll!$F6,IF(BK$2&gt;Payroll!$I6,Payroll!$F6*((1+Payroll!$J6)^(ROUNDDOWN(DATEDIF(Payroll!$I6,BK$2,"M")/Payroll!$K6,0))),0))</f>
        <v/>
      </c>
      <c r="BL105" s="56">
        <f>IF(BL$2=Payroll!$I6,Payroll!$F6,IF(BL$2&gt;Payroll!$I6,Payroll!$F6*((1+Payroll!$J6)^(ROUNDDOWN(DATEDIF(Payroll!$I6,BL$2,"M")/Payroll!$K6,0))),0))</f>
        <v/>
      </c>
      <c r="BM105" s="56">
        <f>IF(BM$2=Payroll!$I6,Payroll!$F6,IF(BM$2&gt;Payroll!$I6,Payroll!$F6*((1+Payroll!$J6)^(ROUNDDOWN(DATEDIF(Payroll!$I6,BM$2,"M")/Payroll!$K6,0))),0))</f>
        <v/>
      </c>
      <c r="BN105" s="56">
        <f>IF(BN$2=Payroll!$I6,Payroll!$F6,IF(BN$2&gt;Payroll!$I6,Payroll!$F6*((1+Payroll!$J6)^(ROUNDDOWN(DATEDIF(Payroll!$I6,BN$2,"M")/Payroll!$K6,0))),0))</f>
        <v/>
      </c>
      <c r="BO105" s="56">
        <f>IF(BO$2=Payroll!$I6,Payroll!$F6,IF(BO$2&gt;Payroll!$I6,Payroll!$F6*((1+Payroll!$J6)^(ROUNDDOWN(DATEDIF(Payroll!$I6,BO$2,"M")/Payroll!$K6,0))),0))</f>
        <v/>
      </c>
      <c r="BP105" s="56">
        <f>IF(BP$2=Payroll!$I6,Payroll!$F6,IF(BP$2&gt;Payroll!$I6,Payroll!$F6*((1+Payroll!$J6)^(ROUNDDOWN(DATEDIF(Payroll!$I6,BP$2,"M")/Payroll!$K6,0))),0))</f>
        <v/>
      </c>
      <c r="BQ105" s="56">
        <f>IF(BQ$2=Payroll!$I6,Payroll!$F6,IF(BQ$2&gt;Payroll!$I6,Payroll!$F6*((1+Payroll!$J6)^(ROUNDDOWN(DATEDIF(Payroll!$I6,BQ$2,"M")/Payroll!$K6,0))),0))</f>
        <v/>
      </c>
      <c r="BR105" s="56">
        <f>IF(BR$2=Payroll!$I6,Payroll!$F6,IF(BR$2&gt;Payroll!$I6,Payroll!$F6*((1+Payroll!$J6)^(ROUNDDOWN(DATEDIF(Payroll!$I6,BR$2,"M")/Payroll!$K6,0))),0))</f>
        <v/>
      </c>
      <c r="BS105" s="56">
        <f>IF(BS$2=Payroll!$I6,Payroll!$F6,IF(BS$2&gt;Payroll!$I6,Payroll!$F6*((1+Payroll!$J6)^(ROUNDDOWN(DATEDIF(Payroll!$I6,BS$2,"M")/Payroll!$K6,0))),0))</f>
        <v/>
      </c>
      <c r="BT105" s="56">
        <f>IF(BT$2=Payroll!$I6,Payroll!$F6,IF(BT$2&gt;Payroll!$I6,Payroll!$F6*((1+Payroll!$J6)^(ROUNDDOWN(DATEDIF(Payroll!$I6,BT$2,"M")/Payroll!$K6,0))),0))</f>
        <v/>
      </c>
      <c r="BU105" s="56">
        <f>IF(BU$2=Payroll!$I6,Payroll!$F6,IF(BU$2&gt;Payroll!$I6,Payroll!$F6*((1+Payroll!$J6)^(ROUNDDOWN(DATEDIF(Payroll!$I6,BU$2,"M")/Payroll!$K6,0))),0))</f>
        <v/>
      </c>
      <c r="BV105" s="56">
        <f>IF(BV$2=Payroll!$I6,Payroll!$F6,IF(BV$2&gt;Payroll!$I6,Payroll!$F6*((1+Payroll!$J6)^(ROUNDDOWN(DATEDIF(Payroll!$I6,BV$2,"M")/Payroll!$K6,0))),0))</f>
        <v/>
      </c>
      <c r="BW105" s="56">
        <f>IF(BW$2=Payroll!$I6,Payroll!$F6,IF(BW$2&gt;Payroll!$I6,Payroll!$F6*((1+Payroll!$J6)^(ROUNDDOWN(DATEDIF(Payroll!$I6,BW$2,"M")/Payroll!$K6,0))),0))</f>
        <v/>
      </c>
      <c r="BX105" s="56">
        <f>IF(BX$2=Payroll!$I6,Payroll!$F6,IF(BX$2&gt;Payroll!$I6,Payroll!$F6*((1+Payroll!$J6)^(ROUNDDOWN(DATEDIF(Payroll!$I6,BX$2,"M")/Payroll!$K6,0))),0))</f>
        <v/>
      </c>
      <c r="BY105" s="56">
        <f>IF(BY$2=Payroll!$I6,Payroll!$F6,IF(BY$2&gt;Payroll!$I6,Payroll!$F6*((1+Payroll!$J6)^(ROUNDDOWN(DATEDIF(Payroll!$I6,BY$2,"M")/Payroll!$K6,0))),0))</f>
        <v/>
      </c>
      <c r="BZ105" s="56">
        <f>IF(BZ$2=Payroll!$I6,Payroll!$F6,IF(BZ$2&gt;Payroll!$I6,Payroll!$F6*((1+Payroll!$J6)^(ROUNDDOWN(DATEDIF(Payroll!$I6,BZ$2,"M")/Payroll!$K6,0))),0))</f>
        <v/>
      </c>
      <c r="CA105" s="56">
        <f>IF(CA$2=Payroll!$I6,Payroll!$F6,IF(CA$2&gt;Payroll!$I6,Payroll!$F6*((1+Payroll!$J6)^(ROUNDDOWN(DATEDIF(Payroll!$I6,CA$2,"M")/Payroll!$K6,0))),0))</f>
        <v/>
      </c>
      <c r="CB105" s="56">
        <f>IF(CB$2=Payroll!$I6,Payroll!$F6,IF(CB$2&gt;Payroll!$I6,Payroll!$F6*((1+Payroll!$J6)^(ROUNDDOWN(DATEDIF(Payroll!$I6,CB$2,"M")/Payroll!$K6,0))),0))</f>
        <v/>
      </c>
      <c r="CC105" s="56">
        <f>IF(CC$2=Payroll!$I6,Payroll!$F6,IF(CC$2&gt;Payroll!$I6,Payroll!$F6*((1+Payroll!$J6)^(ROUNDDOWN(DATEDIF(Payroll!$I6,CC$2,"M")/Payroll!$K6,0))),0))</f>
        <v/>
      </c>
      <c r="CD105" s="56">
        <f>IF(CD$2=Payroll!$I6,Payroll!$F6,IF(CD$2&gt;Payroll!$I6,Payroll!$F6*((1+Payroll!$J6)^(ROUNDDOWN(DATEDIF(Payroll!$I6,CD$2,"M")/Payroll!$K6,0))),0))</f>
        <v/>
      </c>
      <c r="CE105" s="56">
        <f>IF(CE$2=Payroll!$I6,Payroll!$F6,IF(CE$2&gt;Payroll!$I6,Payroll!$F6*((1+Payroll!$J6)^(ROUNDDOWN(DATEDIF(Payroll!$I6,CE$2,"M")/Payroll!$K6,0))),0))</f>
        <v/>
      </c>
      <c r="CF105" s="56">
        <f>IF(CF$2=Payroll!$I6,Payroll!$F6,IF(CF$2&gt;Payroll!$I6,Payroll!$F6*((1+Payroll!$J6)^(ROUNDDOWN(DATEDIF(Payroll!$I6,CF$2,"M")/Payroll!$K6,0))),0))</f>
        <v/>
      </c>
      <c r="CG105" s="56">
        <f>IF(CG$2=Payroll!$I6,Payroll!$F6,IF(CG$2&gt;Payroll!$I6,Payroll!$F6*((1+Payroll!$J6)^(ROUNDDOWN(DATEDIF(Payroll!$I6,CG$2,"M")/Payroll!$K6,0))),0))</f>
        <v/>
      </c>
      <c r="CH105" s="56">
        <f>IF(CH$2=Payroll!$I6,Payroll!$F6,IF(CH$2&gt;Payroll!$I6,Payroll!$F6*((1+Payroll!$J6)^(ROUNDDOWN(DATEDIF(Payroll!$I6,CH$2,"M")/Payroll!$K6,0))),0))</f>
        <v/>
      </c>
      <c r="CI105" s="56">
        <f>IF(CI$2=Payroll!$I6,Payroll!$F6,IF(CI$2&gt;Payroll!$I6,Payroll!$F6*((1+Payroll!$J6)^(ROUNDDOWN(DATEDIF(Payroll!$I6,CI$2,"M")/Payroll!$K6,0))),0))</f>
        <v/>
      </c>
      <c r="CJ105" s="56">
        <f>IF(CJ$2=Payroll!$I6,Payroll!$F6,IF(CJ$2&gt;Payroll!$I6,Payroll!$F6*((1+Payroll!$J6)^(ROUNDDOWN(DATEDIF(Payroll!$I6,CJ$2,"M")/Payroll!$K6,0))),0))</f>
        <v/>
      </c>
      <c r="CK105" s="56">
        <f>IF(CK$2=Payroll!$I6,Payroll!$F6,IF(CK$2&gt;Payroll!$I6,Payroll!$F6*((1+Payroll!$J6)^(ROUNDDOWN(DATEDIF(Payroll!$I6,CK$2,"M")/Payroll!$K6,0))),0))</f>
        <v/>
      </c>
      <c r="CL105" s="56">
        <f>IF(CL$2=Payroll!$I6,Payroll!$F6,IF(CL$2&gt;Payroll!$I6,Payroll!$F6*((1+Payroll!$J6)^(ROUNDDOWN(DATEDIF(Payroll!$I6,CL$2,"M")/Payroll!$K6,0))),0))</f>
        <v/>
      </c>
      <c r="CM105" s="56">
        <f>IF(CM$2=Payroll!$I6,Payroll!$F6,IF(CM$2&gt;Payroll!$I6,Payroll!$F6*((1+Payroll!$J6)^(ROUNDDOWN(DATEDIF(Payroll!$I6,CM$2,"M")/Payroll!$K6,0))),0))</f>
        <v/>
      </c>
      <c r="CN105" s="56">
        <f>IF(CN$2=Payroll!$I6,Payroll!$F6,IF(CN$2&gt;Payroll!$I6,Payroll!$F6*((1+Payroll!$J6)^(ROUNDDOWN(DATEDIF(Payroll!$I6,CN$2,"M")/Payroll!$K6,0))),0))</f>
        <v/>
      </c>
      <c r="CO105" s="56">
        <f>IF(CO$2=Payroll!$I6,Payroll!$F6,IF(CO$2&gt;Payroll!$I6,Payroll!$F6*((1+Payroll!$J6)^(ROUNDDOWN(DATEDIF(Payroll!$I6,CO$2,"M")/Payroll!$K6,0))),0))</f>
        <v/>
      </c>
      <c r="CP105" s="56">
        <f>IF(CP$2=Payroll!$I6,Payroll!$F6,IF(CP$2&gt;Payroll!$I6,Payroll!$F6*((1+Payroll!$J6)^(ROUNDDOWN(DATEDIF(Payroll!$I6,CP$2,"M")/Payroll!$K6,0))),0))</f>
        <v/>
      </c>
      <c r="CQ105" s="56">
        <f>IF(CQ$2=Payroll!$I6,Payroll!$F6,IF(CQ$2&gt;Payroll!$I6,Payroll!$F6*((1+Payroll!$J6)^(ROUNDDOWN(DATEDIF(Payroll!$I6,CQ$2,"M")/Payroll!$K6,0))),0))</f>
        <v/>
      </c>
      <c r="CR105" s="56">
        <f>IF(CR$2=Payroll!$I6,Payroll!$F6,IF(CR$2&gt;Payroll!$I6,Payroll!$F6*((1+Payroll!$J6)^(ROUNDDOWN(DATEDIF(Payroll!$I6,CR$2,"M")/Payroll!$K6,0))),0))</f>
        <v/>
      </c>
      <c r="CS105" s="56">
        <f>IF(CS$2=Payroll!$I6,Payroll!$F6,IF(CS$2&gt;Payroll!$I6,Payroll!$F6*((1+Payroll!$J6)^(ROUNDDOWN(DATEDIF(Payroll!$I6,CS$2,"M")/Payroll!$K6,0))),0))</f>
        <v/>
      </c>
      <c r="CT105" s="56">
        <f>IF(CT$2=Payroll!$I6,Payroll!$F6,IF(CT$2&gt;Payroll!$I6,Payroll!$F6*((1+Payroll!$J6)^(ROUNDDOWN(DATEDIF(Payroll!$I6,CT$2,"M")/Payroll!$K6,0))),0))</f>
        <v/>
      </c>
      <c r="CU105" s="56">
        <f>IF(CU$2=Payroll!$I6,Payroll!$F6,IF(CU$2&gt;Payroll!$I6,Payroll!$F6*((1+Payroll!$J6)^(ROUNDDOWN(DATEDIF(Payroll!$I6,CU$2,"M")/Payroll!$K6,0))),0))</f>
        <v/>
      </c>
      <c r="CV105" s="56">
        <f>IF(CV$2=Payroll!$I6,Payroll!$F6,IF(CV$2&gt;Payroll!$I6,Payroll!$F6*((1+Payroll!$J6)^(ROUNDDOWN(DATEDIF(Payroll!$I6,CV$2,"M")/Payroll!$K6,0))),0))</f>
        <v/>
      </c>
      <c r="CW105" s="56">
        <f>IF(CW$2=Payroll!$I6,Payroll!$F6,IF(CW$2&gt;Payroll!$I6,Payroll!$F6*((1+Payroll!$J6)^(ROUNDDOWN(DATEDIF(Payroll!$I6,CW$2,"M")/Payroll!$K6,0))),0))</f>
        <v/>
      </c>
      <c r="CX105" s="56">
        <f>IF(CX$2=Payroll!$I6,Payroll!$F6,IF(CX$2&gt;Payroll!$I6,Payroll!$F6*((1+Payroll!$J6)^(ROUNDDOWN(DATEDIF(Payroll!$I6,CX$2,"M")/Payroll!$K6,0))),0))</f>
        <v/>
      </c>
    </row>
    <row r="106" outlineLevel="2" ht="15.75" customHeight="1" s="255">
      <c r="A106" s="56">
        <f>Payroll!A7</f>
        <v/>
      </c>
      <c r="B106" s="56" t="n"/>
      <c r="C106" s="56" t="n"/>
      <c r="D106" s="56" t="n"/>
      <c r="E106" s="56">
        <f>IF(E$2=Payroll!$I7,Payroll!$F7,IF(E$2&gt;Payroll!$I7,Payroll!$F7*((1+Payroll!$J7)^(ROUNDDOWN(DATEDIF(Payroll!$I7,E$2,"M")/Payroll!$K7,0))),0))</f>
        <v/>
      </c>
      <c r="F106" s="56">
        <f>IF(F$2=Payroll!$I7,Payroll!$F7,IF(F$2&gt;Payroll!$I7,Payroll!$F7*((1+Payroll!$J7)^(ROUNDDOWN(DATEDIF(Payroll!$I7,F$2,"M")/Payroll!$K7,0))),0))</f>
        <v/>
      </c>
      <c r="G106" s="56">
        <f>IF(G$2=Payroll!$I7,Payroll!$F7,IF(G$2&gt;Payroll!$I7,Payroll!$F7*((1+Payroll!$J7)^(ROUNDDOWN(DATEDIF(Payroll!$I7,G$2,"M")/Payroll!$K7,0))),0))</f>
        <v/>
      </c>
      <c r="H106" s="56">
        <f>IF(H$2=Payroll!$I7,Payroll!$F7,IF(H$2&gt;Payroll!$I7,Payroll!$F7*((1+Payroll!$J7)^(ROUNDDOWN(DATEDIF(Payroll!$I7,H$2,"M")/Payroll!$K7,0))),0))</f>
        <v/>
      </c>
      <c r="I106" s="56">
        <f>IF(I$2=Payroll!$I7,Payroll!$F7,IF(I$2&gt;Payroll!$I7,Payroll!$F7*((1+Payroll!$J7)^(ROUNDDOWN(DATEDIF(Payroll!$I7,I$2,"M")/Payroll!$K7,0))),0))</f>
        <v/>
      </c>
      <c r="J106" s="56">
        <f>IF(J$2=Payroll!$I7,Payroll!$F7,IF(J$2&gt;Payroll!$I7,Payroll!$F7*((1+Payroll!$J7)^(ROUNDDOWN(DATEDIF(Payroll!$I7,J$2,"M")/Payroll!$K7,0))),0))</f>
        <v/>
      </c>
      <c r="K106" s="56">
        <f>IF(K$2=Payroll!$I7,Payroll!$F7,IF(K$2&gt;Payroll!$I7,Payroll!$F7*((1+Payroll!$J7)^(ROUNDDOWN(DATEDIF(Payroll!$I7,K$2,"M")/Payroll!$K7,0))),0))</f>
        <v/>
      </c>
      <c r="L106" s="56">
        <f>IF(L$2=Payroll!$I7,Payroll!$F7,IF(L$2&gt;Payroll!$I7,Payroll!$F7*((1+Payroll!$J7)^(ROUNDDOWN(DATEDIF(Payroll!$I7,L$2,"M")/Payroll!$K7,0))),0))</f>
        <v/>
      </c>
      <c r="M106" s="56">
        <f>IF(M$2=Payroll!$I7,Payroll!$F7,IF(M$2&gt;Payroll!$I7,Payroll!$F7*((1+Payroll!$J7)^(ROUNDDOWN(DATEDIF(Payroll!$I7,M$2,"M")/Payroll!$K7,0))),0))</f>
        <v/>
      </c>
      <c r="N106" s="56">
        <f>IF(N$2=Payroll!$I7,Payroll!$F7,IF(N$2&gt;Payroll!$I7,Payroll!$F7*((1+Payroll!$J7)^(ROUNDDOWN(DATEDIF(Payroll!$I7,N$2,"M")/Payroll!$K7,0))),0))</f>
        <v/>
      </c>
      <c r="O106" s="56">
        <f>IF(O$2=Payroll!$I7,Payroll!$F7,IF(O$2&gt;Payroll!$I7,Payroll!$F7*((1+Payroll!$J7)^(ROUNDDOWN(DATEDIF(Payroll!$I7,O$2,"M")/Payroll!$K7,0))),0))</f>
        <v/>
      </c>
      <c r="P106" s="56">
        <f>IF(P$2=Payroll!$I7,Payroll!$F7,IF(P$2&gt;Payroll!$I7,Payroll!$F7*((1+Payroll!$J7)^(ROUNDDOWN(DATEDIF(Payroll!$I7,P$2,"M")/Payroll!$K7,0))),0))</f>
        <v/>
      </c>
      <c r="Q106" s="56">
        <f>IF(Q$2=Payroll!$I7,Payroll!$F7,IF(Q$2&gt;Payroll!$I7,Payroll!$F7*((1+Payroll!$J7)^(ROUNDDOWN(DATEDIF(Payroll!$I7,Q$2,"M")/Payroll!$K7,0))),0))</f>
        <v/>
      </c>
      <c r="R106" s="56">
        <f>IF(R$2=Payroll!$I7,Payroll!$F7,IF(R$2&gt;Payroll!$I7,Payroll!$F7*((1+Payroll!$J7)^(ROUNDDOWN(DATEDIF(Payroll!$I7,R$2,"M")/Payroll!$K7,0))),0))</f>
        <v/>
      </c>
      <c r="S106" s="56">
        <f>IF(S$2=Payroll!$I7,Payroll!$F7,IF(S$2&gt;Payroll!$I7,Payroll!$F7*((1+Payroll!$J7)^(ROUNDDOWN(DATEDIF(Payroll!$I7,S$2,"M")/Payroll!$K7,0))),0))</f>
        <v/>
      </c>
      <c r="T106" s="56">
        <f>IF(T$2=Payroll!$I7,Payroll!$F7,IF(T$2&gt;Payroll!$I7,Payroll!$F7*((1+Payroll!$J7)^(ROUNDDOWN(DATEDIF(Payroll!$I7,T$2,"M")/Payroll!$K7,0))),0))</f>
        <v/>
      </c>
      <c r="U106" s="56">
        <f>IF(U$2=Payroll!$I7,Payroll!$F7,IF(U$2&gt;Payroll!$I7,Payroll!$F7*((1+Payroll!$J7)^(ROUNDDOWN(DATEDIF(Payroll!$I7,U$2,"M")/Payroll!$K7,0))),0))</f>
        <v/>
      </c>
      <c r="V106" s="56">
        <f>IF(V$2=Payroll!$I7,Payroll!$F7,IF(V$2&gt;Payroll!$I7,Payroll!$F7*((1+Payroll!$J7)^(ROUNDDOWN(DATEDIF(Payroll!$I7,V$2,"M")/Payroll!$K7,0))),0))</f>
        <v/>
      </c>
      <c r="W106" s="56">
        <f>IF(W$2=Payroll!$I7,Payroll!$F7,IF(W$2&gt;Payroll!$I7,Payroll!$F7*((1+Payroll!$J7)^(ROUNDDOWN(DATEDIF(Payroll!$I7,W$2,"M")/Payroll!$K7,0))),0))</f>
        <v/>
      </c>
      <c r="X106" s="56">
        <f>IF(X$2=Payroll!$I7,Payroll!$F7,IF(X$2&gt;Payroll!$I7,Payroll!$F7*((1+Payroll!$J7)^(ROUNDDOWN(DATEDIF(Payroll!$I7,X$2,"M")/Payroll!$K7,0))),0))</f>
        <v/>
      </c>
      <c r="Y106" s="56">
        <f>IF(Y$2=Payroll!$I7,Payroll!$F7,IF(Y$2&gt;Payroll!$I7,Payroll!$F7*((1+Payroll!$J7)^(ROUNDDOWN(DATEDIF(Payroll!$I7,Y$2,"M")/Payroll!$K7,0))),0))</f>
        <v/>
      </c>
      <c r="Z106" s="56">
        <f>IF(Z$2=Payroll!$I7,Payroll!$F7,IF(Z$2&gt;Payroll!$I7,Payroll!$F7*((1+Payroll!$J7)^(ROUNDDOWN(DATEDIF(Payroll!$I7,Z$2,"M")/Payroll!$K7,0))),0))</f>
        <v/>
      </c>
      <c r="AA106" s="56">
        <f>IF(AA$2=Payroll!$I7,Payroll!$F7,IF(AA$2&gt;Payroll!$I7,Payroll!$F7*((1+Payroll!$J7)^(ROUNDDOWN(DATEDIF(Payroll!$I7,AA$2,"M")/Payroll!$K7,0))),0))</f>
        <v/>
      </c>
      <c r="AB106" s="56">
        <f>IF(AB$2=Payroll!$I7,Payroll!$F7,IF(AB$2&gt;Payroll!$I7,Payroll!$F7*((1+Payroll!$J7)^(ROUNDDOWN(DATEDIF(Payroll!$I7,AB$2,"M")/Payroll!$K7,0))),0))</f>
        <v/>
      </c>
      <c r="AC106" s="56">
        <f>IF(AC$2=Payroll!$I7,Payroll!$F7,IF(AC$2&gt;Payroll!$I7,Payroll!$F7*((1+Payroll!$J7)^(ROUNDDOWN(DATEDIF(Payroll!$I7,AC$2,"M")/Payroll!$K7,0))),0))</f>
        <v/>
      </c>
      <c r="AD106" s="56">
        <f>IF(AD$2=Payroll!$I7,Payroll!$F7,IF(AD$2&gt;Payroll!$I7,Payroll!$F7*((1+Payroll!$J7)^(ROUNDDOWN(DATEDIF(Payroll!$I7,AD$2,"M")/Payroll!$K7,0))),0))</f>
        <v/>
      </c>
      <c r="AE106" s="56">
        <f>IF(AE$2=Payroll!$I7,Payroll!$F7,IF(AE$2&gt;Payroll!$I7,Payroll!$F7*((1+Payroll!$J7)^(ROUNDDOWN(DATEDIF(Payroll!$I7,AE$2,"M")/Payroll!$K7,0))),0))</f>
        <v/>
      </c>
      <c r="AF106" s="56">
        <f>IF(AF$2=Payroll!$I7,Payroll!$F7,IF(AF$2&gt;Payroll!$I7,Payroll!$F7*((1+Payroll!$J7)^(ROUNDDOWN(DATEDIF(Payroll!$I7,AF$2,"M")/Payroll!$K7,0))),0))</f>
        <v/>
      </c>
      <c r="AG106" s="56">
        <f>IF(AG$2=Payroll!$I7,Payroll!$F7,IF(AG$2&gt;Payroll!$I7,Payroll!$F7*((1+Payroll!$J7)^(ROUNDDOWN(DATEDIF(Payroll!$I7,AG$2,"M")/Payroll!$K7,0))),0))</f>
        <v/>
      </c>
      <c r="AH106" s="56">
        <f>IF(AH$2=Payroll!$I7,Payroll!$F7,IF(AH$2&gt;Payroll!$I7,Payroll!$F7*((1+Payroll!$J7)^(ROUNDDOWN(DATEDIF(Payroll!$I7,AH$2,"M")/Payroll!$K7,0))),0))</f>
        <v/>
      </c>
      <c r="AI106" s="56">
        <f>IF(AI$2=Payroll!$I7,Payroll!$F7,IF(AI$2&gt;Payroll!$I7,Payroll!$F7*((1+Payroll!$J7)^(ROUNDDOWN(DATEDIF(Payroll!$I7,AI$2,"M")/Payroll!$K7,0))),0))</f>
        <v/>
      </c>
      <c r="AJ106" s="56">
        <f>IF(AJ$2=Payroll!$I7,Payroll!$F7,IF(AJ$2&gt;Payroll!$I7,Payroll!$F7*((1+Payroll!$J7)^(ROUNDDOWN(DATEDIF(Payroll!$I7,AJ$2,"M")/Payroll!$K7,0))),0))</f>
        <v/>
      </c>
      <c r="AK106" s="56">
        <f>IF(AK$2=Payroll!$I7,Payroll!$F7,IF(AK$2&gt;Payroll!$I7,Payroll!$F7*((1+Payroll!$J7)^(ROUNDDOWN(DATEDIF(Payroll!$I7,AK$2,"M")/Payroll!$K7,0))),0))</f>
        <v/>
      </c>
      <c r="AL106" s="56">
        <f>IF(AL$2=Payroll!$I7,Payroll!$F7,IF(AL$2&gt;Payroll!$I7,Payroll!$F7*((1+Payroll!$J7)^(ROUNDDOWN(DATEDIF(Payroll!$I7,AL$2,"M")/Payroll!$K7,0))),0))</f>
        <v/>
      </c>
      <c r="AM106" s="56">
        <f>IF(AM$2=Payroll!$I7,Payroll!$F7,IF(AM$2&gt;Payroll!$I7,Payroll!$F7*((1+Payroll!$J7)^(ROUNDDOWN(DATEDIF(Payroll!$I7,AM$2,"M")/Payroll!$K7,0))),0))</f>
        <v/>
      </c>
      <c r="AN106" s="56">
        <f>IF(AN$2=Payroll!$I7,Payroll!$F7,IF(AN$2&gt;Payroll!$I7,Payroll!$F7*((1+Payroll!$J7)^(ROUNDDOWN(DATEDIF(Payroll!$I7,AN$2,"M")/Payroll!$K7,0))),0))</f>
        <v/>
      </c>
      <c r="AO106" s="56">
        <f>IF(AO$2=Payroll!$I7,Payroll!$F7,IF(AO$2&gt;Payroll!$I7,Payroll!$F7*((1+Payroll!$J7)^(ROUNDDOWN(DATEDIF(Payroll!$I7,AO$2,"M")/Payroll!$K7,0))),0))</f>
        <v/>
      </c>
      <c r="AP106" s="56">
        <f>IF(AP$2=Payroll!$I7,Payroll!$F7,IF(AP$2&gt;Payroll!$I7,Payroll!$F7*((1+Payroll!$J7)^(ROUNDDOWN(DATEDIF(Payroll!$I7,AP$2,"M")/Payroll!$K7,0))),0))</f>
        <v/>
      </c>
      <c r="AQ106" s="56">
        <f>IF(AQ$2=Payroll!$I7,Payroll!$F7,IF(AQ$2&gt;Payroll!$I7,Payroll!$F7*((1+Payroll!$J7)^(ROUNDDOWN(DATEDIF(Payroll!$I7,AQ$2,"M")/Payroll!$K7,0))),0))</f>
        <v/>
      </c>
      <c r="AR106" s="56">
        <f>IF(AR$2=Payroll!$I7,Payroll!$F7,IF(AR$2&gt;Payroll!$I7,Payroll!$F7*((1+Payroll!$J7)^(ROUNDDOWN(DATEDIF(Payroll!$I7,AR$2,"M")/Payroll!$K7,0))),0))</f>
        <v/>
      </c>
      <c r="AS106" s="56">
        <f>IF(AS$2=Payroll!$I7,Payroll!$F7,IF(AS$2&gt;Payroll!$I7,Payroll!$F7*((1+Payroll!$J7)^(ROUNDDOWN(DATEDIF(Payroll!$I7,AS$2,"M")/Payroll!$K7,0))),0))</f>
        <v/>
      </c>
      <c r="AT106" s="56">
        <f>IF(AT$2=Payroll!$I7,Payroll!$F7,IF(AT$2&gt;Payroll!$I7,Payroll!$F7*((1+Payroll!$J7)^(ROUNDDOWN(DATEDIF(Payroll!$I7,AT$2,"M")/Payroll!$K7,0))),0))</f>
        <v/>
      </c>
      <c r="AU106" s="56">
        <f>IF(AU$2=Payroll!$I7,Payroll!$F7,IF(AU$2&gt;Payroll!$I7,Payroll!$F7*((1+Payroll!$J7)^(ROUNDDOWN(DATEDIF(Payroll!$I7,AU$2,"M")/Payroll!$K7,0))),0))</f>
        <v/>
      </c>
      <c r="AV106" s="56">
        <f>IF(AV$2=Payroll!$I7,Payroll!$F7,IF(AV$2&gt;Payroll!$I7,Payroll!$F7*((1+Payroll!$J7)^(ROUNDDOWN(DATEDIF(Payroll!$I7,AV$2,"M")/Payroll!$K7,0))),0))</f>
        <v/>
      </c>
      <c r="AW106" s="56">
        <f>IF(AW$2=Payroll!$I7,Payroll!$F7,IF(AW$2&gt;Payroll!$I7,Payroll!$F7*((1+Payroll!$J7)^(ROUNDDOWN(DATEDIF(Payroll!$I7,AW$2,"M")/Payroll!$K7,0))),0))</f>
        <v/>
      </c>
      <c r="AX106" s="56">
        <f>IF(AX$2=Payroll!$I7,Payroll!$F7,IF(AX$2&gt;Payroll!$I7,Payroll!$F7*((1+Payroll!$J7)^(ROUNDDOWN(DATEDIF(Payroll!$I7,AX$2,"M")/Payroll!$K7,0))),0))</f>
        <v/>
      </c>
      <c r="AY106" s="56">
        <f>IF(AY$2=Payroll!$I7,Payroll!$F7,IF(AY$2&gt;Payroll!$I7,Payroll!$F7*((1+Payroll!$J7)^(ROUNDDOWN(DATEDIF(Payroll!$I7,AY$2,"M")/Payroll!$K7,0))),0))</f>
        <v/>
      </c>
      <c r="AZ106" s="56">
        <f>IF(AZ$2=Payroll!$I7,Payroll!$F7,IF(AZ$2&gt;Payroll!$I7,Payroll!$F7*((1+Payroll!$J7)^(ROUNDDOWN(DATEDIF(Payroll!$I7,AZ$2,"M")/Payroll!$K7,0))),0))</f>
        <v/>
      </c>
      <c r="BA106" s="56">
        <f>IF(BA$2=Payroll!$I7,Payroll!$F7,IF(BA$2&gt;Payroll!$I7,Payroll!$F7*((1+Payroll!$J7)^(ROUNDDOWN(DATEDIF(Payroll!$I7,BA$2,"M")/Payroll!$K7,0))),0))</f>
        <v/>
      </c>
      <c r="BB106" s="56">
        <f>IF(BB$2=Payroll!$I7,Payroll!$F7,IF(BB$2&gt;Payroll!$I7,Payroll!$F7*((1+Payroll!$J7)^(ROUNDDOWN(DATEDIF(Payroll!$I7,BB$2,"M")/Payroll!$K7,0))),0))</f>
        <v/>
      </c>
      <c r="BC106" s="56">
        <f>IF(BC$2=Payroll!$I7,Payroll!$F7,IF(BC$2&gt;Payroll!$I7,Payroll!$F7*((1+Payroll!$J7)^(ROUNDDOWN(DATEDIF(Payroll!$I7,BC$2,"M")/Payroll!$K7,0))),0))</f>
        <v/>
      </c>
      <c r="BD106" s="56">
        <f>IF(BD$2=Payroll!$I7,Payroll!$F7,IF(BD$2&gt;Payroll!$I7,Payroll!$F7*((1+Payroll!$J7)^(ROUNDDOWN(DATEDIF(Payroll!$I7,BD$2,"M")/Payroll!$K7,0))),0))</f>
        <v/>
      </c>
      <c r="BE106" s="56">
        <f>IF(BE$2=Payroll!$I7,Payroll!$F7,IF(BE$2&gt;Payroll!$I7,Payroll!$F7*((1+Payroll!$J7)^(ROUNDDOWN(DATEDIF(Payroll!$I7,BE$2,"M")/Payroll!$K7,0))),0))</f>
        <v/>
      </c>
      <c r="BF106" s="56">
        <f>IF(BF$2=Payroll!$I7,Payroll!$F7,IF(BF$2&gt;Payroll!$I7,Payroll!$F7*((1+Payroll!$J7)^(ROUNDDOWN(DATEDIF(Payroll!$I7,BF$2,"M")/Payroll!$K7,0))),0))</f>
        <v/>
      </c>
      <c r="BG106" s="56">
        <f>IF(BG$2=Payroll!$I7,Payroll!$F7,IF(BG$2&gt;Payroll!$I7,Payroll!$F7*((1+Payroll!$J7)^(ROUNDDOWN(DATEDIF(Payroll!$I7,BG$2,"M")/Payroll!$K7,0))),0))</f>
        <v/>
      </c>
      <c r="BH106" s="56">
        <f>IF(BH$2=Payroll!$I7,Payroll!$F7,IF(BH$2&gt;Payroll!$I7,Payroll!$F7*((1+Payroll!$J7)^(ROUNDDOWN(DATEDIF(Payroll!$I7,BH$2,"M")/Payroll!$K7,0))),0))</f>
        <v/>
      </c>
      <c r="BI106" s="56">
        <f>IF(BI$2=Payroll!$I7,Payroll!$F7,IF(BI$2&gt;Payroll!$I7,Payroll!$F7*((1+Payroll!$J7)^(ROUNDDOWN(DATEDIF(Payroll!$I7,BI$2,"M")/Payroll!$K7,0))),0))</f>
        <v/>
      </c>
      <c r="BJ106" s="56">
        <f>IF(BJ$2=Payroll!$I7,Payroll!$F7,IF(BJ$2&gt;Payroll!$I7,Payroll!$F7*((1+Payroll!$J7)^(ROUNDDOWN(DATEDIF(Payroll!$I7,BJ$2,"M")/Payroll!$K7,0))),0))</f>
        <v/>
      </c>
      <c r="BK106" s="56">
        <f>IF(BK$2=Payroll!$I7,Payroll!$F7,IF(BK$2&gt;Payroll!$I7,Payroll!$F7*((1+Payroll!$J7)^(ROUNDDOWN(DATEDIF(Payroll!$I7,BK$2,"M")/Payroll!$K7,0))),0))</f>
        <v/>
      </c>
      <c r="BL106" s="56">
        <f>IF(BL$2=Payroll!$I7,Payroll!$F7,IF(BL$2&gt;Payroll!$I7,Payroll!$F7*((1+Payroll!$J7)^(ROUNDDOWN(DATEDIF(Payroll!$I7,BL$2,"M")/Payroll!$K7,0))),0))</f>
        <v/>
      </c>
      <c r="BM106" s="56">
        <f>IF(BM$2=Payroll!$I7,Payroll!$F7,IF(BM$2&gt;Payroll!$I7,Payroll!$F7*((1+Payroll!$J7)^(ROUNDDOWN(DATEDIF(Payroll!$I7,BM$2,"M")/Payroll!$K7,0))),0))</f>
        <v/>
      </c>
      <c r="BN106" s="56">
        <f>IF(BN$2=Payroll!$I7,Payroll!$F7,IF(BN$2&gt;Payroll!$I7,Payroll!$F7*((1+Payroll!$J7)^(ROUNDDOWN(DATEDIF(Payroll!$I7,BN$2,"M")/Payroll!$K7,0))),0))</f>
        <v/>
      </c>
      <c r="BO106" s="56">
        <f>IF(BO$2=Payroll!$I7,Payroll!$F7,IF(BO$2&gt;Payroll!$I7,Payroll!$F7*((1+Payroll!$J7)^(ROUNDDOWN(DATEDIF(Payroll!$I7,BO$2,"M")/Payroll!$K7,0))),0))</f>
        <v/>
      </c>
      <c r="BP106" s="56">
        <f>IF(BP$2=Payroll!$I7,Payroll!$F7,IF(BP$2&gt;Payroll!$I7,Payroll!$F7*((1+Payroll!$J7)^(ROUNDDOWN(DATEDIF(Payroll!$I7,BP$2,"M")/Payroll!$K7,0))),0))</f>
        <v/>
      </c>
      <c r="BQ106" s="56">
        <f>IF(BQ$2=Payroll!$I7,Payroll!$F7,IF(BQ$2&gt;Payroll!$I7,Payroll!$F7*((1+Payroll!$J7)^(ROUNDDOWN(DATEDIF(Payroll!$I7,BQ$2,"M")/Payroll!$K7,0))),0))</f>
        <v/>
      </c>
      <c r="BR106" s="56">
        <f>IF(BR$2=Payroll!$I7,Payroll!$F7,IF(BR$2&gt;Payroll!$I7,Payroll!$F7*((1+Payroll!$J7)^(ROUNDDOWN(DATEDIF(Payroll!$I7,BR$2,"M")/Payroll!$K7,0))),0))</f>
        <v/>
      </c>
      <c r="BS106" s="56">
        <f>IF(BS$2=Payroll!$I7,Payroll!$F7,IF(BS$2&gt;Payroll!$I7,Payroll!$F7*((1+Payroll!$J7)^(ROUNDDOWN(DATEDIF(Payroll!$I7,BS$2,"M")/Payroll!$K7,0))),0))</f>
        <v/>
      </c>
      <c r="BT106" s="56">
        <f>IF(BT$2=Payroll!$I7,Payroll!$F7,IF(BT$2&gt;Payroll!$I7,Payroll!$F7*((1+Payroll!$J7)^(ROUNDDOWN(DATEDIF(Payroll!$I7,BT$2,"M")/Payroll!$K7,0))),0))</f>
        <v/>
      </c>
      <c r="BU106" s="56">
        <f>IF(BU$2=Payroll!$I7,Payroll!$F7,IF(BU$2&gt;Payroll!$I7,Payroll!$F7*((1+Payroll!$J7)^(ROUNDDOWN(DATEDIF(Payroll!$I7,BU$2,"M")/Payroll!$K7,0))),0))</f>
        <v/>
      </c>
      <c r="BV106" s="56">
        <f>IF(BV$2=Payroll!$I7,Payroll!$F7,IF(BV$2&gt;Payroll!$I7,Payroll!$F7*((1+Payroll!$J7)^(ROUNDDOWN(DATEDIF(Payroll!$I7,BV$2,"M")/Payroll!$K7,0))),0))</f>
        <v/>
      </c>
      <c r="BW106" s="56">
        <f>IF(BW$2=Payroll!$I7,Payroll!$F7,IF(BW$2&gt;Payroll!$I7,Payroll!$F7*((1+Payroll!$J7)^(ROUNDDOWN(DATEDIF(Payroll!$I7,BW$2,"M")/Payroll!$K7,0))),0))</f>
        <v/>
      </c>
      <c r="BX106" s="56">
        <f>IF(BX$2=Payroll!$I7,Payroll!$F7,IF(BX$2&gt;Payroll!$I7,Payroll!$F7*((1+Payroll!$J7)^(ROUNDDOWN(DATEDIF(Payroll!$I7,BX$2,"M")/Payroll!$K7,0))),0))</f>
        <v/>
      </c>
      <c r="BY106" s="56">
        <f>IF(BY$2=Payroll!$I7,Payroll!$F7,IF(BY$2&gt;Payroll!$I7,Payroll!$F7*((1+Payroll!$J7)^(ROUNDDOWN(DATEDIF(Payroll!$I7,BY$2,"M")/Payroll!$K7,0))),0))</f>
        <v/>
      </c>
      <c r="BZ106" s="56">
        <f>IF(BZ$2=Payroll!$I7,Payroll!$F7,IF(BZ$2&gt;Payroll!$I7,Payroll!$F7*((1+Payroll!$J7)^(ROUNDDOWN(DATEDIF(Payroll!$I7,BZ$2,"M")/Payroll!$K7,0))),0))</f>
        <v/>
      </c>
      <c r="CA106" s="56">
        <f>IF(CA$2=Payroll!$I7,Payroll!$F7,IF(CA$2&gt;Payroll!$I7,Payroll!$F7*((1+Payroll!$J7)^(ROUNDDOWN(DATEDIF(Payroll!$I7,CA$2,"M")/Payroll!$K7,0))),0))</f>
        <v/>
      </c>
      <c r="CB106" s="56">
        <f>IF(CB$2=Payroll!$I7,Payroll!$F7,IF(CB$2&gt;Payroll!$I7,Payroll!$F7*((1+Payroll!$J7)^(ROUNDDOWN(DATEDIF(Payroll!$I7,CB$2,"M")/Payroll!$K7,0))),0))</f>
        <v/>
      </c>
      <c r="CC106" s="56">
        <f>IF(CC$2=Payroll!$I7,Payroll!$F7,IF(CC$2&gt;Payroll!$I7,Payroll!$F7*((1+Payroll!$J7)^(ROUNDDOWN(DATEDIF(Payroll!$I7,CC$2,"M")/Payroll!$K7,0))),0))</f>
        <v/>
      </c>
      <c r="CD106" s="56">
        <f>IF(CD$2=Payroll!$I7,Payroll!$F7,IF(CD$2&gt;Payroll!$I7,Payroll!$F7*((1+Payroll!$J7)^(ROUNDDOWN(DATEDIF(Payroll!$I7,CD$2,"M")/Payroll!$K7,0))),0))</f>
        <v/>
      </c>
      <c r="CE106" s="56">
        <f>IF(CE$2=Payroll!$I7,Payroll!$F7,IF(CE$2&gt;Payroll!$I7,Payroll!$F7*((1+Payroll!$J7)^(ROUNDDOWN(DATEDIF(Payroll!$I7,CE$2,"M")/Payroll!$K7,0))),0))</f>
        <v/>
      </c>
      <c r="CF106" s="56">
        <f>IF(CF$2=Payroll!$I7,Payroll!$F7,IF(CF$2&gt;Payroll!$I7,Payroll!$F7*((1+Payroll!$J7)^(ROUNDDOWN(DATEDIF(Payroll!$I7,CF$2,"M")/Payroll!$K7,0))),0))</f>
        <v/>
      </c>
      <c r="CG106" s="56">
        <f>IF(CG$2=Payroll!$I7,Payroll!$F7,IF(CG$2&gt;Payroll!$I7,Payroll!$F7*((1+Payroll!$J7)^(ROUNDDOWN(DATEDIF(Payroll!$I7,CG$2,"M")/Payroll!$K7,0))),0))</f>
        <v/>
      </c>
      <c r="CH106" s="56">
        <f>IF(CH$2=Payroll!$I7,Payroll!$F7,IF(CH$2&gt;Payroll!$I7,Payroll!$F7*((1+Payroll!$J7)^(ROUNDDOWN(DATEDIF(Payroll!$I7,CH$2,"M")/Payroll!$K7,0))),0))</f>
        <v/>
      </c>
      <c r="CI106" s="56">
        <f>IF(CI$2=Payroll!$I7,Payroll!$F7,IF(CI$2&gt;Payroll!$I7,Payroll!$F7*((1+Payroll!$J7)^(ROUNDDOWN(DATEDIF(Payroll!$I7,CI$2,"M")/Payroll!$K7,0))),0))</f>
        <v/>
      </c>
      <c r="CJ106" s="56">
        <f>IF(CJ$2=Payroll!$I7,Payroll!$F7,IF(CJ$2&gt;Payroll!$I7,Payroll!$F7*((1+Payroll!$J7)^(ROUNDDOWN(DATEDIF(Payroll!$I7,CJ$2,"M")/Payroll!$K7,0))),0))</f>
        <v/>
      </c>
      <c r="CK106" s="56">
        <f>IF(CK$2=Payroll!$I7,Payroll!$F7,IF(CK$2&gt;Payroll!$I7,Payroll!$F7*((1+Payroll!$J7)^(ROUNDDOWN(DATEDIF(Payroll!$I7,CK$2,"M")/Payroll!$K7,0))),0))</f>
        <v/>
      </c>
      <c r="CL106" s="56">
        <f>IF(CL$2=Payroll!$I7,Payroll!$F7,IF(CL$2&gt;Payroll!$I7,Payroll!$F7*((1+Payroll!$J7)^(ROUNDDOWN(DATEDIF(Payroll!$I7,CL$2,"M")/Payroll!$K7,0))),0))</f>
        <v/>
      </c>
      <c r="CM106" s="56">
        <f>IF(CM$2=Payroll!$I7,Payroll!$F7,IF(CM$2&gt;Payroll!$I7,Payroll!$F7*((1+Payroll!$J7)^(ROUNDDOWN(DATEDIF(Payroll!$I7,CM$2,"M")/Payroll!$K7,0))),0))</f>
        <v/>
      </c>
      <c r="CN106" s="56">
        <f>IF(CN$2=Payroll!$I7,Payroll!$F7,IF(CN$2&gt;Payroll!$I7,Payroll!$F7*((1+Payroll!$J7)^(ROUNDDOWN(DATEDIF(Payroll!$I7,CN$2,"M")/Payroll!$K7,0))),0))</f>
        <v/>
      </c>
      <c r="CO106" s="56">
        <f>IF(CO$2=Payroll!$I7,Payroll!$F7,IF(CO$2&gt;Payroll!$I7,Payroll!$F7*((1+Payroll!$J7)^(ROUNDDOWN(DATEDIF(Payroll!$I7,CO$2,"M")/Payroll!$K7,0))),0))</f>
        <v/>
      </c>
      <c r="CP106" s="56">
        <f>IF(CP$2=Payroll!$I7,Payroll!$F7,IF(CP$2&gt;Payroll!$I7,Payroll!$F7*((1+Payroll!$J7)^(ROUNDDOWN(DATEDIF(Payroll!$I7,CP$2,"M")/Payroll!$K7,0))),0))</f>
        <v/>
      </c>
      <c r="CQ106" s="56">
        <f>IF(CQ$2=Payroll!$I7,Payroll!$F7,IF(CQ$2&gt;Payroll!$I7,Payroll!$F7*((1+Payroll!$J7)^(ROUNDDOWN(DATEDIF(Payroll!$I7,CQ$2,"M")/Payroll!$K7,0))),0))</f>
        <v/>
      </c>
      <c r="CR106" s="56">
        <f>IF(CR$2=Payroll!$I7,Payroll!$F7,IF(CR$2&gt;Payroll!$I7,Payroll!$F7*((1+Payroll!$J7)^(ROUNDDOWN(DATEDIF(Payroll!$I7,CR$2,"M")/Payroll!$K7,0))),0))</f>
        <v/>
      </c>
      <c r="CS106" s="56">
        <f>IF(CS$2=Payroll!$I7,Payroll!$F7,IF(CS$2&gt;Payroll!$I7,Payroll!$F7*((1+Payroll!$J7)^(ROUNDDOWN(DATEDIF(Payroll!$I7,CS$2,"M")/Payroll!$K7,0))),0))</f>
        <v/>
      </c>
      <c r="CT106" s="56">
        <f>IF(CT$2=Payroll!$I7,Payroll!$F7,IF(CT$2&gt;Payroll!$I7,Payroll!$F7*((1+Payroll!$J7)^(ROUNDDOWN(DATEDIF(Payroll!$I7,CT$2,"M")/Payroll!$K7,0))),0))</f>
        <v/>
      </c>
      <c r="CU106" s="56">
        <f>IF(CU$2=Payroll!$I7,Payroll!$F7,IF(CU$2&gt;Payroll!$I7,Payroll!$F7*((1+Payroll!$J7)^(ROUNDDOWN(DATEDIF(Payroll!$I7,CU$2,"M")/Payroll!$K7,0))),0))</f>
        <v/>
      </c>
      <c r="CV106" s="56">
        <f>IF(CV$2=Payroll!$I7,Payroll!$F7,IF(CV$2&gt;Payroll!$I7,Payroll!$F7*((1+Payroll!$J7)^(ROUNDDOWN(DATEDIF(Payroll!$I7,CV$2,"M")/Payroll!$K7,0))),0))</f>
        <v/>
      </c>
      <c r="CW106" s="56">
        <f>IF(CW$2=Payroll!$I7,Payroll!$F7,IF(CW$2&gt;Payroll!$I7,Payroll!$F7*((1+Payroll!$J7)^(ROUNDDOWN(DATEDIF(Payroll!$I7,CW$2,"M")/Payroll!$K7,0))),0))</f>
        <v/>
      </c>
      <c r="CX106" s="56">
        <f>IF(CX$2=Payroll!$I7,Payroll!$F7,IF(CX$2&gt;Payroll!$I7,Payroll!$F7*((1+Payroll!$J7)^(ROUNDDOWN(DATEDIF(Payroll!$I7,CX$2,"M")/Payroll!$K7,0))),0))</f>
        <v/>
      </c>
    </row>
    <row r="107" outlineLevel="2" ht="15.75" customHeight="1" s="255">
      <c r="A107" s="56">
        <f>Payroll!A8</f>
        <v/>
      </c>
      <c r="B107" s="56" t="n"/>
      <c r="C107" s="56" t="n"/>
      <c r="D107" s="56" t="n"/>
      <c r="E107" s="56">
        <f>IF(E$2=Payroll!$I8,Payroll!$F8,IF(E$2&gt;Payroll!$I8,Payroll!$F8*((1+Payroll!$J8)^(ROUNDDOWN(DATEDIF(Payroll!$I8,E$2,"M")/Payroll!$K8,0))),0))</f>
        <v/>
      </c>
      <c r="F107" s="56">
        <f>IF(F$2=Payroll!$I8,Payroll!$F8,IF(F$2&gt;Payroll!$I8,Payroll!$F8*((1+Payroll!$J8)^(ROUNDDOWN(DATEDIF(Payroll!$I8,F$2,"M")/Payroll!$K8,0))),0))</f>
        <v/>
      </c>
      <c r="G107" s="56">
        <f>IF(G$2=Payroll!$I8,Payroll!$F8,IF(G$2&gt;Payroll!$I8,Payroll!$F8*((1+Payroll!$J8)^(ROUNDDOWN(DATEDIF(Payroll!$I8,G$2,"M")/Payroll!$K8,0))),0))</f>
        <v/>
      </c>
      <c r="H107" s="56">
        <f>IF(H$2=Payroll!$I8,Payroll!$F8,IF(H$2&gt;Payroll!$I8,Payroll!$F8*((1+Payroll!$J8)^(ROUNDDOWN(DATEDIF(Payroll!$I8,H$2,"M")/Payroll!$K8,0))),0))</f>
        <v/>
      </c>
      <c r="I107" s="56">
        <f>IF(I$2=Payroll!$I8,Payroll!$F8,IF(I$2&gt;Payroll!$I8,Payroll!$F8*((1+Payroll!$J8)^(ROUNDDOWN(DATEDIF(Payroll!$I8,I$2,"M")/Payroll!$K8,0))),0))</f>
        <v/>
      </c>
      <c r="J107" s="56">
        <f>IF(J$2=Payroll!$I8,Payroll!$F8,IF(J$2&gt;Payroll!$I8,Payroll!$F8*((1+Payroll!$J8)^(ROUNDDOWN(DATEDIF(Payroll!$I8,J$2,"M")/Payroll!$K8,0))),0))</f>
        <v/>
      </c>
      <c r="K107" s="56">
        <f>IF(K$2=Payroll!$I8,Payroll!$F8,IF(K$2&gt;Payroll!$I8,Payroll!$F8*((1+Payroll!$J8)^(ROUNDDOWN(DATEDIF(Payroll!$I8,K$2,"M")/Payroll!$K8,0))),0))</f>
        <v/>
      </c>
      <c r="L107" s="56">
        <f>IF(L$2=Payroll!$I8,Payroll!$F8,IF(L$2&gt;Payroll!$I8,Payroll!$F8*((1+Payroll!$J8)^(ROUNDDOWN(DATEDIF(Payroll!$I8,L$2,"M")/Payroll!$K8,0))),0))</f>
        <v/>
      </c>
      <c r="M107" s="56">
        <f>IF(M$2=Payroll!$I8,Payroll!$F8,IF(M$2&gt;Payroll!$I8,Payroll!$F8*((1+Payroll!$J8)^(ROUNDDOWN(DATEDIF(Payroll!$I8,M$2,"M")/Payroll!$K8,0))),0))</f>
        <v/>
      </c>
      <c r="N107" s="56">
        <f>IF(N$2=Payroll!$I8,Payroll!$F8,IF(N$2&gt;Payroll!$I8,Payroll!$F8*((1+Payroll!$J8)^(ROUNDDOWN(DATEDIF(Payroll!$I8,N$2,"M")/Payroll!$K8,0))),0))</f>
        <v/>
      </c>
      <c r="O107" s="56">
        <f>IF(O$2=Payroll!$I8,Payroll!$F8,IF(O$2&gt;Payroll!$I8,Payroll!$F8*((1+Payroll!$J8)^(ROUNDDOWN(DATEDIF(Payroll!$I8,O$2,"M")/Payroll!$K8,0))),0))</f>
        <v/>
      </c>
      <c r="P107" s="56">
        <f>IF(P$2=Payroll!$I8,Payroll!$F8,IF(P$2&gt;Payroll!$I8,Payroll!$F8*((1+Payroll!$J8)^(ROUNDDOWN(DATEDIF(Payroll!$I8,P$2,"M")/Payroll!$K8,0))),0))</f>
        <v/>
      </c>
      <c r="Q107" s="56">
        <f>IF(Q$2=Payroll!$I8,Payroll!$F8,IF(Q$2&gt;Payroll!$I8,Payroll!$F8*((1+Payroll!$J8)^(ROUNDDOWN(DATEDIF(Payroll!$I8,Q$2,"M")/Payroll!$K8,0))),0))</f>
        <v/>
      </c>
      <c r="R107" s="56">
        <f>IF(R$2=Payroll!$I8,Payroll!$F8,IF(R$2&gt;Payroll!$I8,Payroll!$F8*((1+Payroll!$J8)^(ROUNDDOWN(DATEDIF(Payroll!$I8,R$2,"M")/Payroll!$K8,0))),0))</f>
        <v/>
      </c>
      <c r="S107" s="56">
        <f>IF(S$2=Payroll!$I8,Payroll!$F8,IF(S$2&gt;Payroll!$I8,Payroll!$F8*((1+Payroll!$J8)^(ROUNDDOWN(DATEDIF(Payroll!$I8,S$2,"M")/Payroll!$K8,0))),0))</f>
        <v/>
      </c>
      <c r="T107" s="56">
        <f>IF(T$2=Payroll!$I8,Payroll!$F8,IF(T$2&gt;Payroll!$I8,Payroll!$F8*((1+Payroll!$J8)^(ROUNDDOWN(DATEDIF(Payroll!$I8,T$2,"M")/Payroll!$K8,0))),0))</f>
        <v/>
      </c>
      <c r="U107" s="56">
        <f>IF(U$2=Payroll!$I8,Payroll!$F8,IF(U$2&gt;Payroll!$I8,Payroll!$F8*((1+Payroll!$J8)^(ROUNDDOWN(DATEDIF(Payroll!$I8,U$2,"M")/Payroll!$K8,0))),0))</f>
        <v/>
      </c>
      <c r="V107" s="56">
        <f>IF(V$2=Payroll!$I8,Payroll!$F8,IF(V$2&gt;Payroll!$I8,Payroll!$F8*((1+Payroll!$J8)^(ROUNDDOWN(DATEDIF(Payroll!$I8,V$2,"M")/Payroll!$K8,0))),0))</f>
        <v/>
      </c>
      <c r="W107" s="56">
        <f>IF(W$2=Payroll!$I8,Payroll!$F8,IF(W$2&gt;Payroll!$I8,Payroll!$F8*((1+Payroll!$J8)^(ROUNDDOWN(DATEDIF(Payroll!$I8,W$2,"M")/Payroll!$K8,0))),0))</f>
        <v/>
      </c>
      <c r="X107" s="56">
        <f>IF(X$2=Payroll!$I8,Payroll!$F8,IF(X$2&gt;Payroll!$I8,Payroll!$F8*((1+Payroll!$J8)^(ROUNDDOWN(DATEDIF(Payroll!$I8,X$2,"M")/Payroll!$K8,0))),0))</f>
        <v/>
      </c>
      <c r="Y107" s="56">
        <f>IF(Y$2=Payroll!$I8,Payroll!$F8,IF(Y$2&gt;Payroll!$I8,Payroll!$F8*((1+Payroll!$J8)^(ROUNDDOWN(DATEDIF(Payroll!$I8,Y$2,"M")/Payroll!$K8,0))),0))</f>
        <v/>
      </c>
      <c r="Z107" s="56">
        <f>IF(Z$2=Payroll!$I8,Payroll!$F8,IF(Z$2&gt;Payroll!$I8,Payroll!$F8*((1+Payroll!$J8)^(ROUNDDOWN(DATEDIF(Payroll!$I8,Z$2,"M")/Payroll!$K8,0))),0))</f>
        <v/>
      </c>
      <c r="AA107" s="56">
        <f>IF(AA$2=Payroll!$I8,Payroll!$F8,IF(AA$2&gt;Payroll!$I8,Payroll!$F8*((1+Payroll!$J8)^(ROUNDDOWN(DATEDIF(Payroll!$I8,AA$2,"M")/Payroll!$K8,0))),0))</f>
        <v/>
      </c>
      <c r="AB107" s="56">
        <f>IF(AB$2=Payroll!$I8,Payroll!$F8,IF(AB$2&gt;Payroll!$I8,Payroll!$F8*((1+Payroll!$J8)^(ROUNDDOWN(DATEDIF(Payroll!$I8,AB$2,"M")/Payroll!$K8,0))),0))</f>
        <v/>
      </c>
      <c r="AC107" s="56">
        <f>IF(AC$2=Payroll!$I8,Payroll!$F8,IF(AC$2&gt;Payroll!$I8,Payroll!$F8*((1+Payroll!$J8)^(ROUNDDOWN(DATEDIF(Payroll!$I8,AC$2,"M")/Payroll!$K8,0))),0))</f>
        <v/>
      </c>
      <c r="AD107" s="56">
        <f>IF(AD$2=Payroll!$I8,Payroll!$F8,IF(AD$2&gt;Payroll!$I8,Payroll!$F8*((1+Payroll!$J8)^(ROUNDDOWN(DATEDIF(Payroll!$I8,AD$2,"M")/Payroll!$K8,0))),0))</f>
        <v/>
      </c>
      <c r="AE107" s="56">
        <f>IF(AE$2=Payroll!$I8,Payroll!$F8,IF(AE$2&gt;Payroll!$I8,Payroll!$F8*((1+Payroll!$J8)^(ROUNDDOWN(DATEDIF(Payroll!$I8,AE$2,"M")/Payroll!$K8,0))),0))</f>
        <v/>
      </c>
      <c r="AF107" s="56">
        <f>IF(AF$2=Payroll!$I8,Payroll!$F8,IF(AF$2&gt;Payroll!$I8,Payroll!$F8*((1+Payroll!$J8)^(ROUNDDOWN(DATEDIF(Payroll!$I8,AF$2,"M")/Payroll!$K8,0))),0))</f>
        <v/>
      </c>
      <c r="AG107" s="56">
        <f>IF(AG$2=Payroll!$I8,Payroll!$F8,IF(AG$2&gt;Payroll!$I8,Payroll!$F8*((1+Payroll!$J8)^(ROUNDDOWN(DATEDIF(Payroll!$I8,AG$2,"M")/Payroll!$K8,0))),0))</f>
        <v/>
      </c>
      <c r="AH107" s="56">
        <f>IF(AH$2=Payroll!$I8,Payroll!$F8,IF(AH$2&gt;Payroll!$I8,Payroll!$F8*((1+Payroll!$J8)^(ROUNDDOWN(DATEDIF(Payroll!$I8,AH$2,"M")/Payroll!$K8,0))),0))</f>
        <v/>
      </c>
      <c r="AI107" s="56">
        <f>IF(AI$2=Payroll!$I8,Payroll!$F8,IF(AI$2&gt;Payroll!$I8,Payroll!$F8*((1+Payroll!$J8)^(ROUNDDOWN(DATEDIF(Payroll!$I8,AI$2,"M")/Payroll!$K8,0))),0))</f>
        <v/>
      </c>
      <c r="AJ107" s="56">
        <f>IF(AJ$2=Payroll!$I8,Payroll!$F8,IF(AJ$2&gt;Payroll!$I8,Payroll!$F8*((1+Payroll!$J8)^(ROUNDDOWN(DATEDIF(Payroll!$I8,AJ$2,"M")/Payroll!$K8,0))),0))</f>
        <v/>
      </c>
      <c r="AK107" s="56">
        <f>IF(AK$2=Payroll!$I8,Payroll!$F8,IF(AK$2&gt;Payroll!$I8,Payroll!$F8*((1+Payroll!$J8)^(ROUNDDOWN(DATEDIF(Payroll!$I8,AK$2,"M")/Payroll!$K8,0))),0))</f>
        <v/>
      </c>
      <c r="AL107" s="56">
        <f>IF(AL$2=Payroll!$I8,Payroll!$F8,IF(AL$2&gt;Payroll!$I8,Payroll!$F8*((1+Payroll!$J8)^(ROUNDDOWN(DATEDIF(Payroll!$I8,AL$2,"M")/Payroll!$K8,0))),0))</f>
        <v/>
      </c>
      <c r="AM107" s="56">
        <f>IF(AM$2=Payroll!$I8,Payroll!$F8,IF(AM$2&gt;Payroll!$I8,Payroll!$F8*((1+Payroll!$J8)^(ROUNDDOWN(DATEDIF(Payroll!$I8,AM$2,"M")/Payroll!$K8,0))),0))</f>
        <v/>
      </c>
      <c r="AN107" s="56">
        <f>IF(AN$2=Payroll!$I8,Payroll!$F8,IF(AN$2&gt;Payroll!$I8,Payroll!$F8*((1+Payroll!$J8)^(ROUNDDOWN(DATEDIF(Payroll!$I8,AN$2,"M")/Payroll!$K8,0))),0))</f>
        <v/>
      </c>
      <c r="AO107" s="56">
        <f>IF(AO$2=Payroll!$I8,Payroll!$F8,IF(AO$2&gt;Payroll!$I8,Payroll!$F8*((1+Payroll!$J8)^(ROUNDDOWN(DATEDIF(Payroll!$I8,AO$2,"M")/Payroll!$K8,0))),0))</f>
        <v/>
      </c>
      <c r="AP107" s="56">
        <f>IF(AP$2=Payroll!$I8,Payroll!$F8,IF(AP$2&gt;Payroll!$I8,Payroll!$F8*((1+Payroll!$J8)^(ROUNDDOWN(DATEDIF(Payroll!$I8,AP$2,"M")/Payroll!$K8,0))),0))</f>
        <v/>
      </c>
      <c r="AQ107" s="56">
        <f>IF(AQ$2=Payroll!$I8,Payroll!$F8,IF(AQ$2&gt;Payroll!$I8,Payroll!$F8*((1+Payroll!$J8)^(ROUNDDOWN(DATEDIF(Payroll!$I8,AQ$2,"M")/Payroll!$K8,0))),0))</f>
        <v/>
      </c>
      <c r="AR107" s="56">
        <f>IF(AR$2=Payroll!$I8,Payroll!$F8,IF(AR$2&gt;Payroll!$I8,Payroll!$F8*((1+Payroll!$J8)^(ROUNDDOWN(DATEDIF(Payroll!$I8,AR$2,"M")/Payroll!$K8,0))),0))</f>
        <v/>
      </c>
      <c r="AS107" s="56">
        <f>IF(AS$2=Payroll!$I8,Payroll!$F8,IF(AS$2&gt;Payroll!$I8,Payroll!$F8*((1+Payroll!$J8)^(ROUNDDOWN(DATEDIF(Payroll!$I8,AS$2,"M")/Payroll!$K8,0))),0))</f>
        <v/>
      </c>
      <c r="AT107" s="56">
        <f>IF(AT$2=Payroll!$I8,Payroll!$F8,IF(AT$2&gt;Payroll!$I8,Payroll!$F8*((1+Payroll!$J8)^(ROUNDDOWN(DATEDIF(Payroll!$I8,AT$2,"M")/Payroll!$K8,0))),0))</f>
        <v/>
      </c>
      <c r="AU107" s="56">
        <f>IF(AU$2=Payroll!$I8,Payroll!$F8,IF(AU$2&gt;Payroll!$I8,Payroll!$F8*((1+Payroll!$J8)^(ROUNDDOWN(DATEDIF(Payroll!$I8,AU$2,"M")/Payroll!$K8,0))),0))</f>
        <v/>
      </c>
      <c r="AV107" s="56">
        <f>IF(AV$2=Payroll!$I8,Payroll!$F8,IF(AV$2&gt;Payroll!$I8,Payroll!$F8*((1+Payroll!$J8)^(ROUNDDOWN(DATEDIF(Payroll!$I8,AV$2,"M")/Payroll!$K8,0))),0))</f>
        <v/>
      </c>
      <c r="AW107" s="56">
        <f>IF(AW$2=Payroll!$I8,Payroll!$F8,IF(AW$2&gt;Payroll!$I8,Payroll!$F8*((1+Payroll!$J8)^(ROUNDDOWN(DATEDIF(Payroll!$I8,AW$2,"M")/Payroll!$K8,0))),0))</f>
        <v/>
      </c>
      <c r="AX107" s="56">
        <f>IF(AX$2=Payroll!$I8,Payroll!$F8,IF(AX$2&gt;Payroll!$I8,Payroll!$F8*((1+Payroll!$J8)^(ROUNDDOWN(DATEDIF(Payroll!$I8,AX$2,"M")/Payroll!$K8,0))),0))</f>
        <v/>
      </c>
      <c r="AY107" s="56">
        <f>IF(AY$2=Payroll!$I8,Payroll!$F8,IF(AY$2&gt;Payroll!$I8,Payroll!$F8*((1+Payroll!$J8)^(ROUNDDOWN(DATEDIF(Payroll!$I8,AY$2,"M")/Payroll!$K8,0))),0))</f>
        <v/>
      </c>
      <c r="AZ107" s="56">
        <f>IF(AZ$2=Payroll!$I8,Payroll!$F8,IF(AZ$2&gt;Payroll!$I8,Payroll!$F8*((1+Payroll!$J8)^(ROUNDDOWN(DATEDIF(Payroll!$I8,AZ$2,"M")/Payroll!$K8,0))),0))</f>
        <v/>
      </c>
      <c r="BA107" s="56">
        <f>IF(BA$2=Payroll!$I8,Payroll!$F8,IF(BA$2&gt;Payroll!$I8,Payroll!$F8*((1+Payroll!$J8)^(ROUNDDOWN(DATEDIF(Payroll!$I8,BA$2,"M")/Payroll!$K8,0))),0))</f>
        <v/>
      </c>
      <c r="BB107" s="56">
        <f>IF(BB$2=Payroll!$I8,Payroll!$F8,IF(BB$2&gt;Payroll!$I8,Payroll!$F8*((1+Payroll!$J8)^(ROUNDDOWN(DATEDIF(Payroll!$I8,BB$2,"M")/Payroll!$K8,0))),0))</f>
        <v/>
      </c>
      <c r="BC107" s="56">
        <f>IF(BC$2=Payroll!$I8,Payroll!$F8,IF(BC$2&gt;Payroll!$I8,Payroll!$F8*((1+Payroll!$J8)^(ROUNDDOWN(DATEDIF(Payroll!$I8,BC$2,"M")/Payroll!$K8,0))),0))</f>
        <v/>
      </c>
      <c r="BD107" s="56">
        <f>IF(BD$2=Payroll!$I8,Payroll!$F8,IF(BD$2&gt;Payroll!$I8,Payroll!$F8*((1+Payroll!$J8)^(ROUNDDOWN(DATEDIF(Payroll!$I8,BD$2,"M")/Payroll!$K8,0))),0))</f>
        <v/>
      </c>
      <c r="BE107" s="56">
        <f>IF(BE$2=Payroll!$I8,Payroll!$F8,IF(BE$2&gt;Payroll!$I8,Payroll!$F8*((1+Payroll!$J8)^(ROUNDDOWN(DATEDIF(Payroll!$I8,BE$2,"M")/Payroll!$K8,0))),0))</f>
        <v/>
      </c>
      <c r="BF107" s="56">
        <f>IF(BF$2=Payroll!$I8,Payroll!$F8,IF(BF$2&gt;Payroll!$I8,Payroll!$F8*((1+Payroll!$J8)^(ROUNDDOWN(DATEDIF(Payroll!$I8,BF$2,"M")/Payroll!$K8,0))),0))</f>
        <v/>
      </c>
      <c r="BG107" s="56">
        <f>IF(BG$2=Payroll!$I8,Payroll!$F8,IF(BG$2&gt;Payroll!$I8,Payroll!$F8*((1+Payroll!$J8)^(ROUNDDOWN(DATEDIF(Payroll!$I8,BG$2,"M")/Payroll!$K8,0))),0))</f>
        <v/>
      </c>
      <c r="BH107" s="56">
        <f>IF(BH$2=Payroll!$I8,Payroll!$F8,IF(BH$2&gt;Payroll!$I8,Payroll!$F8*((1+Payroll!$J8)^(ROUNDDOWN(DATEDIF(Payroll!$I8,BH$2,"M")/Payroll!$K8,0))),0))</f>
        <v/>
      </c>
      <c r="BI107" s="56">
        <f>IF(BI$2=Payroll!$I8,Payroll!$F8,IF(BI$2&gt;Payroll!$I8,Payroll!$F8*((1+Payroll!$J8)^(ROUNDDOWN(DATEDIF(Payroll!$I8,BI$2,"M")/Payroll!$K8,0))),0))</f>
        <v/>
      </c>
      <c r="BJ107" s="56">
        <f>IF(BJ$2=Payroll!$I8,Payroll!$F8,IF(BJ$2&gt;Payroll!$I8,Payroll!$F8*((1+Payroll!$J8)^(ROUNDDOWN(DATEDIF(Payroll!$I8,BJ$2,"M")/Payroll!$K8,0))),0))</f>
        <v/>
      </c>
      <c r="BK107" s="56">
        <f>IF(BK$2=Payroll!$I8,Payroll!$F8,IF(BK$2&gt;Payroll!$I8,Payroll!$F8*((1+Payroll!$J8)^(ROUNDDOWN(DATEDIF(Payroll!$I8,BK$2,"M")/Payroll!$K8,0))),0))</f>
        <v/>
      </c>
      <c r="BL107" s="56">
        <f>IF(BL$2=Payroll!$I8,Payroll!$F8,IF(BL$2&gt;Payroll!$I8,Payroll!$F8*((1+Payroll!$J8)^(ROUNDDOWN(DATEDIF(Payroll!$I8,BL$2,"M")/Payroll!$K8,0))),0))</f>
        <v/>
      </c>
      <c r="BM107" s="56">
        <f>IF(BM$2=Payroll!$I8,Payroll!$F8,IF(BM$2&gt;Payroll!$I8,Payroll!$F8*((1+Payroll!$J8)^(ROUNDDOWN(DATEDIF(Payroll!$I8,BM$2,"M")/Payroll!$K8,0))),0))</f>
        <v/>
      </c>
      <c r="BN107" s="56">
        <f>IF(BN$2=Payroll!$I8,Payroll!$F8,IF(BN$2&gt;Payroll!$I8,Payroll!$F8*((1+Payroll!$J8)^(ROUNDDOWN(DATEDIF(Payroll!$I8,BN$2,"M")/Payroll!$K8,0))),0))</f>
        <v/>
      </c>
      <c r="BO107" s="56">
        <f>IF(BO$2=Payroll!$I8,Payroll!$F8,IF(BO$2&gt;Payroll!$I8,Payroll!$F8*((1+Payroll!$J8)^(ROUNDDOWN(DATEDIF(Payroll!$I8,BO$2,"M")/Payroll!$K8,0))),0))</f>
        <v/>
      </c>
      <c r="BP107" s="56">
        <f>IF(BP$2=Payroll!$I8,Payroll!$F8,IF(BP$2&gt;Payroll!$I8,Payroll!$F8*((1+Payroll!$J8)^(ROUNDDOWN(DATEDIF(Payroll!$I8,BP$2,"M")/Payroll!$K8,0))),0))</f>
        <v/>
      </c>
      <c r="BQ107" s="56">
        <f>IF(BQ$2=Payroll!$I8,Payroll!$F8,IF(BQ$2&gt;Payroll!$I8,Payroll!$F8*((1+Payroll!$J8)^(ROUNDDOWN(DATEDIF(Payroll!$I8,BQ$2,"M")/Payroll!$K8,0))),0))</f>
        <v/>
      </c>
      <c r="BR107" s="56">
        <f>IF(BR$2=Payroll!$I8,Payroll!$F8,IF(BR$2&gt;Payroll!$I8,Payroll!$F8*((1+Payroll!$J8)^(ROUNDDOWN(DATEDIF(Payroll!$I8,BR$2,"M")/Payroll!$K8,0))),0))</f>
        <v/>
      </c>
      <c r="BS107" s="56">
        <f>IF(BS$2=Payroll!$I8,Payroll!$F8,IF(BS$2&gt;Payroll!$I8,Payroll!$F8*((1+Payroll!$J8)^(ROUNDDOWN(DATEDIF(Payroll!$I8,BS$2,"M")/Payroll!$K8,0))),0))</f>
        <v/>
      </c>
      <c r="BT107" s="56">
        <f>IF(BT$2=Payroll!$I8,Payroll!$F8,IF(BT$2&gt;Payroll!$I8,Payroll!$F8*((1+Payroll!$J8)^(ROUNDDOWN(DATEDIF(Payroll!$I8,BT$2,"M")/Payroll!$K8,0))),0))</f>
        <v/>
      </c>
      <c r="BU107" s="56">
        <f>IF(BU$2=Payroll!$I8,Payroll!$F8,IF(BU$2&gt;Payroll!$I8,Payroll!$F8*((1+Payroll!$J8)^(ROUNDDOWN(DATEDIF(Payroll!$I8,BU$2,"M")/Payroll!$K8,0))),0))</f>
        <v/>
      </c>
      <c r="BV107" s="56">
        <f>IF(BV$2=Payroll!$I8,Payroll!$F8,IF(BV$2&gt;Payroll!$I8,Payroll!$F8*((1+Payroll!$J8)^(ROUNDDOWN(DATEDIF(Payroll!$I8,BV$2,"M")/Payroll!$K8,0))),0))</f>
        <v/>
      </c>
      <c r="BW107" s="56">
        <f>IF(BW$2=Payroll!$I8,Payroll!$F8,IF(BW$2&gt;Payroll!$I8,Payroll!$F8*((1+Payroll!$J8)^(ROUNDDOWN(DATEDIF(Payroll!$I8,BW$2,"M")/Payroll!$K8,0))),0))</f>
        <v/>
      </c>
      <c r="BX107" s="56">
        <f>IF(BX$2=Payroll!$I8,Payroll!$F8,IF(BX$2&gt;Payroll!$I8,Payroll!$F8*((1+Payroll!$J8)^(ROUNDDOWN(DATEDIF(Payroll!$I8,BX$2,"M")/Payroll!$K8,0))),0))</f>
        <v/>
      </c>
      <c r="BY107" s="56">
        <f>IF(BY$2=Payroll!$I8,Payroll!$F8,IF(BY$2&gt;Payroll!$I8,Payroll!$F8*((1+Payroll!$J8)^(ROUNDDOWN(DATEDIF(Payroll!$I8,BY$2,"M")/Payroll!$K8,0))),0))</f>
        <v/>
      </c>
      <c r="BZ107" s="56">
        <f>IF(BZ$2=Payroll!$I8,Payroll!$F8,IF(BZ$2&gt;Payroll!$I8,Payroll!$F8*((1+Payroll!$J8)^(ROUNDDOWN(DATEDIF(Payroll!$I8,BZ$2,"M")/Payroll!$K8,0))),0))</f>
        <v/>
      </c>
      <c r="CA107" s="56">
        <f>IF(CA$2=Payroll!$I8,Payroll!$F8,IF(CA$2&gt;Payroll!$I8,Payroll!$F8*((1+Payroll!$J8)^(ROUNDDOWN(DATEDIF(Payroll!$I8,CA$2,"M")/Payroll!$K8,0))),0))</f>
        <v/>
      </c>
      <c r="CB107" s="56">
        <f>IF(CB$2=Payroll!$I8,Payroll!$F8,IF(CB$2&gt;Payroll!$I8,Payroll!$F8*((1+Payroll!$J8)^(ROUNDDOWN(DATEDIF(Payroll!$I8,CB$2,"M")/Payroll!$K8,0))),0))</f>
        <v/>
      </c>
      <c r="CC107" s="56">
        <f>IF(CC$2=Payroll!$I8,Payroll!$F8,IF(CC$2&gt;Payroll!$I8,Payroll!$F8*((1+Payroll!$J8)^(ROUNDDOWN(DATEDIF(Payroll!$I8,CC$2,"M")/Payroll!$K8,0))),0))</f>
        <v/>
      </c>
      <c r="CD107" s="56">
        <f>IF(CD$2=Payroll!$I8,Payroll!$F8,IF(CD$2&gt;Payroll!$I8,Payroll!$F8*((1+Payroll!$J8)^(ROUNDDOWN(DATEDIF(Payroll!$I8,CD$2,"M")/Payroll!$K8,0))),0))</f>
        <v/>
      </c>
      <c r="CE107" s="56">
        <f>IF(CE$2=Payroll!$I8,Payroll!$F8,IF(CE$2&gt;Payroll!$I8,Payroll!$F8*((1+Payroll!$J8)^(ROUNDDOWN(DATEDIF(Payroll!$I8,CE$2,"M")/Payroll!$K8,0))),0))</f>
        <v/>
      </c>
      <c r="CF107" s="56">
        <f>IF(CF$2=Payroll!$I8,Payroll!$F8,IF(CF$2&gt;Payroll!$I8,Payroll!$F8*((1+Payroll!$J8)^(ROUNDDOWN(DATEDIF(Payroll!$I8,CF$2,"M")/Payroll!$K8,0))),0))</f>
        <v/>
      </c>
      <c r="CG107" s="56">
        <f>IF(CG$2=Payroll!$I8,Payroll!$F8,IF(CG$2&gt;Payroll!$I8,Payroll!$F8*((1+Payroll!$J8)^(ROUNDDOWN(DATEDIF(Payroll!$I8,CG$2,"M")/Payroll!$K8,0))),0))</f>
        <v/>
      </c>
      <c r="CH107" s="56">
        <f>IF(CH$2=Payroll!$I8,Payroll!$F8,IF(CH$2&gt;Payroll!$I8,Payroll!$F8*((1+Payroll!$J8)^(ROUNDDOWN(DATEDIF(Payroll!$I8,CH$2,"M")/Payroll!$K8,0))),0))</f>
        <v/>
      </c>
      <c r="CI107" s="56">
        <f>IF(CI$2=Payroll!$I8,Payroll!$F8,IF(CI$2&gt;Payroll!$I8,Payroll!$F8*((1+Payroll!$J8)^(ROUNDDOWN(DATEDIF(Payroll!$I8,CI$2,"M")/Payroll!$K8,0))),0))</f>
        <v/>
      </c>
      <c r="CJ107" s="56">
        <f>IF(CJ$2=Payroll!$I8,Payroll!$F8,IF(CJ$2&gt;Payroll!$I8,Payroll!$F8*((1+Payroll!$J8)^(ROUNDDOWN(DATEDIF(Payroll!$I8,CJ$2,"M")/Payroll!$K8,0))),0))</f>
        <v/>
      </c>
      <c r="CK107" s="56">
        <f>IF(CK$2=Payroll!$I8,Payroll!$F8,IF(CK$2&gt;Payroll!$I8,Payroll!$F8*((1+Payroll!$J8)^(ROUNDDOWN(DATEDIF(Payroll!$I8,CK$2,"M")/Payroll!$K8,0))),0))</f>
        <v/>
      </c>
      <c r="CL107" s="56">
        <f>IF(CL$2=Payroll!$I8,Payroll!$F8,IF(CL$2&gt;Payroll!$I8,Payroll!$F8*((1+Payroll!$J8)^(ROUNDDOWN(DATEDIF(Payroll!$I8,CL$2,"M")/Payroll!$K8,0))),0))</f>
        <v/>
      </c>
      <c r="CM107" s="56">
        <f>IF(CM$2=Payroll!$I8,Payroll!$F8,IF(CM$2&gt;Payroll!$I8,Payroll!$F8*((1+Payroll!$J8)^(ROUNDDOWN(DATEDIF(Payroll!$I8,CM$2,"M")/Payroll!$K8,0))),0))</f>
        <v/>
      </c>
      <c r="CN107" s="56">
        <f>IF(CN$2=Payroll!$I8,Payroll!$F8,IF(CN$2&gt;Payroll!$I8,Payroll!$F8*((1+Payroll!$J8)^(ROUNDDOWN(DATEDIF(Payroll!$I8,CN$2,"M")/Payroll!$K8,0))),0))</f>
        <v/>
      </c>
      <c r="CO107" s="56">
        <f>IF(CO$2=Payroll!$I8,Payroll!$F8,IF(CO$2&gt;Payroll!$I8,Payroll!$F8*((1+Payroll!$J8)^(ROUNDDOWN(DATEDIF(Payroll!$I8,CO$2,"M")/Payroll!$K8,0))),0))</f>
        <v/>
      </c>
      <c r="CP107" s="56">
        <f>IF(CP$2=Payroll!$I8,Payroll!$F8,IF(CP$2&gt;Payroll!$I8,Payroll!$F8*((1+Payroll!$J8)^(ROUNDDOWN(DATEDIF(Payroll!$I8,CP$2,"M")/Payroll!$K8,0))),0))</f>
        <v/>
      </c>
      <c r="CQ107" s="56">
        <f>IF(CQ$2=Payroll!$I8,Payroll!$F8,IF(CQ$2&gt;Payroll!$I8,Payroll!$F8*((1+Payroll!$J8)^(ROUNDDOWN(DATEDIF(Payroll!$I8,CQ$2,"M")/Payroll!$K8,0))),0))</f>
        <v/>
      </c>
      <c r="CR107" s="56">
        <f>IF(CR$2=Payroll!$I8,Payroll!$F8,IF(CR$2&gt;Payroll!$I8,Payroll!$F8*((1+Payroll!$J8)^(ROUNDDOWN(DATEDIF(Payroll!$I8,CR$2,"M")/Payroll!$K8,0))),0))</f>
        <v/>
      </c>
      <c r="CS107" s="56">
        <f>IF(CS$2=Payroll!$I8,Payroll!$F8,IF(CS$2&gt;Payroll!$I8,Payroll!$F8*((1+Payroll!$J8)^(ROUNDDOWN(DATEDIF(Payroll!$I8,CS$2,"M")/Payroll!$K8,0))),0))</f>
        <v/>
      </c>
      <c r="CT107" s="56">
        <f>IF(CT$2=Payroll!$I8,Payroll!$F8,IF(CT$2&gt;Payroll!$I8,Payroll!$F8*((1+Payroll!$J8)^(ROUNDDOWN(DATEDIF(Payroll!$I8,CT$2,"M")/Payroll!$K8,0))),0))</f>
        <v/>
      </c>
      <c r="CU107" s="56">
        <f>IF(CU$2=Payroll!$I8,Payroll!$F8,IF(CU$2&gt;Payroll!$I8,Payroll!$F8*((1+Payroll!$J8)^(ROUNDDOWN(DATEDIF(Payroll!$I8,CU$2,"M")/Payroll!$K8,0))),0))</f>
        <v/>
      </c>
      <c r="CV107" s="56">
        <f>IF(CV$2=Payroll!$I8,Payroll!$F8,IF(CV$2&gt;Payroll!$I8,Payroll!$F8*((1+Payroll!$J8)^(ROUNDDOWN(DATEDIF(Payroll!$I8,CV$2,"M")/Payroll!$K8,0))),0))</f>
        <v/>
      </c>
      <c r="CW107" s="56">
        <f>IF(CW$2=Payroll!$I8,Payroll!$F8,IF(CW$2&gt;Payroll!$I8,Payroll!$F8*((1+Payroll!$J8)^(ROUNDDOWN(DATEDIF(Payroll!$I8,CW$2,"M")/Payroll!$K8,0))),0))</f>
        <v/>
      </c>
      <c r="CX107" s="56">
        <f>IF(CX$2=Payroll!$I8,Payroll!$F8,IF(CX$2&gt;Payroll!$I8,Payroll!$F8*((1+Payroll!$J8)^(ROUNDDOWN(DATEDIF(Payroll!$I8,CX$2,"M")/Payroll!$K8,0))),0))</f>
        <v/>
      </c>
    </row>
    <row r="108" outlineLevel="2" ht="15.75" customHeight="1" s="255">
      <c r="A108" s="56">
        <f>Payroll!A9</f>
        <v/>
      </c>
      <c r="B108" s="56" t="n"/>
      <c r="C108" s="56" t="n"/>
      <c r="D108" s="56" t="n"/>
      <c r="E108" s="56">
        <f>IF(E$2=Payroll!$I9,Payroll!$F9,IF(E$2&gt;Payroll!$I9,Payroll!$F9*((1+Payroll!$J9)^(ROUNDDOWN(DATEDIF(Payroll!$I9,E$2,"M")/Payroll!$K9,0))),0))</f>
        <v/>
      </c>
      <c r="F108" s="56">
        <f>IF(F$2=Payroll!$I9,Payroll!$F9,IF(F$2&gt;Payroll!$I9,Payroll!$F9*((1+Payroll!$J9)^(ROUNDDOWN(DATEDIF(Payroll!$I9,F$2,"M")/Payroll!$K9,0))),0))</f>
        <v/>
      </c>
      <c r="G108" s="56">
        <f>IF(G$2=Payroll!$I9,Payroll!$F9,IF(G$2&gt;Payroll!$I9,Payroll!$F9*((1+Payroll!$J9)^(ROUNDDOWN(DATEDIF(Payroll!$I9,G$2,"M")/Payroll!$K9,0))),0))</f>
        <v/>
      </c>
      <c r="H108" s="56">
        <f>IF(H$2=Payroll!$I9,Payroll!$F9,IF(H$2&gt;Payroll!$I9,Payroll!$F9*((1+Payroll!$J9)^(ROUNDDOWN(DATEDIF(Payroll!$I9,H$2,"M")/Payroll!$K9,0))),0))</f>
        <v/>
      </c>
      <c r="I108" s="56">
        <f>IF(I$2=Payroll!$I9,Payroll!$F9,IF(I$2&gt;Payroll!$I9,Payroll!$F9*((1+Payroll!$J9)^(ROUNDDOWN(DATEDIF(Payroll!$I9,I$2,"M")/Payroll!$K9,0))),0))</f>
        <v/>
      </c>
      <c r="J108" s="56">
        <f>IF(J$2=Payroll!$I9,Payroll!$F9,IF(J$2&gt;Payroll!$I9,Payroll!$F9*((1+Payroll!$J9)^(ROUNDDOWN(DATEDIF(Payroll!$I9,J$2,"M")/Payroll!$K9,0))),0))</f>
        <v/>
      </c>
      <c r="K108" s="56">
        <f>IF(K$2=Payroll!$I9,Payroll!$F9,IF(K$2&gt;Payroll!$I9,Payroll!$F9*((1+Payroll!$J9)^(ROUNDDOWN(DATEDIF(Payroll!$I9,K$2,"M")/Payroll!$K9,0))),0))</f>
        <v/>
      </c>
      <c r="L108" s="56">
        <f>IF(L$2=Payroll!$I9,Payroll!$F9,IF(L$2&gt;Payroll!$I9,Payroll!$F9*((1+Payroll!$J9)^(ROUNDDOWN(DATEDIF(Payroll!$I9,L$2,"M")/Payroll!$K9,0))),0))</f>
        <v/>
      </c>
      <c r="M108" s="56">
        <f>IF(M$2=Payroll!$I9,Payroll!$F9,IF(M$2&gt;Payroll!$I9,Payroll!$F9*((1+Payroll!$J9)^(ROUNDDOWN(DATEDIF(Payroll!$I9,M$2,"M")/Payroll!$K9,0))),0))</f>
        <v/>
      </c>
      <c r="N108" s="56">
        <f>IF(N$2=Payroll!$I9,Payroll!$F9,IF(N$2&gt;Payroll!$I9,Payroll!$F9*((1+Payroll!$J9)^(ROUNDDOWN(DATEDIF(Payroll!$I9,N$2,"M")/Payroll!$K9,0))),0))</f>
        <v/>
      </c>
      <c r="O108" s="56">
        <f>IF(O$2=Payroll!$I9,Payroll!$F9,IF(O$2&gt;Payroll!$I9,Payroll!$F9*((1+Payroll!$J9)^(ROUNDDOWN(DATEDIF(Payroll!$I9,O$2,"M")/Payroll!$K9,0))),0))</f>
        <v/>
      </c>
      <c r="P108" s="56">
        <f>IF(P$2=Payroll!$I9,Payroll!$F9,IF(P$2&gt;Payroll!$I9,Payroll!$F9*((1+Payroll!$J9)^(ROUNDDOWN(DATEDIF(Payroll!$I9,P$2,"M")/Payroll!$K9,0))),0))</f>
        <v/>
      </c>
      <c r="Q108" s="56">
        <f>IF(Q$2=Payroll!$I9,Payroll!$F9,IF(Q$2&gt;Payroll!$I9,Payroll!$F9*((1+Payroll!$J9)^(ROUNDDOWN(DATEDIF(Payroll!$I9,Q$2,"M")/Payroll!$K9,0))),0))</f>
        <v/>
      </c>
      <c r="R108" s="56">
        <f>IF(R$2=Payroll!$I9,Payroll!$F9,IF(R$2&gt;Payroll!$I9,Payroll!$F9*((1+Payroll!$J9)^(ROUNDDOWN(DATEDIF(Payroll!$I9,R$2,"M")/Payroll!$K9,0))),0))</f>
        <v/>
      </c>
      <c r="S108" s="56">
        <f>IF(S$2=Payroll!$I9,Payroll!$F9,IF(S$2&gt;Payroll!$I9,Payroll!$F9*((1+Payroll!$J9)^(ROUNDDOWN(DATEDIF(Payroll!$I9,S$2,"M")/Payroll!$K9,0))),0))</f>
        <v/>
      </c>
      <c r="T108" s="56">
        <f>IF(T$2=Payroll!$I9,Payroll!$F9,IF(T$2&gt;Payroll!$I9,Payroll!$F9*((1+Payroll!$J9)^(ROUNDDOWN(DATEDIF(Payroll!$I9,T$2,"M")/Payroll!$K9,0))),0))</f>
        <v/>
      </c>
      <c r="U108" s="56">
        <f>IF(U$2=Payroll!$I9,Payroll!$F9,IF(U$2&gt;Payroll!$I9,Payroll!$F9*((1+Payroll!$J9)^(ROUNDDOWN(DATEDIF(Payroll!$I9,U$2,"M")/Payroll!$K9,0))),0))</f>
        <v/>
      </c>
      <c r="V108" s="56">
        <f>IF(V$2=Payroll!$I9,Payroll!$F9,IF(V$2&gt;Payroll!$I9,Payroll!$F9*((1+Payroll!$J9)^(ROUNDDOWN(DATEDIF(Payroll!$I9,V$2,"M")/Payroll!$K9,0))),0))</f>
        <v/>
      </c>
      <c r="W108" s="56">
        <f>IF(W$2=Payroll!$I9,Payroll!$F9,IF(W$2&gt;Payroll!$I9,Payroll!$F9*((1+Payroll!$J9)^(ROUNDDOWN(DATEDIF(Payroll!$I9,W$2,"M")/Payroll!$K9,0))),0))</f>
        <v/>
      </c>
      <c r="X108" s="56">
        <f>IF(X$2=Payroll!$I9,Payroll!$F9,IF(X$2&gt;Payroll!$I9,Payroll!$F9*((1+Payroll!$J9)^(ROUNDDOWN(DATEDIF(Payroll!$I9,X$2,"M")/Payroll!$K9,0))),0))</f>
        <v/>
      </c>
      <c r="Y108" s="56">
        <f>IF(Y$2=Payroll!$I9,Payroll!$F9,IF(Y$2&gt;Payroll!$I9,Payroll!$F9*((1+Payroll!$J9)^(ROUNDDOWN(DATEDIF(Payroll!$I9,Y$2,"M")/Payroll!$K9,0))),0))</f>
        <v/>
      </c>
      <c r="Z108" s="56">
        <f>IF(Z$2=Payroll!$I9,Payroll!$F9,IF(Z$2&gt;Payroll!$I9,Payroll!$F9*((1+Payroll!$J9)^(ROUNDDOWN(DATEDIF(Payroll!$I9,Z$2,"M")/Payroll!$K9,0))),0))</f>
        <v/>
      </c>
      <c r="AA108" s="56">
        <f>IF(AA$2=Payroll!$I9,Payroll!$F9,IF(AA$2&gt;Payroll!$I9,Payroll!$F9*((1+Payroll!$J9)^(ROUNDDOWN(DATEDIF(Payroll!$I9,AA$2,"M")/Payroll!$K9,0))),0))</f>
        <v/>
      </c>
      <c r="AB108" s="56">
        <f>IF(AB$2=Payroll!$I9,Payroll!$F9,IF(AB$2&gt;Payroll!$I9,Payroll!$F9*((1+Payroll!$J9)^(ROUNDDOWN(DATEDIF(Payroll!$I9,AB$2,"M")/Payroll!$K9,0))),0))</f>
        <v/>
      </c>
      <c r="AC108" s="56">
        <f>IF(AC$2=Payroll!$I9,Payroll!$F9,IF(AC$2&gt;Payroll!$I9,Payroll!$F9*((1+Payroll!$J9)^(ROUNDDOWN(DATEDIF(Payroll!$I9,AC$2,"M")/Payroll!$K9,0))),0))</f>
        <v/>
      </c>
      <c r="AD108" s="56">
        <f>IF(AD$2=Payroll!$I9,Payroll!$F9,IF(AD$2&gt;Payroll!$I9,Payroll!$F9*((1+Payroll!$J9)^(ROUNDDOWN(DATEDIF(Payroll!$I9,AD$2,"M")/Payroll!$K9,0))),0))</f>
        <v/>
      </c>
      <c r="AE108" s="56">
        <f>IF(AE$2=Payroll!$I9,Payroll!$F9,IF(AE$2&gt;Payroll!$I9,Payroll!$F9*((1+Payroll!$J9)^(ROUNDDOWN(DATEDIF(Payroll!$I9,AE$2,"M")/Payroll!$K9,0))),0))</f>
        <v/>
      </c>
      <c r="AF108" s="56">
        <f>IF(AF$2=Payroll!$I9,Payroll!$F9,IF(AF$2&gt;Payroll!$I9,Payroll!$F9*((1+Payroll!$J9)^(ROUNDDOWN(DATEDIF(Payroll!$I9,AF$2,"M")/Payroll!$K9,0))),0))</f>
        <v/>
      </c>
      <c r="AG108" s="56">
        <f>IF(AG$2=Payroll!$I9,Payroll!$F9,IF(AG$2&gt;Payroll!$I9,Payroll!$F9*((1+Payroll!$J9)^(ROUNDDOWN(DATEDIF(Payroll!$I9,AG$2,"M")/Payroll!$K9,0))),0))</f>
        <v/>
      </c>
      <c r="AH108" s="56">
        <f>IF(AH$2=Payroll!$I9,Payroll!$F9,IF(AH$2&gt;Payroll!$I9,Payroll!$F9*((1+Payroll!$J9)^(ROUNDDOWN(DATEDIF(Payroll!$I9,AH$2,"M")/Payroll!$K9,0))),0))</f>
        <v/>
      </c>
      <c r="AI108" s="56">
        <f>IF(AI$2=Payroll!$I9,Payroll!$F9,IF(AI$2&gt;Payroll!$I9,Payroll!$F9*((1+Payroll!$J9)^(ROUNDDOWN(DATEDIF(Payroll!$I9,AI$2,"M")/Payroll!$K9,0))),0))</f>
        <v/>
      </c>
      <c r="AJ108" s="56">
        <f>IF(AJ$2=Payroll!$I9,Payroll!$F9,IF(AJ$2&gt;Payroll!$I9,Payroll!$F9*((1+Payroll!$J9)^(ROUNDDOWN(DATEDIF(Payroll!$I9,AJ$2,"M")/Payroll!$K9,0))),0))</f>
        <v/>
      </c>
      <c r="AK108" s="56">
        <f>IF(AK$2=Payroll!$I9,Payroll!$F9,IF(AK$2&gt;Payroll!$I9,Payroll!$F9*((1+Payroll!$J9)^(ROUNDDOWN(DATEDIF(Payroll!$I9,AK$2,"M")/Payroll!$K9,0))),0))</f>
        <v/>
      </c>
      <c r="AL108" s="56">
        <f>IF(AL$2=Payroll!$I9,Payroll!$F9,IF(AL$2&gt;Payroll!$I9,Payroll!$F9*((1+Payroll!$J9)^(ROUNDDOWN(DATEDIF(Payroll!$I9,AL$2,"M")/Payroll!$K9,0))),0))</f>
        <v/>
      </c>
      <c r="AM108" s="56">
        <f>IF(AM$2=Payroll!$I9,Payroll!$F9,IF(AM$2&gt;Payroll!$I9,Payroll!$F9*((1+Payroll!$J9)^(ROUNDDOWN(DATEDIF(Payroll!$I9,AM$2,"M")/Payroll!$K9,0))),0))</f>
        <v/>
      </c>
      <c r="AN108" s="56">
        <f>IF(AN$2=Payroll!$I9,Payroll!$F9,IF(AN$2&gt;Payroll!$I9,Payroll!$F9*((1+Payroll!$J9)^(ROUNDDOWN(DATEDIF(Payroll!$I9,AN$2,"M")/Payroll!$K9,0))),0))</f>
        <v/>
      </c>
      <c r="AO108" s="56">
        <f>IF(AO$2=Payroll!$I9,Payroll!$F9,IF(AO$2&gt;Payroll!$I9,Payroll!$F9*((1+Payroll!$J9)^(ROUNDDOWN(DATEDIF(Payroll!$I9,AO$2,"M")/Payroll!$K9,0))),0))</f>
        <v/>
      </c>
      <c r="AP108" s="56">
        <f>IF(AP$2=Payroll!$I9,Payroll!$F9,IF(AP$2&gt;Payroll!$I9,Payroll!$F9*((1+Payroll!$J9)^(ROUNDDOWN(DATEDIF(Payroll!$I9,AP$2,"M")/Payroll!$K9,0))),0))</f>
        <v/>
      </c>
      <c r="AQ108" s="56">
        <f>IF(AQ$2=Payroll!$I9,Payroll!$F9,IF(AQ$2&gt;Payroll!$I9,Payroll!$F9*((1+Payroll!$J9)^(ROUNDDOWN(DATEDIF(Payroll!$I9,AQ$2,"M")/Payroll!$K9,0))),0))</f>
        <v/>
      </c>
      <c r="AR108" s="56">
        <f>IF(AR$2=Payroll!$I9,Payroll!$F9,IF(AR$2&gt;Payroll!$I9,Payroll!$F9*((1+Payroll!$J9)^(ROUNDDOWN(DATEDIF(Payroll!$I9,AR$2,"M")/Payroll!$K9,0))),0))</f>
        <v/>
      </c>
      <c r="AS108" s="56">
        <f>IF(AS$2=Payroll!$I9,Payroll!$F9,IF(AS$2&gt;Payroll!$I9,Payroll!$F9*((1+Payroll!$J9)^(ROUNDDOWN(DATEDIF(Payroll!$I9,AS$2,"M")/Payroll!$K9,0))),0))</f>
        <v/>
      </c>
      <c r="AT108" s="56">
        <f>IF(AT$2=Payroll!$I9,Payroll!$F9,IF(AT$2&gt;Payroll!$I9,Payroll!$F9*((1+Payroll!$J9)^(ROUNDDOWN(DATEDIF(Payroll!$I9,AT$2,"M")/Payroll!$K9,0))),0))</f>
        <v/>
      </c>
      <c r="AU108" s="56">
        <f>IF(AU$2=Payroll!$I9,Payroll!$F9,IF(AU$2&gt;Payroll!$I9,Payroll!$F9*((1+Payroll!$J9)^(ROUNDDOWN(DATEDIF(Payroll!$I9,AU$2,"M")/Payroll!$K9,0))),0))</f>
        <v/>
      </c>
      <c r="AV108" s="56">
        <f>IF(AV$2=Payroll!$I9,Payroll!$F9,IF(AV$2&gt;Payroll!$I9,Payroll!$F9*((1+Payroll!$J9)^(ROUNDDOWN(DATEDIF(Payroll!$I9,AV$2,"M")/Payroll!$K9,0))),0))</f>
        <v/>
      </c>
      <c r="AW108" s="56">
        <f>IF(AW$2=Payroll!$I9,Payroll!$F9,IF(AW$2&gt;Payroll!$I9,Payroll!$F9*((1+Payroll!$J9)^(ROUNDDOWN(DATEDIF(Payroll!$I9,AW$2,"M")/Payroll!$K9,0))),0))</f>
        <v/>
      </c>
      <c r="AX108" s="56">
        <f>IF(AX$2=Payroll!$I9,Payroll!$F9,IF(AX$2&gt;Payroll!$I9,Payroll!$F9*((1+Payroll!$J9)^(ROUNDDOWN(DATEDIF(Payroll!$I9,AX$2,"M")/Payroll!$K9,0))),0))</f>
        <v/>
      </c>
      <c r="AY108" s="56">
        <f>IF(AY$2=Payroll!$I9,Payroll!$F9,IF(AY$2&gt;Payroll!$I9,Payroll!$F9*((1+Payroll!$J9)^(ROUNDDOWN(DATEDIF(Payroll!$I9,AY$2,"M")/Payroll!$K9,0))),0))</f>
        <v/>
      </c>
      <c r="AZ108" s="56">
        <f>IF(AZ$2=Payroll!$I9,Payroll!$F9,IF(AZ$2&gt;Payroll!$I9,Payroll!$F9*((1+Payroll!$J9)^(ROUNDDOWN(DATEDIF(Payroll!$I9,AZ$2,"M")/Payroll!$K9,0))),0))</f>
        <v/>
      </c>
      <c r="BA108" s="56">
        <f>IF(BA$2=Payroll!$I9,Payroll!$F9,IF(BA$2&gt;Payroll!$I9,Payroll!$F9*((1+Payroll!$J9)^(ROUNDDOWN(DATEDIF(Payroll!$I9,BA$2,"M")/Payroll!$K9,0))),0))</f>
        <v/>
      </c>
      <c r="BB108" s="56">
        <f>IF(BB$2=Payroll!$I9,Payroll!$F9,IF(BB$2&gt;Payroll!$I9,Payroll!$F9*((1+Payroll!$J9)^(ROUNDDOWN(DATEDIF(Payroll!$I9,BB$2,"M")/Payroll!$K9,0))),0))</f>
        <v/>
      </c>
      <c r="BC108" s="56">
        <f>IF(BC$2=Payroll!$I9,Payroll!$F9,IF(BC$2&gt;Payroll!$I9,Payroll!$F9*((1+Payroll!$J9)^(ROUNDDOWN(DATEDIF(Payroll!$I9,BC$2,"M")/Payroll!$K9,0))),0))</f>
        <v/>
      </c>
      <c r="BD108" s="56">
        <f>IF(BD$2=Payroll!$I9,Payroll!$F9,IF(BD$2&gt;Payroll!$I9,Payroll!$F9*((1+Payroll!$J9)^(ROUNDDOWN(DATEDIF(Payroll!$I9,BD$2,"M")/Payroll!$K9,0))),0))</f>
        <v/>
      </c>
      <c r="BE108" s="56">
        <f>IF(BE$2=Payroll!$I9,Payroll!$F9,IF(BE$2&gt;Payroll!$I9,Payroll!$F9*((1+Payroll!$J9)^(ROUNDDOWN(DATEDIF(Payroll!$I9,BE$2,"M")/Payroll!$K9,0))),0))</f>
        <v/>
      </c>
      <c r="BF108" s="56">
        <f>IF(BF$2=Payroll!$I9,Payroll!$F9,IF(BF$2&gt;Payroll!$I9,Payroll!$F9*((1+Payroll!$J9)^(ROUNDDOWN(DATEDIF(Payroll!$I9,BF$2,"M")/Payroll!$K9,0))),0))</f>
        <v/>
      </c>
      <c r="BG108" s="56">
        <f>IF(BG$2=Payroll!$I9,Payroll!$F9,IF(BG$2&gt;Payroll!$I9,Payroll!$F9*((1+Payroll!$J9)^(ROUNDDOWN(DATEDIF(Payroll!$I9,BG$2,"M")/Payroll!$K9,0))),0))</f>
        <v/>
      </c>
      <c r="BH108" s="56">
        <f>IF(BH$2=Payroll!$I9,Payroll!$F9,IF(BH$2&gt;Payroll!$I9,Payroll!$F9*((1+Payroll!$J9)^(ROUNDDOWN(DATEDIF(Payroll!$I9,BH$2,"M")/Payroll!$K9,0))),0))</f>
        <v/>
      </c>
      <c r="BI108" s="56">
        <f>IF(BI$2=Payroll!$I9,Payroll!$F9,IF(BI$2&gt;Payroll!$I9,Payroll!$F9*((1+Payroll!$J9)^(ROUNDDOWN(DATEDIF(Payroll!$I9,BI$2,"M")/Payroll!$K9,0))),0))</f>
        <v/>
      </c>
      <c r="BJ108" s="56">
        <f>IF(BJ$2=Payroll!$I9,Payroll!$F9,IF(BJ$2&gt;Payroll!$I9,Payroll!$F9*((1+Payroll!$J9)^(ROUNDDOWN(DATEDIF(Payroll!$I9,BJ$2,"M")/Payroll!$K9,0))),0))</f>
        <v/>
      </c>
      <c r="BK108" s="56">
        <f>IF(BK$2=Payroll!$I9,Payroll!$F9,IF(BK$2&gt;Payroll!$I9,Payroll!$F9*((1+Payroll!$J9)^(ROUNDDOWN(DATEDIF(Payroll!$I9,BK$2,"M")/Payroll!$K9,0))),0))</f>
        <v/>
      </c>
      <c r="BL108" s="56">
        <f>IF(BL$2=Payroll!$I9,Payroll!$F9,IF(BL$2&gt;Payroll!$I9,Payroll!$F9*((1+Payroll!$J9)^(ROUNDDOWN(DATEDIF(Payroll!$I9,BL$2,"M")/Payroll!$K9,0))),0))</f>
        <v/>
      </c>
      <c r="BM108" s="56">
        <f>IF(BM$2=Payroll!$I9,Payroll!$F9,IF(BM$2&gt;Payroll!$I9,Payroll!$F9*((1+Payroll!$J9)^(ROUNDDOWN(DATEDIF(Payroll!$I9,BM$2,"M")/Payroll!$K9,0))),0))</f>
        <v/>
      </c>
      <c r="BN108" s="56">
        <f>IF(BN$2=Payroll!$I9,Payroll!$F9,IF(BN$2&gt;Payroll!$I9,Payroll!$F9*((1+Payroll!$J9)^(ROUNDDOWN(DATEDIF(Payroll!$I9,BN$2,"M")/Payroll!$K9,0))),0))</f>
        <v/>
      </c>
      <c r="BO108" s="56">
        <f>IF(BO$2=Payroll!$I9,Payroll!$F9,IF(BO$2&gt;Payroll!$I9,Payroll!$F9*((1+Payroll!$J9)^(ROUNDDOWN(DATEDIF(Payroll!$I9,BO$2,"M")/Payroll!$K9,0))),0))</f>
        <v/>
      </c>
      <c r="BP108" s="56">
        <f>IF(BP$2=Payroll!$I9,Payroll!$F9,IF(BP$2&gt;Payroll!$I9,Payroll!$F9*((1+Payroll!$J9)^(ROUNDDOWN(DATEDIF(Payroll!$I9,BP$2,"M")/Payroll!$K9,0))),0))</f>
        <v/>
      </c>
      <c r="BQ108" s="56">
        <f>IF(BQ$2=Payroll!$I9,Payroll!$F9,IF(BQ$2&gt;Payroll!$I9,Payroll!$F9*((1+Payroll!$J9)^(ROUNDDOWN(DATEDIF(Payroll!$I9,BQ$2,"M")/Payroll!$K9,0))),0))</f>
        <v/>
      </c>
      <c r="BR108" s="56">
        <f>IF(BR$2=Payroll!$I9,Payroll!$F9,IF(BR$2&gt;Payroll!$I9,Payroll!$F9*((1+Payroll!$J9)^(ROUNDDOWN(DATEDIF(Payroll!$I9,BR$2,"M")/Payroll!$K9,0))),0))</f>
        <v/>
      </c>
      <c r="BS108" s="56">
        <f>IF(BS$2=Payroll!$I9,Payroll!$F9,IF(BS$2&gt;Payroll!$I9,Payroll!$F9*((1+Payroll!$J9)^(ROUNDDOWN(DATEDIF(Payroll!$I9,BS$2,"M")/Payroll!$K9,0))),0))</f>
        <v/>
      </c>
      <c r="BT108" s="56">
        <f>IF(BT$2=Payroll!$I9,Payroll!$F9,IF(BT$2&gt;Payroll!$I9,Payroll!$F9*((1+Payroll!$J9)^(ROUNDDOWN(DATEDIF(Payroll!$I9,BT$2,"M")/Payroll!$K9,0))),0))</f>
        <v/>
      </c>
      <c r="BU108" s="56">
        <f>IF(BU$2=Payroll!$I9,Payroll!$F9,IF(BU$2&gt;Payroll!$I9,Payroll!$F9*((1+Payroll!$J9)^(ROUNDDOWN(DATEDIF(Payroll!$I9,BU$2,"M")/Payroll!$K9,0))),0))</f>
        <v/>
      </c>
      <c r="BV108" s="56">
        <f>IF(BV$2=Payroll!$I9,Payroll!$F9,IF(BV$2&gt;Payroll!$I9,Payroll!$F9*((1+Payroll!$J9)^(ROUNDDOWN(DATEDIF(Payroll!$I9,BV$2,"M")/Payroll!$K9,0))),0))</f>
        <v/>
      </c>
      <c r="BW108" s="56">
        <f>IF(BW$2=Payroll!$I9,Payroll!$F9,IF(BW$2&gt;Payroll!$I9,Payroll!$F9*((1+Payroll!$J9)^(ROUNDDOWN(DATEDIF(Payroll!$I9,BW$2,"M")/Payroll!$K9,0))),0))</f>
        <v/>
      </c>
      <c r="BX108" s="56">
        <f>IF(BX$2=Payroll!$I9,Payroll!$F9,IF(BX$2&gt;Payroll!$I9,Payroll!$F9*((1+Payroll!$J9)^(ROUNDDOWN(DATEDIF(Payroll!$I9,BX$2,"M")/Payroll!$K9,0))),0))</f>
        <v/>
      </c>
      <c r="BY108" s="56">
        <f>IF(BY$2=Payroll!$I9,Payroll!$F9,IF(BY$2&gt;Payroll!$I9,Payroll!$F9*((1+Payroll!$J9)^(ROUNDDOWN(DATEDIF(Payroll!$I9,BY$2,"M")/Payroll!$K9,0))),0))</f>
        <v/>
      </c>
      <c r="BZ108" s="56">
        <f>IF(BZ$2=Payroll!$I9,Payroll!$F9,IF(BZ$2&gt;Payroll!$I9,Payroll!$F9*((1+Payroll!$J9)^(ROUNDDOWN(DATEDIF(Payroll!$I9,BZ$2,"M")/Payroll!$K9,0))),0))</f>
        <v/>
      </c>
      <c r="CA108" s="56">
        <f>IF(CA$2=Payroll!$I9,Payroll!$F9,IF(CA$2&gt;Payroll!$I9,Payroll!$F9*((1+Payroll!$J9)^(ROUNDDOWN(DATEDIF(Payroll!$I9,CA$2,"M")/Payroll!$K9,0))),0))</f>
        <v/>
      </c>
      <c r="CB108" s="56">
        <f>IF(CB$2=Payroll!$I9,Payroll!$F9,IF(CB$2&gt;Payroll!$I9,Payroll!$F9*((1+Payroll!$J9)^(ROUNDDOWN(DATEDIF(Payroll!$I9,CB$2,"M")/Payroll!$K9,0))),0))</f>
        <v/>
      </c>
      <c r="CC108" s="56">
        <f>IF(CC$2=Payroll!$I9,Payroll!$F9,IF(CC$2&gt;Payroll!$I9,Payroll!$F9*((1+Payroll!$J9)^(ROUNDDOWN(DATEDIF(Payroll!$I9,CC$2,"M")/Payroll!$K9,0))),0))</f>
        <v/>
      </c>
      <c r="CD108" s="56">
        <f>IF(CD$2=Payroll!$I9,Payroll!$F9,IF(CD$2&gt;Payroll!$I9,Payroll!$F9*((1+Payroll!$J9)^(ROUNDDOWN(DATEDIF(Payroll!$I9,CD$2,"M")/Payroll!$K9,0))),0))</f>
        <v/>
      </c>
      <c r="CE108" s="56">
        <f>IF(CE$2=Payroll!$I9,Payroll!$F9,IF(CE$2&gt;Payroll!$I9,Payroll!$F9*((1+Payroll!$J9)^(ROUNDDOWN(DATEDIF(Payroll!$I9,CE$2,"M")/Payroll!$K9,0))),0))</f>
        <v/>
      </c>
      <c r="CF108" s="56">
        <f>IF(CF$2=Payroll!$I9,Payroll!$F9,IF(CF$2&gt;Payroll!$I9,Payroll!$F9*((1+Payroll!$J9)^(ROUNDDOWN(DATEDIF(Payroll!$I9,CF$2,"M")/Payroll!$K9,0))),0))</f>
        <v/>
      </c>
      <c r="CG108" s="56">
        <f>IF(CG$2=Payroll!$I9,Payroll!$F9,IF(CG$2&gt;Payroll!$I9,Payroll!$F9*((1+Payroll!$J9)^(ROUNDDOWN(DATEDIF(Payroll!$I9,CG$2,"M")/Payroll!$K9,0))),0))</f>
        <v/>
      </c>
      <c r="CH108" s="56">
        <f>IF(CH$2=Payroll!$I9,Payroll!$F9,IF(CH$2&gt;Payroll!$I9,Payroll!$F9*((1+Payroll!$J9)^(ROUNDDOWN(DATEDIF(Payroll!$I9,CH$2,"M")/Payroll!$K9,0))),0))</f>
        <v/>
      </c>
      <c r="CI108" s="56">
        <f>IF(CI$2=Payroll!$I9,Payroll!$F9,IF(CI$2&gt;Payroll!$I9,Payroll!$F9*((1+Payroll!$J9)^(ROUNDDOWN(DATEDIF(Payroll!$I9,CI$2,"M")/Payroll!$K9,0))),0))</f>
        <v/>
      </c>
      <c r="CJ108" s="56">
        <f>IF(CJ$2=Payroll!$I9,Payroll!$F9,IF(CJ$2&gt;Payroll!$I9,Payroll!$F9*((1+Payroll!$J9)^(ROUNDDOWN(DATEDIF(Payroll!$I9,CJ$2,"M")/Payroll!$K9,0))),0))</f>
        <v/>
      </c>
      <c r="CK108" s="56">
        <f>IF(CK$2=Payroll!$I9,Payroll!$F9,IF(CK$2&gt;Payroll!$I9,Payroll!$F9*((1+Payroll!$J9)^(ROUNDDOWN(DATEDIF(Payroll!$I9,CK$2,"M")/Payroll!$K9,0))),0))</f>
        <v/>
      </c>
      <c r="CL108" s="56">
        <f>IF(CL$2=Payroll!$I9,Payroll!$F9,IF(CL$2&gt;Payroll!$I9,Payroll!$F9*((1+Payroll!$J9)^(ROUNDDOWN(DATEDIF(Payroll!$I9,CL$2,"M")/Payroll!$K9,0))),0))</f>
        <v/>
      </c>
      <c r="CM108" s="56">
        <f>IF(CM$2=Payroll!$I9,Payroll!$F9,IF(CM$2&gt;Payroll!$I9,Payroll!$F9*((1+Payroll!$J9)^(ROUNDDOWN(DATEDIF(Payroll!$I9,CM$2,"M")/Payroll!$K9,0))),0))</f>
        <v/>
      </c>
      <c r="CN108" s="56">
        <f>IF(CN$2=Payroll!$I9,Payroll!$F9,IF(CN$2&gt;Payroll!$I9,Payroll!$F9*((1+Payroll!$J9)^(ROUNDDOWN(DATEDIF(Payroll!$I9,CN$2,"M")/Payroll!$K9,0))),0))</f>
        <v/>
      </c>
      <c r="CO108" s="56">
        <f>IF(CO$2=Payroll!$I9,Payroll!$F9,IF(CO$2&gt;Payroll!$I9,Payroll!$F9*((1+Payroll!$J9)^(ROUNDDOWN(DATEDIF(Payroll!$I9,CO$2,"M")/Payroll!$K9,0))),0))</f>
        <v/>
      </c>
      <c r="CP108" s="56">
        <f>IF(CP$2=Payroll!$I9,Payroll!$F9,IF(CP$2&gt;Payroll!$I9,Payroll!$F9*((1+Payroll!$J9)^(ROUNDDOWN(DATEDIF(Payroll!$I9,CP$2,"M")/Payroll!$K9,0))),0))</f>
        <v/>
      </c>
      <c r="CQ108" s="56">
        <f>IF(CQ$2=Payroll!$I9,Payroll!$F9,IF(CQ$2&gt;Payroll!$I9,Payroll!$F9*((1+Payroll!$J9)^(ROUNDDOWN(DATEDIF(Payroll!$I9,CQ$2,"M")/Payroll!$K9,0))),0))</f>
        <v/>
      </c>
      <c r="CR108" s="56">
        <f>IF(CR$2=Payroll!$I9,Payroll!$F9,IF(CR$2&gt;Payroll!$I9,Payroll!$F9*((1+Payroll!$J9)^(ROUNDDOWN(DATEDIF(Payroll!$I9,CR$2,"M")/Payroll!$K9,0))),0))</f>
        <v/>
      </c>
      <c r="CS108" s="56">
        <f>IF(CS$2=Payroll!$I9,Payroll!$F9,IF(CS$2&gt;Payroll!$I9,Payroll!$F9*((1+Payroll!$J9)^(ROUNDDOWN(DATEDIF(Payroll!$I9,CS$2,"M")/Payroll!$K9,0))),0))</f>
        <v/>
      </c>
      <c r="CT108" s="56">
        <f>IF(CT$2=Payroll!$I9,Payroll!$F9,IF(CT$2&gt;Payroll!$I9,Payroll!$F9*((1+Payroll!$J9)^(ROUNDDOWN(DATEDIF(Payroll!$I9,CT$2,"M")/Payroll!$K9,0))),0))</f>
        <v/>
      </c>
      <c r="CU108" s="56">
        <f>IF(CU$2=Payroll!$I9,Payroll!$F9,IF(CU$2&gt;Payroll!$I9,Payroll!$F9*((1+Payroll!$J9)^(ROUNDDOWN(DATEDIF(Payroll!$I9,CU$2,"M")/Payroll!$K9,0))),0))</f>
        <v/>
      </c>
      <c r="CV108" s="56">
        <f>IF(CV$2=Payroll!$I9,Payroll!$F9,IF(CV$2&gt;Payroll!$I9,Payroll!$F9*((1+Payroll!$J9)^(ROUNDDOWN(DATEDIF(Payroll!$I9,CV$2,"M")/Payroll!$K9,0))),0))</f>
        <v/>
      </c>
      <c r="CW108" s="56">
        <f>IF(CW$2=Payroll!$I9,Payroll!$F9,IF(CW$2&gt;Payroll!$I9,Payroll!$F9*((1+Payroll!$J9)^(ROUNDDOWN(DATEDIF(Payroll!$I9,CW$2,"M")/Payroll!$K9,0))),0))</f>
        <v/>
      </c>
      <c r="CX108" s="56">
        <f>IF(CX$2=Payroll!$I9,Payroll!$F9,IF(CX$2&gt;Payroll!$I9,Payroll!$F9*((1+Payroll!$J9)^(ROUNDDOWN(DATEDIF(Payroll!$I9,CX$2,"M")/Payroll!$K9,0))),0))</f>
        <v/>
      </c>
    </row>
    <row r="109" outlineLevel="2" ht="15.75" customHeight="1" s="255">
      <c r="A109" s="56">
        <f>Payroll!A10</f>
        <v/>
      </c>
      <c r="B109" s="56" t="n"/>
      <c r="C109" s="56" t="n"/>
      <c r="D109" s="56" t="n"/>
      <c r="E109" s="56">
        <f>IF(E$2=Payroll!$I10,Payroll!$F10,IF(E$2&gt;Payroll!$I10,Payroll!$F10*((1+Payroll!$J10)^(ROUNDDOWN(DATEDIF(Payroll!$I10,E$2,"M")/Payroll!$K10,0))),0))</f>
        <v/>
      </c>
      <c r="F109" s="56">
        <f>IF(F$2=Payroll!$I10,Payroll!$F10,IF(F$2&gt;Payroll!$I10,Payroll!$F10*((1+Payroll!$J10)^(ROUNDDOWN(DATEDIF(Payroll!$I10,F$2,"M")/Payroll!$K10,0))),0))</f>
        <v/>
      </c>
      <c r="G109" s="56">
        <f>IF(G$2=Payroll!$I10,Payroll!$F10,IF(G$2&gt;Payroll!$I10,Payroll!$F10*((1+Payroll!$J10)^(ROUNDDOWN(DATEDIF(Payroll!$I10,G$2,"M")/Payroll!$K10,0))),0))</f>
        <v/>
      </c>
      <c r="H109" s="56">
        <f>IF(H$2=Payroll!$I10,Payroll!$F10,IF(H$2&gt;Payroll!$I10,Payroll!$F10*((1+Payroll!$J10)^(ROUNDDOWN(DATEDIF(Payroll!$I10,H$2,"M")/Payroll!$K10,0))),0))</f>
        <v/>
      </c>
      <c r="I109" s="56">
        <f>IF(I$2=Payroll!$I10,Payroll!$F10,IF(I$2&gt;Payroll!$I10,Payroll!$F10*((1+Payroll!$J10)^(ROUNDDOWN(DATEDIF(Payroll!$I10,I$2,"M")/Payroll!$K10,0))),0))</f>
        <v/>
      </c>
      <c r="J109" s="56">
        <f>IF(J$2=Payroll!$I10,Payroll!$F10,IF(J$2&gt;Payroll!$I10,Payroll!$F10*((1+Payroll!$J10)^(ROUNDDOWN(DATEDIF(Payroll!$I10,J$2,"M")/Payroll!$K10,0))),0))</f>
        <v/>
      </c>
      <c r="K109" s="56">
        <f>IF(K$2=Payroll!$I10,Payroll!$F10,IF(K$2&gt;Payroll!$I10,Payroll!$F10*((1+Payroll!$J10)^(ROUNDDOWN(DATEDIF(Payroll!$I10,K$2,"M")/Payroll!$K10,0))),0))</f>
        <v/>
      </c>
      <c r="L109" s="56">
        <f>IF(L$2=Payroll!$I10,Payroll!$F10,IF(L$2&gt;Payroll!$I10,Payroll!$F10*((1+Payroll!$J10)^(ROUNDDOWN(DATEDIF(Payroll!$I10,L$2,"M")/Payroll!$K10,0))),0))</f>
        <v/>
      </c>
      <c r="M109" s="56">
        <f>IF(M$2=Payroll!$I10,Payroll!$F10,IF(M$2&gt;Payroll!$I10,Payroll!$F10*((1+Payroll!$J10)^(ROUNDDOWN(DATEDIF(Payroll!$I10,M$2,"M")/Payroll!$K10,0))),0))</f>
        <v/>
      </c>
      <c r="N109" s="56">
        <f>IF(N$2=Payroll!$I10,Payroll!$F10,IF(N$2&gt;Payroll!$I10,Payroll!$F10*((1+Payroll!$J10)^(ROUNDDOWN(DATEDIF(Payroll!$I10,N$2,"M")/Payroll!$K10,0))),0))</f>
        <v/>
      </c>
      <c r="O109" s="56">
        <f>IF(O$2=Payroll!$I10,Payroll!$F10,IF(O$2&gt;Payroll!$I10,Payroll!$F10*((1+Payroll!$J10)^(ROUNDDOWN(DATEDIF(Payroll!$I10,O$2,"M")/Payroll!$K10,0))),0))</f>
        <v/>
      </c>
      <c r="P109" s="56">
        <f>IF(P$2=Payroll!$I10,Payroll!$F10,IF(P$2&gt;Payroll!$I10,Payroll!$F10*((1+Payroll!$J10)^(ROUNDDOWN(DATEDIF(Payroll!$I10,P$2,"M")/Payroll!$K10,0))),0))</f>
        <v/>
      </c>
      <c r="Q109" s="56">
        <f>IF(Q$2=Payroll!$I10,Payroll!$F10,IF(Q$2&gt;Payroll!$I10,Payroll!$F10*((1+Payroll!$J10)^(ROUNDDOWN(DATEDIF(Payroll!$I10,Q$2,"M")/Payroll!$K10,0))),0))</f>
        <v/>
      </c>
      <c r="R109" s="56">
        <f>IF(R$2=Payroll!$I10,Payroll!$F10,IF(R$2&gt;Payroll!$I10,Payroll!$F10*((1+Payroll!$J10)^(ROUNDDOWN(DATEDIF(Payroll!$I10,R$2,"M")/Payroll!$K10,0))),0))</f>
        <v/>
      </c>
      <c r="S109" s="56">
        <f>IF(S$2=Payroll!$I10,Payroll!$F10,IF(S$2&gt;Payroll!$I10,Payroll!$F10*((1+Payroll!$J10)^(ROUNDDOWN(DATEDIF(Payroll!$I10,S$2,"M")/Payroll!$K10,0))),0))</f>
        <v/>
      </c>
      <c r="T109" s="56">
        <f>IF(T$2=Payroll!$I10,Payroll!$F10,IF(T$2&gt;Payroll!$I10,Payroll!$F10*((1+Payroll!$J10)^(ROUNDDOWN(DATEDIF(Payroll!$I10,T$2,"M")/Payroll!$K10,0))),0))</f>
        <v/>
      </c>
      <c r="U109" s="56">
        <f>IF(U$2=Payroll!$I10,Payroll!$F10,IF(U$2&gt;Payroll!$I10,Payroll!$F10*((1+Payroll!$J10)^(ROUNDDOWN(DATEDIF(Payroll!$I10,U$2,"M")/Payroll!$K10,0))),0))</f>
        <v/>
      </c>
      <c r="V109" s="56">
        <f>IF(V$2=Payroll!$I10,Payroll!$F10,IF(V$2&gt;Payroll!$I10,Payroll!$F10*((1+Payroll!$J10)^(ROUNDDOWN(DATEDIF(Payroll!$I10,V$2,"M")/Payroll!$K10,0))),0))</f>
        <v/>
      </c>
      <c r="W109" s="56">
        <f>IF(W$2=Payroll!$I10,Payroll!$F10,IF(W$2&gt;Payroll!$I10,Payroll!$F10*((1+Payroll!$J10)^(ROUNDDOWN(DATEDIF(Payroll!$I10,W$2,"M")/Payroll!$K10,0))),0))</f>
        <v/>
      </c>
      <c r="X109" s="56">
        <f>IF(X$2=Payroll!$I10,Payroll!$F10,IF(X$2&gt;Payroll!$I10,Payroll!$F10*((1+Payroll!$J10)^(ROUNDDOWN(DATEDIF(Payroll!$I10,X$2,"M")/Payroll!$K10,0))),0))</f>
        <v/>
      </c>
      <c r="Y109" s="56">
        <f>IF(Y$2=Payroll!$I10,Payroll!$F10,IF(Y$2&gt;Payroll!$I10,Payroll!$F10*((1+Payroll!$J10)^(ROUNDDOWN(DATEDIF(Payroll!$I10,Y$2,"M")/Payroll!$K10,0))),0))</f>
        <v/>
      </c>
      <c r="Z109" s="56">
        <f>IF(Z$2=Payroll!$I10,Payroll!$F10,IF(Z$2&gt;Payroll!$I10,Payroll!$F10*((1+Payroll!$J10)^(ROUNDDOWN(DATEDIF(Payroll!$I10,Z$2,"M")/Payroll!$K10,0))),0))</f>
        <v/>
      </c>
      <c r="AA109" s="56">
        <f>IF(AA$2=Payroll!$I10,Payroll!$F10,IF(AA$2&gt;Payroll!$I10,Payroll!$F10*((1+Payroll!$J10)^(ROUNDDOWN(DATEDIF(Payroll!$I10,AA$2,"M")/Payroll!$K10,0))),0))</f>
        <v/>
      </c>
      <c r="AB109" s="56">
        <f>IF(AB$2=Payroll!$I10,Payroll!$F10,IF(AB$2&gt;Payroll!$I10,Payroll!$F10*((1+Payroll!$J10)^(ROUNDDOWN(DATEDIF(Payroll!$I10,AB$2,"M")/Payroll!$K10,0))),0))</f>
        <v/>
      </c>
      <c r="AC109" s="56">
        <f>IF(AC$2=Payroll!$I10,Payroll!$F10,IF(AC$2&gt;Payroll!$I10,Payroll!$F10*((1+Payroll!$J10)^(ROUNDDOWN(DATEDIF(Payroll!$I10,AC$2,"M")/Payroll!$K10,0))),0))</f>
        <v/>
      </c>
      <c r="AD109" s="56">
        <f>IF(AD$2=Payroll!$I10,Payroll!$F10,IF(AD$2&gt;Payroll!$I10,Payroll!$F10*((1+Payroll!$J10)^(ROUNDDOWN(DATEDIF(Payroll!$I10,AD$2,"M")/Payroll!$K10,0))),0))</f>
        <v/>
      </c>
      <c r="AE109" s="56">
        <f>IF(AE$2=Payroll!$I10,Payroll!$F10,IF(AE$2&gt;Payroll!$I10,Payroll!$F10*((1+Payroll!$J10)^(ROUNDDOWN(DATEDIF(Payroll!$I10,AE$2,"M")/Payroll!$K10,0))),0))</f>
        <v/>
      </c>
      <c r="AF109" s="56">
        <f>IF(AF$2=Payroll!$I10,Payroll!$F10,IF(AF$2&gt;Payroll!$I10,Payroll!$F10*((1+Payroll!$J10)^(ROUNDDOWN(DATEDIF(Payroll!$I10,AF$2,"M")/Payroll!$K10,0))),0))</f>
        <v/>
      </c>
      <c r="AG109" s="56">
        <f>IF(AG$2=Payroll!$I10,Payroll!$F10,IF(AG$2&gt;Payroll!$I10,Payroll!$F10*((1+Payroll!$J10)^(ROUNDDOWN(DATEDIF(Payroll!$I10,AG$2,"M")/Payroll!$K10,0))),0))</f>
        <v/>
      </c>
      <c r="AH109" s="56">
        <f>IF(AH$2=Payroll!$I10,Payroll!$F10,IF(AH$2&gt;Payroll!$I10,Payroll!$F10*((1+Payroll!$J10)^(ROUNDDOWN(DATEDIF(Payroll!$I10,AH$2,"M")/Payroll!$K10,0))),0))</f>
        <v/>
      </c>
      <c r="AI109" s="56">
        <f>IF(AI$2=Payroll!$I10,Payroll!$F10,IF(AI$2&gt;Payroll!$I10,Payroll!$F10*((1+Payroll!$J10)^(ROUNDDOWN(DATEDIF(Payroll!$I10,AI$2,"M")/Payroll!$K10,0))),0))</f>
        <v/>
      </c>
      <c r="AJ109" s="56">
        <f>IF(AJ$2=Payroll!$I10,Payroll!$F10,IF(AJ$2&gt;Payroll!$I10,Payroll!$F10*((1+Payroll!$J10)^(ROUNDDOWN(DATEDIF(Payroll!$I10,AJ$2,"M")/Payroll!$K10,0))),0))</f>
        <v/>
      </c>
      <c r="AK109" s="56">
        <f>IF(AK$2=Payroll!$I10,Payroll!$F10,IF(AK$2&gt;Payroll!$I10,Payroll!$F10*((1+Payroll!$J10)^(ROUNDDOWN(DATEDIF(Payroll!$I10,AK$2,"M")/Payroll!$K10,0))),0))</f>
        <v/>
      </c>
      <c r="AL109" s="56">
        <f>IF(AL$2=Payroll!$I10,Payroll!$F10,IF(AL$2&gt;Payroll!$I10,Payroll!$F10*((1+Payroll!$J10)^(ROUNDDOWN(DATEDIF(Payroll!$I10,AL$2,"M")/Payroll!$K10,0))),0))</f>
        <v/>
      </c>
      <c r="AM109" s="56">
        <f>IF(AM$2=Payroll!$I10,Payroll!$F10,IF(AM$2&gt;Payroll!$I10,Payroll!$F10*((1+Payroll!$J10)^(ROUNDDOWN(DATEDIF(Payroll!$I10,AM$2,"M")/Payroll!$K10,0))),0))</f>
        <v/>
      </c>
      <c r="AN109" s="56">
        <f>IF(AN$2=Payroll!$I10,Payroll!$F10,IF(AN$2&gt;Payroll!$I10,Payroll!$F10*((1+Payroll!$J10)^(ROUNDDOWN(DATEDIF(Payroll!$I10,AN$2,"M")/Payroll!$K10,0))),0))</f>
        <v/>
      </c>
      <c r="AO109" s="56">
        <f>IF(AO$2=Payroll!$I10,Payroll!$F10,IF(AO$2&gt;Payroll!$I10,Payroll!$F10*((1+Payroll!$J10)^(ROUNDDOWN(DATEDIF(Payroll!$I10,AO$2,"M")/Payroll!$K10,0))),0))</f>
        <v/>
      </c>
      <c r="AP109" s="56">
        <f>IF(AP$2=Payroll!$I10,Payroll!$F10,IF(AP$2&gt;Payroll!$I10,Payroll!$F10*((1+Payroll!$J10)^(ROUNDDOWN(DATEDIF(Payroll!$I10,AP$2,"M")/Payroll!$K10,0))),0))</f>
        <v/>
      </c>
      <c r="AQ109" s="56">
        <f>IF(AQ$2=Payroll!$I10,Payroll!$F10,IF(AQ$2&gt;Payroll!$I10,Payroll!$F10*((1+Payroll!$J10)^(ROUNDDOWN(DATEDIF(Payroll!$I10,AQ$2,"M")/Payroll!$K10,0))),0))</f>
        <v/>
      </c>
      <c r="AR109" s="56">
        <f>IF(AR$2=Payroll!$I10,Payroll!$F10,IF(AR$2&gt;Payroll!$I10,Payroll!$F10*((1+Payroll!$J10)^(ROUNDDOWN(DATEDIF(Payroll!$I10,AR$2,"M")/Payroll!$K10,0))),0))</f>
        <v/>
      </c>
      <c r="AS109" s="56">
        <f>IF(AS$2=Payroll!$I10,Payroll!$F10,IF(AS$2&gt;Payroll!$I10,Payroll!$F10*((1+Payroll!$J10)^(ROUNDDOWN(DATEDIF(Payroll!$I10,AS$2,"M")/Payroll!$K10,0))),0))</f>
        <v/>
      </c>
      <c r="AT109" s="56">
        <f>IF(AT$2=Payroll!$I10,Payroll!$F10,IF(AT$2&gt;Payroll!$I10,Payroll!$F10*((1+Payroll!$J10)^(ROUNDDOWN(DATEDIF(Payroll!$I10,AT$2,"M")/Payroll!$K10,0))),0))</f>
        <v/>
      </c>
      <c r="AU109" s="56">
        <f>IF(AU$2=Payroll!$I10,Payroll!$F10,IF(AU$2&gt;Payroll!$I10,Payroll!$F10*((1+Payroll!$J10)^(ROUNDDOWN(DATEDIF(Payroll!$I10,AU$2,"M")/Payroll!$K10,0))),0))</f>
        <v/>
      </c>
      <c r="AV109" s="56">
        <f>IF(AV$2=Payroll!$I10,Payroll!$F10,IF(AV$2&gt;Payroll!$I10,Payroll!$F10*((1+Payroll!$J10)^(ROUNDDOWN(DATEDIF(Payroll!$I10,AV$2,"M")/Payroll!$K10,0))),0))</f>
        <v/>
      </c>
      <c r="AW109" s="56">
        <f>IF(AW$2=Payroll!$I10,Payroll!$F10,IF(AW$2&gt;Payroll!$I10,Payroll!$F10*((1+Payroll!$J10)^(ROUNDDOWN(DATEDIF(Payroll!$I10,AW$2,"M")/Payroll!$K10,0))),0))</f>
        <v/>
      </c>
      <c r="AX109" s="56">
        <f>IF(AX$2=Payroll!$I10,Payroll!$F10,IF(AX$2&gt;Payroll!$I10,Payroll!$F10*((1+Payroll!$J10)^(ROUNDDOWN(DATEDIF(Payroll!$I10,AX$2,"M")/Payroll!$K10,0))),0))</f>
        <v/>
      </c>
      <c r="AY109" s="56">
        <f>IF(AY$2=Payroll!$I10,Payroll!$F10,IF(AY$2&gt;Payroll!$I10,Payroll!$F10*((1+Payroll!$J10)^(ROUNDDOWN(DATEDIF(Payroll!$I10,AY$2,"M")/Payroll!$K10,0))),0))</f>
        <v/>
      </c>
      <c r="AZ109" s="56">
        <f>IF(AZ$2=Payroll!$I10,Payroll!$F10,IF(AZ$2&gt;Payroll!$I10,Payroll!$F10*((1+Payroll!$J10)^(ROUNDDOWN(DATEDIF(Payroll!$I10,AZ$2,"M")/Payroll!$K10,0))),0))</f>
        <v/>
      </c>
      <c r="BA109" s="56">
        <f>IF(BA$2=Payroll!$I10,Payroll!$F10,IF(BA$2&gt;Payroll!$I10,Payroll!$F10*((1+Payroll!$J10)^(ROUNDDOWN(DATEDIF(Payroll!$I10,BA$2,"M")/Payroll!$K10,0))),0))</f>
        <v/>
      </c>
      <c r="BB109" s="56">
        <f>IF(BB$2=Payroll!$I10,Payroll!$F10,IF(BB$2&gt;Payroll!$I10,Payroll!$F10*((1+Payroll!$J10)^(ROUNDDOWN(DATEDIF(Payroll!$I10,BB$2,"M")/Payroll!$K10,0))),0))</f>
        <v/>
      </c>
      <c r="BC109" s="56">
        <f>IF(BC$2=Payroll!$I10,Payroll!$F10,IF(BC$2&gt;Payroll!$I10,Payroll!$F10*((1+Payroll!$J10)^(ROUNDDOWN(DATEDIF(Payroll!$I10,BC$2,"M")/Payroll!$K10,0))),0))</f>
        <v/>
      </c>
      <c r="BD109" s="56">
        <f>IF(BD$2=Payroll!$I10,Payroll!$F10,IF(BD$2&gt;Payroll!$I10,Payroll!$F10*((1+Payroll!$J10)^(ROUNDDOWN(DATEDIF(Payroll!$I10,BD$2,"M")/Payroll!$K10,0))),0))</f>
        <v/>
      </c>
      <c r="BE109" s="56">
        <f>IF(BE$2=Payroll!$I10,Payroll!$F10,IF(BE$2&gt;Payroll!$I10,Payroll!$F10*((1+Payroll!$J10)^(ROUNDDOWN(DATEDIF(Payroll!$I10,BE$2,"M")/Payroll!$K10,0))),0))</f>
        <v/>
      </c>
      <c r="BF109" s="56">
        <f>IF(BF$2=Payroll!$I10,Payroll!$F10,IF(BF$2&gt;Payroll!$I10,Payroll!$F10*((1+Payroll!$J10)^(ROUNDDOWN(DATEDIF(Payroll!$I10,BF$2,"M")/Payroll!$K10,0))),0))</f>
        <v/>
      </c>
      <c r="BG109" s="56">
        <f>IF(BG$2=Payroll!$I10,Payroll!$F10,IF(BG$2&gt;Payroll!$I10,Payroll!$F10*((1+Payroll!$J10)^(ROUNDDOWN(DATEDIF(Payroll!$I10,BG$2,"M")/Payroll!$K10,0))),0))</f>
        <v/>
      </c>
      <c r="BH109" s="56">
        <f>IF(BH$2=Payroll!$I10,Payroll!$F10,IF(BH$2&gt;Payroll!$I10,Payroll!$F10*((1+Payroll!$J10)^(ROUNDDOWN(DATEDIF(Payroll!$I10,BH$2,"M")/Payroll!$K10,0))),0))</f>
        <v/>
      </c>
      <c r="BI109" s="56">
        <f>IF(BI$2=Payroll!$I10,Payroll!$F10,IF(BI$2&gt;Payroll!$I10,Payroll!$F10*((1+Payroll!$J10)^(ROUNDDOWN(DATEDIF(Payroll!$I10,BI$2,"M")/Payroll!$K10,0))),0))</f>
        <v/>
      </c>
      <c r="BJ109" s="56">
        <f>IF(BJ$2=Payroll!$I10,Payroll!$F10,IF(BJ$2&gt;Payroll!$I10,Payroll!$F10*((1+Payroll!$J10)^(ROUNDDOWN(DATEDIF(Payroll!$I10,BJ$2,"M")/Payroll!$K10,0))),0))</f>
        <v/>
      </c>
      <c r="BK109" s="56">
        <f>IF(BK$2=Payroll!$I10,Payroll!$F10,IF(BK$2&gt;Payroll!$I10,Payroll!$F10*((1+Payroll!$J10)^(ROUNDDOWN(DATEDIF(Payroll!$I10,BK$2,"M")/Payroll!$K10,0))),0))</f>
        <v/>
      </c>
      <c r="BL109" s="56">
        <f>IF(BL$2=Payroll!$I10,Payroll!$F10,IF(BL$2&gt;Payroll!$I10,Payroll!$F10*((1+Payroll!$J10)^(ROUNDDOWN(DATEDIF(Payroll!$I10,BL$2,"M")/Payroll!$K10,0))),0))</f>
        <v/>
      </c>
      <c r="BM109" s="56">
        <f>IF(BM$2=Payroll!$I10,Payroll!$F10,IF(BM$2&gt;Payroll!$I10,Payroll!$F10*((1+Payroll!$J10)^(ROUNDDOWN(DATEDIF(Payroll!$I10,BM$2,"M")/Payroll!$K10,0))),0))</f>
        <v/>
      </c>
      <c r="BN109" s="56">
        <f>IF(BN$2=Payroll!$I10,Payroll!$F10,IF(BN$2&gt;Payroll!$I10,Payroll!$F10*((1+Payroll!$J10)^(ROUNDDOWN(DATEDIF(Payroll!$I10,BN$2,"M")/Payroll!$K10,0))),0))</f>
        <v/>
      </c>
      <c r="BO109" s="56">
        <f>IF(BO$2=Payroll!$I10,Payroll!$F10,IF(BO$2&gt;Payroll!$I10,Payroll!$F10*((1+Payroll!$J10)^(ROUNDDOWN(DATEDIF(Payroll!$I10,BO$2,"M")/Payroll!$K10,0))),0))</f>
        <v/>
      </c>
      <c r="BP109" s="56">
        <f>IF(BP$2=Payroll!$I10,Payroll!$F10,IF(BP$2&gt;Payroll!$I10,Payroll!$F10*((1+Payroll!$J10)^(ROUNDDOWN(DATEDIF(Payroll!$I10,BP$2,"M")/Payroll!$K10,0))),0))</f>
        <v/>
      </c>
      <c r="BQ109" s="56">
        <f>IF(BQ$2=Payroll!$I10,Payroll!$F10,IF(BQ$2&gt;Payroll!$I10,Payroll!$F10*((1+Payroll!$J10)^(ROUNDDOWN(DATEDIF(Payroll!$I10,BQ$2,"M")/Payroll!$K10,0))),0))</f>
        <v/>
      </c>
      <c r="BR109" s="56">
        <f>IF(BR$2=Payroll!$I10,Payroll!$F10,IF(BR$2&gt;Payroll!$I10,Payroll!$F10*((1+Payroll!$J10)^(ROUNDDOWN(DATEDIF(Payroll!$I10,BR$2,"M")/Payroll!$K10,0))),0))</f>
        <v/>
      </c>
      <c r="BS109" s="56">
        <f>IF(BS$2=Payroll!$I10,Payroll!$F10,IF(BS$2&gt;Payroll!$I10,Payroll!$F10*((1+Payroll!$J10)^(ROUNDDOWN(DATEDIF(Payroll!$I10,BS$2,"M")/Payroll!$K10,0))),0))</f>
        <v/>
      </c>
      <c r="BT109" s="56">
        <f>IF(BT$2=Payroll!$I10,Payroll!$F10,IF(BT$2&gt;Payroll!$I10,Payroll!$F10*((1+Payroll!$J10)^(ROUNDDOWN(DATEDIF(Payroll!$I10,BT$2,"M")/Payroll!$K10,0))),0))</f>
        <v/>
      </c>
      <c r="BU109" s="56">
        <f>IF(BU$2=Payroll!$I10,Payroll!$F10,IF(BU$2&gt;Payroll!$I10,Payroll!$F10*((1+Payroll!$J10)^(ROUNDDOWN(DATEDIF(Payroll!$I10,BU$2,"M")/Payroll!$K10,0))),0))</f>
        <v/>
      </c>
      <c r="BV109" s="56">
        <f>IF(BV$2=Payroll!$I10,Payroll!$F10,IF(BV$2&gt;Payroll!$I10,Payroll!$F10*((1+Payroll!$J10)^(ROUNDDOWN(DATEDIF(Payroll!$I10,BV$2,"M")/Payroll!$K10,0))),0))</f>
        <v/>
      </c>
      <c r="BW109" s="56">
        <f>IF(BW$2=Payroll!$I10,Payroll!$F10,IF(BW$2&gt;Payroll!$I10,Payroll!$F10*((1+Payroll!$J10)^(ROUNDDOWN(DATEDIF(Payroll!$I10,BW$2,"M")/Payroll!$K10,0))),0))</f>
        <v/>
      </c>
      <c r="BX109" s="56">
        <f>IF(BX$2=Payroll!$I10,Payroll!$F10,IF(BX$2&gt;Payroll!$I10,Payroll!$F10*((1+Payroll!$J10)^(ROUNDDOWN(DATEDIF(Payroll!$I10,BX$2,"M")/Payroll!$K10,0))),0))</f>
        <v/>
      </c>
      <c r="BY109" s="56">
        <f>IF(BY$2=Payroll!$I10,Payroll!$F10,IF(BY$2&gt;Payroll!$I10,Payroll!$F10*((1+Payroll!$J10)^(ROUNDDOWN(DATEDIF(Payroll!$I10,BY$2,"M")/Payroll!$K10,0))),0))</f>
        <v/>
      </c>
      <c r="BZ109" s="56">
        <f>IF(BZ$2=Payroll!$I10,Payroll!$F10,IF(BZ$2&gt;Payroll!$I10,Payroll!$F10*((1+Payroll!$J10)^(ROUNDDOWN(DATEDIF(Payroll!$I10,BZ$2,"M")/Payroll!$K10,0))),0))</f>
        <v/>
      </c>
      <c r="CA109" s="56">
        <f>IF(CA$2=Payroll!$I10,Payroll!$F10,IF(CA$2&gt;Payroll!$I10,Payroll!$F10*((1+Payroll!$J10)^(ROUNDDOWN(DATEDIF(Payroll!$I10,CA$2,"M")/Payroll!$K10,0))),0))</f>
        <v/>
      </c>
      <c r="CB109" s="56">
        <f>IF(CB$2=Payroll!$I10,Payroll!$F10,IF(CB$2&gt;Payroll!$I10,Payroll!$F10*((1+Payroll!$J10)^(ROUNDDOWN(DATEDIF(Payroll!$I10,CB$2,"M")/Payroll!$K10,0))),0))</f>
        <v/>
      </c>
      <c r="CC109" s="56">
        <f>IF(CC$2=Payroll!$I10,Payroll!$F10,IF(CC$2&gt;Payroll!$I10,Payroll!$F10*((1+Payroll!$J10)^(ROUNDDOWN(DATEDIF(Payroll!$I10,CC$2,"M")/Payroll!$K10,0))),0))</f>
        <v/>
      </c>
      <c r="CD109" s="56">
        <f>IF(CD$2=Payroll!$I10,Payroll!$F10,IF(CD$2&gt;Payroll!$I10,Payroll!$F10*((1+Payroll!$J10)^(ROUNDDOWN(DATEDIF(Payroll!$I10,CD$2,"M")/Payroll!$K10,0))),0))</f>
        <v/>
      </c>
      <c r="CE109" s="56">
        <f>IF(CE$2=Payroll!$I10,Payroll!$F10,IF(CE$2&gt;Payroll!$I10,Payroll!$F10*((1+Payroll!$J10)^(ROUNDDOWN(DATEDIF(Payroll!$I10,CE$2,"M")/Payroll!$K10,0))),0))</f>
        <v/>
      </c>
      <c r="CF109" s="56">
        <f>IF(CF$2=Payroll!$I10,Payroll!$F10,IF(CF$2&gt;Payroll!$I10,Payroll!$F10*((1+Payroll!$J10)^(ROUNDDOWN(DATEDIF(Payroll!$I10,CF$2,"M")/Payroll!$K10,0))),0))</f>
        <v/>
      </c>
      <c r="CG109" s="56">
        <f>IF(CG$2=Payroll!$I10,Payroll!$F10,IF(CG$2&gt;Payroll!$I10,Payroll!$F10*((1+Payroll!$J10)^(ROUNDDOWN(DATEDIF(Payroll!$I10,CG$2,"M")/Payroll!$K10,0))),0))</f>
        <v/>
      </c>
      <c r="CH109" s="56">
        <f>IF(CH$2=Payroll!$I10,Payroll!$F10,IF(CH$2&gt;Payroll!$I10,Payroll!$F10*((1+Payroll!$J10)^(ROUNDDOWN(DATEDIF(Payroll!$I10,CH$2,"M")/Payroll!$K10,0))),0))</f>
        <v/>
      </c>
      <c r="CI109" s="56">
        <f>IF(CI$2=Payroll!$I10,Payroll!$F10,IF(CI$2&gt;Payroll!$I10,Payroll!$F10*((1+Payroll!$J10)^(ROUNDDOWN(DATEDIF(Payroll!$I10,CI$2,"M")/Payroll!$K10,0))),0))</f>
        <v/>
      </c>
      <c r="CJ109" s="56">
        <f>IF(CJ$2=Payroll!$I10,Payroll!$F10,IF(CJ$2&gt;Payroll!$I10,Payroll!$F10*((1+Payroll!$J10)^(ROUNDDOWN(DATEDIF(Payroll!$I10,CJ$2,"M")/Payroll!$K10,0))),0))</f>
        <v/>
      </c>
      <c r="CK109" s="56">
        <f>IF(CK$2=Payroll!$I10,Payroll!$F10,IF(CK$2&gt;Payroll!$I10,Payroll!$F10*((1+Payroll!$J10)^(ROUNDDOWN(DATEDIF(Payroll!$I10,CK$2,"M")/Payroll!$K10,0))),0))</f>
        <v/>
      </c>
      <c r="CL109" s="56">
        <f>IF(CL$2=Payroll!$I10,Payroll!$F10,IF(CL$2&gt;Payroll!$I10,Payroll!$F10*((1+Payroll!$J10)^(ROUNDDOWN(DATEDIF(Payroll!$I10,CL$2,"M")/Payroll!$K10,0))),0))</f>
        <v/>
      </c>
      <c r="CM109" s="56">
        <f>IF(CM$2=Payroll!$I10,Payroll!$F10,IF(CM$2&gt;Payroll!$I10,Payroll!$F10*((1+Payroll!$J10)^(ROUNDDOWN(DATEDIF(Payroll!$I10,CM$2,"M")/Payroll!$K10,0))),0))</f>
        <v/>
      </c>
      <c r="CN109" s="56">
        <f>IF(CN$2=Payroll!$I10,Payroll!$F10,IF(CN$2&gt;Payroll!$I10,Payroll!$F10*((1+Payroll!$J10)^(ROUNDDOWN(DATEDIF(Payroll!$I10,CN$2,"M")/Payroll!$K10,0))),0))</f>
        <v/>
      </c>
      <c r="CO109" s="56">
        <f>IF(CO$2=Payroll!$I10,Payroll!$F10,IF(CO$2&gt;Payroll!$I10,Payroll!$F10*((1+Payroll!$J10)^(ROUNDDOWN(DATEDIF(Payroll!$I10,CO$2,"M")/Payroll!$K10,0))),0))</f>
        <v/>
      </c>
      <c r="CP109" s="56">
        <f>IF(CP$2=Payroll!$I10,Payroll!$F10,IF(CP$2&gt;Payroll!$I10,Payroll!$F10*((1+Payroll!$J10)^(ROUNDDOWN(DATEDIF(Payroll!$I10,CP$2,"M")/Payroll!$K10,0))),0))</f>
        <v/>
      </c>
      <c r="CQ109" s="56">
        <f>IF(CQ$2=Payroll!$I10,Payroll!$F10,IF(CQ$2&gt;Payroll!$I10,Payroll!$F10*((1+Payroll!$J10)^(ROUNDDOWN(DATEDIF(Payroll!$I10,CQ$2,"M")/Payroll!$K10,0))),0))</f>
        <v/>
      </c>
      <c r="CR109" s="56">
        <f>IF(CR$2=Payroll!$I10,Payroll!$F10,IF(CR$2&gt;Payroll!$I10,Payroll!$F10*((1+Payroll!$J10)^(ROUNDDOWN(DATEDIF(Payroll!$I10,CR$2,"M")/Payroll!$K10,0))),0))</f>
        <v/>
      </c>
      <c r="CS109" s="56">
        <f>IF(CS$2=Payroll!$I10,Payroll!$F10,IF(CS$2&gt;Payroll!$I10,Payroll!$F10*((1+Payroll!$J10)^(ROUNDDOWN(DATEDIF(Payroll!$I10,CS$2,"M")/Payroll!$K10,0))),0))</f>
        <v/>
      </c>
      <c r="CT109" s="56">
        <f>IF(CT$2=Payroll!$I10,Payroll!$F10,IF(CT$2&gt;Payroll!$I10,Payroll!$F10*((1+Payroll!$J10)^(ROUNDDOWN(DATEDIF(Payroll!$I10,CT$2,"M")/Payroll!$K10,0))),0))</f>
        <v/>
      </c>
      <c r="CU109" s="56">
        <f>IF(CU$2=Payroll!$I10,Payroll!$F10,IF(CU$2&gt;Payroll!$I10,Payroll!$F10*((1+Payroll!$J10)^(ROUNDDOWN(DATEDIF(Payroll!$I10,CU$2,"M")/Payroll!$K10,0))),0))</f>
        <v/>
      </c>
      <c r="CV109" s="56">
        <f>IF(CV$2=Payroll!$I10,Payroll!$F10,IF(CV$2&gt;Payroll!$I10,Payroll!$F10*((1+Payroll!$J10)^(ROUNDDOWN(DATEDIF(Payroll!$I10,CV$2,"M")/Payroll!$K10,0))),0))</f>
        <v/>
      </c>
      <c r="CW109" s="56">
        <f>IF(CW$2=Payroll!$I10,Payroll!$F10,IF(CW$2&gt;Payroll!$I10,Payroll!$F10*((1+Payroll!$J10)^(ROUNDDOWN(DATEDIF(Payroll!$I10,CW$2,"M")/Payroll!$K10,0))),0))</f>
        <v/>
      </c>
      <c r="CX109" s="56">
        <f>IF(CX$2=Payroll!$I10,Payroll!$F10,IF(CX$2&gt;Payroll!$I10,Payroll!$F10*((1+Payroll!$J10)^(ROUNDDOWN(DATEDIF(Payroll!$I10,CX$2,"M")/Payroll!$K10,0))),0))</f>
        <v/>
      </c>
    </row>
    <row r="110" outlineLevel="2" ht="15.75" customHeight="1" s="255">
      <c r="A110" s="56">
        <f>Payroll!A11</f>
        <v/>
      </c>
      <c r="B110" s="56" t="n"/>
      <c r="C110" s="56" t="n"/>
      <c r="D110" s="56" t="n"/>
      <c r="E110" s="56">
        <f>IF(E$2=Payroll!$I11,Payroll!$F11,IF(E$2&gt;Payroll!$I11,Payroll!$F11*((1+Payroll!$J11)^(ROUNDDOWN(DATEDIF(Payroll!$I11,E$2,"M")/Payroll!$K11,0))),0))</f>
        <v/>
      </c>
      <c r="F110" s="56">
        <f>IF(F$2=Payroll!$I11,Payroll!$F11,IF(F$2&gt;Payroll!$I11,Payroll!$F11*((1+Payroll!$J11)^(ROUNDDOWN(DATEDIF(Payroll!$I11,F$2,"M")/Payroll!$K11,0))),0))</f>
        <v/>
      </c>
      <c r="G110" s="56">
        <f>IF(G$2=Payroll!$I11,Payroll!$F11,IF(G$2&gt;Payroll!$I11,Payroll!$F11*((1+Payroll!$J11)^(ROUNDDOWN(DATEDIF(Payroll!$I11,G$2,"M")/Payroll!$K11,0))),0))</f>
        <v/>
      </c>
      <c r="H110" s="56">
        <f>IF(H$2=Payroll!$I11,Payroll!$F11,IF(H$2&gt;Payroll!$I11,Payroll!$F11*((1+Payroll!$J11)^(ROUNDDOWN(DATEDIF(Payroll!$I11,H$2,"M")/Payroll!$K11,0))),0))</f>
        <v/>
      </c>
      <c r="I110" s="56">
        <f>IF(I$2=Payroll!$I11,Payroll!$F11,IF(I$2&gt;Payroll!$I11,Payroll!$F11*((1+Payroll!$J11)^(ROUNDDOWN(DATEDIF(Payroll!$I11,I$2,"M")/Payroll!$K11,0))),0))</f>
        <v/>
      </c>
      <c r="J110" s="56">
        <f>IF(J$2=Payroll!$I11,Payroll!$F11,IF(J$2&gt;Payroll!$I11,Payroll!$F11*((1+Payroll!$J11)^(ROUNDDOWN(DATEDIF(Payroll!$I11,J$2,"M")/Payroll!$K11,0))),0))</f>
        <v/>
      </c>
      <c r="K110" s="56">
        <f>IF(K$2=Payroll!$I11,Payroll!$F11,IF(K$2&gt;Payroll!$I11,Payroll!$F11*((1+Payroll!$J11)^(ROUNDDOWN(DATEDIF(Payroll!$I11,K$2,"M")/Payroll!$K11,0))),0))</f>
        <v/>
      </c>
      <c r="L110" s="56">
        <f>IF(L$2=Payroll!$I11,Payroll!$F11,IF(L$2&gt;Payroll!$I11,Payroll!$F11*((1+Payroll!$J11)^(ROUNDDOWN(DATEDIF(Payroll!$I11,L$2,"M")/Payroll!$K11,0))),0))</f>
        <v/>
      </c>
      <c r="M110" s="56">
        <f>IF(M$2=Payroll!$I11,Payroll!$F11,IF(M$2&gt;Payroll!$I11,Payroll!$F11*((1+Payroll!$J11)^(ROUNDDOWN(DATEDIF(Payroll!$I11,M$2,"M")/Payroll!$K11,0))),0))</f>
        <v/>
      </c>
      <c r="N110" s="56">
        <f>IF(N$2=Payroll!$I11,Payroll!$F11,IF(N$2&gt;Payroll!$I11,Payroll!$F11*((1+Payroll!$J11)^(ROUNDDOWN(DATEDIF(Payroll!$I11,N$2,"M")/Payroll!$K11,0))),0))</f>
        <v/>
      </c>
      <c r="O110" s="56">
        <f>IF(O$2=Payroll!$I11,Payroll!$F11,IF(O$2&gt;Payroll!$I11,Payroll!$F11*((1+Payroll!$J11)^(ROUNDDOWN(DATEDIF(Payroll!$I11,O$2,"M")/Payroll!$K11,0))),0))</f>
        <v/>
      </c>
      <c r="P110" s="56">
        <f>IF(P$2=Payroll!$I11,Payroll!$F11,IF(P$2&gt;Payroll!$I11,Payroll!$F11*((1+Payroll!$J11)^(ROUNDDOWN(DATEDIF(Payroll!$I11,P$2,"M")/Payroll!$K11,0))),0))</f>
        <v/>
      </c>
      <c r="Q110" s="56">
        <f>IF(Q$2=Payroll!$I11,Payroll!$F11,IF(Q$2&gt;Payroll!$I11,Payroll!$F11*((1+Payroll!$J11)^(ROUNDDOWN(DATEDIF(Payroll!$I11,Q$2,"M")/Payroll!$K11,0))),0))</f>
        <v/>
      </c>
      <c r="R110" s="56">
        <f>IF(R$2=Payroll!$I11,Payroll!$F11,IF(R$2&gt;Payroll!$I11,Payroll!$F11*((1+Payroll!$J11)^(ROUNDDOWN(DATEDIF(Payroll!$I11,R$2,"M")/Payroll!$K11,0))),0))</f>
        <v/>
      </c>
      <c r="S110" s="56">
        <f>IF(S$2=Payroll!$I11,Payroll!$F11,IF(S$2&gt;Payroll!$I11,Payroll!$F11*((1+Payroll!$J11)^(ROUNDDOWN(DATEDIF(Payroll!$I11,S$2,"M")/Payroll!$K11,0))),0))</f>
        <v/>
      </c>
      <c r="T110" s="56">
        <f>IF(T$2=Payroll!$I11,Payroll!$F11,IF(T$2&gt;Payroll!$I11,Payroll!$F11*((1+Payroll!$J11)^(ROUNDDOWN(DATEDIF(Payroll!$I11,T$2,"M")/Payroll!$K11,0))),0))</f>
        <v/>
      </c>
      <c r="U110" s="56">
        <f>IF(U$2=Payroll!$I11,Payroll!$F11,IF(U$2&gt;Payroll!$I11,Payroll!$F11*((1+Payroll!$J11)^(ROUNDDOWN(DATEDIF(Payroll!$I11,U$2,"M")/Payroll!$K11,0))),0))</f>
        <v/>
      </c>
      <c r="V110" s="56">
        <f>IF(V$2=Payroll!$I11,Payroll!$F11,IF(V$2&gt;Payroll!$I11,Payroll!$F11*((1+Payroll!$J11)^(ROUNDDOWN(DATEDIF(Payroll!$I11,V$2,"M")/Payroll!$K11,0))),0))</f>
        <v/>
      </c>
      <c r="W110" s="56">
        <f>IF(W$2=Payroll!$I11,Payroll!$F11,IF(W$2&gt;Payroll!$I11,Payroll!$F11*((1+Payroll!$J11)^(ROUNDDOWN(DATEDIF(Payroll!$I11,W$2,"M")/Payroll!$K11,0))),0))</f>
        <v/>
      </c>
      <c r="X110" s="56">
        <f>IF(X$2=Payroll!$I11,Payroll!$F11,IF(X$2&gt;Payroll!$I11,Payroll!$F11*((1+Payroll!$J11)^(ROUNDDOWN(DATEDIF(Payroll!$I11,X$2,"M")/Payroll!$K11,0))),0))</f>
        <v/>
      </c>
      <c r="Y110" s="56">
        <f>IF(Y$2=Payroll!$I11,Payroll!$F11,IF(Y$2&gt;Payroll!$I11,Payroll!$F11*((1+Payroll!$J11)^(ROUNDDOWN(DATEDIF(Payroll!$I11,Y$2,"M")/Payroll!$K11,0))),0))</f>
        <v/>
      </c>
      <c r="Z110" s="56">
        <f>IF(Z$2=Payroll!$I11,Payroll!$F11,IF(Z$2&gt;Payroll!$I11,Payroll!$F11*((1+Payroll!$J11)^(ROUNDDOWN(DATEDIF(Payroll!$I11,Z$2,"M")/Payroll!$K11,0))),0))</f>
        <v/>
      </c>
      <c r="AA110" s="56">
        <f>IF(AA$2=Payroll!$I11,Payroll!$F11,IF(AA$2&gt;Payroll!$I11,Payroll!$F11*((1+Payroll!$J11)^(ROUNDDOWN(DATEDIF(Payroll!$I11,AA$2,"M")/Payroll!$K11,0))),0))</f>
        <v/>
      </c>
      <c r="AB110" s="56">
        <f>IF(AB$2=Payroll!$I11,Payroll!$F11,IF(AB$2&gt;Payroll!$I11,Payroll!$F11*((1+Payroll!$J11)^(ROUNDDOWN(DATEDIF(Payroll!$I11,AB$2,"M")/Payroll!$K11,0))),0))</f>
        <v/>
      </c>
      <c r="AC110" s="56">
        <f>IF(AC$2=Payroll!$I11,Payroll!$F11,IF(AC$2&gt;Payroll!$I11,Payroll!$F11*((1+Payroll!$J11)^(ROUNDDOWN(DATEDIF(Payroll!$I11,AC$2,"M")/Payroll!$K11,0))),0))</f>
        <v/>
      </c>
      <c r="AD110" s="56">
        <f>IF(AD$2=Payroll!$I11,Payroll!$F11,IF(AD$2&gt;Payroll!$I11,Payroll!$F11*((1+Payroll!$J11)^(ROUNDDOWN(DATEDIF(Payroll!$I11,AD$2,"M")/Payroll!$K11,0))),0))</f>
        <v/>
      </c>
      <c r="AE110" s="56">
        <f>IF(AE$2=Payroll!$I11,Payroll!$F11,IF(AE$2&gt;Payroll!$I11,Payroll!$F11*((1+Payroll!$J11)^(ROUNDDOWN(DATEDIF(Payroll!$I11,AE$2,"M")/Payroll!$K11,0))),0))</f>
        <v/>
      </c>
      <c r="AF110" s="56">
        <f>IF(AF$2=Payroll!$I11,Payroll!$F11,IF(AF$2&gt;Payroll!$I11,Payroll!$F11*((1+Payroll!$J11)^(ROUNDDOWN(DATEDIF(Payroll!$I11,AF$2,"M")/Payroll!$K11,0))),0))</f>
        <v/>
      </c>
      <c r="AG110" s="56">
        <f>IF(AG$2=Payroll!$I11,Payroll!$F11,IF(AG$2&gt;Payroll!$I11,Payroll!$F11*((1+Payroll!$J11)^(ROUNDDOWN(DATEDIF(Payroll!$I11,AG$2,"M")/Payroll!$K11,0))),0))</f>
        <v/>
      </c>
      <c r="AH110" s="56">
        <f>IF(AH$2=Payroll!$I11,Payroll!$F11,IF(AH$2&gt;Payroll!$I11,Payroll!$F11*((1+Payroll!$J11)^(ROUNDDOWN(DATEDIF(Payroll!$I11,AH$2,"M")/Payroll!$K11,0))),0))</f>
        <v/>
      </c>
      <c r="AI110" s="56">
        <f>IF(AI$2=Payroll!$I11,Payroll!$F11,IF(AI$2&gt;Payroll!$I11,Payroll!$F11*((1+Payroll!$J11)^(ROUNDDOWN(DATEDIF(Payroll!$I11,AI$2,"M")/Payroll!$K11,0))),0))</f>
        <v/>
      </c>
      <c r="AJ110" s="56">
        <f>IF(AJ$2=Payroll!$I11,Payroll!$F11,IF(AJ$2&gt;Payroll!$I11,Payroll!$F11*((1+Payroll!$J11)^(ROUNDDOWN(DATEDIF(Payroll!$I11,AJ$2,"M")/Payroll!$K11,0))),0))</f>
        <v/>
      </c>
      <c r="AK110" s="56">
        <f>IF(AK$2=Payroll!$I11,Payroll!$F11,IF(AK$2&gt;Payroll!$I11,Payroll!$F11*((1+Payroll!$J11)^(ROUNDDOWN(DATEDIF(Payroll!$I11,AK$2,"M")/Payroll!$K11,0))),0))</f>
        <v/>
      </c>
      <c r="AL110" s="56">
        <f>IF(AL$2=Payroll!$I11,Payroll!$F11,IF(AL$2&gt;Payroll!$I11,Payroll!$F11*((1+Payroll!$J11)^(ROUNDDOWN(DATEDIF(Payroll!$I11,AL$2,"M")/Payroll!$K11,0))),0))</f>
        <v/>
      </c>
      <c r="AM110" s="56">
        <f>IF(AM$2=Payroll!$I11,Payroll!$F11,IF(AM$2&gt;Payroll!$I11,Payroll!$F11*((1+Payroll!$J11)^(ROUNDDOWN(DATEDIF(Payroll!$I11,AM$2,"M")/Payroll!$K11,0))),0))</f>
        <v/>
      </c>
      <c r="AN110" s="56">
        <f>IF(AN$2=Payroll!$I11,Payroll!$F11,IF(AN$2&gt;Payroll!$I11,Payroll!$F11*((1+Payroll!$J11)^(ROUNDDOWN(DATEDIF(Payroll!$I11,AN$2,"M")/Payroll!$K11,0))),0))</f>
        <v/>
      </c>
      <c r="AO110" s="56">
        <f>IF(AO$2=Payroll!$I11,Payroll!$F11,IF(AO$2&gt;Payroll!$I11,Payroll!$F11*((1+Payroll!$J11)^(ROUNDDOWN(DATEDIF(Payroll!$I11,AO$2,"M")/Payroll!$K11,0))),0))</f>
        <v/>
      </c>
      <c r="AP110" s="56">
        <f>IF(AP$2=Payroll!$I11,Payroll!$F11,IF(AP$2&gt;Payroll!$I11,Payroll!$F11*((1+Payroll!$J11)^(ROUNDDOWN(DATEDIF(Payroll!$I11,AP$2,"M")/Payroll!$K11,0))),0))</f>
        <v/>
      </c>
      <c r="AQ110" s="56">
        <f>IF(AQ$2=Payroll!$I11,Payroll!$F11,IF(AQ$2&gt;Payroll!$I11,Payroll!$F11*((1+Payroll!$J11)^(ROUNDDOWN(DATEDIF(Payroll!$I11,AQ$2,"M")/Payroll!$K11,0))),0))</f>
        <v/>
      </c>
      <c r="AR110" s="56">
        <f>IF(AR$2=Payroll!$I11,Payroll!$F11,IF(AR$2&gt;Payroll!$I11,Payroll!$F11*((1+Payroll!$J11)^(ROUNDDOWN(DATEDIF(Payroll!$I11,AR$2,"M")/Payroll!$K11,0))),0))</f>
        <v/>
      </c>
      <c r="AS110" s="56">
        <f>IF(AS$2=Payroll!$I11,Payroll!$F11,IF(AS$2&gt;Payroll!$I11,Payroll!$F11*((1+Payroll!$J11)^(ROUNDDOWN(DATEDIF(Payroll!$I11,AS$2,"M")/Payroll!$K11,0))),0))</f>
        <v/>
      </c>
      <c r="AT110" s="56">
        <f>IF(AT$2=Payroll!$I11,Payroll!$F11,IF(AT$2&gt;Payroll!$I11,Payroll!$F11*((1+Payroll!$J11)^(ROUNDDOWN(DATEDIF(Payroll!$I11,AT$2,"M")/Payroll!$K11,0))),0))</f>
        <v/>
      </c>
      <c r="AU110" s="56">
        <f>IF(AU$2=Payroll!$I11,Payroll!$F11,IF(AU$2&gt;Payroll!$I11,Payroll!$F11*((1+Payroll!$J11)^(ROUNDDOWN(DATEDIF(Payroll!$I11,AU$2,"M")/Payroll!$K11,0))),0))</f>
        <v/>
      </c>
      <c r="AV110" s="56">
        <f>IF(AV$2=Payroll!$I11,Payroll!$F11,IF(AV$2&gt;Payroll!$I11,Payroll!$F11*((1+Payroll!$J11)^(ROUNDDOWN(DATEDIF(Payroll!$I11,AV$2,"M")/Payroll!$K11,0))),0))</f>
        <v/>
      </c>
      <c r="AW110" s="56">
        <f>IF(AW$2=Payroll!$I11,Payroll!$F11,IF(AW$2&gt;Payroll!$I11,Payroll!$F11*((1+Payroll!$J11)^(ROUNDDOWN(DATEDIF(Payroll!$I11,AW$2,"M")/Payroll!$K11,0))),0))</f>
        <v/>
      </c>
      <c r="AX110" s="56">
        <f>IF(AX$2=Payroll!$I11,Payroll!$F11,IF(AX$2&gt;Payroll!$I11,Payroll!$F11*((1+Payroll!$J11)^(ROUNDDOWN(DATEDIF(Payroll!$I11,AX$2,"M")/Payroll!$K11,0))),0))</f>
        <v/>
      </c>
      <c r="AY110" s="56">
        <f>IF(AY$2=Payroll!$I11,Payroll!$F11,IF(AY$2&gt;Payroll!$I11,Payroll!$F11*((1+Payroll!$J11)^(ROUNDDOWN(DATEDIF(Payroll!$I11,AY$2,"M")/Payroll!$K11,0))),0))</f>
        <v/>
      </c>
      <c r="AZ110" s="56">
        <f>IF(AZ$2=Payroll!$I11,Payroll!$F11,IF(AZ$2&gt;Payroll!$I11,Payroll!$F11*((1+Payroll!$J11)^(ROUNDDOWN(DATEDIF(Payroll!$I11,AZ$2,"M")/Payroll!$K11,0))),0))</f>
        <v/>
      </c>
      <c r="BA110" s="56">
        <f>IF(BA$2=Payroll!$I11,Payroll!$F11,IF(BA$2&gt;Payroll!$I11,Payroll!$F11*((1+Payroll!$J11)^(ROUNDDOWN(DATEDIF(Payroll!$I11,BA$2,"M")/Payroll!$K11,0))),0))</f>
        <v/>
      </c>
      <c r="BB110" s="56">
        <f>IF(BB$2=Payroll!$I11,Payroll!$F11,IF(BB$2&gt;Payroll!$I11,Payroll!$F11*((1+Payroll!$J11)^(ROUNDDOWN(DATEDIF(Payroll!$I11,BB$2,"M")/Payroll!$K11,0))),0))</f>
        <v/>
      </c>
      <c r="BC110" s="56">
        <f>IF(BC$2=Payroll!$I11,Payroll!$F11,IF(BC$2&gt;Payroll!$I11,Payroll!$F11*((1+Payroll!$J11)^(ROUNDDOWN(DATEDIF(Payroll!$I11,BC$2,"M")/Payroll!$K11,0))),0))</f>
        <v/>
      </c>
      <c r="BD110" s="56">
        <f>IF(BD$2=Payroll!$I11,Payroll!$F11,IF(BD$2&gt;Payroll!$I11,Payroll!$F11*((1+Payroll!$J11)^(ROUNDDOWN(DATEDIF(Payroll!$I11,BD$2,"M")/Payroll!$K11,0))),0))</f>
        <v/>
      </c>
      <c r="BE110" s="56">
        <f>IF(BE$2=Payroll!$I11,Payroll!$F11,IF(BE$2&gt;Payroll!$I11,Payroll!$F11*((1+Payroll!$J11)^(ROUNDDOWN(DATEDIF(Payroll!$I11,BE$2,"M")/Payroll!$K11,0))),0))</f>
        <v/>
      </c>
      <c r="BF110" s="56">
        <f>IF(BF$2=Payroll!$I11,Payroll!$F11,IF(BF$2&gt;Payroll!$I11,Payroll!$F11*((1+Payroll!$J11)^(ROUNDDOWN(DATEDIF(Payroll!$I11,BF$2,"M")/Payroll!$K11,0))),0))</f>
        <v/>
      </c>
      <c r="BG110" s="56">
        <f>IF(BG$2=Payroll!$I11,Payroll!$F11,IF(BG$2&gt;Payroll!$I11,Payroll!$F11*((1+Payroll!$J11)^(ROUNDDOWN(DATEDIF(Payroll!$I11,BG$2,"M")/Payroll!$K11,0))),0))</f>
        <v/>
      </c>
      <c r="BH110" s="56">
        <f>IF(BH$2=Payroll!$I11,Payroll!$F11,IF(BH$2&gt;Payroll!$I11,Payroll!$F11*((1+Payroll!$J11)^(ROUNDDOWN(DATEDIF(Payroll!$I11,BH$2,"M")/Payroll!$K11,0))),0))</f>
        <v/>
      </c>
      <c r="BI110" s="56">
        <f>IF(BI$2=Payroll!$I11,Payroll!$F11,IF(BI$2&gt;Payroll!$I11,Payroll!$F11*((1+Payroll!$J11)^(ROUNDDOWN(DATEDIF(Payroll!$I11,BI$2,"M")/Payroll!$K11,0))),0))</f>
        <v/>
      </c>
      <c r="BJ110" s="56">
        <f>IF(BJ$2=Payroll!$I11,Payroll!$F11,IF(BJ$2&gt;Payroll!$I11,Payroll!$F11*((1+Payroll!$J11)^(ROUNDDOWN(DATEDIF(Payroll!$I11,BJ$2,"M")/Payroll!$K11,0))),0))</f>
        <v/>
      </c>
      <c r="BK110" s="56">
        <f>IF(BK$2=Payroll!$I11,Payroll!$F11,IF(BK$2&gt;Payroll!$I11,Payroll!$F11*((1+Payroll!$J11)^(ROUNDDOWN(DATEDIF(Payroll!$I11,BK$2,"M")/Payroll!$K11,0))),0))</f>
        <v/>
      </c>
      <c r="BL110" s="56">
        <f>IF(BL$2=Payroll!$I11,Payroll!$F11,IF(BL$2&gt;Payroll!$I11,Payroll!$F11*((1+Payroll!$J11)^(ROUNDDOWN(DATEDIF(Payroll!$I11,BL$2,"M")/Payroll!$K11,0))),0))</f>
        <v/>
      </c>
      <c r="BM110" s="56">
        <f>IF(BM$2=Payroll!$I11,Payroll!$F11,IF(BM$2&gt;Payroll!$I11,Payroll!$F11*((1+Payroll!$J11)^(ROUNDDOWN(DATEDIF(Payroll!$I11,BM$2,"M")/Payroll!$K11,0))),0))</f>
        <v/>
      </c>
      <c r="BN110" s="56">
        <f>IF(BN$2=Payroll!$I11,Payroll!$F11,IF(BN$2&gt;Payroll!$I11,Payroll!$F11*((1+Payroll!$J11)^(ROUNDDOWN(DATEDIF(Payroll!$I11,BN$2,"M")/Payroll!$K11,0))),0))</f>
        <v/>
      </c>
      <c r="BO110" s="56">
        <f>IF(BO$2=Payroll!$I11,Payroll!$F11,IF(BO$2&gt;Payroll!$I11,Payroll!$F11*((1+Payroll!$J11)^(ROUNDDOWN(DATEDIF(Payroll!$I11,BO$2,"M")/Payroll!$K11,0))),0))</f>
        <v/>
      </c>
      <c r="BP110" s="56">
        <f>IF(BP$2=Payroll!$I11,Payroll!$F11,IF(BP$2&gt;Payroll!$I11,Payroll!$F11*((1+Payroll!$J11)^(ROUNDDOWN(DATEDIF(Payroll!$I11,BP$2,"M")/Payroll!$K11,0))),0))</f>
        <v/>
      </c>
      <c r="BQ110" s="56">
        <f>IF(BQ$2=Payroll!$I11,Payroll!$F11,IF(BQ$2&gt;Payroll!$I11,Payroll!$F11*((1+Payroll!$J11)^(ROUNDDOWN(DATEDIF(Payroll!$I11,BQ$2,"M")/Payroll!$K11,0))),0))</f>
        <v/>
      </c>
      <c r="BR110" s="56">
        <f>IF(BR$2=Payroll!$I11,Payroll!$F11,IF(BR$2&gt;Payroll!$I11,Payroll!$F11*((1+Payroll!$J11)^(ROUNDDOWN(DATEDIF(Payroll!$I11,BR$2,"M")/Payroll!$K11,0))),0))</f>
        <v/>
      </c>
      <c r="BS110" s="56">
        <f>IF(BS$2=Payroll!$I11,Payroll!$F11,IF(BS$2&gt;Payroll!$I11,Payroll!$F11*((1+Payroll!$J11)^(ROUNDDOWN(DATEDIF(Payroll!$I11,BS$2,"M")/Payroll!$K11,0))),0))</f>
        <v/>
      </c>
      <c r="BT110" s="56">
        <f>IF(BT$2=Payroll!$I11,Payroll!$F11,IF(BT$2&gt;Payroll!$I11,Payroll!$F11*((1+Payroll!$J11)^(ROUNDDOWN(DATEDIF(Payroll!$I11,BT$2,"M")/Payroll!$K11,0))),0))</f>
        <v/>
      </c>
      <c r="BU110" s="56">
        <f>IF(BU$2=Payroll!$I11,Payroll!$F11,IF(BU$2&gt;Payroll!$I11,Payroll!$F11*((1+Payroll!$J11)^(ROUNDDOWN(DATEDIF(Payroll!$I11,BU$2,"M")/Payroll!$K11,0))),0))</f>
        <v/>
      </c>
      <c r="BV110" s="56">
        <f>IF(BV$2=Payroll!$I11,Payroll!$F11,IF(BV$2&gt;Payroll!$I11,Payroll!$F11*((1+Payroll!$J11)^(ROUNDDOWN(DATEDIF(Payroll!$I11,BV$2,"M")/Payroll!$K11,0))),0))</f>
        <v/>
      </c>
      <c r="BW110" s="56">
        <f>IF(BW$2=Payroll!$I11,Payroll!$F11,IF(BW$2&gt;Payroll!$I11,Payroll!$F11*((1+Payroll!$J11)^(ROUNDDOWN(DATEDIF(Payroll!$I11,BW$2,"M")/Payroll!$K11,0))),0))</f>
        <v/>
      </c>
      <c r="BX110" s="56">
        <f>IF(BX$2=Payroll!$I11,Payroll!$F11,IF(BX$2&gt;Payroll!$I11,Payroll!$F11*((1+Payroll!$J11)^(ROUNDDOWN(DATEDIF(Payroll!$I11,BX$2,"M")/Payroll!$K11,0))),0))</f>
        <v/>
      </c>
      <c r="BY110" s="56">
        <f>IF(BY$2=Payroll!$I11,Payroll!$F11,IF(BY$2&gt;Payroll!$I11,Payroll!$F11*((1+Payroll!$J11)^(ROUNDDOWN(DATEDIF(Payroll!$I11,BY$2,"M")/Payroll!$K11,0))),0))</f>
        <v/>
      </c>
      <c r="BZ110" s="56">
        <f>IF(BZ$2=Payroll!$I11,Payroll!$F11,IF(BZ$2&gt;Payroll!$I11,Payroll!$F11*((1+Payroll!$J11)^(ROUNDDOWN(DATEDIF(Payroll!$I11,BZ$2,"M")/Payroll!$K11,0))),0))</f>
        <v/>
      </c>
      <c r="CA110" s="56">
        <f>IF(CA$2=Payroll!$I11,Payroll!$F11,IF(CA$2&gt;Payroll!$I11,Payroll!$F11*((1+Payroll!$J11)^(ROUNDDOWN(DATEDIF(Payroll!$I11,CA$2,"M")/Payroll!$K11,0))),0))</f>
        <v/>
      </c>
      <c r="CB110" s="56">
        <f>IF(CB$2=Payroll!$I11,Payroll!$F11,IF(CB$2&gt;Payroll!$I11,Payroll!$F11*((1+Payroll!$J11)^(ROUNDDOWN(DATEDIF(Payroll!$I11,CB$2,"M")/Payroll!$K11,0))),0))</f>
        <v/>
      </c>
      <c r="CC110" s="56">
        <f>IF(CC$2=Payroll!$I11,Payroll!$F11,IF(CC$2&gt;Payroll!$I11,Payroll!$F11*((1+Payroll!$J11)^(ROUNDDOWN(DATEDIF(Payroll!$I11,CC$2,"M")/Payroll!$K11,0))),0))</f>
        <v/>
      </c>
      <c r="CD110" s="56">
        <f>IF(CD$2=Payroll!$I11,Payroll!$F11,IF(CD$2&gt;Payroll!$I11,Payroll!$F11*((1+Payroll!$J11)^(ROUNDDOWN(DATEDIF(Payroll!$I11,CD$2,"M")/Payroll!$K11,0))),0))</f>
        <v/>
      </c>
      <c r="CE110" s="56">
        <f>IF(CE$2=Payroll!$I11,Payroll!$F11,IF(CE$2&gt;Payroll!$I11,Payroll!$F11*((1+Payroll!$J11)^(ROUNDDOWN(DATEDIF(Payroll!$I11,CE$2,"M")/Payroll!$K11,0))),0))</f>
        <v/>
      </c>
      <c r="CF110" s="56">
        <f>IF(CF$2=Payroll!$I11,Payroll!$F11,IF(CF$2&gt;Payroll!$I11,Payroll!$F11*((1+Payroll!$J11)^(ROUNDDOWN(DATEDIF(Payroll!$I11,CF$2,"M")/Payroll!$K11,0))),0))</f>
        <v/>
      </c>
      <c r="CG110" s="56">
        <f>IF(CG$2=Payroll!$I11,Payroll!$F11,IF(CG$2&gt;Payroll!$I11,Payroll!$F11*((1+Payroll!$J11)^(ROUNDDOWN(DATEDIF(Payroll!$I11,CG$2,"M")/Payroll!$K11,0))),0))</f>
        <v/>
      </c>
      <c r="CH110" s="56">
        <f>IF(CH$2=Payroll!$I11,Payroll!$F11,IF(CH$2&gt;Payroll!$I11,Payroll!$F11*((1+Payroll!$J11)^(ROUNDDOWN(DATEDIF(Payroll!$I11,CH$2,"M")/Payroll!$K11,0))),0))</f>
        <v/>
      </c>
      <c r="CI110" s="56">
        <f>IF(CI$2=Payroll!$I11,Payroll!$F11,IF(CI$2&gt;Payroll!$I11,Payroll!$F11*((1+Payroll!$J11)^(ROUNDDOWN(DATEDIF(Payroll!$I11,CI$2,"M")/Payroll!$K11,0))),0))</f>
        <v/>
      </c>
      <c r="CJ110" s="56">
        <f>IF(CJ$2=Payroll!$I11,Payroll!$F11,IF(CJ$2&gt;Payroll!$I11,Payroll!$F11*((1+Payroll!$J11)^(ROUNDDOWN(DATEDIF(Payroll!$I11,CJ$2,"M")/Payroll!$K11,0))),0))</f>
        <v/>
      </c>
      <c r="CK110" s="56">
        <f>IF(CK$2=Payroll!$I11,Payroll!$F11,IF(CK$2&gt;Payroll!$I11,Payroll!$F11*((1+Payroll!$J11)^(ROUNDDOWN(DATEDIF(Payroll!$I11,CK$2,"M")/Payroll!$K11,0))),0))</f>
        <v/>
      </c>
      <c r="CL110" s="56">
        <f>IF(CL$2=Payroll!$I11,Payroll!$F11,IF(CL$2&gt;Payroll!$I11,Payroll!$F11*((1+Payroll!$J11)^(ROUNDDOWN(DATEDIF(Payroll!$I11,CL$2,"M")/Payroll!$K11,0))),0))</f>
        <v/>
      </c>
      <c r="CM110" s="56">
        <f>IF(CM$2=Payroll!$I11,Payroll!$F11,IF(CM$2&gt;Payroll!$I11,Payroll!$F11*((1+Payroll!$J11)^(ROUNDDOWN(DATEDIF(Payroll!$I11,CM$2,"M")/Payroll!$K11,0))),0))</f>
        <v/>
      </c>
      <c r="CN110" s="56">
        <f>IF(CN$2=Payroll!$I11,Payroll!$F11,IF(CN$2&gt;Payroll!$I11,Payroll!$F11*((1+Payroll!$J11)^(ROUNDDOWN(DATEDIF(Payroll!$I11,CN$2,"M")/Payroll!$K11,0))),0))</f>
        <v/>
      </c>
      <c r="CO110" s="56">
        <f>IF(CO$2=Payroll!$I11,Payroll!$F11,IF(CO$2&gt;Payroll!$I11,Payroll!$F11*((1+Payroll!$J11)^(ROUNDDOWN(DATEDIF(Payroll!$I11,CO$2,"M")/Payroll!$K11,0))),0))</f>
        <v/>
      </c>
      <c r="CP110" s="56">
        <f>IF(CP$2=Payroll!$I11,Payroll!$F11,IF(CP$2&gt;Payroll!$I11,Payroll!$F11*((1+Payroll!$J11)^(ROUNDDOWN(DATEDIF(Payroll!$I11,CP$2,"M")/Payroll!$K11,0))),0))</f>
        <v/>
      </c>
      <c r="CQ110" s="56">
        <f>IF(CQ$2=Payroll!$I11,Payroll!$F11,IF(CQ$2&gt;Payroll!$I11,Payroll!$F11*((1+Payroll!$J11)^(ROUNDDOWN(DATEDIF(Payroll!$I11,CQ$2,"M")/Payroll!$K11,0))),0))</f>
        <v/>
      </c>
      <c r="CR110" s="56">
        <f>IF(CR$2=Payroll!$I11,Payroll!$F11,IF(CR$2&gt;Payroll!$I11,Payroll!$F11*((1+Payroll!$J11)^(ROUNDDOWN(DATEDIF(Payroll!$I11,CR$2,"M")/Payroll!$K11,0))),0))</f>
        <v/>
      </c>
      <c r="CS110" s="56">
        <f>IF(CS$2=Payroll!$I11,Payroll!$F11,IF(CS$2&gt;Payroll!$I11,Payroll!$F11*((1+Payroll!$J11)^(ROUNDDOWN(DATEDIF(Payroll!$I11,CS$2,"M")/Payroll!$K11,0))),0))</f>
        <v/>
      </c>
      <c r="CT110" s="56">
        <f>IF(CT$2=Payroll!$I11,Payroll!$F11,IF(CT$2&gt;Payroll!$I11,Payroll!$F11*((1+Payroll!$J11)^(ROUNDDOWN(DATEDIF(Payroll!$I11,CT$2,"M")/Payroll!$K11,0))),0))</f>
        <v/>
      </c>
      <c r="CU110" s="56">
        <f>IF(CU$2=Payroll!$I11,Payroll!$F11,IF(CU$2&gt;Payroll!$I11,Payroll!$F11*((1+Payroll!$J11)^(ROUNDDOWN(DATEDIF(Payroll!$I11,CU$2,"M")/Payroll!$K11,0))),0))</f>
        <v/>
      </c>
      <c r="CV110" s="56">
        <f>IF(CV$2=Payroll!$I11,Payroll!$F11,IF(CV$2&gt;Payroll!$I11,Payroll!$F11*((1+Payroll!$J11)^(ROUNDDOWN(DATEDIF(Payroll!$I11,CV$2,"M")/Payroll!$K11,0))),0))</f>
        <v/>
      </c>
      <c r="CW110" s="56">
        <f>IF(CW$2=Payroll!$I11,Payroll!$F11,IF(CW$2&gt;Payroll!$I11,Payroll!$F11*((1+Payroll!$J11)^(ROUNDDOWN(DATEDIF(Payroll!$I11,CW$2,"M")/Payroll!$K11,0))),0))</f>
        <v/>
      </c>
      <c r="CX110" s="56">
        <f>IF(CX$2=Payroll!$I11,Payroll!$F11,IF(CX$2&gt;Payroll!$I11,Payroll!$F11*((1+Payroll!$J11)^(ROUNDDOWN(DATEDIF(Payroll!$I11,CX$2,"M")/Payroll!$K11,0))),0))</f>
        <v/>
      </c>
    </row>
    <row r="111" outlineLevel="2" ht="15.75" customHeight="1" s="255">
      <c r="A111" s="56">
        <f>Payroll!A12</f>
        <v/>
      </c>
      <c r="B111" s="56" t="n"/>
      <c r="C111" s="56" t="n"/>
      <c r="D111" s="56" t="n"/>
      <c r="E111" s="56">
        <f>IF(E$2=Payroll!$I12,Payroll!$F12,IF(E$2&gt;Payroll!$I12,Payroll!$F12*((1+Payroll!$J12)^(ROUNDDOWN(DATEDIF(Payroll!$I12,E$2,"M")/Payroll!$K12,0))),0))</f>
        <v/>
      </c>
      <c r="F111" s="56">
        <f>IF(F$2=Payroll!$I12,Payroll!$F12,IF(F$2&gt;Payroll!$I12,Payroll!$F12*((1+Payroll!$J12)^(ROUNDDOWN(DATEDIF(Payroll!$I12,F$2,"M")/Payroll!$K12,0))),0))</f>
        <v/>
      </c>
      <c r="G111" s="56">
        <f>IF(G$2=Payroll!$I12,Payroll!$F12,IF(G$2&gt;Payroll!$I12,Payroll!$F12*((1+Payroll!$J12)^(ROUNDDOWN(DATEDIF(Payroll!$I12,G$2,"M")/Payroll!$K12,0))),0))</f>
        <v/>
      </c>
      <c r="H111" s="56">
        <f>IF(H$2=Payroll!$I12,Payroll!$F12,IF(H$2&gt;Payroll!$I12,Payroll!$F12*((1+Payroll!$J12)^(ROUNDDOWN(DATEDIF(Payroll!$I12,H$2,"M")/Payroll!$K12,0))),0))</f>
        <v/>
      </c>
      <c r="I111" s="56">
        <f>IF(I$2=Payroll!$I12,Payroll!$F12,IF(I$2&gt;Payroll!$I12,Payroll!$F12*((1+Payroll!$J12)^(ROUNDDOWN(DATEDIF(Payroll!$I12,I$2,"M")/Payroll!$K12,0))),0))</f>
        <v/>
      </c>
      <c r="J111" s="56">
        <f>IF(J$2=Payroll!$I12,Payroll!$F12,IF(J$2&gt;Payroll!$I12,Payroll!$F12*((1+Payroll!$J12)^(ROUNDDOWN(DATEDIF(Payroll!$I12,J$2,"M")/Payroll!$K12,0))),0))</f>
        <v/>
      </c>
      <c r="K111" s="56">
        <f>IF(K$2=Payroll!$I12,Payroll!$F12,IF(K$2&gt;Payroll!$I12,Payroll!$F12*((1+Payroll!$J12)^(ROUNDDOWN(DATEDIF(Payroll!$I12,K$2,"M")/Payroll!$K12,0))),0))</f>
        <v/>
      </c>
      <c r="L111" s="56">
        <f>IF(L$2=Payroll!$I12,Payroll!$F12,IF(L$2&gt;Payroll!$I12,Payroll!$F12*((1+Payroll!$J12)^(ROUNDDOWN(DATEDIF(Payroll!$I12,L$2,"M")/Payroll!$K12,0))),0))</f>
        <v/>
      </c>
      <c r="M111" s="56">
        <f>IF(M$2=Payroll!$I12,Payroll!$F12,IF(M$2&gt;Payroll!$I12,Payroll!$F12*((1+Payroll!$J12)^(ROUNDDOWN(DATEDIF(Payroll!$I12,M$2,"M")/Payroll!$K12,0))),0))</f>
        <v/>
      </c>
      <c r="N111" s="56">
        <f>IF(N$2=Payroll!$I12,Payroll!$F12,IF(N$2&gt;Payroll!$I12,Payroll!$F12*((1+Payroll!$J12)^(ROUNDDOWN(DATEDIF(Payroll!$I12,N$2,"M")/Payroll!$K12,0))),0))</f>
        <v/>
      </c>
      <c r="O111" s="56">
        <f>IF(O$2=Payroll!$I12,Payroll!$F12,IF(O$2&gt;Payroll!$I12,Payroll!$F12*((1+Payroll!$J12)^(ROUNDDOWN(DATEDIF(Payroll!$I12,O$2,"M")/Payroll!$K12,0))),0))</f>
        <v/>
      </c>
      <c r="P111" s="56">
        <f>IF(P$2=Payroll!$I12,Payroll!$F12,IF(P$2&gt;Payroll!$I12,Payroll!$F12*((1+Payroll!$J12)^(ROUNDDOWN(DATEDIF(Payroll!$I12,P$2,"M")/Payroll!$K12,0))),0))</f>
        <v/>
      </c>
      <c r="Q111" s="56">
        <f>IF(Q$2=Payroll!$I12,Payroll!$F12,IF(Q$2&gt;Payroll!$I12,Payroll!$F12*((1+Payroll!$J12)^(ROUNDDOWN(DATEDIF(Payroll!$I12,Q$2,"M")/Payroll!$K12,0))),0))</f>
        <v/>
      </c>
      <c r="R111" s="56">
        <f>IF(R$2=Payroll!$I12,Payroll!$F12,IF(R$2&gt;Payroll!$I12,Payroll!$F12*((1+Payroll!$J12)^(ROUNDDOWN(DATEDIF(Payroll!$I12,R$2,"M")/Payroll!$K12,0))),0))</f>
        <v/>
      </c>
      <c r="S111" s="56">
        <f>IF(S$2=Payroll!$I12,Payroll!$F12,IF(S$2&gt;Payroll!$I12,Payroll!$F12*((1+Payroll!$J12)^(ROUNDDOWN(DATEDIF(Payroll!$I12,S$2,"M")/Payroll!$K12,0))),0))</f>
        <v/>
      </c>
      <c r="T111" s="56">
        <f>IF(T$2=Payroll!$I12,Payroll!$F12,IF(T$2&gt;Payroll!$I12,Payroll!$F12*((1+Payroll!$J12)^(ROUNDDOWN(DATEDIF(Payroll!$I12,T$2,"M")/Payroll!$K12,0))),0))</f>
        <v/>
      </c>
      <c r="U111" s="56">
        <f>IF(U$2=Payroll!$I12,Payroll!$F12,IF(U$2&gt;Payroll!$I12,Payroll!$F12*((1+Payroll!$J12)^(ROUNDDOWN(DATEDIF(Payroll!$I12,U$2,"M")/Payroll!$K12,0))),0))</f>
        <v/>
      </c>
      <c r="V111" s="56">
        <f>IF(V$2=Payroll!$I12,Payroll!$F12,IF(V$2&gt;Payroll!$I12,Payroll!$F12*((1+Payroll!$J12)^(ROUNDDOWN(DATEDIF(Payroll!$I12,V$2,"M")/Payroll!$K12,0))),0))</f>
        <v/>
      </c>
      <c r="W111" s="56">
        <f>IF(W$2=Payroll!$I12,Payroll!$F12,IF(W$2&gt;Payroll!$I12,Payroll!$F12*((1+Payroll!$J12)^(ROUNDDOWN(DATEDIF(Payroll!$I12,W$2,"M")/Payroll!$K12,0))),0))</f>
        <v/>
      </c>
      <c r="X111" s="56">
        <f>IF(X$2=Payroll!$I12,Payroll!$F12,IF(X$2&gt;Payroll!$I12,Payroll!$F12*((1+Payroll!$J12)^(ROUNDDOWN(DATEDIF(Payroll!$I12,X$2,"M")/Payroll!$K12,0))),0))</f>
        <v/>
      </c>
      <c r="Y111" s="56">
        <f>IF(Y$2=Payroll!$I12,Payroll!$F12,IF(Y$2&gt;Payroll!$I12,Payroll!$F12*((1+Payroll!$J12)^(ROUNDDOWN(DATEDIF(Payroll!$I12,Y$2,"M")/Payroll!$K12,0))),0))</f>
        <v/>
      </c>
      <c r="Z111" s="56">
        <f>IF(Z$2=Payroll!$I12,Payroll!$F12,IF(Z$2&gt;Payroll!$I12,Payroll!$F12*((1+Payroll!$J12)^(ROUNDDOWN(DATEDIF(Payroll!$I12,Z$2,"M")/Payroll!$K12,0))),0))</f>
        <v/>
      </c>
      <c r="AA111" s="56">
        <f>IF(AA$2=Payroll!$I12,Payroll!$F12,IF(AA$2&gt;Payroll!$I12,Payroll!$F12*((1+Payroll!$J12)^(ROUNDDOWN(DATEDIF(Payroll!$I12,AA$2,"M")/Payroll!$K12,0))),0))</f>
        <v/>
      </c>
      <c r="AB111" s="56">
        <f>IF(AB$2=Payroll!$I12,Payroll!$F12,IF(AB$2&gt;Payroll!$I12,Payroll!$F12*((1+Payroll!$J12)^(ROUNDDOWN(DATEDIF(Payroll!$I12,AB$2,"M")/Payroll!$K12,0))),0))</f>
        <v/>
      </c>
      <c r="AC111" s="56">
        <f>IF(AC$2=Payroll!$I12,Payroll!$F12,IF(AC$2&gt;Payroll!$I12,Payroll!$F12*((1+Payroll!$J12)^(ROUNDDOWN(DATEDIF(Payroll!$I12,AC$2,"M")/Payroll!$K12,0))),0))</f>
        <v/>
      </c>
      <c r="AD111" s="56">
        <f>IF(AD$2=Payroll!$I12,Payroll!$F12,IF(AD$2&gt;Payroll!$I12,Payroll!$F12*((1+Payroll!$J12)^(ROUNDDOWN(DATEDIF(Payroll!$I12,AD$2,"M")/Payroll!$K12,0))),0))</f>
        <v/>
      </c>
      <c r="AE111" s="56">
        <f>IF(AE$2=Payroll!$I12,Payroll!$F12,IF(AE$2&gt;Payroll!$I12,Payroll!$F12*((1+Payroll!$J12)^(ROUNDDOWN(DATEDIF(Payroll!$I12,AE$2,"M")/Payroll!$K12,0))),0))</f>
        <v/>
      </c>
      <c r="AF111" s="56">
        <f>IF(AF$2=Payroll!$I12,Payroll!$F12,IF(AF$2&gt;Payroll!$I12,Payroll!$F12*((1+Payroll!$J12)^(ROUNDDOWN(DATEDIF(Payroll!$I12,AF$2,"M")/Payroll!$K12,0))),0))</f>
        <v/>
      </c>
      <c r="AG111" s="56">
        <f>IF(AG$2=Payroll!$I12,Payroll!$F12,IF(AG$2&gt;Payroll!$I12,Payroll!$F12*((1+Payroll!$J12)^(ROUNDDOWN(DATEDIF(Payroll!$I12,AG$2,"M")/Payroll!$K12,0))),0))</f>
        <v/>
      </c>
      <c r="AH111" s="56">
        <f>IF(AH$2=Payroll!$I12,Payroll!$F12,IF(AH$2&gt;Payroll!$I12,Payroll!$F12*((1+Payroll!$J12)^(ROUNDDOWN(DATEDIF(Payroll!$I12,AH$2,"M")/Payroll!$K12,0))),0))</f>
        <v/>
      </c>
      <c r="AI111" s="56">
        <f>IF(AI$2=Payroll!$I12,Payroll!$F12,IF(AI$2&gt;Payroll!$I12,Payroll!$F12*((1+Payroll!$J12)^(ROUNDDOWN(DATEDIF(Payroll!$I12,AI$2,"M")/Payroll!$K12,0))),0))</f>
        <v/>
      </c>
      <c r="AJ111" s="56">
        <f>IF(AJ$2=Payroll!$I12,Payroll!$F12,IF(AJ$2&gt;Payroll!$I12,Payroll!$F12*((1+Payroll!$J12)^(ROUNDDOWN(DATEDIF(Payroll!$I12,AJ$2,"M")/Payroll!$K12,0))),0))</f>
        <v/>
      </c>
      <c r="AK111" s="56">
        <f>IF(AK$2=Payroll!$I12,Payroll!$F12,IF(AK$2&gt;Payroll!$I12,Payroll!$F12*((1+Payroll!$J12)^(ROUNDDOWN(DATEDIF(Payroll!$I12,AK$2,"M")/Payroll!$K12,0))),0))</f>
        <v/>
      </c>
      <c r="AL111" s="56">
        <f>IF(AL$2=Payroll!$I12,Payroll!$F12,IF(AL$2&gt;Payroll!$I12,Payroll!$F12*((1+Payroll!$J12)^(ROUNDDOWN(DATEDIF(Payroll!$I12,AL$2,"M")/Payroll!$K12,0))),0))</f>
        <v/>
      </c>
      <c r="AM111" s="56">
        <f>IF(AM$2=Payroll!$I12,Payroll!$F12,IF(AM$2&gt;Payroll!$I12,Payroll!$F12*((1+Payroll!$J12)^(ROUNDDOWN(DATEDIF(Payroll!$I12,AM$2,"M")/Payroll!$K12,0))),0))</f>
        <v/>
      </c>
      <c r="AN111" s="56">
        <f>IF(AN$2=Payroll!$I12,Payroll!$F12,IF(AN$2&gt;Payroll!$I12,Payroll!$F12*((1+Payroll!$J12)^(ROUNDDOWN(DATEDIF(Payroll!$I12,AN$2,"M")/Payroll!$K12,0))),0))</f>
        <v/>
      </c>
      <c r="AO111" s="56">
        <f>IF(AO$2=Payroll!$I12,Payroll!$F12,IF(AO$2&gt;Payroll!$I12,Payroll!$F12*((1+Payroll!$J12)^(ROUNDDOWN(DATEDIF(Payroll!$I12,AO$2,"M")/Payroll!$K12,0))),0))</f>
        <v/>
      </c>
      <c r="AP111" s="56">
        <f>IF(AP$2=Payroll!$I12,Payroll!$F12,IF(AP$2&gt;Payroll!$I12,Payroll!$F12*((1+Payroll!$J12)^(ROUNDDOWN(DATEDIF(Payroll!$I12,AP$2,"M")/Payroll!$K12,0))),0))</f>
        <v/>
      </c>
      <c r="AQ111" s="56">
        <f>IF(AQ$2=Payroll!$I12,Payroll!$F12,IF(AQ$2&gt;Payroll!$I12,Payroll!$F12*((1+Payroll!$J12)^(ROUNDDOWN(DATEDIF(Payroll!$I12,AQ$2,"M")/Payroll!$K12,0))),0))</f>
        <v/>
      </c>
      <c r="AR111" s="56">
        <f>IF(AR$2=Payroll!$I12,Payroll!$F12,IF(AR$2&gt;Payroll!$I12,Payroll!$F12*((1+Payroll!$J12)^(ROUNDDOWN(DATEDIF(Payroll!$I12,AR$2,"M")/Payroll!$K12,0))),0))</f>
        <v/>
      </c>
      <c r="AS111" s="56">
        <f>IF(AS$2=Payroll!$I12,Payroll!$F12,IF(AS$2&gt;Payroll!$I12,Payroll!$F12*((1+Payroll!$J12)^(ROUNDDOWN(DATEDIF(Payroll!$I12,AS$2,"M")/Payroll!$K12,0))),0))</f>
        <v/>
      </c>
      <c r="AT111" s="56">
        <f>IF(AT$2=Payroll!$I12,Payroll!$F12,IF(AT$2&gt;Payroll!$I12,Payroll!$F12*((1+Payroll!$J12)^(ROUNDDOWN(DATEDIF(Payroll!$I12,AT$2,"M")/Payroll!$K12,0))),0))</f>
        <v/>
      </c>
      <c r="AU111" s="56">
        <f>IF(AU$2=Payroll!$I12,Payroll!$F12,IF(AU$2&gt;Payroll!$I12,Payroll!$F12*((1+Payroll!$J12)^(ROUNDDOWN(DATEDIF(Payroll!$I12,AU$2,"M")/Payroll!$K12,0))),0))</f>
        <v/>
      </c>
      <c r="AV111" s="56">
        <f>IF(AV$2=Payroll!$I12,Payroll!$F12,IF(AV$2&gt;Payroll!$I12,Payroll!$F12*((1+Payroll!$J12)^(ROUNDDOWN(DATEDIF(Payroll!$I12,AV$2,"M")/Payroll!$K12,0))),0))</f>
        <v/>
      </c>
      <c r="AW111" s="56">
        <f>IF(AW$2=Payroll!$I12,Payroll!$F12,IF(AW$2&gt;Payroll!$I12,Payroll!$F12*((1+Payroll!$J12)^(ROUNDDOWN(DATEDIF(Payroll!$I12,AW$2,"M")/Payroll!$K12,0))),0))</f>
        <v/>
      </c>
      <c r="AX111" s="56">
        <f>IF(AX$2=Payroll!$I12,Payroll!$F12,IF(AX$2&gt;Payroll!$I12,Payroll!$F12*((1+Payroll!$J12)^(ROUNDDOWN(DATEDIF(Payroll!$I12,AX$2,"M")/Payroll!$K12,0))),0))</f>
        <v/>
      </c>
      <c r="AY111" s="56">
        <f>IF(AY$2=Payroll!$I12,Payroll!$F12,IF(AY$2&gt;Payroll!$I12,Payroll!$F12*((1+Payroll!$J12)^(ROUNDDOWN(DATEDIF(Payroll!$I12,AY$2,"M")/Payroll!$K12,0))),0))</f>
        <v/>
      </c>
      <c r="AZ111" s="56">
        <f>IF(AZ$2=Payroll!$I12,Payroll!$F12,IF(AZ$2&gt;Payroll!$I12,Payroll!$F12*((1+Payroll!$J12)^(ROUNDDOWN(DATEDIF(Payroll!$I12,AZ$2,"M")/Payroll!$K12,0))),0))</f>
        <v/>
      </c>
      <c r="BA111" s="56">
        <f>IF(BA$2=Payroll!$I12,Payroll!$F12,IF(BA$2&gt;Payroll!$I12,Payroll!$F12*((1+Payroll!$J12)^(ROUNDDOWN(DATEDIF(Payroll!$I12,BA$2,"M")/Payroll!$K12,0))),0))</f>
        <v/>
      </c>
      <c r="BB111" s="56">
        <f>IF(BB$2=Payroll!$I12,Payroll!$F12,IF(BB$2&gt;Payroll!$I12,Payroll!$F12*((1+Payroll!$J12)^(ROUNDDOWN(DATEDIF(Payroll!$I12,BB$2,"M")/Payroll!$K12,0))),0))</f>
        <v/>
      </c>
      <c r="BC111" s="56">
        <f>IF(BC$2=Payroll!$I12,Payroll!$F12,IF(BC$2&gt;Payroll!$I12,Payroll!$F12*((1+Payroll!$J12)^(ROUNDDOWN(DATEDIF(Payroll!$I12,BC$2,"M")/Payroll!$K12,0))),0))</f>
        <v/>
      </c>
      <c r="BD111" s="56">
        <f>IF(BD$2=Payroll!$I12,Payroll!$F12,IF(BD$2&gt;Payroll!$I12,Payroll!$F12*((1+Payroll!$J12)^(ROUNDDOWN(DATEDIF(Payroll!$I12,BD$2,"M")/Payroll!$K12,0))),0))</f>
        <v/>
      </c>
      <c r="BE111" s="56">
        <f>IF(BE$2=Payroll!$I12,Payroll!$F12,IF(BE$2&gt;Payroll!$I12,Payroll!$F12*((1+Payroll!$J12)^(ROUNDDOWN(DATEDIF(Payroll!$I12,BE$2,"M")/Payroll!$K12,0))),0))</f>
        <v/>
      </c>
      <c r="BF111" s="56">
        <f>IF(BF$2=Payroll!$I12,Payroll!$F12,IF(BF$2&gt;Payroll!$I12,Payroll!$F12*((1+Payroll!$J12)^(ROUNDDOWN(DATEDIF(Payroll!$I12,BF$2,"M")/Payroll!$K12,0))),0))</f>
        <v/>
      </c>
      <c r="BG111" s="56">
        <f>IF(BG$2=Payroll!$I12,Payroll!$F12,IF(BG$2&gt;Payroll!$I12,Payroll!$F12*((1+Payroll!$J12)^(ROUNDDOWN(DATEDIF(Payroll!$I12,BG$2,"M")/Payroll!$K12,0))),0))</f>
        <v/>
      </c>
      <c r="BH111" s="56">
        <f>IF(BH$2=Payroll!$I12,Payroll!$F12,IF(BH$2&gt;Payroll!$I12,Payroll!$F12*((1+Payroll!$J12)^(ROUNDDOWN(DATEDIF(Payroll!$I12,BH$2,"M")/Payroll!$K12,0))),0))</f>
        <v/>
      </c>
      <c r="BI111" s="56">
        <f>IF(BI$2=Payroll!$I12,Payroll!$F12,IF(BI$2&gt;Payroll!$I12,Payroll!$F12*((1+Payroll!$J12)^(ROUNDDOWN(DATEDIF(Payroll!$I12,BI$2,"M")/Payroll!$K12,0))),0))</f>
        <v/>
      </c>
      <c r="BJ111" s="56">
        <f>IF(BJ$2=Payroll!$I12,Payroll!$F12,IF(BJ$2&gt;Payroll!$I12,Payroll!$F12*((1+Payroll!$J12)^(ROUNDDOWN(DATEDIF(Payroll!$I12,BJ$2,"M")/Payroll!$K12,0))),0))</f>
        <v/>
      </c>
      <c r="BK111" s="56">
        <f>IF(BK$2=Payroll!$I12,Payroll!$F12,IF(BK$2&gt;Payroll!$I12,Payroll!$F12*((1+Payroll!$J12)^(ROUNDDOWN(DATEDIF(Payroll!$I12,BK$2,"M")/Payroll!$K12,0))),0))</f>
        <v/>
      </c>
      <c r="BL111" s="56">
        <f>IF(BL$2=Payroll!$I12,Payroll!$F12,IF(BL$2&gt;Payroll!$I12,Payroll!$F12*((1+Payroll!$J12)^(ROUNDDOWN(DATEDIF(Payroll!$I12,BL$2,"M")/Payroll!$K12,0))),0))</f>
        <v/>
      </c>
      <c r="BM111" s="56">
        <f>IF(BM$2=Payroll!$I12,Payroll!$F12,IF(BM$2&gt;Payroll!$I12,Payroll!$F12*((1+Payroll!$J12)^(ROUNDDOWN(DATEDIF(Payroll!$I12,BM$2,"M")/Payroll!$K12,0))),0))</f>
        <v/>
      </c>
      <c r="BN111" s="56">
        <f>IF(BN$2=Payroll!$I12,Payroll!$F12,IF(BN$2&gt;Payroll!$I12,Payroll!$F12*((1+Payroll!$J12)^(ROUNDDOWN(DATEDIF(Payroll!$I12,BN$2,"M")/Payroll!$K12,0))),0))</f>
        <v/>
      </c>
      <c r="BO111" s="56">
        <f>IF(BO$2=Payroll!$I12,Payroll!$F12,IF(BO$2&gt;Payroll!$I12,Payroll!$F12*((1+Payroll!$J12)^(ROUNDDOWN(DATEDIF(Payroll!$I12,BO$2,"M")/Payroll!$K12,0))),0))</f>
        <v/>
      </c>
      <c r="BP111" s="56">
        <f>IF(BP$2=Payroll!$I12,Payroll!$F12,IF(BP$2&gt;Payroll!$I12,Payroll!$F12*((1+Payroll!$J12)^(ROUNDDOWN(DATEDIF(Payroll!$I12,BP$2,"M")/Payroll!$K12,0))),0))</f>
        <v/>
      </c>
      <c r="BQ111" s="56">
        <f>IF(BQ$2=Payroll!$I12,Payroll!$F12,IF(BQ$2&gt;Payroll!$I12,Payroll!$F12*((1+Payroll!$J12)^(ROUNDDOWN(DATEDIF(Payroll!$I12,BQ$2,"M")/Payroll!$K12,0))),0))</f>
        <v/>
      </c>
      <c r="BR111" s="56">
        <f>IF(BR$2=Payroll!$I12,Payroll!$F12,IF(BR$2&gt;Payroll!$I12,Payroll!$F12*((1+Payroll!$J12)^(ROUNDDOWN(DATEDIF(Payroll!$I12,BR$2,"M")/Payroll!$K12,0))),0))</f>
        <v/>
      </c>
      <c r="BS111" s="56">
        <f>IF(BS$2=Payroll!$I12,Payroll!$F12,IF(BS$2&gt;Payroll!$I12,Payroll!$F12*((1+Payroll!$J12)^(ROUNDDOWN(DATEDIF(Payroll!$I12,BS$2,"M")/Payroll!$K12,0))),0))</f>
        <v/>
      </c>
      <c r="BT111" s="56">
        <f>IF(BT$2=Payroll!$I12,Payroll!$F12,IF(BT$2&gt;Payroll!$I12,Payroll!$F12*((1+Payroll!$J12)^(ROUNDDOWN(DATEDIF(Payroll!$I12,BT$2,"M")/Payroll!$K12,0))),0))</f>
        <v/>
      </c>
      <c r="BU111" s="56">
        <f>IF(BU$2=Payroll!$I12,Payroll!$F12,IF(BU$2&gt;Payroll!$I12,Payroll!$F12*((1+Payroll!$J12)^(ROUNDDOWN(DATEDIF(Payroll!$I12,BU$2,"M")/Payroll!$K12,0))),0))</f>
        <v/>
      </c>
      <c r="BV111" s="56">
        <f>IF(BV$2=Payroll!$I12,Payroll!$F12,IF(BV$2&gt;Payroll!$I12,Payroll!$F12*((1+Payroll!$J12)^(ROUNDDOWN(DATEDIF(Payroll!$I12,BV$2,"M")/Payroll!$K12,0))),0))</f>
        <v/>
      </c>
      <c r="BW111" s="56">
        <f>IF(BW$2=Payroll!$I12,Payroll!$F12,IF(BW$2&gt;Payroll!$I12,Payroll!$F12*((1+Payroll!$J12)^(ROUNDDOWN(DATEDIF(Payroll!$I12,BW$2,"M")/Payroll!$K12,0))),0))</f>
        <v/>
      </c>
      <c r="BX111" s="56">
        <f>IF(BX$2=Payroll!$I12,Payroll!$F12,IF(BX$2&gt;Payroll!$I12,Payroll!$F12*((1+Payroll!$J12)^(ROUNDDOWN(DATEDIF(Payroll!$I12,BX$2,"M")/Payroll!$K12,0))),0))</f>
        <v/>
      </c>
      <c r="BY111" s="56">
        <f>IF(BY$2=Payroll!$I12,Payroll!$F12,IF(BY$2&gt;Payroll!$I12,Payroll!$F12*((1+Payroll!$J12)^(ROUNDDOWN(DATEDIF(Payroll!$I12,BY$2,"M")/Payroll!$K12,0))),0))</f>
        <v/>
      </c>
      <c r="BZ111" s="56">
        <f>IF(BZ$2=Payroll!$I12,Payroll!$F12,IF(BZ$2&gt;Payroll!$I12,Payroll!$F12*((1+Payroll!$J12)^(ROUNDDOWN(DATEDIF(Payroll!$I12,BZ$2,"M")/Payroll!$K12,0))),0))</f>
        <v/>
      </c>
      <c r="CA111" s="56">
        <f>IF(CA$2=Payroll!$I12,Payroll!$F12,IF(CA$2&gt;Payroll!$I12,Payroll!$F12*((1+Payroll!$J12)^(ROUNDDOWN(DATEDIF(Payroll!$I12,CA$2,"M")/Payroll!$K12,0))),0))</f>
        <v/>
      </c>
      <c r="CB111" s="56">
        <f>IF(CB$2=Payroll!$I12,Payroll!$F12,IF(CB$2&gt;Payroll!$I12,Payroll!$F12*((1+Payroll!$J12)^(ROUNDDOWN(DATEDIF(Payroll!$I12,CB$2,"M")/Payroll!$K12,0))),0))</f>
        <v/>
      </c>
      <c r="CC111" s="56">
        <f>IF(CC$2=Payroll!$I12,Payroll!$F12,IF(CC$2&gt;Payroll!$I12,Payroll!$F12*((1+Payroll!$J12)^(ROUNDDOWN(DATEDIF(Payroll!$I12,CC$2,"M")/Payroll!$K12,0))),0))</f>
        <v/>
      </c>
      <c r="CD111" s="56">
        <f>IF(CD$2=Payroll!$I12,Payroll!$F12,IF(CD$2&gt;Payroll!$I12,Payroll!$F12*((1+Payroll!$J12)^(ROUNDDOWN(DATEDIF(Payroll!$I12,CD$2,"M")/Payroll!$K12,0))),0))</f>
        <v/>
      </c>
      <c r="CE111" s="56">
        <f>IF(CE$2=Payroll!$I12,Payroll!$F12,IF(CE$2&gt;Payroll!$I12,Payroll!$F12*((1+Payroll!$J12)^(ROUNDDOWN(DATEDIF(Payroll!$I12,CE$2,"M")/Payroll!$K12,0))),0))</f>
        <v/>
      </c>
      <c r="CF111" s="56">
        <f>IF(CF$2=Payroll!$I12,Payroll!$F12,IF(CF$2&gt;Payroll!$I12,Payroll!$F12*((1+Payroll!$J12)^(ROUNDDOWN(DATEDIF(Payroll!$I12,CF$2,"M")/Payroll!$K12,0))),0))</f>
        <v/>
      </c>
      <c r="CG111" s="56">
        <f>IF(CG$2=Payroll!$I12,Payroll!$F12,IF(CG$2&gt;Payroll!$I12,Payroll!$F12*((1+Payroll!$J12)^(ROUNDDOWN(DATEDIF(Payroll!$I12,CG$2,"M")/Payroll!$K12,0))),0))</f>
        <v/>
      </c>
      <c r="CH111" s="56">
        <f>IF(CH$2=Payroll!$I12,Payroll!$F12,IF(CH$2&gt;Payroll!$I12,Payroll!$F12*((1+Payroll!$J12)^(ROUNDDOWN(DATEDIF(Payroll!$I12,CH$2,"M")/Payroll!$K12,0))),0))</f>
        <v/>
      </c>
      <c r="CI111" s="56">
        <f>IF(CI$2=Payroll!$I12,Payroll!$F12,IF(CI$2&gt;Payroll!$I12,Payroll!$F12*((1+Payroll!$J12)^(ROUNDDOWN(DATEDIF(Payroll!$I12,CI$2,"M")/Payroll!$K12,0))),0))</f>
        <v/>
      </c>
      <c r="CJ111" s="56">
        <f>IF(CJ$2=Payroll!$I12,Payroll!$F12,IF(CJ$2&gt;Payroll!$I12,Payroll!$F12*((1+Payroll!$J12)^(ROUNDDOWN(DATEDIF(Payroll!$I12,CJ$2,"M")/Payroll!$K12,0))),0))</f>
        <v/>
      </c>
      <c r="CK111" s="56">
        <f>IF(CK$2=Payroll!$I12,Payroll!$F12,IF(CK$2&gt;Payroll!$I12,Payroll!$F12*((1+Payroll!$J12)^(ROUNDDOWN(DATEDIF(Payroll!$I12,CK$2,"M")/Payroll!$K12,0))),0))</f>
        <v/>
      </c>
      <c r="CL111" s="56">
        <f>IF(CL$2=Payroll!$I12,Payroll!$F12,IF(CL$2&gt;Payroll!$I12,Payroll!$F12*((1+Payroll!$J12)^(ROUNDDOWN(DATEDIF(Payroll!$I12,CL$2,"M")/Payroll!$K12,0))),0))</f>
        <v/>
      </c>
      <c r="CM111" s="56">
        <f>IF(CM$2=Payroll!$I12,Payroll!$F12,IF(CM$2&gt;Payroll!$I12,Payroll!$F12*((1+Payroll!$J12)^(ROUNDDOWN(DATEDIF(Payroll!$I12,CM$2,"M")/Payroll!$K12,0))),0))</f>
        <v/>
      </c>
      <c r="CN111" s="56">
        <f>IF(CN$2=Payroll!$I12,Payroll!$F12,IF(CN$2&gt;Payroll!$I12,Payroll!$F12*((1+Payroll!$J12)^(ROUNDDOWN(DATEDIF(Payroll!$I12,CN$2,"M")/Payroll!$K12,0))),0))</f>
        <v/>
      </c>
      <c r="CO111" s="56">
        <f>IF(CO$2=Payroll!$I12,Payroll!$F12,IF(CO$2&gt;Payroll!$I12,Payroll!$F12*((1+Payroll!$J12)^(ROUNDDOWN(DATEDIF(Payroll!$I12,CO$2,"M")/Payroll!$K12,0))),0))</f>
        <v/>
      </c>
      <c r="CP111" s="56">
        <f>IF(CP$2=Payroll!$I12,Payroll!$F12,IF(CP$2&gt;Payroll!$I12,Payroll!$F12*((1+Payroll!$J12)^(ROUNDDOWN(DATEDIF(Payroll!$I12,CP$2,"M")/Payroll!$K12,0))),0))</f>
        <v/>
      </c>
      <c r="CQ111" s="56">
        <f>IF(CQ$2=Payroll!$I12,Payroll!$F12,IF(CQ$2&gt;Payroll!$I12,Payroll!$F12*((1+Payroll!$J12)^(ROUNDDOWN(DATEDIF(Payroll!$I12,CQ$2,"M")/Payroll!$K12,0))),0))</f>
        <v/>
      </c>
      <c r="CR111" s="56">
        <f>IF(CR$2=Payroll!$I12,Payroll!$F12,IF(CR$2&gt;Payroll!$I12,Payroll!$F12*((1+Payroll!$J12)^(ROUNDDOWN(DATEDIF(Payroll!$I12,CR$2,"M")/Payroll!$K12,0))),0))</f>
        <v/>
      </c>
      <c r="CS111" s="56">
        <f>IF(CS$2=Payroll!$I12,Payroll!$F12,IF(CS$2&gt;Payroll!$I12,Payroll!$F12*((1+Payroll!$J12)^(ROUNDDOWN(DATEDIF(Payroll!$I12,CS$2,"M")/Payroll!$K12,0))),0))</f>
        <v/>
      </c>
      <c r="CT111" s="56">
        <f>IF(CT$2=Payroll!$I12,Payroll!$F12,IF(CT$2&gt;Payroll!$I12,Payroll!$F12*((1+Payroll!$J12)^(ROUNDDOWN(DATEDIF(Payroll!$I12,CT$2,"M")/Payroll!$K12,0))),0))</f>
        <v/>
      </c>
      <c r="CU111" s="56">
        <f>IF(CU$2=Payroll!$I12,Payroll!$F12,IF(CU$2&gt;Payroll!$I12,Payroll!$F12*((1+Payroll!$J12)^(ROUNDDOWN(DATEDIF(Payroll!$I12,CU$2,"M")/Payroll!$K12,0))),0))</f>
        <v/>
      </c>
      <c r="CV111" s="56">
        <f>IF(CV$2=Payroll!$I12,Payroll!$F12,IF(CV$2&gt;Payroll!$I12,Payroll!$F12*((1+Payroll!$J12)^(ROUNDDOWN(DATEDIF(Payroll!$I12,CV$2,"M")/Payroll!$K12,0))),0))</f>
        <v/>
      </c>
      <c r="CW111" s="56">
        <f>IF(CW$2=Payroll!$I12,Payroll!$F12,IF(CW$2&gt;Payroll!$I12,Payroll!$F12*((1+Payroll!$J12)^(ROUNDDOWN(DATEDIF(Payroll!$I12,CW$2,"M")/Payroll!$K12,0))),0))</f>
        <v/>
      </c>
      <c r="CX111" s="56">
        <f>IF(CX$2=Payroll!$I12,Payroll!$F12,IF(CX$2&gt;Payroll!$I12,Payroll!$F12*((1+Payroll!$J12)^(ROUNDDOWN(DATEDIF(Payroll!$I12,CX$2,"M")/Payroll!$K12,0))),0))</f>
        <v/>
      </c>
    </row>
    <row r="112" outlineLevel="2" ht="15.75" customHeight="1" s="255">
      <c r="A112" s="56">
        <f>Payroll!A13</f>
        <v/>
      </c>
      <c r="B112" s="56" t="n"/>
      <c r="C112" s="56" t="n"/>
      <c r="D112" s="56" t="n"/>
      <c r="E112" s="56">
        <f>IF(E$2=Payroll!$I13,Payroll!$F13,IF(E$2&gt;Payroll!$I13,Payroll!$F13*((1+Payroll!$J13)^(ROUNDDOWN(DATEDIF(Payroll!$I13,E$2,"M")/Payroll!$K13,0))),0))</f>
        <v/>
      </c>
      <c r="F112" s="56">
        <f>IF(F$2=Payroll!$I13,Payroll!$F13,IF(F$2&gt;Payroll!$I13,Payroll!$F13*((1+Payroll!$J13)^(ROUNDDOWN(DATEDIF(Payroll!$I13,F$2,"M")/Payroll!$K13,0))),0))</f>
        <v/>
      </c>
      <c r="G112" s="56">
        <f>IF(G$2=Payroll!$I13,Payroll!$F13,IF(G$2&gt;Payroll!$I13,Payroll!$F13*((1+Payroll!$J13)^(ROUNDDOWN(DATEDIF(Payroll!$I13,G$2,"M")/Payroll!$K13,0))),0))</f>
        <v/>
      </c>
      <c r="H112" s="56">
        <f>IF(H$2=Payroll!$I13,Payroll!$F13,IF(H$2&gt;Payroll!$I13,Payroll!$F13*((1+Payroll!$J13)^(ROUNDDOWN(DATEDIF(Payroll!$I13,H$2,"M")/Payroll!$K13,0))),0))</f>
        <v/>
      </c>
      <c r="I112" s="56">
        <f>IF(I$2=Payroll!$I13,Payroll!$F13,IF(I$2&gt;Payroll!$I13,Payroll!$F13*((1+Payroll!$J13)^(ROUNDDOWN(DATEDIF(Payroll!$I13,I$2,"M")/Payroll!$K13,0))),0))</f>
        <v/>
      </c>
      <c r="J112" s="56">
        <f>IF(J$2=Payroll!$I13,Payroll!$F13,IF(J$2&gt;Payroll!$I13,Payroll!$F13*((1+Payroll!$J13)^(ROUNDDOWN(DATEDIF(Payroll!$I13,J$2,"M")/Payroll!$K13,0))),0))</f>
        <v/>
      </c>
      <c r="K112" s="56">
        <f>IF(K$2=Payroll!$I13,Payroll!$F13,IF(K$2&gt;Payroll!$I13,Payroll!$F13*((1+Payroll!$J13)^(ROUNDDOWN(DATEDIF(Payroll!$I13,K$2,"M")/Payroll!$K13,0))),0))</f>
        <v/>
      </c>
      <c r="L112" s="56">
        <f>IF(L$2=Payroll!$I13,Payroll!$F13,IF(L$2&gt;Payroll!$I13,Payroll!$F13*((1+Payroll!$J13)^(ROUNDDOWN(DATEDIF(Payroll!$I13,L$2,"M")/Payroll!$K13,0))),0))</f>
        <v/>
      </c>
      <c r="M112" s="56">
        <f>IF(M$2=Payroll!$I13,Payroll!$F13,IF(M$2&gt;Payroll!$I13,Payroll!$F13*((1+Payroll!$J13)^(ROUNDDOWN(DATEDIF(Payroll!$I13,M$2,"M")/Payroll!$K13,0))),0))</f>
        <v/>
      </c>
      <c r="N112" s="56">
        <f>IF(N$2=Payroll!$I13,Payroll!$F13,IF(N$2&gt;Payroll!$I13,Payroll!$F13*((1+Payroll!$J13)^(ROUNDDOWN(DATEDIF(Payroll!$I13,N$2,"M")/Payroll!$K13,0))),0))</f>
        <v/>
      </c>
      <c r="O112" s="56">
        <f>IF(O$2=Payroll!$I13,Payroll!$F13,IF(O$2&gt;Payroll!$I13,Payroll!$F13*((1+Payroll!$J13)^(ROUNDDOWN(DATEDIF(Payroll!$I13,O$2,"M")/Payroll!$K13,0))),0))</f>
        <v/>
      </c>
      <c r="P112" s="56">
        <f>IF(P$2=Payroll!$I13,Payroll!$F13,IF(P$2&gt;Payroll!$I13,Payroll!$F13*((1+Payroll!$J13)^(ROUNDDOWN(DATEDIF(Payroll!$I13,P$2,"M")/Payroll!$K13,0))),0))</f>
        <v/>
      </c>
      <c r="Q112" s="56">
        <f>IF(Q$2=Payroll!$I13,Payroll!$F13,IF(Q$2&gt;Payroll!$I13,Payroll!$F13*((1+Payroll!$J13)^(ROUNDDOWN(DATEDIF(Payroll!$I13,Q$2,"M")/Payroll!$K13,0))),0))</f>
        <v/>
      </c>
      <c r="R112" s="56">
        <f>IF(R$2=Payroll!$I13,Payroll!$F13,IF(R$2&gt;Payroll!$I13,Payroll!$F13*((1+Payroll!$J13)^(ROUNDDOWN(DATEDIF(Payroll!$I13,R$2,"M")/Payroll!$K13,0))),0))</f>
        <v/>
      </c>
      <c r="S112" s="56">
        <f>IF(S$2=Payroll!$I13,Payroll!$F13,IF(S$2&gt;Payroll!$I13,Payroll!$F13*((1+Payroll!$J13)^(ROUNDDOWN(DATEDIF(Payroll!$I13,S$2,"M")/Payroll!$K13,0))),0))</f>
        <v/>
      </c>
      <c r="T112" s="56">
        <f>IF(T$2=Payroll!$I13,Payroll!$F13,IF(T$2&gt;Payroll!$I13,Payroll!$F13*((1+Payroll!$J13)^(ROUNDDOWN(DATEDIF(Payroll!$I13,T$2,"M")/Payroll!$K13,0))),0))</f>
        <v/>
      </c>
      <c r="U112" s="56">
        <f>IF(U$2=Payroll!$I13,Payroll!$F13,IF(U$2&gt;Payroll!$I13,Payroll!$F13*((1+Payroll!$J13)^(ROUNDDOWN(DATEDIF(Payroll!$I13,U$2,"M")/Payroll!$K13,0))),0))</f>
        <v/>
      </c>
      <c r="V112" s="56">
        <f>IF(V$2=Payroll!$I13,Payroll!$F13,IF(V$2&gt;Payroll!$I13,Payroll!$F13*((1+Payroll!$J13)^(ROUNDDOWN(DATEDIF(Payroll!$I13,V$2,"M")/Payroll!$K13,0))),0))</f>
        <v/>
      </c>
      <c r="W112" s="56">
        <f>IF(W$2=Payroll!$I13,Payroll!$F13,IF(W$2&gt;Payroll!$I13,Payroll!$F13*((1+Payroll!$J13)^(ROUNDDOWN(DATEDIF(Payroll!$I13,W$2,"M")/Payroll!$K13,0))),0))</f>
        <v/>
      </c>
      <c r="X112" s="56">
        <f>IF(X$2=Payroll!$I13,Payroll!$F13,IF(X$2&gt;Payroll!$I13,Payroll!$F13*((1+Payroll!$J13)^(ROUNDDOWN(DATEDIF(Payroll!$I13,X$2,"M")/Payroll!$K13,0))),0))</f>
        <v/>
      </c>
      <c r="Y112" s="56">
        <f>IF(Y$2=Payroll!$I13,Payroll!$F13,IF(Y$2&gt;Payroll!$I13,Payroll!$F13*((1+Payroll!$J13)^(ROUNDDOWN(DATEDIF(Payroll!$I13,Y$2,"M")/Payroll!$K13,0))),0))</f>
        <v/>
      </c>
      <c r="Z112" s="56">
        <f>IF(Z$2=Payroll!$I13,Payroll!$F13,IF(Z$2&gt;Payroll!$I13,Payroll!$F13*((1+Payroll!$J13)^(ROUNDDOWN(DATEDIF(Payroll!$I13,Z$2,"M")/Payroll!$K13,0))),0))</f>
        <v/>
      </c>
      <c r="AA112" s="56">
        <f>IF(AA$2=Payroll!$I13,Payroll!$F13,IF(AA$2&gt;Payroll!$I13,Payroll!$F13*((1+Payroll!$J13)^(ROUNDDOWN(DATEDIF(Payroll!$I13,AA$2,"M")/Payroll!$K13,0))),0))</f>
        <v/>
      </c>
      <c r="AB112" s="56">
        <f>IF(AB$2=Payroll!$I13,Payroll!$F13,IF(AB$2&gt;Payroll!$I13,Payroll!$F13*((1+Payroll!$J13)^(ROUNDDOWN(DATEDIF(Payroll!$I13,AB$2,"M")/Payroll!$K13,0))),0))</f>
        <v/>
      </c>
      <c r="AC112" s="56">
        <f>IF(AC$2=Payroll!$I13,Payroll!$F13,IF(AC$2&gt;Payroll!$I13,Payroll!$F13*((1+Payroll!$J13)^(ROUNDDOWN(DATEDIF(Payroll!$I13,AC$2,"M")/Payroll!$K13,0))),0))</f>
        <v/>
      </c>
      <c r="AD112" s="56">
        <f>IF(AD$2=Payroll!$I13,Payroll!$F13,IF(AD$2&gt;Payroll!$I13,Payroll!$F13*((1+Payroll!$J13)^(ROUNDDOWN(DATEDIF(Payroll!$I13,AD$2,"M")/Payroll!$K13,0))),0))</f>
        <v/>
      </c>
      <c r="AE112" s="56">
        <f>IF(AE$2=Payroll!$I13,Payroll!$F13,IF(AE$2&gt;Payroll!$I13,Payroll!$F13*((1+Payroll!$J13)^(ROUNDDOWN(DATEDIF(Payroll!$I13,AE$2,"M")/Payroll!$K13,0))),0))</f>
        <v/>
      </c>
      <c r="AF112" s="56">
        <f>IF(AF$2=Payroll!$I13,Payroll!$F13,IF(AF$2&gt;Payroll!$I13,Payroll!$F13*((1+Payroll!$J13)^(ROUNDDOWN(DATEDIF(Payroll!$I13,AF$2,"M")/Payroll!$K13,0))),0))</f>
        <v/>
      </c>
      <c r="AG112" s="56">
        <f>IF(AG$2=Payroll!$I13,Payroll!$F13,IF(AG$2&gt;Payroll!$I13,Payroll!$F13*((1+Payroll!$J13)^(ROUNDDOWN(DATEDIF(Payroll!$I13,AG$2,"M")/Payroll!$K13,0))),0))</f>
        <v/>
      </c>
      <c r="AH112" s="56">
        <f>IF(AH$2=Payroll!$I13,Payroll!$F13,IF(AH$2&gt;Payroll!$I13,Payroll!$F13*((1+Payroll!$J13)^(ROUNDDOWN(DATEDIF(Payroll!$I13,AH$2,"M")/Payroll!$K13,0))),0))</f>
        <v/>
      </c>
      <c r="AI112" s="56">
        <f>IF(AI$2=Payroll!$I13,Payroll!$F13,IF(AI$2&gt;Payroll!$I13,Payroll!$F13*((1+Payroll!$J13)^(ROUNDDOWN(DATEDIF(Payroll!$I13,AI$2,"M")/Payroll!$K13,0))),0))</f>
        <v/>
      </c>
      <c r="AJ112" s="56">
        <f>IF(AJ$2=Payroll!$I13,Payroll!$F13,IF(AJ$2&gt;Payroll!$I13,Payroll!$F13*((1+Payroll!$J13)^(ROUNDDOWN(DATEDIF(Payroll!$I13,AJ$2,"M")/Payroll!$K13,0))),0))</f>
        <v/>
      </c>
      <c r="AK112" s="56">
        <f>IF(AK$2=Payroll!$I13,Payroll!$F13,IF(AK$2&gt;Payroll!$I13,Payroll!$F13*((1+Payroll!$J13)^(ROUNDDOWN(DATEDIF(Payroll!$I13,AK$2,"M")/Payroll!$K13,0))),0))</f>
        <v/>
      </c>
      <c r="AL112" s="56">
        <f>IF(AL$2=Payroll!$I13,Payroll!$F13,IF(AL$2&gt;Payroll!$I13,Payroll!$F13*((1+Payroll!$J13)^(ROUNDDOWN(DATEDIF(Payroll!$I13,AL$2,"M")/Payroll!$K13,0))),0))</f>
        <v/>
      </c>
      <c r="AM112" s="56">
        <f>IF(AM$2=Payroll!$I13,Payroll!$F13,IF(AM$2&gt;Payroll!$I13,Payroll!$F13*((1+Payroll!$J13)^(ROUNDDOWN(DATEDIF(Payroll!$I13,AM$2,"M")/Payroll!$K13,0))),0))</f>
        <v/>
      </c>
      <c r="AN112" s="56">
        <f>IF(AN$2=Payroll!$I13,Payroll!$F13,IF(AN$2&gt;Payroll!$I13,Payroll!$F13*((1+Payroll!$J13)^(ROUNDDOWN(DATEDIF(Payroll!$I13,AN$2,"M")/Payroll!$K13,0))),0))</f>
        <v/>
      </c>
      <c r="AO112" s="56">
        <f>IF(AO$2=Payroll!$I13,Payroll!$F13,IF(AO$2&gt;Payroll!$I13,Payroll!$F13*((1+Payroll!$J13)^(ROUNDDOWN(DATEDIF(Payroll!$I13,AO$2,"M")/Payroll!$K13,0))),0))</f>
        <v/>
      </c>
      <c r="AP112" s="56">
        <f>IF(AP$2=Payroll!$I13,Payroll!$F13,IF(AP$2&gt;Payroll!$I13,Payroll!$F13*((1+Payroll!$J13)^(ROUNDDOWN(DATEDIF(Payroll!$I13,AP$2,"M")/Payroll!$K13,0))),0))</f>
        <v/>
      </c>
      <c r="AQ112" s="56">
        <f>IF(AQ$2=Payroll!$I13,Payroll!$F13,IF(AQ$2&gt;Payroll!$I13,Payroll!$F13*((1+Payroll!$J13)^(ROUNDDOWN(DATEDIF(Payroll!$I13,AQ$2,"M")/Payroll!$K13,0))),0))</f>
        <v/>
      </c>
      <c r="AR112" s="56">
        <f>IF(AR$2=Payroll!$I13,Payroll!$F13,IF(AR$2&gt;Payroll!$I13,Payroll!$F13*((1+Payroll!$J13)^(ROUNDDOWN(DATEDIF(Payroll!$I13,AR$2,"M")/Payroll!$K13,0))),0))</f>
        <v/>
      </c>
      <c r="AS112" s="56">
        <f>IF(AS$2=Payroll!$I13,Payroll!$F13,IF(AS$2&gt;Payroll!$I13,Payroll!$F13*((1+Payroll!$J13)^(ROUNDDOWN(DATEDIF(Payroll!$I13,AS$2,"M")/Payroll!$K13,0))),0))</f>
        <v/>
      </c>
      <c r="AT112" s="56">
        <f>IF(AT$2=Payroll!$I13,Payroll!$F13,IF(AT$2&gt;Payroll!$I13,Payroll!$F13*((1+Payroll!$J13)^(ROUNDDOWN(DATEDIF(Payroll!$I13,AT$2,"M")/Payroll!$K13,0))),0))</f>
        <v/>
      </c>
      <c r="AU112" s="56">
        <f>IF(AU$2=Payroll!$I13,Payroll!$F13,IF(AU$2&gt;Payroll!$I13,Payroll!$F13*((1+Payroll!$J13)^(ROUNDDOWN(DATEDIF(Payroll!$I13,AU$2,"M")/Payroll!$K13,0))),0))</f>
        <v/>
      </c>
      <c r="AV112" s="56">
        <f>IF(AV$2=Payroll!$I13,Payroll!$F13,IF(AV$2&gt;Payroll!$I13,Payroll!$F13*((1+Payroll!$J13)^(ROUNDDOWN(DATEDIF(Payroll!$I13,AV$2,"M")/Payroll!$K13,0))),0))</f>
        <v/>
      </c>
      <c r="AW112" s="56">
        <f>IF(AW$2=Payroll!$I13,Payroll!$F13,IF(AW$2&gt;Payroll!$I13,Payroll!$F13*((1+Payroll!$J13)^(ROUNDDOWN(DATEDIF(Payroll!$I13,AW$2,"M")/Payroll!$K13,0))),0))</f>
        <v/>
      </c>
      <c r="AX112" s="56">
        <f>IF(AX$2=Payroll!$I13,Payroll!$F13,IF(AX$2&gt;Payroll!$I13,Payroll!$F13*((1+Payroll!$J13)^(ROUNDDOWN(DATEDIF(Payroll!$I13,AX$2,"M")/Payroll!$K13,0))),0))</f>
        <v/>
      </c>
      <c r="AY112" s="56">
        <f>IF(AY$2=Payroll!$I13,Payroll!$F13,IF(AY$2&gt;Payroll!$I13,Payroll!$F13*((1+Payroll!$J13)^(ROUNDDOWN(DATEDIF(Payroll!$I13,AY$2,"M")/Payroll!$K13,0))),0))</f>
        <v/>
      </c>
      <c r="AZ112" s="56">
        <f>IF(AZ$2=Payroll!$I13,Payroll!$F13,IF(AZ$2&gt;Payroll!$I13,Payroll!$F13*((1+Payroll!$J13)^(ROUNDDOWN(DATEDIF(Payroll!$I13,AZ$2,"M")/Payroll!$K13,0))),0))</f>
        <v/>
      </c>
      <c r="BA112" s="56">
        <f>IF(BA$2=Payroll!$I13,Payroll!$F13,IF(BA$2&gt;Payroll!$I13,Payroll!$F13*((1+Payroll!$J13)^(ROUNDDOWN(DATEDIF(Payroll!$I13,BA$2,"M")/Payroll!$K13,0))),0))</f>
        <v/>
      </c>
      <c r="BB112" s="56">
        <f>IF(BB$2=Payroll!$I13,Payroll!$F13,IF(BB$2&gt;Payroll!$I13,Payroll!$F13*((1+Payroll!$J13)^(ROUNDDOWN(DATEDIF(Payroll!$I13,BB$2,"M")/Payroll!$K13,0))),0))</f>
        <v/>
      </c>
      <c r="BC112" s="56">
        <f>IF(BC$2=Payroll!$I13,Payroll!$F13,IF(BC$2&gt;Payroll!$I13,Payroll!$F13*((1+Payroll!$J13)^(ROUNDDOWN(DATEDIF(Payroll!$I13,BC$2,"M")/Payroll!$K13,0))),0))</f>
        <v/>
      </c>
      <c r="BD112" s="56">
        <f>IF(BD$2=Payroll!$I13,Payroll!$F13,IF(BD$2&gt;Payroll!$I13,Payroll!$F13*((1+Payroll!$J13)^(ROUNDDOWN(DATEDIF(Payroll!$I13,BD$2,"M")/Payroll!$K13,0))),0))</f>
        <v/>
      </c>
      <c r="BE112" s="56">
        <f>IF(BE$2=Payroll!$I13,Payroll!$F13,IF(BE$2&gt;Payroll!$I13,Payroll!$F13*((1+Payroll!$J13)^(ROUNDDOWN(DATEDIF(Payroll!$I13,BE$2,"M")/Payroll!$K13,0))),0))</f>
        <v/>
      </c>
      <c r="BF112" s="56">
        <f>IF(BF$2=Payroll!$I13,Payroll!$F13,IF(BF$2&gt;Payroll!$I13,Payroll!$F13*((1+Payroll!$J13)^(ROUNDDOWN(DATEDIF(Payroll!$I13,BF$2,"M")/Payroll!$K13,0))),0))</f>
        <v/>
      </c>
      <c r="BG112" s="56">
        <f>IF(BG$2=Payroll!$I13,Payroll!$F13,IF(BG$2&gt;Payroll!$I13,Payroll!$F13*((1+Payroll!$J13)^(ROUNDDOWN(DATEDIF(Payroll!$I13,BG$2,"M")/Payroll!$K13,0))),0))</f>
        <v/>
      </c>
      <c r="BH112" s="56">
        <f>IF(BH$2=Payroll!$I13,Payroll!$F13,IF(BH$2&gt;Payroll!$I13,Payroll!$F13*((1+Payroll!$J13)^(ROUNDDOWN(DATEDIF(Payroll!$I13,BH$2,"M")/Payroll!$K13,0))),0))</f>
        <v/>
      </c>
      <c r="BI112" s="56">
        <f>IF(BI$2=Payroll!$I13,Payroll!$F13,IF(BI$2&gt;Payroll!$I13,Payroll!$F13*((1+Payroll!$J13)^(ROUNDDOWN(DATEDIF(Payroll!$I13,BI$2,"M")/Payroll!$K13,0))),0))</f>
        <v/>
      </c>
      <c r="BJ112" s="56">
        <f>IF(BJ$2=Payroll!$I13,Payroll!$F13,IF(BJ$2&gt;Payroll!$I13,Payroll!$F13*((1+Payroll!$J13)^(ROUNDDOWN(DATEDIF(Payroll!$I13,BJ$2,"M")/Payroll!$K13,0))),0))</f>
        <v/>
      </c>
      <c r="BK112" s="56">
        <f>IF(BK$2=Payroll!$I13,Payroll!$F13,IF(BK$2&gt;Payroll!$I13,Payroll!$F13*((1+Payroll!$J13)^(ROUNDDOWN(DATEDIF(Payroll!$I13,BK$2,"M")/Payroll!$K13,0))),0))</f>
        <v/>
      </c>
      <c r="BL112" s="56">
        <f>IF(BL$2=Payroll!$I13,Payroll!$F13,IF(BL$2&gt;Payroll!$I13,Payroll!$F13*((1+Payroll!$J13)^(ROUNDDOWN(DATEDIF(Payroll!$I13,BL$2,"M")/Payroll!$K13,0))),0))</f>
        <v/>
      </c>
      <c r="BM112" s="56">
        <f>IF(BM$2=Payroll!$I13,Payroll!$F13,IF(BM$2&gt;Payroll!$I13,Payroll!$F13*((1+Payroll!$J13)^(ROUNDDOWN(DATEDIF(Payroll!$I13,BM$2,"M")/Payroll!$K13,0))),0))</f>
        <v/>
      </c>
      <c r="BN112" s="56">
        <f>IF(BN$2=Payroll!$I13,Payroll!$F13,IF(BN$2&gt;Payroll!$I13,Payroll!$F13*((1+Payroll!$J13)^(ROUNDDOWN(DATEDIF(Payroll!$I13,BN$2,"M")/Payroll!$K13,0))),0))</f>
        <v/>
      </c>
      <c r="BO112" s="56">
        <f>IF(BO$2=Payroll!$I13,Payroll!$F13,IF(BO$2&gt;Payroll!$I13,Payroll!$F13*((1+Payroll!$J13)^(ROUNDDOWN(DATEDIF(Payroll!$I13,BO$2,"M")/Payroll!$K13,0))),0))</f>
        <v/>
      </c>
      <c r="BP112" s="56">
        <f>IF(BP$2=Payroll!$I13,Payroll!$F13,IF(BP$2&gt;Payroll!$I13,Payroll!$F13*((1+Payroll!$J13)^(ROUNDDOWN(DATEDIF(Payroll!$I13,BP$2,"M")/Payroll!$K13,0))),0))</f>
        <v/>
      </c>
      <c r="BQ112" s="56">
        <f>IF(BQ$2=Payroll!$I13,Payroll!$F13,IF(BQ$2&gt;Payroll!$I13,Payroll!$F13*((1+Payroll!$J13)^(ROUNDDOWN(DATEDIF(Payroll!$I13,BQ$2,"M")/Payroll!$K13,0))),0))</f>
        <v/>
      </c>
      <c r="BR112" s="56">
        <f>IF(BR$2=Payroll!$I13,Payroll!$F13,IF(BR$2&gt;Payroll!$I13,Payroll!$F13*((1+Payroll!$J13)^(ROUNDDOWN(DATEDIF(Payroll!$I13,BR$2,"M")/Payroll!$K13,0))),0))</f>
        <v/>
      </c>
      <c r="BS112" s="56">
        <f>IF(BS$2=Payroll!$I13,Payroll!$F13,IF(BS$2&gt;Payroll!$I13,Payroll!$F13*((1+Payroll!$J13)^(ROUNDDOWN(DATEDIF(Payroll!$I13,BS$2,"M")/Payroll!$K13,0))),0))</f>
        <v/>
      </c>
      <c r="BT112" s="56">
        <f>IF(BT$2=Payroll!$I13,Payroll!$F13,IF(BT$2&gt;Payroll!$I13,Payroll!$F13*((1+Payroll!$J13)^(ROUNDDOWN(DATEDIF(Payroll!$I13,BT$2,"M")/Payroll!$K13,0))),0))</f>
        <v/>
      </c>
      <c r="BU112" s="56">
        <f>IF(BU$2=Payroll!$I13,Payroll!$F13,IF(BU$2&gt;Payroll!$I13,Payroll!$F13*((1+Payroll!$J13)^(ROUNDDOWN(DATEDIF(Payroll!$I13,BU$2,"M")/Payroll!$K13,0))),0))</f>
        <v/>
      </c>
      <c r="BV112" s="56">
        <f>IF(BV$2=Payroll!$I13,Payroll!$F13,IF(BV$2&gt;Payroll!$I13,Payroll!$F13*((1+Payroll!$J13)^(ROUNDDOWN(DATEDIF(Payroll!$I13,BV$2,"M")/Payroll!$K13,0))),0))</f>
        <v/>
      </c>
      <c r="BW112" s="56">
        <f>IF(BW$2=Payroll!$I13,Payroll!$F13,IF(BW$2&gt;Payroll!$I13,Payroll!$F13*((1+Payroll!$J13)^(ROUNDDOWN(DATEDIF(Payroll!$I13,BW$2,"M")/Payroll!$K13,0))),0))</f>
        <v/>
      </c>
      <c r="BX112" s="56">
        <f>IF(BX$2=Payroll!$I13,Payroll!$F13,IF(BX$2&gt;Payroll!$I13,Payroll!$F13*((1+Payroll!$J13)^(ROUNDDOWN(DATEDIF(Payroll!$I13,BX$2,"M")/Payroll!$K13,0))),0))</f>
        <v/>
      </c>
      <c r="BY112" s="56">
        <f>IF(BY$2=Payroll!$I13,Payroll!$F13,IF(BY$2&gt;Payroll!$I13,Payroll!$F13*((1+Payroll!$J13)^(ROUNDDOWN(DATEDIF(Payroll!$I13,BY$2,"M")/Payroll!$K13,0))),0))</f>
        <v/>
      </c>
      <c r="BZ112" s="56">
        <f>IF(BZ$2=Payroll!$I13,Payroll!$F13,IF(BZ$2&gt;Payroll!$I13,Payroll!$F13*((1+Payroll!$J13)^(ROUNDDOWN(DATEDIF(Payroll!$I13,BZ$2,"M")/Payroll!$K13,0))),0))</f>
        <v/>
      </c>
      <c r="CA112" s="56">
        <f>IF(CA$2=Payroll!$I13,Payroll!$F13,IF(CA$2&gt;Payroll!$I13,Payroll!$F13*((1+Payroll!$J13)^(ROUNDDOWN(DATEDIF(Payroll!$I13,CA$2,"M")/Payroll!$K13,0))),0))</f>
        <v/>
      </c>
      <c r="CB112" s="56">
        <f>IF(CB$2=Payroll!$I13,Payroll!$F13,IF(CB$2&gt;Payroll!$I13,Payroll!$F13*((1+Payroll!$J13)^(ROUNDDOWN(DATEDIF(Payroll!$I13,CB$2,"M")/Payroll!$K13,0))),0))</f>
        <v/>
      </c>
      <c r="CC112" s="56">
        <f>IF(CC$2=Payroll!$I13,Payroll!$F13,IF(CC$2&gt;Payroll!$I13,Payroll!$F13*((1+Payroll!$J13)^(ROUNDDOWN(DATEDIF(Payroll!$I13,CC$2,"M")/Payroll!$K13,0))),0))</f>
        <v/>
      </c>
      <c r="CD112" s="56">
        <f>IF(CD$2=Payroll!$I13,Payroll!$F13,IF(CD$2&gt;Payroll!$I13,Payroll!$F13*((1+Payroll!$J13)^(ROUNDDOWN(DATEDIF(Payroll!$I13,CD$2,"M")/Payroll!$K13,0))),0))</f>
        <v/>
      </c>
      <c r="CE112" s="56">
        <f>IF(CE$2=Payroll!$I13,Payroll!$F13,IF(CE$2&gt;Payroll!$I13,Payroll!$F13*((1+Payroll!$J13)^(ROUNDDOWN(DATEDIF(Payroll!$I13,CE$2,"M")/Payroll!$K13,0))),0))</f>
        <v/>
      </c>
      <c r="CF112" s="56">
        <f>IF(CF$2=Payroll!$I13,Payroll!$F13,IF(CF$2&gt;Payroll!$I13,Payroll!$F13*((1+Payroll!$J13)^(ROUNDDOWN(DATEDIF(Payroll!$I13,CF$2,"M")/Payroll!$K13,0))),0))</f>
        <v/>
      </c>
      <c r="CG112" s="56">
        <f>IF(CG$2=Payroll!$I13,Payroll!$F13,IF(CG$2&gt;Payroll!$I13,Payroll!$F13*((1+Payroll!$J13)^(ROUNDDOWN(DATEDIF(Payroll!$I13,CG$2,"M")/Payroll!$K13,0))),0))</f>
        <v/>
      </c>
      <c r="CH112" s="56">
        <f>IF(CH$2=Payroll!$I13,Payroll!$F13,IF(CH$2&gt;Payroll!$I13,Payroll!$F13*((1+Payroll!$J13)^(ROUNDDOWN(DATEDIF(Payroll!$I13,CH$2,"M")/Payroll!$K13,0))),0))</f>
        <v/>
      </c>
      <c r="CI112" s="56">
        <f>IF(CI$2=Payroll!$I13,Payroll!$F13,IF(CI$2&gt;Payroll!$I13,Payroll!$F13*((1+Payroll!$J13)^(ROUNDDOWN(DATEDIF(Payroll!$I13,CI$2,"M")/Payroll!$K13,0))),0))</f>
        <v/>
      </c>
      <c r="CJ112" s="56">
        <f>IF(CJ$2=Payroll!$I13,Payroll!$F13,IF(CJ$2&gt;Payroll!$I13,Payroll!$F13*((1+Payroll!$J13)^(ROUNDDOWN(DATEDIF(Payroll!$I13,CJ$2,"M")/Payroll!$K13,0))),0))</f>
        <v/>
      </c>
      <c r="CK112" s="56">
        <f>IF(CK$2=Payroll!$I13,Payroll!$F13,IF(CK$2&gt;Payroll!$I13,Payroll!$F13*((1+Payroll!$J13)^(ROUNDDOWN(DATEDIF(Payroll!$I13,CK$2,"M")/Payroll!$K13,0))),0))</f>
        <v/>
      </c>
      <c r="CL112" s="56">
        <f>IF(CL$2=Payroll!$I13,Payroll!$F13,IF(CL$2&gt;Payroll!$I13,Payroll!$F13*((1+Payroll!$J13)^(ROUNDDOWN(DATEDIF(Payroll!$I13,CL$2,"M")/Payroll!$K13,0))),0))</f>
        <v/>
      </c>
      <c r="CM112" s="56">
        <f>IF(CM$2=Payroll!$I13,Payroll!$F13,IF(CM$2&gt;Payroll!$I13,Payroll!$F13*((1+Payroll!$J13)^(ROUNDDOWN(DATEDIF(Payroll!$I13,CM$2,"M")/Payroll!$K13,0))),0))</f>
        <v/>
      </c>
      <c r="CN112" s="56">
        <f>IF(CN$2=Payroll!$I13,Payroll!$F13,IF(CN$2&gt;Payroll!$I13,Payroll!$F13*((1+Payroll!$J13)^(ROUNDDOWN(DATEDIF(Payroll!$I13,CN$2,"M")/Payroll!$K13,0))),0))</f>
        <v/>
      </c>
      <c r="CO112" s="56">
        <f>IF(CO$2=Payroll!$I13,Payroll!$F13,IF(CO$2&gt;Payroll!$I13,Payroll!$F13*((1+Payroll!$J13)^(ROUNDDOWN(DATEDIF(Payroll!$I13,CO$2,"M")/Payroll!$K13,0))),0))</f>
        <v/>
      </c>
      <c r="CP112" s="56">
        <f>IF(CP$2=Payroll!$I13,Payroll!$F13,IF(CP$2&gt;Payroll!$I13,Payroll!$F13*((1+Payroll!$J13)^(ROUNDDOWN(DATEDIF(Payroll!$I13,CP$2,"M")/Payroll!$K13,0))),0))</f>
        <v/>
      </c>
      <c r="CQ112" s="56">
        <f>IF(CQ$2=Payroll!$I13,Payroll!$F13,IF(CQ$2&gt;Payroll!$I13,Payroll!$F13*((1+Payroll!$J13)^(ROUNDDOWN(DATEDIF(Payroll!$I13,CQ$2,"M")/Payroll!$K13,0))),0))</f>
        <v/>
      </c>
      <c r="CR112" s="56">
        <f>IF(CR$2=Payroll!$I13,Payroll!$F13,IF(CR$2&gt;Payroll!$I13,Payroll!$F13*((1+Payroll!$J13)^(ROUNDDOWN(DATEDIF(Payroll!$I13,CR$2,"M")/Payroll!$K13,0))),0))</f>
        <v/>
      </c>
      <c r="CS112" s="56">
        <f>IF(CS$2=Payroll!$I13,Payroll!$F13,IF(CS$2&gt;Payroll!$I13,Payroll!$F13*((1+Payroll!$J13)^(ROUNDDOWN(DATEDIF(Payroll!$I13,CS$2,"M")/Payroll!$K13,0))),0))</f>
        <v/>
      </c>
      <c r="CT112" s="56">
        <f>IF(CT$2=Payroll!$I13,Payroll!$F13,IF(CT$2&gt;Payroll!$I13,Payroll!$F13*((1+Payroll!$J13)^(ROUNDDOWN(DATEDIF(Payroll!$I13,CT$2,"M")/Payroll!$K13,0))),0))</f>
        <v/>
      </c>
      <c r="CU112" s="56">
        <f>IF(CU$2=Payroll!$I13,Payroll!$F13,IF(CU$2&gt;Payroll!$I13,Payroll!$F13*((1+Payroll!$J13)^(ROUNDDOWN(DATEDIF(Payroll!$I13,CU$2,"M")/Payroll!$K13,0))),0))</f>
        <v/>
      </c>
      <c r="CV112" s="56">
        <f>IF(CV$2=Payroll!$I13,Payroll!$F13,IF(CV$2&gt;Payroll!$I13,Payroll!$F13*((1+Payroll!$J13)^(ROUNDDOWN(DATEDIF(Payroll!$I13,CV$2,"M")/Payroll!$K13,0))),0))</f>
        <v/>
      </c>
      <c r="CW112" s="56">
        <f>IF(CW$2=Payroll!$I13,Payroll!$F13,IF(CW$2&gt;Payroll!$I13,Payroll!$F13*((1+Payroll!$J13)^(ROUNDDOWN(DATEDIF(Payroll!$I13,CW$2,"M")/Payroll!$K13,0))),0))</f>
        <v/>
      </c>
      <c r="CX112" s="56">
        <f>IF(CX$2=Payroll!$I13,Payroll!$F13,IF(CX$2&gt;Payroll!$I13,Payroll!$F13*((1+Payroll!$J13)^(ROUNDDOWN(DATEDIF(Payroll!$I13,CX$2,"M")/Payroll!$K13,0))),0))</f>
        <v/>
      </c>
    </row>
    <row r="113" outlineLevel="2" ht="15.75" customHeight="1" s="255">
      <c r="A113" s="56">
        <f>Payroll!A14</f>
        <v/>
      </c>
      <c r="B113" s="56" t="n"/>
      <c r="C113" s="56" t="n"/>
      <c r="D113" s="56" t="n"/>
      <c r="E113" s="56">
        <f>IF(E$2=Payroll!$I14,Payroll!$F14,IF(E$2&gt;Payroll!$I14,Payroll!$F14*((1+Payroll!$J14)^(ROUNDDOWN(DATEDIF(Payroll!$I14,E$2,"M")/Payroll!$K14,0))),0))</f>
        <v/>
      </c>
      <c r="F113" s="56">
        <f>IF(F$2=Payroll!$I14,Payroll!$F14,IF(F$2&gt;Payroll!$I14,Payroll!$F14*((1+Payroll!$J14)^(ROUNDDOWN(DATEDIF(Payroll!$I14,F$2,"M")/Payroll!$K14,0))),0))</f>
        <v/>
      </c>
      <c r="G113" s="56">
        <f>IF(G$2=Payroll!$I14,Payroll!$F14,IF(G$2&gt;Payroll!$I14,Payroll!$F14*((1+Payroll!$J14)^(ROUNDDOWN(DATEDIF(Payroll!$I14,G$2,"M")/Payroll!$K14,0))),0))</f>
        <v/>
      </c>
      <c r="H113" s="56">
        <f>IF(H$2=Payroll!$I14,Payroll!$F14,IF(H$2&gt;Payroll!$I14,Payroll!$F14*((1+Payroll!$J14)^(ROUNDDOWN(DATEDIF(Payroll!$I14,H$2,"M")/Payroll!$K14,0))),0))</f>
        <v/>
      </c>
      <c r="I113" s="56">
        <f>IF(I$2=Payroll!$I14,Payroll!$F14,IF(I$2&gt;Payroll!$I14,Payroll!$F14*((1+Payroll!$J14)^(ROUNDDOWN(DATEDIF(Payroll!$I14,I$2,"M")/Payroll!$K14,0))),0))</f>
        <v/>
      </c>
      <c r="J113" s="56">
        <f>IF(J$2=Payroll!$I14,Payroll!$F14,IF(J$2&gt;Payroll!$I14,Payroll!$F14*((1+Payroll!$J14)^(ROUNDDOWN(DATEDIF(Payroll!$I14,J$2,"M")/Payroll!$K14,0))),0))</f>
        <v/>
      </c>
      <c r="K113" s="56">
        <f>IF(K$2=Payroll!$I14,Payroll!$F14,IF(K$2&gt;Payroll!$I14,Payroll!$F14*((1+Payroll!$J14)^(ROUNDDOWN(DATEDIF(Payroll!$I14,K$2,"M")/Payroll!$K14,0))),0))</f>
        <v/>
      </c>
      <c r="L113" s="56">
        <f>IF(L$2=Payroll!$I14,Payroll!$F14,IF(L$2&gt;Payroll!$I14,Payroll!$F14*((1+Payroll!$J14)^(ROUNDDOWN(DATEDIF(Payroll!$I14,L$2,"M")/Payroll!$K14,0))),0))</f>
        <v/>
      </c>
      <c r="M113" s="56">
        <f>IF(M$2=Payroll!$I14,Payroll!$F14,IF(M$2&gt;Payroll!$I14,Payroll!$F14*((1+Payroll!$J14)^(ROUNDDOWN(DATEDIF(Payroll!$I14,M$2,"M")/Payroll!$K14,0))),0))</f>
        <v/>
      </c>
      <c r="N113" s="56">
        <f>IF(N$2=Payroll!$I14,Payroll!$F14,IF(N$2&gt;Payroll!$I14,Payroll!$F14*((1+Payroll!$J14)^(ROUNDDOWN(DATEDIF(Payroll!$I14,N$2,"M")/Payroll!$K14,0))),0))</f>
        <v/>
      </c>
      <c r="O113" s="56">
        <f>IF(O$2=Payroll!$I14,Payroll!$F14,IF(O$2&gt;Payroll!$I14,Payroll!$F14*((1+Payroll!$J14)^(ROUNDDOWN(DATEDIF(Payroll!$I14,O$2,"M")/Payroll!$K14,0))),0))</f>
        <v/>
      </c>
      <c r="P113" s="56">
        <f>IF(P$2=Payroll!$I14,Payroll!$F14,IF(P$2&gt;Payroll!$I14,Payroll!$F14*((1+Payroll!$J14)^(ROUNDDOWN(DATEDIF(Payroll!$I14,P$2,"M")/Payroll!$K14,0))),0))</f>
        <v/>
      </c>
      <c r="Q113" s="56">
        <f>IF(Q$2=Payroll!$I14,Payroll!$F14,IF(Q$2&gt;Payroll!$I14,Payroll!$F14*((1+Payroll!$J14)^(ROUNDDOWN(DATEDIF(Payroll!$I14,Q$2,"M")/Payroll!$K14,0))),0))</f>
        <v/>
      </c>
      <c r="R113" s="56">
        <f>IF(R$2=Payroll!$I14,Payroll!$F14,IF(R$2&gt;Payroll!$I14,Payroll!$F14*((1+Payroll!$J14)^(ROUNDDOWN(DATEDIF(Payroll!$I14,R$2,"M")/Payroll!$K14,0))),0))</f>
        <v/>
      </c>
      <c r="S113" s="56">
        <f>IF(S$2=Payroll!$I14,Payroll!$F14,IF(S$2&gt;Payroll!$I14,Payroll!$F14*((1+Payroll!$J14)^(ROUNDDOWN(DATEDIF(Payroll!$I14,S$2,"M")/Payroll!$K14,0))),0))</f>
        <v/>
      </c>
      <c r="T113" s="56">
        <f>IF(T$2=Payroll!$I14,Payroll!$F14,IF(T$2&gt;Payroll!$I14,Payroll!$F14*((1+Payroll!$J14)^(ROUNDDOWN(DATEDIF(Payroll!$I14,T$2,"M")/Payroll!$K14,0))),0))</f>
        <v/>
      </c>
      <c r="U113" s="56">
        <f>IF(U$2=Payroll!$I14,Payroll!$F14,IF(U$2&gt;Payroll!$I14,Payroll!$F14*((1+Payroll!$J14)^(ROUNDDOWN(DATEDIF(Payroll!$I14,U$2,"M")/Payroll!$K14,0))),0))</f>
        <v/>
      </c>
      <c r="V113" s="56">
        <f>IF(V$2=Payroll!$I14,Payroll!$F14,IF(V$2&gt;Payroll!$I14,Payroll!$F14*((1+Payroll!$J14)^(ROUNDDOWN(DATEDIF(Payroll!$I14,V$2,"M")/Payroll!$K14,0))),0))</f>
        <v/>
      </c>
      <c r="W113" s="56">
        <f>IF(W$2=Payroll!$I14,Payroll!$F14,IF(W$2&gt;Payroll!$I14,Payroll!$F14*((1+Payroll!$J14)^(ROUNDDOWN(DATEDIF(Payroll!$I14,W$2,"M")/Payroll!$K14,0))),0))</f>
        <v/>
      </c>
      <c r="X113" s="56">
        <f>IF(X$2=Payroll!$I14,Payroll!$F14,IF(X$2&gt;Payroll!$I14,Payroll!$F14*((1+Payroll!$J14)^(ROUNDDOWN(DATEDIF(Payroll!$I14,X$2,"M")/Payroll!$K14,0))),0))</f>
        <v/>
      </c>
      <c r="Y113" s="56">
        <f>IF(Y$2=Payroll!$I14,Payroll!$F14,IF(Y$2&gt;Payroll!$I14,Payroll!$F14*((1+Payroll!$J14)^(ROUNDDOWN(DATEDIF(Payroll!$I14,Y$2,"M")/Payroll!$K14,0))),0))</f>
        <v/>
      </c>
      <c r="Z113" s="56">
        <f>IF(Z$2=Payroll!$I14,Payroll!$F14,IF(Z$2&gt;Payroll!$I14,Payroll!$F14*((1+Payroll!$J14)^(ROUNDDOWN(DATEDIF(Payroll!$I14,Z$2,"M")/Payroll!$K14,0))),0))</f>
        <v/>
      </c>
      <c r="AA113" s="56">
        <f>IF(AA$2=Payroll!$I14,Payroll!$F14,IF(AA$2&gt;Payroll!$I14,Payroll!$F14*((1+Payroll!$J14)^(ROUNDDOWN(DATEDIF(Payroll!$I14,AA$2,"M")/Payroll!$K14,0))),0))</f>
        <v/>
      </c>
      <c r="AB113" s="56">
        <f>IF(AB$2=Payroll!$I14,Payroll!$F14,IF(AB$2&gt;Payroll!$I14,Payroll!$F14*((1+Payroll!$J14)^(ROUNDDOWN(DATEDIF(Payroll!$I14,AB$2,"M")/Payroll!$K14,0))),0))</f>
        <v/>
      </c>
      <c r="AC113" s="56">
        <f>IF(AC$2=Payroll!$I14,Payroll!$F14,IF(AC$2&gt;Payroll!$I14,Payroll!$F14*((1+Payroll!$J14)^(ROUNDDOWN(DATEDIF(Payroll!$I14,AC$2,"M")/Payroll!$K14,0))),0))</f>
        <v/>
      </c>
      <c r="AD113" s="56">
        <f>IF(AD$2=Payroll!$I14,Payroll!$F14,IF(AD$2&gt;Payroll!$I14,Payroll!$F14*((1+Payroll!$J14)^(ROUNDDOWN(DATEDIF(Payroll!$I14,AD$2,"M")/Payroll!$K14,0))),0))</f>
        <v/>
      </c>
      <c r="AE113" s="56">
        <f>IF(AE$2=Payroll!$I14,Payroll!$F14,IF(AE$2&gt;Payroll!$I14,Payroll!$F14*((1+Payroll!$J14)^(ROUNDDOWN(DATEDIF(Payroll!$I14,AE$2,"M")/Payroll!$K14,0))),0))</f>
        <v/>
      </c>
      <c r="AF113" s="56">
        <f>IF(AF$2=Payroll!$I14,Payroll!$F14,IF(AF$2&gt;Payroll!$I14,Payroll!$F14*((1+Payroll!$J14)^(ROUNDDOWN(DATEDIF(Payroll!$I14,AF$2,"M")/Payroll!$K14,0))),0))</f>
        <v/>
      </c>
      <c r="AG113" s="56">
        <f>IF(AG$2=Payroll!$I14,Payroll!$F14,IF(AG$2&gt;Payroll!$I14,Payroll!$F14*((1+Payroll!$J14)^(ROUNDDOWN(DATEDIF(Payroll!$I14,AG$2,"M")/Payroll!$K14,0))),0))</f>
        <v/>
      </c>
      <c r="AH113" s="56">
        <f>IF(AH$2=Payroll!$I14,Payroll!$F14,IF(AH$2&gt;Payroll!$I14,Payroll!$F14*((1+Payroll!$J14)^(ROUNDDOWN(DATEDIF(Payroll!$I14,AH$2,"M")/Payroll!$K14,0))),0))</f>
        <v/>
      </c>
      <c r="AI113" s="56">
        <f>IF(AI$2=Payroll!$I14,Payroll!$F14,IF(AI$2&gt;Payroll!$I14,Payroll!$F14*((1+Payroll!$J14)^(ROUNDDOWN(DATEDIF(Payroll!$I14,AI$2,"M")/Payroll!$K14,0))),0))</f>
        <v/>
      </c>
      <c r="AJ113" s="56">
        <f>IF(AJ$2=Payroll!$I14,Payroll!$F14,IF(AJ$2&gt;Payroll!$I14,Payroll!$F14*((1+Payroll!$J14)^(ROUNDDOWN(DATEDIF(Payroll!$I14,AJ$2,"M")/Payroll!$K14,0))),0))</f>
        <v/>
      </c>
      <c r="AK113" s="56">
        <f>IF(AK$2=Payroll!$I14,Payroll!$F14,IF(AK$2&gt;Payroll!$I14,Payroll!$F14*((1+Payroll!$J14)^(ROUNDDOWN(DATEDIF(Payroll!$I14,AK$2,"M")/Payroll!$K14,0))),0))</f>
        <v/>
      </c>
      <c r="AL113" s="56">
        <f>IF(AL$2=Payroll!$I14,Payroll!$F14,IF(AL$2&gt;Payroll!$I14,Payroll!$F14*((1+Payroll!$J14)^(ROUNDDOWN(DATEDIF(Payroll!$I14,AL$2,"M")/Payroll!$K14,0))),0))</f>
        <v/>
      </c>
      <c r="AM113" s="56">
        <f>IF(AM$2=Payroll!$I14,Payroll!$F14,IF(AM$2&gt;Payroll!$I14,Payroll!$F14*((1+Payroll!$J14)^(ROUNDDOWN(DATEDIF(Payroll!$I14,AM$2,"M")/Payroll!$K14,0))),0))</f>
        <v/>
      </c>
      <c r="AN113" s="56">
        <f>IF(AN$2=Payroll!$I14,Payroll!$F14,IF(AN$2&gt;Payroll!$I14,Payroll!$F14*((1+Payroll!$J14)^(ROUNDDOWN(DATEDIF(Payroll!$I14,AN$2,"M")/Payroll!$K14,0))),0))</f>
        <v/>
      </c>
      <c r="AO113" s="56">
        <f>IF(AO$2=Payroll!$I14,Payroll!$F14,IF(AO$2&gt;Payroll!$I14,Payroll!$F14*((1+Payroll!$J14)^(ROUNDDOWN(DATEDIF(Payroll!$I14,AO$2,"M")/Payroll!$K14,0))),0))</f>
        <v/>
      </c>
      <c r="AP113" s="56">
        <f>IF(AP$2=Payroll!$I14,Payroll!$F14,IF(AP$2&gt;Payroll!$I14,Payroll!$F14*((1+Payroll!$J14)^(ROUNDDOWN(DATEDIF(Payroll!$I14,AP$2,"M")/Payroll!$K14,0))),0))</f>
        <v/>
      </c>
      <c r="AQ113" s="56">
        <f>IF(AQ$2=Payroll!$I14,Payroll!$F14,IF(AQ$2&gt;Payroll!$I14,Payroll!$F14*((1+Payroll!$J14)^(ROUNDDOWN(DATEDIF(Payroll!$I14,AQ$2,"M")/Payroll!$K14,0))),0))</f>
        <v/>
      </c>
      <c r="AR113" s="56">
        <f>IF(AR$2=Payroll!$I14,Payroll!$F14,IF(AR$2&gt;Payroll!$I14,Payroll!$F14*((1+Payroll!$J14)^(ROUNDDOWN(DATEDIF(Payroll!$I14,AR$2,"M")/Payroll!$K14,0))),0))</f>
        <v/>
      </c>
      <c r="AS113" s="56">
        <f>IF(AS$2=Payroll!$I14,Payroll!$F14,IF(AS$2&gt;Payroll!$I14,Payroll!$F14*((1+Payroll!$J14)^(ROUNDDOWN(DATEDIF(Payroll!$I14,AS$2,"M")/Payroll!$K14,0))),0))</f>
        <v/>
      </c>
      <c r="AT113" s="56">
        <f>IF(AT$2=Payroll!$I14,Payroll!$F14,IF(AT$2&gt;Payroll!$I14,Payroll!$F14*((1+Payroll!$J14)^(ROUNDDOWN(DATEDIF(Payroll!$I14,AT$2,"M")/Payroll!$K14,0))),0))</f>
        <v/>
      </c>
      <c r="AU113" s="56">
        <f>IF(AU$2=Payroll!$I14,Payroll!$F14,IF(AU$2&gt;Payroll!$I14,Payroll!$F14*((1+Payroll!$J14)^(ROUNDDOWN(DATEDIF(Payroll!$I14,AU$2,"M")/Payroll!$K14,0))),0))</f>
        <v/>
      </c>
      <c r="AV113" s="56">
        <f>IF(AV$2=Payroll!$I14,Payroll!$F14,IF(AV$2&gt;Payroll!$I14,Payroll!$F14*((1+Payroll!$J14)^(ROUNDDOWN(DATEDIF(Payroll!$I14,AV$2,"M")/Payroll!$K14,0))),0))</f>
        <v/>
      </c>
      <c r="AW113" s="56">
        <f>IF(AW$2=Payroll!$I14,Payroll!$F14,IF(AW$2&gt;Payroll!$I14,Payroll!$F14*((1+Payroll!$J14)^(ROUNDDOWN(DATEDIF(Payroll!$I14,AW$2,"M")/Payroll!$K14,0))),0))</f>
        <v/>
      </c>
      <c r="AX113" s="56">
        <f>IF(AX$2=Payroll!$I14,Payroll!$F14,IF(AX$2&gt;Payroll!$I14,Payroll!$F14*((1+Payroll!$J14)^(ROUNDDOWN(DATEDIF(Payroll!$I14,AX$2,"M")/Payroll!$K14,0))),0))</f>
        <v/>
      </c>
      <c r="AY113" s="56">
        <f>IF(AY$2=Payroll!$I14,Payroll!$F14,IF(AY$2&gt;Payroll!$I14,Payroll!$F14*((1+Payroll!$J14)^(ROUNDDOWN(DATEDIF(Payroll!$I14,AY$2,"M")/Payroll!$K14,0))),0))</f>
        <v/>
      </c>
      <c r="AZ113" s="56">
        <f>IF(AZ$2=Payroll!$I14,Payroll!$F14,IF(AZ$2&gt;Payroll!$I14,Payroll!$F14*((1+Payroll!$J14)^(ROUNDDOWN(DATEDIF(Payroll!$I14,AZ$2,"M")/Payroll!$K14,0))),0))</f>
        <v/>
      </c>
      <c r="BA113" s="56">
        <f>IF(BA$2=Payroll!$I14,Payroll!$F14,IF(BA$2&gt;Payroll!$I14,Payroll!$F14*((1+Payroll!$J14)^(ROUNDDOWN(DATEDIF(Payroll!$I14,BA$2,"M")/Payroll!$K14,0))),0))</f>
        <v/>
      </c>
      <c r="BB113" s="56">
        <f>IF(BB$2=Payroll!$I14,Payroll!$F14,IF(BB$2&gt;Payroll!$I14,Payroll!$F14*((1+Payroll!$J14)^(ROUNDDOWN(DATEDIF(Payroll!$I14,BB$2,"M")/Payroll!$K14,0))),0))</f>
        <v/>
      </c>
      <c r="BC113" s="56">
        <f>IF(BC$2=Payroll!$I14,Payroll!$F14,IF(BC$2&gt;Payroll!$I14,Payroll!$F14*((1+Payroll!$J14)^(ROUNDDOWN(DATEDIF(Payroll!$I14,BC$2,"M")/Payroll!$K14,0))),0))</f>
        <v/>
      </c>
      <c r="BD113" s="56">
        <f>IF(BD$2=Payroll!$I14,Payroll!$F14,IF(BD$2&gt;Payroll!$I14,Payroll!$F14*((1+Payroll!$J14)^(ROUNDDOWN(DATEDIF(Payroll!$I14,BD$2,"M")/Payroll!$K14,0))),0))</f>
        <v/>
      </c>
      <c r="BE113" s="56">
        <f>IF(BE$2=Payroll!$I14,Payroll!$F14,IF(BE$2&gt;Payroll!$I14,Payroll!$F14*((1+Payroll!$J14)^(ROUNDDOWN(DATEDIF(Payroll!$I14,BE$2,"M")/Payroll!$K14,0))),0))</f>
        <v/>
      </c>
      <c r="BF113" s="56">
        <f>IF(BF$2=Payroll!$I14,Payroll!$F14,IF(BF$2&gt;Payroll!$I14,Payroll!$F14*((1+Payroll!$J14)^(ROUNDDOWN(DATEDIF(Payroll!$I14,BF$2,"M")/Payroll!$K14,0))),0))</f>
        <v/>
      </c>
      <c r="BG113" s="56">
        <f>IF(BG$2=Payroll!$I14,Payroll!$F14,IF(BG$2&gt;Payroll!$I14,Payroll!$F14*((1+Payroll!$J14)^(ROUNDDOWN(DATEDIF(Payroll!$I14,BG$2,"M")/Payroll!$K14,0))),0))</f>
        <v/>
      </c>
      <c r="BH113" s="56">
        <f>IF(BH$2=Payroll!$I14,Payroll!$F14,IF(BH$2&gt;Payroll!$I14,Payroll!$F14*((1+Payroll!$J14)^(ROUNDDOWN(DATEDIF(Payroll!$I14,BH$2,"M")/Payroll!$K14,0))),0))</f>
        <v/>
      </c>
      <c r="BI113" s="56">
        <f>IF(BI$2=Payroll!$I14,Payroll!$F14,IF(BI$2&gt;Payroll!$I14,Payroll!$F14*((1+Payroll!$J14)^(ROUNDDOWN(DATEDIF(Payroll!$I14,BI$2,"M")/Payroll!$K14,0))),0))</f>
        <v/>
      </c>
      <c r="BJ113" s="56">
        <f>IF(BJ$2=Payroll!$I14,Payroll!$F14,IF(BJ$2&gt;Payroll!$I14,Payroll!$F14*((1+Payroll!$J14)^(ROUNDDOWN(DATEDIF(Payroll!$I14,BJ$2,"M")/Payroll!$K14,0))),0))</f>
        <v/>
      </c>
      <c r="BK113" s="56">
        <f>IF(BK$2=Payroll!$I14,Payroll!$F14,IF(BK$2&gt;Payroll!$I14,Payroll!$F14*((1+Payroll!$J14)^(ROUNDDOWN(DATEDIF(Payroll!$I14,BK$2,"M")/Payroll!$K14,0))),0))</f>
        <v/>
      </c>
      <c r="BL113" s="56">
        <f>IF(BL$2=Payroll!$I14,Payroll!$F14,IF(BL$2&gt;Payroll!$I14,Payroll!$F14*((1+Payroll!$J14)^(ROUNDDOWN(DATEDIF(Payroll!$I14,BL$2,"M")/Payroll!$K14,0))),0))</f>
        <v/>
      </c>
      <c r="BM113" s="56">
        <f>IF(BM$2=Payroll!$I14,Payroll!$F14,IF(BM$2&gt;Payroll!$I14,Payroll!$F14*((1+Payroll!$J14)^(ROUNDDOWN(DATEDIF(Payroll!$I14,BM$2,"M")/Payroll!$K14,0))),0))</f>
        <v/>
      </c>
      <c r="BN113" s="56">
        <f>IF(BN$2=Payroll!$I14,Payroll!$F14,IF(BN$2&gt;Payroll!$I14,Payroll!$F14*((1+Payroll!$J14)^(ROUNDDOWN(DATEDIF(Payroll!$I14,BN$2,"M")/Payroll!$K14,0))),0))</f>
        <v/>
      </c>
      <c r="BO113" s="56">
        <f>IF(BO$2=Payroll!$I14,Payroll!$F14,IF(BO$2&gt;Payroll!$I14,Payroll!$F14*((1+Payroll!$J14)^(ROUNDDOWN(DATEDIF(Payroll!$I14,BO$2,"M")/Payroll!$K14,0))),0))</f>
        <v/>
      </c>
      <c r="BP113" s="56">
        <f>IF(BP$2=Payroll!$I14,Payroll!$F14,IF(BP$2&gt;Payroll!$I14,Payroll!$F14*((1+Payroll!$J14)^(ROUNDDOWN(DATEDIF(Payroll!$I14,BP$2,"M")/Payroll!$K14,0))),0))</f>
        <v/>
      </c>
      <c r="BQ113" s="56">
        <f>IF(BQ$2=Payroll!$I14,Payroll!$F14,IF(BQ$2&gt;Payroll!$I14,Payroll!$F14*((1+Payroll!$J14)^(ROUNDDOWN(DATEDIF(Payroll!$I14,BQ$2,"M")/Payroll!$K14,0))),0))</f>
        <v/>
      </c>
      <c r="BR113" s="56">
        <f>IF(BR$2=Payroll!$I14,Payroll!$F14,IF(BR$2&gt;Payroll!$I14,Payroll!$F14*((1+Payroll!$J14)^(ROUNDDOWN(DATEDIF(Payroll!$I14,BR$2,"M")/Payroll!$K14,0))),0))</f>
        <v/>
      </c>
      <c r="BS113" s="56">
        <f>IF(BS$2=Payroll!$I14,Payroll!$F14,IF(BS$2&gt;Payroll!$I14,Payroll!$F14*((1+Payroll!$J14)^(ROUNDDOWN(DATEDIF(Payroll!$I14,BS$2,"M")/Payroll!$K14,0))),0))</f>
        <v/>
      </c>
      <c r="BT113" s="56">
        <f>IF(BT$2=Payroll!$I14,Payroll!$F14,IF(BT$2&gt;Payroll!$I14,Payroll!$F14*((1+Payroll!$J14)^(ROUNDDOWN(DATEDIF(Payroll!$I14,BT$2,"M")/Payroll!$K14,0))),0))</f>
        <v/>
      </c>
      <c r="BU113" s="56">
        <f>IF(BU$2=Payroll!$I14,Payroll!$F14,IF(BU$2&gt;Payroll!$I14,Payroll!$F14*((1+Payroll!$J14)^(ROUNDDOWN(DATEDIF(Payroll!$I14,BU$2,"M")/Payroll!$K14,0))),0))</f>
        <v/>
      </c>
      <c r="BV113" s="56">
        <f>IF(BV$2=Payroll!$I14,Payroll!$F14,IF(BV$2&gt;Payroll!$I14,Payroll!$F14*((1+Payroll!$J14)^(ROUNDDOWN(DATEDIF(Payroll!$I14,BV$2,"M")/Payroll!$K14,0))),0))</f>
        <v/>
      </c>
      <c r="BW113" s="56">
        <f>IF(BW$2=Payroll!$I14,Payroll!$F14,IF(BW$2&gt;Payroll!$I14,Payroll!$F14*((1+Payroll!$J14)^(ROUNDDOWN(DATEDIF(Payroll!$I14,BW$2,"M")/Payroll!$K14,0))),0))</f>
        <v/>
      </c>
      <c r="BX113" s="56">
        <f>IF(BX$2=Payroll!$I14,Payroll!$F14,IF(BX$2&gt;Payroll!$I14,Payroll!$F14*((1+Payroll!$J14)^(ROUNDDOWN(DATEDIF(Payroll!$I14,BX$2,"M")/Payroll!$K14,0))),0))</f>
        <v/>
      </c>
      <c r="BY113" s="56">
        <f>IF(BY$2=Payroll!$I14,Payroll!$F14,IF(BY$2&gt;Payroll!$I14,Payroll!$F14*((1+Payroll!$J14)^(ROUNDDOWN(DATEDIF(Payroll!$I14,BY$2,"M")/Payroll!$K14,0))),0))</f>
        <v/>
      </c>
      <c r="BZ113" s="56">
        <f>IF(BZ$2=Payroll!$I14,Payroll!$F14,IF(BZ$2&gt;Payroll!$I14,Payroll!$F14*((1+Payroll!$J14)^(ROUNDDOWN(DATEDIF(Payroll!$I14,BZ$2,"M")/Payroll!$K14,0))),0))</f>
        <v/>
      </c>
      <c r="CA113" s="56">
        <f>IF(CA$2=Payroll!$I14,Payroll!$F14,IF(CA$2&gt;Payroll!$I14,Payroll!$F14*((1+Payroll!$J14)^(ROUNDDOWN(DATEDIF(Payroll!$I14,CA$2,"M")/Payroll!$K14,0))),0))</f>
        <v/>
      </c>
      <c r="CB113" s="56">
        <f>IF(CB$2=Payroll!$I14,Payroll!$F14,IF(CB$2&gt;Payroll!$I14,Payroll!$F14*((1+Payroll!$J14)^(ROUNDDOWN(DATEDIF(Payroll!$I14,CB$2,"M")/Payroll!$K14,0))),0))</f>
        <v/>
      </c>
      <c r="CC113" s="56">
        <f>IF(CC$2=Payroll!$I14,Payroll!$F14,IF(CC$2&gt;Payroll!$I14,Payroll!$F14*((1+Payroll!$J14)^(ROUNDDOWN(DATEDIF(Payroll!$I14,CC$2,"M")/Payroll!$K14,0))),0))</f>
        <v/>
      </c>
      <c r="CD113" s="56">
        <f>IF(CD$2=Payroll!$I14,Payroll!$F14,IF(CD$2&gt;Payroll!$I14,Payroll!$F14*((1+Payroll!$J14)^(ROUNDDOWN(DATEDIF(Payroll!$I14,CD$2,"M")/Payroll!$K14,0))),0))</f>
        <v/>
      </c>
      <c r="CE113" s="56">
        <f>IF(CE$2=Payroll!$I14,Payroll!$F14,IF(CE$2&gt;Payroll!$I14,Payroll!$F14*((1+Payroll!$J14)^(ROUNDDOWN(DATEDIF(Payroll!$I14,CE$2,"M")/Payroll!$K14,0))),0))</f>
        <v/>
      </c>
      <c r="CF113" s="56">
        <f>IF(CF$2=Payroll!$I14,Payroll!$F14,IF(CF$2&gt;Payroll!$I14,Payroll!$F14*((1+Payroll!$J14)^(ROUNDDOWN(DATEDIF(Payroll!$I14,CF$2,"M")/Payroll!$K14,0))),0))</f>
        <v/>
      </c>
      <c r="CG113" s="56">
        <f>IF(CG$2=Payroll!$I14,Payroll!$F14,IF(CG$2&gt;Payroll!$I14,Payroll!$F14*((1+Payroll!$J14)^(ROUNDDOWN(DATEDIF(Payroll!$I14,CG$2,"M")/Payroll!$K14,0))),0))</f>
        <v/>
      </c>
      <c r="CH113" s="56">
        <f>IF(CH$2=Payroll!$I14,Payroll!$F14,IF(CH$2&gt;Payroll!$I14,Payroll!$F14*((1+Payroll!$J14)^(ROUNDDOWN(DATEDIF(Payroll!$I14,CH$2,"M")/Payroll!$K14,0))),0))</f>
        <v/>
      </c>
      <c r="CI113" s="56">
        <f>IF(CI$2=Payroll!$I14,Payroll!$F14,IF(CI$2&gt;Payroll!$I14,Payroll!$F14*((1+Payroll!$J14)^(ROUNDDOWN(DATEDIF(Payroll!$I14,CI$2,"M")/Payroll!$K14,0))),0))</f>
        <v/>
      </c>
      <c r="CJ113" s="56">
        <f>IF(CJ$2=Payroll!$I14,Payroll!$F14,IF(CJ$2&gt;Payroll!$I14,Payroll!$F14*((1+Payroll!$J14)^(ROUNDDOWN(DATEDIF(Payroll!$I14,CJ$2,"M")/Payroll!$K14,0))),0))</f>
        <v/>
      </c>
      <c r="CK113" s="56">
        <f>IF(CK$2=Payroll!$I14,Payroll!$F14,IF(CK$2&gt;Payroll!$I14,Payroll!$F14*((1+Payroll!$J14)^(ROUNDDOWN(DATEDIF(Payroll!$I14,CK$2,"M")/Payroll!$K14,0))),0))</f>
        <v/>
      </c>
      <c r="CL113" s="56">
        <f>IF(CL$2=Payroll!$I14,Payroll!$F14,IF(CL$2&gt;Payroll!$I14,Payroll!$F14*((1+Payroll!$J14)^(ROUNDDOWN(DATEDIF(Payroll!$I14,CL$2,"M")/Payroll!$K14,0))),0))</f>
        <v/>
      </c>
      <c r="CM113" s="56">
        <f>IF(CM$2=Payroll!$I14,Payroll!$F14,IF(CM$2&gt;Payroll!$I14,Payroll!$F14*((1+Payroll!$J14)^(ROUNDDOWN(DATEDIF(Payroll!$I14,CM$2,"M")/Payroll!$K14,0))),0))</f>
        <v/>
      </c>
      <c r="CN113" s="56">
        <f>IF(CN$2=Payroll!$I14,Payroll!$F14,IF(CN$2&gt;Payroll!$I14,Payroll!$F14*((1+Payroll!$J14)^(ROUNDDOWN(DATEDIF(Payroll!$I14,CN$2,"M")/Payroll!$K14,0))),0))</f>
        <v/>
      </c>
      <c r="CO113" s="56">
        <f>IF(CO$2=Payroll!$I14,Payroll!$F14,IF(CO$2&gt;Payroll!$I14,Payroll!$F14*((1+Payroll!$J14)^(ROUNDDOWN(DATEDIF(Payroll!$I14,CO$2,"M")/Payroll!$K14,0))),0))</f>
        <v/>
      </c>
      <c r="CP113" s="56">
        <f>IF(CP$2=Payroll!$I14,Payroll!$F14,IF(CP$2&gt;Payroll!$I14,Payroll!$F14*((1+Payroll!$J14)^(ROUNDDOWN(DATEDIF(Payroll!$I14,CP$2,"M")/Payroll!$K14,0))),0))</f>
        <v/>
      </c>
      <c r="CQ113" s="56">
        <f>IF(CQ$2=Payroll!$I14,Payroll!$F14,IF(CQ$2&gt;Payroll!$I14,Payroll!$F14*((1+Payroll!$J14)^(ROUNDDOWN(DATEDIF(Payroll!$I14,CQ$2,"M")/Payroll!$K14,0))),0))</f>
        <v/>
      </c>
      <c r="CR113" s="56">
        <f>IF(CR$2=Payroll!$I14,Payroll!$F14,IF(CR$2&gt;Payroll!$I14,Payroll!$F14*((1+Payroll!$J14)^(ROUNDDOWN(DATEDIF(Payroll!$I14,CR$2,"M")/Payroll!$K14,0))),0))</f>
        <v/>
      </c>
      <c r="CS113" s="56">
        <f>IF(CS$2=Payroll!$I14,Payroll!$F14,IF(CS$2&gt;Payroll!$I14,Payroll!$F14*((1+Payroll!$J14)^(ROUNDDOWN(DATEDIF(Payroll!$I14,CS$2,"M")/Payroll!$K14,0))),0))</f>
        <v/>
      </c>
      <c r="CT113" s="56">
        <f>IF(CT$2=Payroll!$I14,Payroll!$F14,IF(CT$2&gt;Payroll!$I14,Payroll!$F14*((1+Payroll!$J14)^(ROUNDDOWN(DATEDIF(Payroll!$I14,CT$2,"M")/Payroll!$K14,0))),0))</f>
        <v/>
      </c>
      <c r="CU113" s="56">
        <f>IF(CU$2=Payroll!$I14,Payroll!$F14,IF(CU$2&gt;Payroll!$I14,Payroll!$F14*((1+Payroll!$J14)^(ROUNDDOWN(DATEDIF(Payroll!$I14,CU$2,"M")/Payroll!$K14,0))),0))</f>
        <v/>
      </c>
      <c r="CV113" s="56">
        <f>IF(CV$2=Payroll!$I14,Payroll!$F14,IF(CV$2&gt;Payroll!$I14,Payroll!$F14*((1+Payroll!$J14)^(ROUNDDOWN(DATEDIF(Payroll!$I14,CV$2,"M")/Payroll!$K14,0))),0))</f>
        <v/>
      </c>
      <c r="CW113" s="56">
        <f>IF(CW$2=Payroll!$I14,Payroll!$F14,IF(CW$2&gt;Payroll!$I14,Payroll!$F14*((1+Payroll!$J14)^(ROUNDDOWN(DATEDIF(Payroll!$I14,CW$2,"M")/Payroll!$K14,0))),0))</f>
        <v/>
      </c>
      <c r="CX113" s="56">
        <f>IF(CX$2=Payroll!$I14,Payroll!$F14,IF(CX$2&gt;Payroll!$I14,Payroll!$F14*((1+Payroll!$J14)^(ROUNDDOWN(DATEDIF(Payroll!$I14,CX$2,"M")/Payroll!$K14,0))),0))</f>
        <v/>
      </c>
    </row>
    <row r="114" outlineLevel="1" ht="15.75" customHeight="1" s="255">
      <c r="A114" s="134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  <c r="CW114" s="56" t="n"/>
      <c r="CX114" s="56" t="n"/>
    </row>
    <row r="115" outlineLevel="1" ht="15.75" customHeight="1" s="255">
      <c r="A115" s="60">
        <f>Payroll!A30</f>
        <v/>
      </c>
      <c r="B115" s="60" t="inlineStr">
        <is>
          <t>Marketing</t>
        </is>
      </c>
      <c r="C115" s="60" t="n"/>
      <c r="D115" s="60" t="n"/>
      <c r="E115" s="60">
        <f>SUM(E116:E125)</f>
        <v/>
      </c>
      <c r="F115" s="60">
        <f>SUM(F116:F125)</f>
        <v/>
      </c>
      <c r="G115" s="60">
        <f>SUM(G116:G125)</f>
        <v/>
      </c>
      <c r="H115" s="60">
        <f>SUM(H116:H125)</f>
        <v/>
      </c>
      <c r="I115" s="60">
        <f>SUM(I116:I125)</f>
        <v/>
      </c>
      <c r="J115" s="60">
        <f>SUM(J116:J125)</f>
        <v/>
      </c>
      <c r="K115" s="60">
        <f>SUM(K116:K125)</f>
        <v/>
      </c>
      <c r="L115" s="60">
        <f>SUM(L116:L125)</f>
        <v/>
      </c>
      <c r="M115" s="60">
        <f>SUM(M116:M125)</f>
        <v/>
      </c>
      <c r="N115" s="60">
        <f>SUM(N116:N125)</f>
        <v/>
      </c>
      <c r="O115" s="60">
        <f>SUM(O116:O125)</f>
        <v/>
      </c>
      <c r="P115" s="60">
        <f>SUM(P116:P125)</f>
        <v/>
      </c>
      <c r="Q115" s="60">
        <f>SUM(Q116:Q125)</f>
        <v/>
      </c>
      <c r="R115" s="60">
        <f>SUM(R116:R125)</f>
        <v/>
      </c>
      <c r="S115" s="60">
        <f>SUM(S116:S125)</f>
        <v/>
      </c>
      <c r="T115" s="60">
        <f>SUM(T116:T125)</f>
        <v/>
      </c>
      <c r="U115" s="60">
        <f>SUM(U116:U125)</f>
        <v/>
      </c>
      <c r="V115" s="60">
        <f>SUM(V116:V125)</f>
        <v/>
      </c>
      <c r="W115" s="60">
        <f>SUM(W116:W125)</f>
        <v/>
      </c>
      <c r="X115" s="60">
        <f>SUM(X116:X125)</f>
        <v/>
      </c>
      <c r="Y115" s="60">
        <f>SUM(Y116:Y125)</f>
        <v/>
      </c>
      <c r="Z115" s="60">
        <f>SUM(Z116:Z125)</f>
        <v/>
      </c>
      <c r="AA115" s="60">
        <f>SUM(AA116:AA125)</f>
        <v/>
      </c>
      <c r="AB115" s="60">
        <f>SUM(AB116:AB125)</f>
        <v/>
      </c>
      <c r="AC115" s="60">
        <f>SUM(AC116:AC125)</f>
        <v/>
      </c>
      <c r="AD115" s="60">
        <f>SUM(AD116:AD125)</f>
        <v/>
      </c>
      <c r="AE115" s="60">
        <f>SUM(AE116:AE125)</f>
        <v/>
      </c>
      <c r="AF115" s="60">
        <f>SUM(AF116:AF125)</f>
        <v/>
      </c>
      <c r="AG115" s="60">
        <f>SUM(AG116:AG125)</f>
        <v/>
      </c>
      <c r="AH115" s="60">
        <f>SUM(AH116:AH125)</f>
        <v/>
      </c>
      <c r="AI115" s="60">
        <f>SUM(AI116:AI125)</f>
        <v/>
      </c>
      <c r="AJ115" s="60">
        <f>SUM(AJ116:AJ125)</f>
        <v/>
      </c>
      <c r="AK115" s="60">
        <f>SUM(AK116:AK125)</f>
        <v/>
      </c>
      <c r="AL115" s="60">
        <f>SUM(AL116:AL125)</f>
        <v/>
      </c>
      <c r="AM115" s="60">
        <f>SUM(AM116:AM125)</f>
        <v/>
      </c>
      <c r="AN115" s="60">
        <f>SUM(AN116:AN125)</f>
        <v/>
      </c>
      <c r="AO115" s="60">
        <f>SUM(AO116:AO125)</f>
        <v/>
      </c>
      <c r="AP115" s="60">
        <f>SUM(AP116:AP125)</f>
        <v/>
      </c>
      <c r="AQ115" s="60">
        <f>SUM(AQ116:AQ125)</f>
        <v/>
      </c>
      <c r="AR115" s="60">
        <f>SUM(AR116:AR125)</f>
        <v/>
      </c>
      <c r="AS115" s="60">
        <f>SUM(AS116:AS125)</f>
        <v/>
      </c>
      <c r="AT115" s="60">
        <f>SUM(AT116:AT125)</f>
        <v/>
      </c>
      <c r="AU115" s="60">
        <f>SUM(AU116:AU125)</f>
        <v/>
      </c>
      <c r="AV115" s="60">
        <f>SUM(AV116:AV125)</f>
        <v/>
      </c>
      <c r="AW115" s="60">
        <f>SUM(AW116:AW125)</f>
        <v/>
      </c>
      <c r="AX115" s="60">
        <f>SUM(AX116:AX125)</f>
        <v/>
      </c>
      <c r="AY115" s="60">
        <f>SUM(AY116:AY125)</f>
        <v/>
      </c>
      <c r="AZ115" s="60">
        <f>SUM(AZ116:AZ125)</f>
        <v/>
      </c>
      <c r="BA115" s="60">
        <f>SUM(BA116:BA125)</f>
        <v/>
      </c>
      <c r="BB115" s="60">
        <f>SUM(BB116:BB125)</f>
        <v/>
      </c>
      <c r="BC115" s="60">
        <f>SUM(BC116:BC125)</f>
        <v/>
      </c>
      <c r="BD115" s="60">
        <f>SUM(BD116:BD125)</f>
        <v/>
      </c>
      <c r="BE115" s="60">
        <f>SUM(BE116:BE125)</f>
        <v/>
      </c>
      <c r="BF115" s="60">
        <f>SUM(BF116:BF125)</f>
        <v/>
      </c>
      <c r="BG115" s="60">
        <f>SUM(BG116:BG125)</f>
        <v/>
      </c>
      <c r="BH115" s="60">
        <f>SUM(BH116:BH125)</f>
        <v/>
      </c>
      <c r="BI115" s="60">
        <f>SUM(BI116:BI125)</f>
        <v/>
      </c>
      <c r="BJ115" s="60">
        <f>SUM(BJ116:BJ125)</f>
        <v/>
      </c>
      <c r="BK115" s="60">
        <f>SUM(BK116:BK125)</f>
        <v/>
      </c>
      <c r="BL115" s="60">
        <f>SUM(BL116:BL125)</f>
        <v/>
      </c>
      <c r="BM115" s="60">
        <f>SUM(BM116:BM125)</f>
        <v/>
      </c>
      <c r="BN115" s="60">
        <f>SUM(BN116:BN125)</f>
        <v/>
      </c>
      <c r="BO115" s="60">
        <f>SUM(BO116:BO125)</f>
        <v/>
      </c>
      <c r="BP115" s="60">
        <f>SUM(BP116:BP125)</f>
        <v/>
      </c>
      <c r="BQ115" s="60">
        <f>SUM(BQ116:BQ125)</f>
        <v/>
      </c>
      <c r="BR115" s="60">
        <f>SUM(BR116:BR125)</f>
        <v/>
      </c>
      <c r="BS115" s="60">
        <f>SUM(BS116:BS125)</f>
        <v/>
      </c>
      <c r="BT115" s="60">
        <f>SUM(BT116:BT125)</f>
        <v/>
      </c>
      <c r="BU115" s="60">
        <f>SUM(BU116:BU125)</f>
        <v/>
      </c>
      <c r="BV115" s="60">
        <f>SUM(BV116:BV125)</f>
        <v/>
      </c>
      <c r="BW115" s="60">
        <f>SUM(BW116:BW125)</f>
        <v/>
      </c>
      <c r="BX115" s="60">
        <f>SUM(BX116:BX125)</f>
        <v/>
      </c>
      <c r="BY115" s="60">
        <f>SUM(BY116:BY125)</f>
        <v/>
      </c>
      <c r="BZ115" s="60">
        <f>SUM(BZ116:BZ125)</f>
        <v/>
      </c>
      <c r="CA115" s="60">
        <f>SUM(CA116:CA125)</f>
        <v/>
      </c>
      <c r="CB115" s="60">
        <f>SUM(CB116:CB125)</f>
        <v/>
      </c>
      <c r="CC115" s="60">
        <f>SUM(CC116:CC125)</f>
        <v/>
      </c>
      <c r="CD115" s="60">
        <f>SUM(CD116:CD125)</f>
        <v/>
      </c>
      <c r="CE115" s="60">
        <f>SUM(CE116:CE125)</f>
        <v/>
      </c>
      <c r="CF115" s="60">
        <f>SUM(CF116:CF125)</f>
        <v/>
      </c>
      <c r="CG115" s="60">
        <f>SUM(CG116:CG125)</f>
        <v/>
      </c>
      <c r="CH115" s="60">
        <f>SUM(CH116:CH125)</f>
        <v/>
      </c>
      <c r="CI115" s="60">
        <f>SUM(CI116:CI125)</f>
        <v/>
      </c>
      <c r="CJ115" s="60">
        <f>SUM(CJ116:CJ125)</f>
        <v/>
      </c>
      <c r="CK115" s="60">
        <f>SUM(CK116:CK125)</f>
        <v/>
      </c>
      <c r="CL115" s="60">
        <f>SUM(CL116:CL125)</f>
        <v/>
      </c>
      <c r="CM115" s="60">
        <f>SUM(CM116:CM125)</f>
        <v/>
      </c>
      <c r="CN115" s="60">
        <f>SUM(CN116:CN125)</f>
        <v/>
      </c>
      <c r="CO115" s="60">
        <f>SUM(CO116:CO125)</f>
        <v/>
      </c>
      <c r="CP115" s="60">
        <f>SUM(CP116:CP125)</f>
        <v/>
      </c>
      <c r="CQ115" s="60">
        <f>SUM(CQ116:CQ125)</f>
        <v/>
      </c>
      <c r="CR115" s="60">
        <f>SUM(CR116:CR125)</f>
        <v/>
      </c>
      <c r="CS115" s="60">
        <f>SUM(CS116:CS125)</f>
        <v/>
      </c>
      <c r="CT115" s="60">
        <f>SUM(CT116:CT125)</f>
        <v/>
      </c>
      <c r="CU115" s="60">
        <f>SUM(CU116:CU125)</f>
        <v/>
      </c>
      <c r="CV115" s="60">
        <f>SUM(CV116:CV125)</f>
        <v/>
      </c>
      <c r="CW115" s="60">
        <f>SUM(CW116:CW125)</f>
        <v/>
      </c>
      <c r="CX115" s="60">
        <f>SUM(CX116:CX125)</f>
        <v/>
      </c>
    </row>
    <row r="116" outlineLevel="2" ht="15.75" customHeight="1" s="255">
      <c r="A116" s="56">
        <f>Payroll!A31</f>
        <v/>
      </c>
      <c r="B116" s="56" t="n"/>
      <c r="C116" s="56" t="n"/>
      <c r="D116" s="56" t="n"/>
      <c r="E116" s="56">
        <f>IF(E$2=Payroll!$I31,Payroll!$F31,IF(E$2&gt;Payroll!$I31,Payroll!$F31*((1+Payroll!$J31)^(ROUNDDOWN(DATEDIF(Payroll!$I31,E$2,"M")/Payroll!$K31,0))),0))</f>
        <v/>
      </c>
      <c r="F116" s="56">
        <f>IF(F$2=Payroll!$I31,Payroll!$F31,IF(F$2&gt;Payroll!$I31,Payroll!$F31*((1+Payroll!$J31)^(ROUNDDOWN(DATEDIF(Payroll!$I31,F$2,"M")/Payroll!$K31,0))),0))</f>
        <v/>
      </c>
      <c r="G116" s="56">
        <f>IF(G$2=Payroll!$I31,Payroll!$F31,IF(G$2&gt;Payroll!$I31,Payroll!$F31*((1+Payroll!$J31)^(ROUNDDOWN(DATEDIF(Payroll!$I31,G$2,"M")/Payroll!$K31,0))),0))</f>
        <v/>
      </c>
      <c r="H116" s="56">
        <f>IF(H$2=Payroll!$I31,Payroll!$F31,IF(H$2&gt;Payroll!$I31,Payroll!$F31*((1+Payroll!$J31)^(ROUNDDOWN(DATEDIF(Payroll!$I31,H$2,"M")/Payroll!$K31,0))),0))</f>
        <v/>
      </c>
      <c r="I116" s="56">
        <f>IF(I$2=Payroll!$I31,Payroll!$F31,IF(I$2&gt;Payroll!$I31,Payroll!$F31*((1+Payroll!$J31)^(ROUNDDOWN(DATEDIF(Payroll!$I31,I$2,"M")/Payroll!$K31,0))),0))</f>
        <v/>
      </c>
      <c r="J116" s="56">
        <f>IF(J$2=Payroll!$I31,Payroll!$F31,IF(J$2&gt;Payroll!$I31,Payroll!$F31*((1+Payroll!$J31)^(ROUNDDOWN(DATEDIF(Payroll!$I31,J$2,"M")/Payroll!$K31,0))),0))</f>
        <v/>
      </c>
      <c r="K116" s="56">
        <f>IF(K$2=Payroll!$I31,Payroll!$F31,IF(K$2&gt;Payroll!$I31,Payroll!$F31*((1+Payroll!$J31)^(ROUNDDOWN(DATEDIF(Payroll!$I31,K$2,"M")/Payroll!$K31,0))),0))</f>
        <v/>
      </c>
      <c r="L116" s="56">
        <f>IF(L$2=Payroll!$I31,Payroll!$F31,IF(L$2&gt;Payroll!$I31,Payroll!$F31*((1+Payroll!$J31)^(ROUNDDOWN(DATEDIF(Payroll!$I31,L$2,"M")/Payroll!$K31,0))),0))</f>
        <v/>
      </c>
      <c r="M116" s="56">
        <f>IF(M$2=Payroll!$I31,Payroll!$F31,IF(M$2&gt;Payroll!$I31,Payroll!$F31*((1+Payroll!$J31)^(ROUNDDOWN(DATEDIF(Payroll!$I31,M$2,"M")/Payroll!$K31,0))),0))</f>
        <v/>
      </c>
      <c r="N116" s="56">
        <f>IF(N$2=Payroll!$I31,Payroll!$F31,IF(N$2&gt;Payroll!$I31,Payroll!$F31*((1+Payroll!$J31)^(ROUNDDOWN(DATEDIF(Payroll!$I31,N$2,"M")/Payroll!$K31,0))),0))</f>
        <v/>
      </c>
      <c r="O116" s="56">
        <f>IF(O$2=Payroll!$I31,Payroll!$F31,IF(O$2&gt;Payroll!$I31,Payroll!$F31*((1+Payroll!$J31)^(ROUNDDOWN(DATEDIF(Payroll!$I31,O$2,"M")/Payroll!$K31,0))),0))</f>
        <v/>
      </c>
      <c r="P116" s="56">
        <f>IF(P$2=Payroll!$I31,Payroll!$F31,IF(P$2&gt;Payroll!$I31,Payroll!$F31*((1+Payroll!$J31)^(ROUNDDOWN(DATEDIF(Payroll!$I31,P$2,"M")/Payroll!$K31,0))),0))</f>
        <v/>
      </c>
      <c r="Q116" s="56">
        <f>IF(Q$2=Payroll!$I31,Payroll!$F31,IF(Q$2&gt;Payroll!$I31,Payroll!$F31*((1+Payroll!$J31)^(ROUNDDOWN(DATEDIF(Payroll!$I31,Q$2,"M")/Payroll!$K31,0))),0))</f>
        <v/>
      </c>
      <c r="R116" s="56">
        <f>IF(R$2=Payroll!$I31,Payroll!$F31,IF(R$2&gt;Payroll!$I31,Payroll!$F31*((1+Payroll!$J31)^(ROUNDDOWN(DATEDIF(Payroll!$I31,R$2,"M")/Payroll!$K31,0))),0))</f>
        <v/>
      </c>
      <c r="S116" s="56">
        <f>IF(S$2=Payroll!$I31,Payroll!$F31,IF(S$2&gt;Payroll!$I31,Payroll!$F31*((1+Payroll!$J31)^(ROUNDDOWN(DATEDIF(Payroll!$I31,S$2,"M")/Payroll!$K31,0))),0))</f>
        <v/>
      </c>
      <c r="T116" s="56">
        <f>IF(T$2=Payroll!$I31,Payroll!$F31,IF(T$2&gt;Payroll!$I31,Payroll!$F31*((1+Payroll!$J31)^(ROUNDDOWN(DATEDIF(Payroll!$I31,T$2,"M")/Payroll!$K31,0))),0))</f>
        <v/>
      </c>
      <c r="U116" s="56">
        <f>IF(U$2=Payroll!$I31,Payroll!$F31,IF(U$2&gt;Payroll!$I31,Payroll!$F31*((1+Payroll!$J31)^(ROUNDDOWN(DATEDIF(Payroll!$I31,U$2,"M")/Payroll!$K31,0))),0))</f>
        <v/>
      </c>
      <c r="V116" s="56">
        <f>IF(V$2=Payroll!$I31,Payroll!$F31,IF(V$2&gt;Payroll!$I31,Payroll!$F31*((1+Payroll!$J31)^(ROUNDDOWN(DATEDIF(Payroll!$I31,V$2,"M")/Payroll!$K31,0))),0))</f>
        <v/>
      </c>
      <c r="W116" s="56">
        <f>IF(W$2=Payroll!$I31,Payroll!$F31,IF(W$2&gt;Payroll!$I31,Payroll!$F31*((1+Payroll!$J31)^(ROUNDDOWN(DATEDIF(Payroll!$I31,W$2,"M")/Payroll!$K31,0))),0))</f>
        <v/>
      </c>
      <c r="X116" s="56">
        <f>IF(X$2=Payroll!$I31,Payroll!$F31,IF(X$2&gt;Payroll!$I31,Payroll!$F31*((1+Payroll!$J31)^(ROUNDDOWN(DATEDIF(Payroll!$I31,X$2,"M")/Payroll!$K31,0))),0))</f>
        <v/>
      </c>
      <c r="Y116" s="56">
        <f>IF(Y$2=Payroll!$I31,Payroll!$F31,IF(Y$2&gt;Payroll!$I31,Payroll!$F31*((1+Payroll!$J31)^(ROUNDDOWN(DATEDIF(Payroll!$I31,Y$2,"M")/Payroll!$K31,0))),0))</f>
        <v/>
      </c>
      <c r="Z116" s="56">
        <f>IF(Z$2=Payroll!$I31,Payroll!$F31,IF(Z$2&gt;Payroll!$I31,Payroll!$F31*((1+Payroll!$J31)^(ROUNDDOWN(DATEDIF(Payroll!$I31,Z$2,"M")/Payroll!$K31,0))),0))</f>
        <v/>
      </c>
      <c r="AA116" s="56">
        <f>IF(AA$2=Payroll!$I31,Payroll!$F31,IF(AA$2&gt;Payroll!$I31,Payroll!$F31*((1+Payroll!$J31)^(ROUNDDOWN(DATEDIF(Payroll!$I31,AA$2,"M")/Payroll!$K31,0))),0))</f>
        <v/>
      </c>
      <c r="AB116" s="56">
        <f>IF(AB$2=Payroll!$I31,Payroll!$F31,IF(AB$2&gt;Payroll!$I31,Payroll!$F31*((1+Payroll!$J31)^(ROUNDDOWN(DATEDIF(Payroll!$I31,AB$2,"M")/Payroll!$K31,0))),0))</f>
        <v/>
      </c>
      <c r="AC116" s="56">
        <f>IF(AC$2=Payroll!$I31,Payroll!$F31,IF(AC$2&gt;Payroll!$I31,Payroll!$F31*((1+Payroll!$J31)^(ROUNDDOWN(DATEDIF(Payroll!$I31,AC$2,"M")/Payroll!$K31,0))),0))</f>
        <v/>
      </c>
      <c r="AD116" s="56">
        <f>IF(AD$2=Payroll!$I31,Payroll!$F31,IF(AD$2&gt;Payroll!$I31,Payroll!$F31*((1+Payroll!$J31)^(ROUNDDOWN(DATEDIF(Payroll!$I31,AD$2,"M")/Payroll!$K31,0))),0))</f>
        <v/>
      </c>
      <c r="AE116" s="56">
        <f>IF(AE$2=Payroll!$I31,Payroll!$F31,IF(AE$2&gt;Payroll!$I31,Payroll!$F31*((1+Payroll!$J31)^(ROUNDDOWN(DATEDIF(Payroll!$I31,AE$2,"M")/Payroll!$K31,0))),0))</f>
        <v/>
      </c>
      <c r="AF116" s="56">
        <f>IF(AF$2=Payroll!$I31,Payroll!$F31,IF(AF$2&gt;Payroll!$I31,Payroll!$F31*((1+Payroll!$J31)^(ROUNDDOWN(DATEDIF(Payroll!$I31,AF$2,"M")/Payroll!$K31,0))),0))</f>
        <v/>
      </c>
      <c r="AG116" s="56">
        <f>IF(AG$2=Payroll!$I31,Payroll!$F31,IF(AG$2&gt;Payroll!$I31,Payroll!$F31*((1+Payroll!$J31)^(ROUNDDOWN(DATEDIF(Payroll!$I31,AG$2,"M")/Payroll!$K31,0))),0))</f>
        <v/>
      </c>
      <c r="AH116" s="56">
        <f>IF(AH$2=Payroll!$I31,Payroll!$F31,IF(AH$2&gt;Payroll!$I31,Payroll!$F31*((1+Payroll!$J31)^(ROUNDDOWN(DATEDIF(Payroll!$I31,AH$2,"M")/Payroll!$K31,0))),0))</f>
        <v/>
      </c>
      <c r="AI116" s="56">
        <f>IF(AI$2=Payroll!$I31,Payroll!$F31,IF(AI$2&gt;Payroll!$I31,Payroll!$F31*((1+Payroll!$J31)^(ROUNDDOWN(DATEDIF(Payroll!$I31,AI$2,"M")/Payroll!$K31,0))),0))</f>
        <v/>
      </c>
      <c r="AJ116" s="56">
        <f>IF(AJ$2=Payroll!$I31,Payroll!$F31,IF(AJ$2&gt;Payroll!$I31,Payroll!$F31*((1+Payroll!$J31)^(ROUNDDOWN(DATEDIF(Payroll!$I31,AJ$2,"M")/Payroll!$K31,0))),0))</f>
        <v/>
      </c>
      <c r="AK116" s="56">
        <f>IF(AK$2=Payroll!$I31,Payroll!$F31,IF(AK$2&gt;Payroll!$I31,Payroll!$F31*((1+Payroll!$J31)^(ROUNDDOWN(DATEDIF(Payroll!$I31,AK$2,"M")/Payroll!$K31,0))),0))</f>
        <v/>
      </c>
      <c r="AL116" s="56">
        <f>IF(AL$2=Payroll!$I31,Payroll!$F31,IF(AL$2&gt;Payroll!$I31,Payroll!$F31*((1+Payroll!$J31)^(ROUNDDOWN(DATEDIF(Payroll!$I31,AL$2,"M")/Payroll!$K31,0))),0))</f>
        <v/>
      </c>
      <c r="AM116" s="56">
        <f>IF(AM$2=Payroll!$I31,Payroll!$F31,IF(AM$2&gt;Payroll!$I31,Payroll!$F31*((1+Payroll!$J31)^(ROUNDDOWN(DATEDIF(Payroll!$I31,AM$2,"M")/Payroll!$K31,0))),0))</f>
        <v/>
      </c>
      <c r="AN116" s="56">
        <f>IF(AN$2=Payroll!$I31,Payroll!$F31,IF(AN$2&gt;Payroll!$I31,Payroll!$F31*((1+Payroll!$J31)^(ROUNDDOWN(DATEDIF(Payroll!$I31,AN$2,"M")/Payroll!$K31,0))),0))</f>
        <v/>
      </c>
      <c r="AO116" s="56">
        <f>IF(AO$2=Payroll!$I31,Payroll!$F31,IF(AO$2&gt;Payroll!$I31,Payroll!$F31*((1+Payroll!$J31)^(ROUNDDOWN(DATEDIF(Payroll!$I31,AO$2,"M")/Payroll!$K31,0))),0))</f>
        <v/>
      </c>
      <c r="AP116" s="56">
        <f>IF(AP$2=Payroll!$I31,Payroll!$F31,IF(AP$2&gt;Payroll!$I31,Payroll!$F31*((1+Payroll!$J31)^(ROUNDDOWN(DATEDIF(Payroll!$I31,AP$2,"M")/Payroll!$K31,0))),0))</f>
        <v/>
      </c>
      <c r="AQ116" s="56">
        <f>IF(AQ$2=Payroll!$I31,Payroll!$F31,IF(AQ$2&gt;Payroll!$I31,Payroll!$F31*((1+Payroll!$J31)^(ROUNDDOWN(DATEDIF(Payroll!$I31,AQ$2,"M")/Payroll!$K31,0))),0))</f>
        <v/>
      </c>
      <c r="AR116" s="56">
        <f>IF(AR$2=Payroll!$I31,Payroll!$F31,IF(AR$2&gt;Payroll!$I31,Payroll!$F31*((1+Payroll!$J31)^(ROUNDDOWN(DATEDIF(Payroll!$I31,AR$2,"M")/Payroll!$K31,0))),0))</f>
        <v/>
      </c>
      <c r="AS116" s="56">
        <f>IF(AS$2=Payroll!$I31,Payroll!$F31,IF(AS$2&gt;Payroll!$I31,Payroll!$F31*((1+Payroll!$J31)^(ROUNDDOWN(DATEDIF(Payroll!$I31,AS$2,"M")/Payroll!$K31,0))),0))</f>
        <v/>
      </c>
      <c r="AT116" s="56">
        <f>IF(AT$2=Payroll!$I31,Payroll!$F31,IF(AT$2&gt;Payroll!$I31,Payroll!$F31*((1+Payroll!$J31)^(ROUNDDOWN(DATEDIF(Payroll!$I31,AT$2,"M")/Payroll!$K31,0))),0))</f>
        <v/>
      </c>
      <c r="AU116" s="56">
        <f>IF(AU$2=Payroll!$I31,Payroll!$F31,IF(AU$2&gt;Payroll!$I31,Payroll!$F31*((1+Payroll!$J31)^(ROUNDDOWN(DATEDIF(Payroll!$I31,AU$2,"M")/Payroll!$K31,0))),0))</f>
        <v/>
      </c>
      <c r="AV116" s="56">
        <f>IF(AV$2=Payroll!$I31,Payroll!$F31,IF(AV$2&gt;Payroll!$I31,Payroll!$F31*((1+Payroll!$J31)^(ROUNDDOWN(DATEDIF(Payroll!$I31,AV$2,"M")/Payroll!$K31,0))),0))</f>
        <v/>
      </c>
      <c r="AW116" s="56">
        <f>IF(AW$2=Payroll!$I31,Payroll!$F31,IF(AW$2&gt;Payroll!$I31,Payroll!$F31*((1+Payroll!$J31)^(ROUNDDOWN(DATEDIF(Payroll!$I31,AW$2,"M")/Payroll!$K31,0))),0))</f>
        <v/>
      </c>
      <c r="AX116" s="56">
        <f>IF(AX$2=Payroll!$I31,Payroll!$F31,IF(AX$2&gt;Payroll!$I31,Payroll!$F31*((1+Payroll!$J31)^(ROUNDDOWN(DATEDIF(Payroll!$I31,AX$2,"M")/Payroll!$K31,0))),0))</f>
        <v/>
      </c>
      <c r="AY116" s="56">
        <f>IF(AY$2=Payroll!$I31,Payroll!$F31,IF(AY$2&gt;Payroll!$I31,Payroll!$F31*((1+Payroll!$J31)^(ROUNDDOWN(DATEDIF(Payroll!$I31,AY$2,"M")/Payroll!$K31,0))),0))</f>
        <v/>
      </c>
      <c r="AZ116" s="56">
        <f>IF(AZ$2=Payroll!$I31,Payroll!$F31,IF(AZ$2&gt;Payroll!$I31,Payroll!$F31*((1+Payroll!$J31)^(ROUNDDOWN(DATEDIF(Payroll!$I31,AZ$2,"M")/Payroll!$K31,0))),0))</f>
        <v/>
      </c>
      <c r="BA116" s="56">
        <f>IF(BA$2=Payroll!$I31,Payroll!$F31,IF(BA$2&gt;Payroll!$I31,Payroll!$F31*((1+Payroll!$J31)^(ROUNDDOWN(DATEDIF(Payroll!$I31,BA$2,"M")/Payroll!$K31,0))),0))</f>
        <v/>
      </c>
      <c r="BB116" s="56">
        <f>IF(BB$2=Payroll!$I31,Payroll!$F31,IF(BB$2&gt;Payroll!$I31,Payroll!$F31*((1+Payroll!$J31)^(ROUNDDOWN(DATEDIF(Payroll!$I31,BB$2,"M")/Payroll!$K31,0))),0))</f>
        <v/>
      </c>
      <c r="BC116" s="56">
        <f>IF(BC$2=Payroll!$I31,Payroll!$F31,IF(BC$2&gt;Payroll!$I31,Payroll!$F31*((1+Payroll!$J31)^(ROUNDDOWN(DATEDIF(Payroll!$I31,BC$2,"M")/Payroll!$K31,0))),0))</f>
        <v/>
      </c>
      <c r="BD116" s="56">
        <f>IF(BD$2=Payroll!$I31,Payroll!$F31,IF(BD$2&gt;Payroll!$I31,Payroll!$F31*((1+Payroll!$J31)^(ROUNDDOWN(DATEDIF(Payroll!$I31,BD$2,"M")/Payroll!$K31,0))),0))</f>
        <v/>
      </c>
      <c r="BE116" s="56">
        <f>IF(BE$2=Payroll!$I31,Payroll!$F31,IF(BE$2&gt;Payroll!$I31,Payroll!$F31*((1+Payroll!$J31)^(ROUNDDOWN(DATEDIF(Payroll!$I31,BE$2,"M")/Payroll!$K31,0))),0))</f>
        <v/>
      </c>
      <c r="BF116" s="56">
        <f>IF(BF$2=Payroll!$I31,Payroll!$F31,IF(BF$2&gt;Payroll!$I31,Payroll!$F31*((1+Payroll!$J31)^(ROUNDDOWN(DATEDIF(Payroll!$I31,BF$2,"M")/Payroll!$K31,0))),0))</f>
        <v/>
      </c>
      <c r="BG116" s="56">
        <f>IF(BG$2=Payroll!$I31,Payroll!$F31,IF(BG$2&gt;Payroll!$I31,Payroll!$F31*((1+Payroll!$J31)^(ROUNDDOWN(DATEDIF(Payroll!$I31,BG$2,"M")/Payroll!$K31,0))),0))</f>
        <v/>
      </c>
      <c r="BH116" s="56">
        <f>IF(BH$2=Payroll!$I31,Payroll!$F31,IF(BH$2&gt;Payroll!$I31,Payroll!$F31*((1+Payroll!$J31)^(ROUNDDOWN(DATEDIF(Payroll!$I31,BH$2,"M")/Payroll!$K31,0))),0))</f>
        <v/>
      </c>
      <c r="BI116" s="56">
        <f>IF(BI$2=Payroll!$I31,Payroll!$F31,IF(BI$2&gt;Payroll!$I31,Payroll!$F31*((1+Payroll!$J31)^(ROUNDDOWN(DATEDIF(Payroll!$I31,BI$2,"M")/Payroll!$K31,0))),0))</f>
        <v/>
      </c>
      <c r="BJ116" s="56">
        <f>IF(BJ$2=Payroll!$I31,Payroll!$F31,IF(BJ$2&gt;Payroll!$I31,Payroll!$F31*((1+Payroll!$J31)^(ROUNDDOWN(DATEDIF(Payroll!$I31,BJ$2,"M")/Payroll!$K31,0))),0))</f>
        <v/>
      </c>
      <c r="BK116" s="56">
        <f>IF(BK$2=Payroll!$I31,Payroll!$F31,IF(BK$2&gt;Payroll!$I31,Payroll!$F31*((1+Payroll!$J31)^(ROUNDDOWN(DATEDIF(Payroll!$I31,BK$2,"M")/Payroll!$K31,0))),0))</f>
        <v/>
      </c>
      <c r="BL116" s="56">
        <f>IF(BL$2=Payroll!$I31,Payroll!$F31,IF(BL$2&gt;Payroll!$I31,Payroll!$F31*((1+Payroll!$J31)^(ROUNDDOWN(DATEDIF(Payroll!$I31,BL$2,"M")/Payroll!$K31,0))),0))</f>
        <v/>
      </c>
      <c r="BM116" s="56">
        <f>IF(BM$2=Payroll!$I31,Payroll!$F31,IF(BM$2&gt;Payroll!$I31,Payroll!$F31*((1+Payroll!$J31)^(ROUNDDOWN(DATEDIF(Payroll!$I31,BM$2,"M")/Payroll!$K31,0))),0))</f>
        <v/>
      </c>
      <c r="BN116" s="56">
        <f>IF(BN$2=Payroll!$I31,Payroll!$F31,IF(BN$2&gt;Payroll!$I31,Payroll!$F31*((1+Payroll!$J31)^(ROUNDDOWN(DATEDIF(Payroll!$I31,BN$2,"M")/Payroll!$K31,0))),0))</f>
        <v/>
      </c>
      <c r="BO116" s="56">
        <f>IF(BO$2=Payroll!$I31,Payroll!$F31,IF(BO$2&gt;Payroll!$I31,Payroll!$F31*((1+Payroll!$J31)^(ROUNDDOWN(DATEDIF(Payroll!$I31,BO$2,"M")/Payroll!$K31,0))),0))</f>
        <v/>
      </c>
      <c r="BP116" s="56">
        <f>IF(BP$2=Payroll!$I31,Payroll!$F31,IF(BP$2&gt;Payroll!$I31,Payroll!$F31*((1+Payroll!$J31)^(ROUNDDOWN(DATEDIF(Payroll!$I31,BP$2,"M")/Payroll!$K31,0))),0))</f>
        <v/>
      </c>
      <c r="BQ116" s="56">
        <f>IF(BQ$2=Payroll!$I31,Payroll!$F31,IF(BQ$2&gt;Payroll!$I31,Payroll!$F31*((1+Payroll!$J31)^(ROUNDDOWN(DATEDIF(Payroll!$I31,BQ$2,"M")/Payroll!$K31,0))),0))</f>
        <v/>
      </c>
      <c r="BR116" s="56">
        <f>IF(BR$2=Payroll!$I31,Payroll!$F31,IF(BR$2&gt;Payroll!$I31,Payroll!$F31*((1+Payroll!$J31)^(ROUNDDOWN(DATEDIF(Payroll!$I31,BR$2,"M")/Payroll!$K31,0))),0))</f>
        <v/>
      </c>
      <c r="BS116" s="56">
        <f>IF(BS$2=Payroll!$I31,Payroll!$F31,IF(BS$2&gt;Payroll!$I31,Payroll!$F31*((1+Payroll!$J31)^(ROUNDDOWN(DATEDIF(Payroll!$I31,BS$2,"M")/Payroll!$K31,0))),0))</f>
        <v/>
      </c>
      <c r="BT116" s="56">
        <f>IF(BT$2=Payroll!$I31,Payroll!$F31,IF(BT$2&gt;Payroll!$I31,Payroll!$F31*((1+Payroll!$J31)^(ROUNDDOWN(DATEDIF(Payroll!$I31,BT$2,"M")/Payroll!$K31,0))),0))</f>
        <v/>
      </c>
      <c r="BU116" s="56">
        <f>IF(BU$2=Payroll!$I31,Payroll!$F31,IF(BU$2&gt;Payroll!$I31,Payroll!$F31*((1+Payroll!$J31)^(ROUNDDOWN(DATEDIF(Payroll!$I31,BU$2,"M")/Payroll!$K31,0))),0))</f>
        <v/>
      </c>
      <c r="BV116" s="56">
        <f>IF(BV$2=Payroll!$I31,Payroll!$F31,IF(BV$2&gt;Payroll!$I31,Payroll!$F31*((1+Payroll!$J31)^(ROUNDDOWN(DATEDIF(Payroll!$I31,BV$2,"M")/Payroll!$K31,0))),0))</f>
        <v/>
      </c>
      <c r="BW116" s="56">
        <f>IF(BW$2=Payroll!$I31,Payroll!$F31,IF(BW$2&gt;Payroll!$I31,Payroll!$F31*((1+Payroll!$J31)^(ROUNDDOWN(DATEDIF(Payroll!$I31,BW$2,"M")/Payroll!$K31,0))),0))</f>
        <v/>
      </c>
      <c r="BX116" s="56">
        <f>IF(BX$2=Payroll!$I31,Payroll!$F31,IF(BX$2&gt;Payroll!$I31,Payroll!$F31*((1+Payroll!$J31)^(ROUNDDOWN(DATEDIF(Payroll!$I31,BX$2,"M")/Payroll!$K31,0))),0))</f>
        <v/>
      </c>
      <c r="BY116" s="56">
        <f>IF(BY$2=Payroll!$I31,Payroll!$F31,IF(BY$2&gt;Payroll!$I31,Payroll!$F31*((1+Payroll!$J31)^(ROUNDDOWN(DATEDIF(Payroll!$I31,BY$2,"M")/Payroll!$K31,0))),0))</f>
        <v/>
      </c>
      <c r="BZ116" s="56">
        <f>IF(BZ$2=Payroll!$I31,Payroll!$F31,IF(BZ$2&gt;Payroll!$I31,Payroll!$F31*((1+Payroll!$J31)^(ROUNDDOWN(DATEDIF(Payroll!$I31,BZ$2,"M")/Payroll!$K31,0))),0))</f>
        <v/>
      </c>
      <c r="CA116" s="56">
        <f>IF(CA$2=Payroll!$I31,Payroll!$F31,IF(CA$2&gt;Payroll!$I31,Payroll!$F31*((1+Payroll!$J31)^(ROUNDDOWN(DATEDIF(Payroll!$I31,CA$2,"M")/Payroll!$K31,0))),0))</f>
        <v/>
      </c>
      <c r="CB116" s="56">
        <f>IF(CB$2=Payroll!$I31,Payroll!$F31,IF(CB$2&gt;Payroll!$I31,Payroll!$F31*((1+Payroll!$J31)^(ROUNDDOWN(DATEDIF(Payroll!$I31,CB$2,"M")/Payroll!$K31,0))),0))</f>
        <v/>
      </c>
      <c r="CC116" s="56">
        <f>IF(CC$2=Payroll!$I31,Payroll!$F31,IF(CC$2&gt;Payroll!$I31,Payroll!$F31*((1+Payroll!$J31)^(ROUNDDOWN(DATEDIF(Payroll!$I31,CC$2,"M")/Payroll!$K31,0))),0))</f>
        <v/>
      </c>
      <c r="CD116" s="56">
        <f>IF(CD$2=Payroll!$I31,Payroll!$F31,IF(CD$2&gt;Payroll!$I31,Payroll!$F31*((1+Payroll!$J31)^(ROUNDDOWN(DATEDIF(Payroll!$I31,CD$2,"M")/Payroll!$K31,0))),0))</f>
        <v/>
      </c>
      <c r="CE116" s="56">
        <f>IF(CE$2=Payroll!$I31,Payroll!$F31,IF(CE$2&gt;Payroll!$I31,Payroll!$F31*((1+Payroll!$J31)^(ROUNDDOWN(DATEDIF(Payroll!$I31,CE$2,"M")/Payroll!$K31,0))),0))</f>
        <v/>
      </c>
      <c r="CF116" s="56">
        <f>IF(CF$2=Payroll!$I31,Payroll!$F31,IF(CF$2&gt;Payroll!$I31,Payroll!$F31*((1+Payroll!$J31)^(ROUNDDOWN(DATEDIF(Payroll!$I31,CF$2,"M")/Payroll!$K31,0))),0))</f>
        <v/>
      </c>
      <c r="CG116" s="56">
        <f>IF(CG$2=Payroll!$I31,Payroll!$F31,IF(CG$2&gt;Payroll!$I31,Payroll!$F31*((1+Payroll!$J31)^(ROUNDDOWN(DATEDIF(Payroll!$I31,CG$2,"M")/Payroll!$K31,0))),0))</f>
        <v/>
      </c>
      <c r="CH116" s="56">
        <f>IF(CH$2=Payroll!$I31,Payroll!$F31,IF(CH$2&gt;Payroll!$I31,Payroll!$F31*((1+Payroll!$J31)^(ROUNDDOWN(DATEDIF(Payroll!$I31,CH$2,"M")/Payroll!$K31,0))),0))</f>
        <v/>
      </c>
      <c r="CI116" s="56">
        <f>IF(CI$2=Payroll!$I31,Payroll!$F31,IF(CI$2&gt;Payroll!$I31,Payroll!$F31*((1+Payroll!$J31)^(ROUNDDOWN(DATEDIF(Payroll!$I31,CI$2,"M")/Payroll!$K31,0))),0))</f>
        <v/>
      </c>
      <c r="CJ116" s="56">
        <f>IF(CJ$2=Payroll!$I31,Payroll!$F31,IF(CJ$2&gt;Payroll!$I31,Payroll!$F31*((1+Payroll!$J31)^(ROUNDDOWN(DATEDIF(Payroll!$I31,CJ$2,"M")/Payroll!$K31,0))),0))</f>
        <v/>
      </c>
      <c r="CK116" s="56">
        <f>IF(CK$2=Payroll!$I31,Payroll!$F31,IF(CK$2&gt;Payroll!$I31,Payroll!$F31*((1+Payroll!$J31)^(ROUNDDOWN(DATEDIF(Payroll!$I31,CK$2,"M")/Payroll!$K31,0))),0))</f>
        <v/>
      </c>
      <c r="CL116" s="56">
        <f>IF(CL$2=Payroll!$I31,Payroll!$F31,IF(CL$2&gt;Payroll!$I31,Payroll!$F31*((1+Payroll!$J31)^(ROUNDDOWN(DATEDIF(Payroll!$I31,CL$2,"M")/Payroll!$K31,0))),0))</f>
        <v/>
      </c>
      <c r="CM116" s="56">
        <f>IF(CM$2=Payroll!$I31,Payroll!$F31,IF(CM$2&gt;Payroll!$I31,Payroll!$F31*((1+Payroll!$J31)^(ROUNDDOWN(DATEDIF(Payroll!$I31,CM$2,"M")/Payroll!$K31,0))),0))</f>
        <v/>
      </c>
      <c r="CN116" s="56">
        <f>IF(CN$2=Payroll!$I31,Payroll!$F31,IF(CN$2&gt;Payroll!$I31,Payroll!$F31*((1+Payroll!$J31)^(ROUNDDOWN(DATEDIF(Payroll!$I31,CN$2,"M")/Payroll!$K31,0))),0))</f>
        <v/>
      </c>
      <c r="CO116" s="56">
        <f>IF(CO$2=Payroll!$I31,Payroll!$F31,IF(CO$2&gt;Payroll!$I31,Payroll!$F31*((1+Payroll!$J31)^(ROUNDDOWN(DATEDIF(Payroll!$I31,CO$2,"M")/Payroll!$K31,0))),0))</f>
        <v/>
      </c>
      <c r="CP116" s="56">
        <f>IF(CP$2=Payroll!$I31,Payroll!$F31,IF(CP$2&gt;Payroll!$I31,Payroll!$F31*((1+Payroll!$J31)^(ROUNDDOWN(DATEDIF(Payroll!$I31,CP$2,"M")/Payroll!$K31,0))),0))</f>
        <v/>
      </c>
      <c r="CQ116" s="56">
        <f>IF(CQ$2=Payroll!$I31,Payroll!$F31,IF(CQ$2&gt;Payroll!$I31,Payroll!$F31*((1+Payroll!$J31)^(ROUNDDOWN(DATEDIF(Payroll!$I31,CQ$2,"M")/Payroll!$K31,0))),0))</f>
        <v/>
      </c>
      <c r="CR116" s="56">
        <f>IF(CR$2=Payroll!$I31,Payroll!$F31,IF(CR$2&gt;Payroll!$I31,Payroll!$F31*((1+Payroll!$J31)^(ROUNDDOWN(DATEDIF(Payroll!$I31,CR$2,"M")/Payroll!$K31,0))),0))</f>
        <v/>
      </c>
      <c r="CS116" s="56">
        <f>IF(CS$2=Payroll!$I31,Payroll!$F31,IF(CS$2&gt;Payroll!$I31,Payroll!$F31*((1+Payroll!$J31)^(ROUNDDOWN(DATEDIF(Payroll!$I31,CS$2,"M")/Payroll!$K31,0))),0))</f>
        <v/>
      </c>
      <c r="CT116" s="56">
        <f>IF(CT$2=Payroll!$I31,Payroll!$F31,IF(CT$2&gt;Payroll!$I31,Payroll!$F31*((1+Payroll!$J31)^(ROUNDDOWN(DATEDIF(Payroll!$I31,CT$2,"M")/Payroll!$K31,0))),0))</f>
        <v/>
      </c>
      <c r="CU116" s="56">
        <f>IF(CU$2=Payroll!$I31,Payroll!$F31,IF(CU$2&gt;Payroll!$I31,Payroll!$F31*((1+Payroll!$J31)^(ROUNDDOWN(DATEDIF(Payroll!$I31,CU$2,"M")/Payroll!$K31,0))),0))</f>
        <v/>
      </c>
      <c r="CV116" s="56">
        <f>IF(CV$2=Payroll!$I31,Payroll!$F31,IF(CV$2&gt;Payroll!$I31,Payroll!$F31*((1+Payroll!$J31)^(ROUNDDOWN(DATEDIF(Payroll!$I31,CV$2,"M")/Payroll!$K31,0))),0))</f>
        <v/>
      </c>
      <c r="CW116" s="56">
        <f>IF(CW$2=Payroll!$I31,Payroll!$F31,IF(CW$2&gt;Payroll!$I31,Payroll!$F31*((1+Payroll!$J31)^(ROUNDDOWN(DATEDIF(Payroll!$I31,CW$2,"M")/Payroll!$K31,0))),0))</f>
        <v/>
      </c>
      <c r="CX116" s="56">
        <f>IF(CX$2=Payroll!$I31,Payroll!$F31,IF(CX$2&gt;Payroll!$I31,Payroll!$F31*((1+Payroll!$J31)^(ROUNDDOWN(DATEDIF(Payroll!$I31,CX$2,"M")/Payroll!$K31,0))),0))</f>
        <v/>
      </c>
    </row>
    <row r="117" outlineLevel="2" ht="15.75" customHeight="1" s="255">
      <c r="A117" s="56">
        <f>Payroll!A32</f>
        <v/>
      </c>
      <c r="B117" s="56" t="n"/>
      <c r="C117" s="56" t="n"/>
      <c r="D117" s="56" t="n"/>
      <c r="E117" s="56">
        <f>IF(E$2=Payroll!$I32,Payroll!$F32,IF(E$2&gt;Payroll!$I32,Payroll!$F32*((1+Payroll!$J32)^(ROUNDDOWN(DATEDIF(Payroll!$I32,E$2,"M")/Payroll!$K32,0))),0))</f>
        <v/>
      </c>
      <c r="F117" s="56">
        <f>IF(F$2=Payroll!$I32,Payroll!$F32,IF(F$2&gt;Payroll!$I32,Payroll!$F32*((1+Payroll!$J32)^(ROUNDDOWN(DATEDIF(Payroll!$I32,F$2,"M")/Payroll!$K32,0))),0))</f>
        <v/>
      </c>
      <c r="G117" s="56">
        <f>IF(G$2=Payroll!$I32,Payroll!$F32,IF(G$2&gt;Payroll!$I32,Payroll!$F32*((1+Payroll!$J32)^(ROUNDDOWN(DATEDIF(Payroll!$I32,G$2,"M")/Payroll!$K32,0))),0))</f>
        <v/>
      </c>
      <c r="H117" s="56">
        <f>IF(H$2=Payroll!$I32,Payroll!$F32,IF(H$2&gt;Payroll!$I32,Payroll!$F32*((1+Payroll!$J32)^(ROUNDDOWN(DATEDIF(Payroll!$I32,H$2,"M")/Payroll!$K32,0))),0))</f>
        <v/>
      </c>
      <c r="I117" s="56">
        <f>IF(I$2=Payroll!$I32,Payroll!$F32,IF(I$2&gt;Payroll!$I32,Payroll!$F32*((1+Payroll!$J32)^(ROUNDDOWN(DATEDIF(Payroll!$I32,I$2,"M")/Payroll!$K32,0))),0))</f>
        <v/>
      </c>
      <c r="J117" s="56">
        <f>IF(J$2=Payroll!$I32,Payroll!$F32,IF(J$2&gt;Payroll!$I32,Payroll!$F32*((1+Payroll!$J32)^(ROUNDDOWN(DATEDIF(Payroll!$I32,J$2,"M")/Payroll!$K32,0))),0))</f>
        <v/>
      </c>
      <c r="K117" s="56">
        <f>IF(K$2=Payroll!$I32,Payroll!$F32,IF(K$2&gt;Payroll!$I32,Payroll!$F32*((1+Payroll!$J32)^(ROUNDDOWN(DATEDIF(Payroll!$I32,K$2,"M")/Payroll!$K32,0))),0))</f>
        <v/>
      </c>
      <c r="L117" s="56">
        <f>IF(L$2=Payroll!$I32,Payroll!$F32,IF(L$2&gt;Payroll!$I32,Payroll!$F32*((1+Payroll!$J32)^(ROUNDDOWN(DATEDIF(Payroll!$I32,L$2,"M")/Payroll!$K32,0))),0))</f>
        <v/>
      </c>
      <c r="M117" s="56">
        <f>IF(M$2=Payroll!$I32,Payroll!$F32,IF(M$2&gt;Payroll!$I32,Payroll!$F32*((1+Payroll!$J32)^(ROUNDDOWN(DATEDIF(Payroll!$I32,M$2,"M")/Payroll!$K32,0))),0))</f>
        <v/>
      </c>
      <c r="N117" s="56">
        <f>IF(N$2=Payroll!$I32,Payroll!$F32,IF(N$2&gt;Payroll!$I32,Payroll!$F32*((1+Payroll!$J32)^(ROUNDDOWN(DATEDIF(Payroll!$I32,N$2,"M")/Payroll!$K32,0))),0))</f>
        <v/>
      </c>
      <c r="O117" s="56">
        <f>IF(O$2=Payroll!$I32,Payroll!$F32,IF(O$2&gt;Payroll!$I32,Payroll!$F32*((1+Payroll!$J32)^(ROUNDDOWN(DATEDIF(Payroll!$I32,O$2,"M")/Payroll!$K32,0))),0))</f>
        <v/>
      </c>
      <c r="P117" s="56">
        <f>IF(P$2=Payroll!$I32,Payroll!$F32,IF(P$2&gt;Payroll!$I32,Payroll!$F32*((1+Payroll!$J32)^(ROUNDDOWN(DATEDIF(Payroll!$I32,P$2,"M")/Payroll!$K32,0))),0))</f>
        <v/>
      </c>
      <c r="Q117" s="56">
        <f>IF(Q$2=Payroll!$I32,Payroll!$F32,IF(Q$2&gt;Payroll!$I32,Payroll!$F32*((1+Payroll!$J32)^(ROUNDDOWN(DATEDIF(Payroll!$I32,Q$2,"M")/Payroll!$K32,0))),0))</f>
        <v/>
      </c>
      <c r="R117" s="56">
        <f>IF(R$2=Payroll!$I32,Payroll!$F32,IF(R$2&gt;Payroll!$I32,Payroll!$F32*((1+Payroll!$J32)^(ROUNDDOWN(DATEDIF(Payroll!$I32,R$2,"M")/Payroll!$K32,0))),0))</f>
        <v/>
      </c>
      <c r="S117" s="56">
        <f>IF(S$2=Payroll!$I32,Payroll!$F32,IF(S$2&gt;Payroll!$I32,Payroll!$F32*((1+Payroll!$J32)^(ROUNDDOWN(DATEDIF(Payroll!$I32,S$2,"M")/Payroll!$K32,0))),0))</f>
        <v/>
      </c>
      <c r="T117" s="56">
        <f>IF(T$2=Payroll!$I32,Payroll!$F32,IF(T$2&gt;Payroll!$I32,Payroll!$F32*((1+Payroll!$J32)^(ROUNDDOWN(DATEDIF(Payroll!$I32,T$2,"M")/Payroll!$K32,0))),0))</f>
        <v/>
      </c>
      <c r="U117" s="56">
        <f>IF(U$2=Payroll!$I32,Payroll!$F32,IF(U$2&gt;Payroll!$I32,Payroll!$F32*((1+Payroll!$J32)^(ROUNDDOWN(DATEDIF(Payroll!$I32,U$2,"M")/Payroll!$K32,0))),0))</f>
        <v/>
      </c>
      <c r="V117" s="56">
        <f>IF(V$2=Payroll!$I32,Payroll!$F32,IF(V$2&gt;Payroll!$I32,Payroll!$F32*((1+Payroll!$J32)^(ROUNDDOWN(DATEDIF(Payroll!$I32,V$2,"M")/Payroll!$K32,0))),0))</f>
        <v/>
      </c>
      <c r="W117" s="56">
        <f>IF(W$2=Payroll!$I32,Payroll!$F32,IF(W$2&gt;Payroll!$I32,Payroll!$F32*((1+Payroll!$J32)^(ROUNDDOWN(DATEDIF(Payroll!$I32,W$2,"M")/Payroll!$K32,0))),0))</f>
        <v/>
      </c>
      <c r="X117" s="56">
        <f>IF(X$2=Payroll!$I32,Payroll!$F32,IF(X$2&gt;Payroll!$I32,Payroll!$F32*((1+Payroll!$J32)^(ROUNDDOWN(DATEDIF(Payroll!$I32,X$2,"M")/Payroll!$K32,0))),0))</f>
        <v/>
      </c>
      <c r="Y117" s="56">
        <f>IF(Y$2=Payroll!$I32,Payroll!$F32,IF(Y$2&gt;Payroll!$I32,Payroll!$F32*((1+Payroll!$J32)^(ROUNDDOWN(DATEDIF(Payroll!$I32,Y$2,"M")/Payroll!$K32,0))),0))</f>
        <v/>
      </c>
      <c r="Z117" s="56">
        <f>IF(Z$2=Payroll!$I32,Payroll!$F32,IF(Z$2&gt;Payroll!$I32,Payroll!$F32*((1+Payroll!$J32)^(ROUNDDOWN(DATEDIF(Payroll!$I32,Z$2,"M")/Payroll!$K32,0))),0))</f>
        <v/>
      </c>
      <c r="AA117" s="56">
        <f>IF(AA$2=Payroll!$I32,Payroll!$F32,IF(AA$2&gt;Payroll!$I32,Payroll!$F32*((1+Payroll!$J32)^(ROUNDDOWN(DATEDIF(Payroll!$I32,AA$2,"M")/Payroll!$K32,0))),0))</f>
        <v/>
      </c>
      <c r="AB117" s="56">
        <f>IF(AB$2=Payroll!$I32,Payroll!$F32,IF(AB$2&gt;Payroll!$I32,Payroll!$F32*((1+Payroll!$J32)^(ROUNDDOWN(DATEDIF(Payroll!$I32,AB$2,"M")/Payroll!$K32,0))),0))</f>
        <v/>
      </c>
      <c r="AC117" s="56">
        <f>IF(AC$2=Payroll!$I32,Payroll!$F32,IF(AC$2&gt;Payroll!$I32,Payroll!$F32*((1+Payroll!$J32)^(ROUNDDOWN(DATEDIF(Payroll!$I32,AC$2,"M")/Payroll!$K32,0))),0))</f>
        <v/>
      </c>
      <c r="AD117" s="56">
        <f>IF(AD$2=Payroll!$I32,Payroll!$F32,IF(AD$2&gt;Payroll!$I32,Payroll!$F32*((1+Payroll!$J32)^(ROUNDDOWN(DATEDIF(Payroll!$I32,AD$2,"M")/Payroll!$K32,0))),0))</f>
        <v/>
      </c>
      <c r="AE117" s="56">
        <f>IF(AE$2=Payroll!$I32,Payroll!$F32,IF(AE$2&gt;Payroll!$I32,Payroll!$F32*((1+Payroll!$J32)^(ROUNDDOWN(DATEDIF(Payroll!$I32,AE$2,"M")/Payroll!$K32,0))),0))</f>
        <v/>
      </c>
      <c r="AF117" s="56">
        <f>IF(AF$2=Payroll!$I32,Payroll!$F32,IF(AF$2&gt;Payroll!$I32,Payroll!$F32*((1+Payroll!$J32)^(ROUNDDOWN(DATEDIF(Payroll!$I32,AF$2,"M")/Payroll!$K32,0))),0))</f>
        <v/>
      </c>
      <c r="AG117" s="56">
        <f>IF(AG$2=Payroll!$I32,Payroll!$F32,IF(AG$2&gt;Payroll!$I32,Payroll!$F32*((1+Payroll!$J32)^(ROUNDDOWN(DATEDIF(Payroll!$I32,AG$2,"M")/Payroll!$K32,0))),0))</f>
        <v/>
      </c>
      <c r="AH117" s="56">
        <f>IF(AH$2=Payroll!$I32,Payroll!$F32,IF(AH$2&gt;Payroll!$I32,Payroll!$F32*((1+Payroll!$J32)^(ROUNDDOWN(DATEDIF(Payroll!$I32,AH$2,"M")/Payroll!$K32,0))),0))</f>
        <v/>
      </c>
      <c r="AI117" s="56">
        <f>IF(AI$2=Payroll!$I32,Payroll!$F32,IF(AI$2&gt;Payroll!$I32,Payroll!$F32*((1+Payroll!$J32)^(ROUNDDOWN(DATEDIF(Payroll!$I32,AI$2,"M")/Payroll!$K32,0))),0))</f>
        <v/>
      </c>
      <c r="AJ117" s="56">
        <f>IF(AJ$2=Payroll!$I32,Payroll!$F32,IF(AJ$2&gt;Payroll!$I32,Payroll!$F32*((1+Payroll!$J32)^(ROUNDDOWN(DATEDIF(Payroll!$I32,AJ$2,"M")/Payroll!$K32,0))),0))</f>
        <v/>
      </c>
      <c r="AK117" s="56">
        <f>IF(AK$2=Payroll!$I32,Payroll!$F32,IF(AK$2&gt;Payroll!$I32,Payroll!$F32*((1+Payroll!$J32)^(ROUNDDOWN(DATEDIF(Payroll!$I32,AK$2,"M")/Payroll!$K32,0))),0))</f>
        <v/>
      </c>
      <c r="AL117" s="56">
        <f>IF(AL$2=Payroll!$I32,Payroll!$F32,IF(AL$2&gt;Payroll!$I32,Payroll!$F32*((1+Payroll!$J32)^(ROUNDDOWN(DATEDIF(Payroll!$I32,AL$2,"M")/Payroll!$K32,0))),0))</f>
        <v/>
      </c>
      <c r="AM117" s="56">
        <f>IF(AM$2=Payroll!$I32,Payroll!$F32,IF(AM$2&gt;Payroll!$I32,Payroll!$F32*((1+Payroll!$J32)^(ROUNDDOWN(DATEDIF(Payroll!$I32,AM$2,"M")/Payroll!$K32,0))),0))</f>
        <v/>
      </c>
      <c r="AN117" s="56">
        <f>IF(AN$2=Payroll!$I32,Payroll!$F32,IF(AN$2&gt;Payroll!$I32,Payroll!$F32*((1+Payroll!$J32)^(ROUNDDOWN(DATEDIF(Payroll!$I32,AN$2,"M")/Payroll!$K32,0))),0))</f>
        <v/>
      </c>
      <c r="AO117" s="56">
        <f>IF(AO$2=Payroll!$I32,Payroll!$F32,IF(AO$2&gt;Payroll!$I32,Payroll!$F32*((1+Payroll!$J32)^(ROUNDDOWN(DATEDIF(Payroll!$I32,AO$2,"M")/Payroll!$K32,0))),0))</f>
        <v/>
      </c>
      <c r="AP117" s="56">
        <f>IF(AP$2=Payroll!$I32,Payroll!$F32,IF(AP$2&gt;Payroll!$I32,Payroll!$F32*((1+Payroll!$J32)^(ROUNDDOWN(DATEDIF(Payroll!$I32,AP$2,"M")/Payroll!$K32,0))),0))</f>
        <v/>
      </c>
      <c r="AQ117" s="56">
        <f>IF(AQ$2=Payroll!$I32,Payroll!$F32,IF(AQ$2&gt;Payroll!$I32,Payroll!$F32*((1+Payroll!$J32)^(ROUNDDOWN(DATEDIF(Payroll!$I32,AQ$2,"M")/Payroll!$K32,0))),0))</f>
        <v/>
      </c>
      <c r="AR117" s="56">
        <f>IF(AR$2=Payroll!$I32,Payroll!$F32,IF(AR$2&gt;Payroll!$I32,Payroll!$F32*((1+Payroll!$J32)^(ROUNDDOWN(DATEDIF(Payroll!$I32,AR$2,"M")/Payroll!$K32,0))),0))</f>
        <v/>
      </c>
      <c r="AS117" s="56">
        <f>IF(AS$2=Payroll!$I32,Payroll!$F32,IF(AS$2&gt;Payroll!$I32,Payroll!$F32*((1+Payroll!$J32)^(ROUNDDOWN(DATEDIF(Payroll!$I32,AS$2,"M")/Payroll!$K32,0))),0))</f>
        <v/>
      </c>
      <c r="AT117" s="56">
        <f>IF(AT$2=Payroll!$I32,Payroll!$F32,IF(AT$2&gt;Payroll!$I32,Payroll!$F32*((1+Payroll!$J32)^(ROUNDDOWN(DATEDIF(Payroll!$I32,AT$2,"M")/Payroll!$K32,0))),0))</f>
        <v/>
      </c>
      <c r="AU117" s="56">
        <f>IF(AU$2=Payroll!$I32,Payroll!$F32,IF(AU$2&gt;Payroll!$I32,Payroll!$F32*((1+Payroll!$J32)^(ROUNDDOWN(DATEDIF(Payroll!$I32,AU$2,"M")/Payroll!$K32,0))),0))</f>
        <v/>
      </c>
      <c r="AV117" s="56">
        <f>IF(AV$2=Payroll!$I32,Payroll!$F32,IF(AV$2&gt;Payroll!$I32,Payroll!$F32*((1+Payroll!$J32)^(ROUNDDOWN(DATEDIF(Payroll!$I32,AV$2,"M")/Payroll!$K32,0))),0))</f>
        <v/>
      </c>
      <c r="AW117" s="56">
        <f>IF(AW$2=Payroll!$I32,Payroll!$F32,IF(AW$2&gt;Payroll!$I32,Payroll!$F32*((1+Payroll!$J32)^(ROUNDDOWN(DATEDIF(Payroll!$I32,AW$2,"M")/Payroll!$K32,0))),0))</f>
        <v/>
      </c>
      <c r="AX117" s="56">
        <f>IF(AX$2=Payroll!$I32,Payroll!$F32,IF(AX$2&gt;Payroll!$I32,Payroll!$F32*((1+Payroll!$J32)^(ROUNDDOWN(DATEDIF(Payroll!$I32,AX$2,"M")/Payroll!$K32,0))),0))</f>
        <v/>
      </c>
      <c r="AY117" s="56">
        <f>IF(AY$2=Payroll!$I32,Payroll!$F32,IF(AY$2&gt;Payroll!$I32,Payroll!$F32*((1+Payroll!$J32)^(ROUNDDOWN(DATEDIF(Payroll!$I32,AY$2,"M")/Payroll!$K32,0))),0))</f>
        <v/>
      </c>
      <c r="AZ117" s="56">
        <f>IF(AZ$2=Payroll!$I32,Payroll!$F32,IF(AZ$2&gt;Payroll!$I32,Payroll!$F32*((1+Payroll!$J32)^(ROUNDDOWN(DATEDIF(Payroll!$I32,AZ$2,"M")/Payroll!$K32,0))),0))</f>
        <v/>
      </c>
      <c r="BA117" s="56">
        <f>IF(BA$2=Payroll!$I32,Payroll!$F32,IF(BA$2&gt;Payroll!$I32,Payroll!$F32*((1+Payroll!$J32)^(ROUNDDOWN(DATEDIF(Payroll!$I32,BA$2,"M")/Payroll!$K32,0))),0))</f>
        <v/>
      </c>
      <c r="BB117" s="56">
        <f>IF(BB$2=Payroll!$I32,Payroll!$F32,IF(BB$2&gt;Payroll!$I32,Payroll!$F32*((1+Payroll!$J32)^(ROUNDDOWN(DATEDIF(Payroll!$I32,BB$2,"M")/Payroll!$K32,0))),0))</f>
        <v/>
      </c>
      <c r="BC117" s="56">
        <f>IF(BC$2=Payroll!$I32,Payroll!$F32,IF(BC$2&gt;Payroll!$I32,Payroll!$F32*((1+Payroll!$J32)^(ROUNDDOWN(DATEDIF(Payroll!$I32,BC$2,"M")/Payroll!$K32,0))),0))</f>
        <v/>
      </c>
      <c r="BD117" s="56">
        <f>IF(BD$2=Payroll!$I32,Payroll!$F32,IF(BD$2&gt;Payroll!$I32,Payroll!$F32*((1+Payroll!$J32)^(ROUNDDOWN(DATEDIF(Payroll!$I32,BD$2,"M")/Payroll!$K32,0))),0))</f>
        <v/>
      </c>
      <c r="BE117" s="56">
        <f>IF(BE$2=Payroll!$I32,Payroll!$F32,IF(BE$2&gt;Payroll!$I32,Payroll!$F32*((1+Payroll!$J32)^(ROUNDDOWN(DATEDIF(Payroll!$I32,BE$2,"M")/Payroll!$K32,0))),0))</f>
        <v/>
      </c>
      <c r="BF117" s="56">
        <f>IF(BF$2=Payroll!$I32,Payroll!$F32,IF(BF$2&gt;Payroll!$I32,Payroll!$F32*((1+Payroll!$J32)^(ROUNDDOWN(DATEDIF(Payroll!$I32,BF$2,"M")/Payroll!$K32,0))),0))</f>
        <v/>
      </c>
      <c r="BG117" s="56">
        <f>IF(BG$2=Payroll!$I32,Payroll!$F32,IF(BG$2&gt;Payroll!$I32,Payroll!$F32*((1+Payroll!$J32)^(ROUNDDOWN(DATEDIF(Payroll!$I32,BG$2,"M")/Payroll!$K32,0))),0))</f>
        <v/>
      </c>
      <c r="BH117" s="56">
        <f>IF(BH$2=Payroll!$I32,Payroll!$F32,IF(BH$2&gt;Payroll!$I32,Payroll!$F32*((1+Payroll!$J32)^(ROUNDDOWN(DATEDIF(Payroll!$I32,BH$2,"M")/Payroll!$K32,0))),0))</f>
        <v/>
      </c>
      <c r="BI117" s="56">
        <f>IF(BI$2=Payroll!$I32,Payroll!$F32,IF(BI$2&gt;Payroll!$I32,Payroll!$F32*((1+Payroll!$J32)^(ROUNDDOWN(DATEDIF(Payroll!$I32,BI$2,"M")/Payroll!$K32,0))),0))</f>
        <v/>
      </c>
      <c r="BJ117" s="56">
        <f>IF(BJ$2=Payroll!$I32,Payroll!$F32,IF(BJ$2&gt;Payroll!$I32,Payroll!$F32*((1+Payroll!$J32)^(ROUNDDOWN(DATEDIF(Payroll!$I32,BJ$2,"M")/Payroll!$K32,0))),0))</f>
        <v/>
      </c>
      <c r="BK117" s="56">
        <f>IF(BK$2=Payroll!$I32,Payroll!$F32,IF(BK$2&gt;Payroll!$I32,Payroll!$F32*((1+Payroll!$J32)^(ROUNDDOWN(DATEDIF(Payroll!$I32,BK$2,"M")/Payroll!$K32,0))),0))</f>
        <v/>
      </c>
      <c r="BL117" s="56">
        <f>IF(BL$2=Payroll!$I32,Payroll!$F32,IF(BL$2&gt;Payroll!$I32,Payroll!$F32*((1+Payroll!$J32)^(ROUNDDOWN(DATEDIF(Payroll!$I32,BL$2,"M")/Payroll!$K32,0))),0))</f>
        <v/>
      </c>
      <c r="BM117" s="56">
        <f>IF(BM$2=Payroll!$I32,Payroll!$F32,IF(BM$2&gt;Payroll!$I32,Payroll!$F32*((1+Payroll!$J32)^(ROUNDDOWN(DATEDIF(Payroll!$I32,BM$2,"M")/Payroll!$K32,0))),0))</f>
        <v/>
      </c>
      <c r="BN117" s="56">
        <f>IF(BN$2=Payroll!$I32,Payroll!$F32,IF(BN$2&gt;Payroll!$I32,Payroll!$F32*((1+Payroll!$J32)^(ROUNDDOWN(DATEDIF(Payroll!$I32,BN$2,"M")/Payroll!$K32,0))),0))</f>
        <v/>
      </c>
      <c r="BO117" s="56">
        <f>IF(BO$2=Payroll!$I32,Payroll!$F32,IF(BO$2&gt;Payroll!$I32,Payroll!$F32*((1+Payroll!$J32)^(ROUNDDOWN(DATEDIF(Payroll!$I32,BO$2,"M")/Payroll!$K32,0))),0))</f>
        <v/>
      </c>
      <c r="BP117" s="56">
        <f>IF(BP$2=Payroll!$I32,Payroll!$F32,IF(BP$2&gt;Payroll!$I32,Payroll!$F32*((1+Payroll!$J32)^(ROUNDDOWN(DATEDIF(Payroll!$I32,BP$2,"M")/Payroll!$K32,0))),0))</f>
        <v/>
      </c>
      <c r="BQ117" s="56">
        <f>IF(BQ$2=Payroll!$I32,Payroll!$F32,IF(BQ$2&gt;Payroll!$I32,Payroll!$F32*((1+Payroll!$J32)^(ROUNDDOWN(DATEDIF(Payroll!$I32,BQ$2,"M")/Payroll!$K32,0))),0))</f>
        <v/>
      </c>
      <c r="BR117" s="56">
        <f>IF(BR$2=Payroll!$I32,Payroll!$F32,IF(BR$2&gt;Payroll!$I32,Payroll!$F32*((1+Payroll!$J32)^(ROUNDDOWN(DATEDIF(Payroll!$I32,BR$2,"M")/Payroll!$K32,0))),0))</f>
        <v/>
      </c>
      <c r="BS117" s="56">
        <f>IF(BS$2=Payroll!$I32,Payroll!$F32,IF(BS$2&gt;Payroll!$I32,Payroll!$F32*((1+Payroll!$J32)^(ROUNDDOWN(DATEDIF(Payroll!$I32,BS$2,"M")/Payroll!$K32,0))),0))</f>
        <v/>
      </c>
      <c r="BT117" s="56">
        <f>IF(BT$2=Payroll!$I32,Payroll!$F32,IF(BT$2&gt;Payroll!$I32,Payroll!$F32*((1+Payroll!$J32)^(ROUNDDOWN(DATEDIF(Payroll!$I32,BT$2,"M")/Payroll!$K32,0))),0))</f>
        <v/>
      </c>
      <c r="BU117" s="56">
        <f>IF(BU$2=Payroll!$I32,Payroll!$F32,IF(BU$2&gt;Payroll!$I32,Payroll!$F32*((1+Payroll!$J32)^(ROUNDDOWN(DATEDIF(Payroll!$I32,BU$2,"M")/Payroll!$K32,0))),0))</f>
        <v/>
      </c>
      <c r="BV117" s="56">
        <f>IF(BV$2=Payroll!$I32,Payroll!$F32,IF(BV$2&gt;Payroll!$I32,Payroll!$F32*((1+Payroll!$J32)^(ROUNDDOWN(DATEDIF(Payroll!$I32,BV$2,"M")/Payroll!$K32,0))),0))</f>
        <v/>
      </c>
      <c r="BW117" s="56">
        <f>IF(BW$2=Payroll!$I32,Payroll!$F32,IF(BW$2&gt;Payroll!$I32,Payroll!$F32*((1+Payroll!$J32)^(ROUNDDOWN(DATEDIF(Payroll!$I32,BW$2,"M")/Payroll!$K32,0))),0))</f>
        <v/>
      </c>
      <c r="BX117" s="56">
        <f>IF(BX$2=Payroll!$I32,Payroll!$F32,IF(BX$2&gt;Payroll!$I32,Payroll!$F32*((1+Payroll!$J32)^(ROUNDDOWN(DATEDIF(Payroll!$I32,BX$2,"M")/Payroll!$K32,0))),0))</f>
        <v/>
      </c>
      <c r="BY117" s="56">
        <f>IF(BY$2=Payroll!$I32,Payroll!$F32,IF(BY$2&gt;Payroll!$I32,Payroll!$F32*((1+Payroll!$J32)^(ROUNDDOWN(DATEDIF(Payroll!$I32,BY$2,"M")/Payroll!$K32,0))),0))</f>
        <v/>
      </c>
      <c r="BZ117" s="56">
        <f>IF(BZ$2=Payroll!$I32,Payroll!$F32,IF(BZ$2&gt;Payroll!$I32,Payroll!$F32*((1+Payroll!$J32)^(ROUNDDOWN(DATEDIF(Payroll!$I32,BZ$2,"M")/Payroll!$K32,0))),0))</f>
        <v/>
      </c>
      <c r="CA117" s="56">
        <f>IF(CA$2=Payroll!$I32,Payroll!$F32,IF(CA$2&gt;Payroll!$I32,Payroll!$F32*((1+Payroll!$J32)^(ROUNDDOWN(DATEDIF(Payroll!$I32,CA$2,"M")/Payroll!$K32,0))),0))</f>
        <v/>
      </c>
      <c r="CB117" s="56">
        <f>IF(CB$2=Payroll!$I32,Payroll!$F32,IF(CB$2&gt;Payroll!$I32,Payroll!$F32*((1+Payroll!$J32)^(ROUNDDOWN(DATEDIF(Payroll!$I32,CB$2,"M")/Payroll!$K32,0))),0))</f>
        <v/>
      </c>
      <c r="CC117" s="56">
        <f>IF(CC$2=Payroll!$I32,Payroll!$F32,IF(CC$2&gt;Payroll!$I32,Payroll!$F32*((1+Payroll!$J32)^(ROUNDDOWN(DATEDIF(Payroll!$I32,CC$2,"M")/Payroll!$K32,0))),0))</f>
        <v/>
      </c>
      <c r="CD117" s="56">
        <f>IF(CD$2=Payroll!$I32,Payroll!$F32,IF(CD$2&gt;Payroll!$I32,Payroll!$F32*((1+Payroll!$J32)^(ROUNDDOWN(DATEDIF(Payroll!$I32,CD$2,"M")/Payroll!$K32,0))),0))</f>
        <v/>
      </c>
      <c r="CE117" s="56">
        <f>IF(CE$2=Payroll!$I32,Payroll!$F32,IF(CE$2&gt;Payroll!$I32,Payroll!$F32*((1+Payroll!$J32)^(ROUNDDOWN(DATEDIF(Payroll!$I32,CE$2,"M")/Payroll!$K32,0))),0))</f>
        <v/>
      </c>
      <c r="CF117" s="56">
        <f>IF(CF$2=Payroll!$I32,Payroll!$F32,IF(CF$2&gt;Payroll!$I32,Payroll!$F32*((1+Payroll!$J32)^(ROUNDDOWN(DATEDIF(Payroll!$I32,CF$2,"M")/Payroll!$K32,0))),0))</f>
        <v/>
      </c>
      <c r="CG117" s="56">
        <f>IF(CG$2=Payroll!$I32,Payroll!$F32,IF(CG$2&gt;Payroll!$I32,Payroll!$F32*((1+Payroll!$J32)^(ROUNDDOWN(DATEDIF(Payroll!$I32,CG$2,"M")/Payroll!$K32,0))),0))</f>
        <v/>
      </c>
      <c r="CH117" s="56">
        <f>IF(CH$2=Payroll!$I32,Payroll!$F32,IF(CH$2&gt;Payroll!$I32,Payroll!$F32*((1+Payroll!$J32)^(ROUNDDOWN(DATEDIF(Payroll!$I32,CH$2,"M")/Payroll!$K32,0))),0))</f>
        <v/>
      </c>
      <c r="CI117" s="56">
        <f>IF(CI$2=Payroll!$I32,Payroll!$F32,IF(CI$2&gt;Payroll!$I32,Payroll!$F32*((1+Payroll!$J32)^(ROUNDDOWN(DATEDIF(Payroll!$I32,CI$2,"M")/Payroll!$K32,0))),0))</f>
        <v/>
      </c>
      <c r="CJ117" s="56">
        <f>IF(CJ$2=Payroll!$I32,Payroll!$F32,IF(CJ$2&gt;Payroll!$I32,Payroll!$F32*((1+Payroll!$J32)^(ROUNDDOWN(DATEDIF(Payroll!$I32,CJ$2,"M")/Payroll!$K32,0))),0))</f>
        <v/>
      </c>
      <c r="CK117" s="56">
        <f>IF(CK$2=Payroll!$I32,Payroll!$F32,IF(CK$2&gt;Payroll!$I32,Payroll!$F32*((1+Payroll!$J32)^(ROUNDDOWN(DATEDIF(Payroll!$I32,CK$2,"M")/Payroll!$K32,0))),0))</f>
        <v/>
      </c>
      <c r="CL117" s="56">
        <f>IF(CL$2=Payroll!$I32,Payroll!$F32,IF(CL$2&gt;Payroll!$I32,Payroll!$F32*((1+Payroll!$J32)^(ROUNDDOWN(DATEDIF(Payroll!$I32,CL$2,"M")/Payroll!$K32,0))),0))</f>
        <v/>
      </c>
      <c r="CM117" s="56">
        <f>IF(CM$2=Payroll!$I32,Payroll!$F32,IF(CM$2&gt;Payroll!$I32,Payroll!$F32*((1+Payroll!$J32)^(ROUNDDOWN(DATEDIF(Payroll!$I32,CM$2,"M")/Payroll!$K32,0))),0))</f>
        <v/>
      </c>
      <c r="CN117" s="56">
        <f>IF(CN$2=Payroll!$I32,Payroll!$F32,IF(CN$2&gt;Payroll!$I32,Payroll!$F32*((1+Payroll!$J32)^(ROUNDDOWN(DATEDIF(Payroll!$I32,CN$2,"M")/Payroll!$K32,0))),0))</f>
        <v/>
      </c>
      <c r="CO117" s="56">
        <f>IF(CO$2=Payroll!$I32,Payroll!$F32,IF(CO$2&gt;Payroll!$I32,Payroll!$F32*((1+Payroll!$J32)^(ROUNDDOWN(DATEDIF(Payroll!$I32,CO$2,"M")/Payroll!$K32,0))),0))</f>
        <v/>
      </c>
      <c r="CP117" s="56">
        <f>IF(CP$2=Payroll!$I32,Payroll!$F32,IF(CP$2&gt;Payroll!$I32,Payroll!$F32*((1+Payroll!$J32)^(ROUNDDOWN(DATEDIF(Payroll!$I32,CP$2,"M")/Payroll!$K32,0))),0))</f>
        <v/>
      </c>
      <c r="CQ117" s="56">
        <f>IF(CQ$2=Payroll!$I32,Payroll!$F32,IF(CQ$2&gt;Payroll!$I32,Payroll!$F32*((1+Payroll!$J32)^(ROUNDDOWN(DATEDIF(Payroll!$I32,CQ$2,"M")/Payroll!$K32,0))),0))</f>
        <v/>
      </c>
      <c r="CR117" s="56">
        <f>IF(CR$2=Payroll!$I32,Payroll!$F32,IF(CR$2&gt;Payroll!$I32,Payroll!$F32*((1+Payroll!$J32)^(ROUNDDOWN(DATEDIF(Payroll!$I32,CR$2,"M")/Payroll!$K32,0))),0))</f>
        <v/>
      </c>
      <c r="CS117" s="56">
        <f>IF(CS$2=Payroll!$I32,Payroll!$F32,IF(CS$2&gt;Payroll!$I32,Payroll!$F32*((1+Payroll!$J32)^(ROUNDDOWN(DATEDIF(Payroll!$I32,CS$2,"M")/Payroll!$K32,0))),0))</f>
        <v/>
      </c>
      <c r="CT117" s="56">
        <f>IF(CT$2=Payroll!$I32,Payroll!$F32,IF(CT$2&gt;Payroll!$I32,Payroll!$F32*((1+Payroll!$J32)^(ROUNDDOWN(DATEDIF(Payroll!$I32,CT$2,"M")/Payroll!$K32,0))),0))</f>
        <v/>
      </c>
      <c r="CU117" s="56">
        <f>IF(CU$2=Payroll!$I32,Payroll!$F32,IF(CU$2&gt;Payroll!$I32,Payroll!$F32*((1+Payroll!$J32)^(ROUNDDOWN(DATEDIF(Payroll!$I32,CU$2,"M")/Payroll!$K32,0))),0))</f>
        <v/>
      </c>
      <c r="CV117" s="56">
        <f>IF(CV$2=Payroll!$I32,Payroll!$F32,IF(CV$2&gt;Payroll!$I32,Payroll!$F32*((1+Payroll!$J32)^(ROUNDDOWN(DATEDIF(Payroll!$I32,CV$2,"M")/Payroll!$K32,0))),0))</f>
        <v/>
      </c>
      <c r="CW117" s="56">
        <f>IF(CW$2=Payroll!$I32,Payroll!$F32,IF(CW$2&gt;Payroll!$I32,Payroll!$F32*((1+Payroll!$J32)^(ROUNDDOWN(DATEDIF(Payroll!$I32,CW$2,"M")/Payroll!$K32,0))),0))</f>
        <v/>
      </c>
      <c r="CX117" s="56">
        <f>IF(CX$2=Payroll!$I32,Payroll!$F32,IF(CX$2&gt;Payroll!$I32,Payroll!$F32*((1+Payroll!$J32)^(ROUNDDOWN(DATEDIF(Payroll!$I32,CX$2,"M")/Payroll!$K32,0))),0))</f>
        <v/>
      </c>
    </row>
    <row r="118" outlineLevel="2" ht="15.75" customHeight="1" s="255">
      <c r="A118" s="56">
        <f>Payroll!A33</f>
        <v/>
      </c>
      <c r="B118" s="56" t="n"/>
      <c r="C118" s="56" t="n"/>
      <c r="D118" s="56" t="n"/>
      <c r="E118" s="56">
        <f>IF(E$2=Payroll!$I33,Payroll!$F33,IF(E$2&gt;Payroll!$I33,Payroll!$F33*((1+Payroll!$J33)^(ROUNDDOWN(DATEDIF(Payroll!$I33,E$2,"M")/Payroll!$K33,0))),0))</f>
        <v/>
      </c>
      <c r="F118" s="56">
        <f>IF(F$2=Payroll!$I33,Payroll!$F33,IF(F$2&gt;Payroll!$I33,Payroll!$F33*((1+Payroll!$J33)^(ROUNDDOWN(DATEDIF(Payroll!$I33,F$2,"M")/Payroll!$K33,0))),0))</f>
        <v/>
      </c>
      <c r="G118" s="56">
        <f>IF(G$2=Payroll!$I33,Payroll!$F33,IF(G$2&gt;Payroll!$I33,Payroll!$F33*((1+Payroll!$J33)^(ROUNDDOWN(DATEDIF(Payroll!$I33,G$2,"M")/Payroll!$K33,0))),0))</f>
        <v/>
      </c>
      <c r="H118" s="56">
        <f>IF(H$2=Payroll!$I33,Payroll!$F33,IF(H$2&gt;Payroll!$I33,Payroll!$F33*((1+Payroll!$J33)^(ROUNDDOWN(DATEDIF(Payroll!$I33,H$2,"M")/Payroll!$K33,0))),0))</f>
        <v/>
      </c>
      <c r="I118" s="56">
        <f>IF(I$2=Payroll!$I33,Payroll!$F33,IF(I$2&gt;Payroll!$I33,Payroll!$F33*((1+Payroll!$J33)^(ROUNDDOWN(DATEDIF(Payroll!$I33,I$2,"M")/Payroll!$K33,0))),0))</f>
        <v/>
      </c>
      <c r="J118" s="56">
        <f>IF(J$2=Payroll!$I33,Payroll!$F33,IF(J$2&gt;Payroll!$I33,Payroll!$F33*((1+Payroll!$J33)^(ROUNDDOWN(DATEDIF(Payroll!$I33,J$2,"M")/Payroll!$K33,0))),0))</f>
        <v/>
      </c>
      <c r="K118" s="56">
        <f>IF(K$2=Payroll!$I33,Payroll!$F33,IF(K$2&gt;Payroll!$I33,Payroll!$F33*((1+Payroll!$J33)^(ROUNDDOWN(DATEDIF(Payroll!$I33,K$2,"M")/Payroll!$K33,0))),0))</f>
        <v/>
      </c>
      <c r="L118" s="56">
        <f>IF(L$2=Payroll!$I33,Payroll!$F33,IF(L$2&gt;Payroll!$I33,Payroll!$F33*((1+Payroll!$J33)^(ROUNDDOWN(DATEDIF(Payroll!$I33,L$2,"M")/Payroll!$K33,0))),0))</f>
        <v/>
      </c>
      <c r="M118" s="56">
        <f>IF(M$2=Payroll!$I33,Payroll!$F33,IF(M$2&gt;Payroll!$I33,Payroll!$F33*((1+Payroll!$J33)^(ROUNDDOWN(DATEDIF(Payroll!$I33,M$2,"M")/Payroll!$K33,0))),0))</f>
        <v/>
      </c>
      <c r="N118" s="56">
        <f>IF(N$2=Payroll!$I33,Payroll!$F33,IF(N$2&gt;Payroll!$I33,Payroll!$F33*((1+Payroll!$J33)^(ROUNDDOWN(DATEDIF(Payroll!$I33,N$2,"M")/Payroll!$K33,0))),0))</f>
        <v/>
      </c>
      <c r="O118" s="56">
        <f>IF(O$2=Payroll!$I33,Payroll!$F33,IF(O$2&gt;Payroll!$I33,Payroll!$F33*((1+Payroll!$J33)^(ROUNDDOWN(DATEDIF(Payroll!$I33,O$2,"M")/Payroll!$K33,0))),0))</f>
        <v/>
      </c>
      <c r="P118" s="56">
        <f>IF(P$2=Payroll!$I33,Payroll!$F33,IF(P$2&gt;Payroll!$I33,Payroll!$F33*((1+Payroll!$J33)^(ROUNDDOWN(DATEDIF(Payroll!$I33,P$2,"M")/Payroll!$K33,0))),0))</f>
        <v/>
      </c>
      <c r="Q118" s="56">
        <f>IF(Q$2=Payroll!$I33,Payroll!$F33,IF(Q$2&gt;Payroll!$I33,Payroll!$F33*((1+Payroll!$J33)^(ROUNDDOWN(DATEDIF(Payroll!$I33,Q$2,"M")/Payroll!$K33,0))),0))</f>
        <v/>
      </c>
      <c r="R118" s="56">
        <f>IF(R$2=Payroll!$I33,Payroll!$F33,IF(R$2&gt;Payroll!$I33,Payroll!$F33*((1+Payroll!$J33)^(ROUNDDOWN(DATEDIF(Payroll!$I33,R$2,"M")/Payroll!$K33,0))),0))</f>
        <v/>
      </c>
      <c r="S118" s="56">
        <f>IF(S$2=Payroll!$I33,Payroll!$F33,IF(S$2&gt;Payroll!$I33,Payroll!$F33*((1+Payroll!$J33)^(ROUNDDOWN(DATEDIF(Payroll!$I33,S$2,"M")/Payroll!$K33,0))),0))</f>
        <v/>
      </c>
      <c r="T118" s="56">
        <f>IF(T$2=Payroll!$I33,Payroll!$F33,IF(T$2&gt;Payroll!$I33,Payroll!$F33*((1+Payroll!$J33)^(ROUNDDOWN(DATEDIF(Payroll!$I33,T$2,"M")/Payroll!$K33,0))),0))</f>
        <v/>
      </c>
      <c r="U118" s="56">
        <f>IF(U$2=Payroll!$I33,Payroll!$F33,IF(U$2&gt;Payroll!$I33,Payroll!$F33*((1+Payroll!$J33)^(ROUNDDOWN(DATEDIF(Payroll!$I33,U$2,"M")/Payroll!$K33,0))),0))</f>
        <v/>
      </c>
      <c r="V118" s="56">
        <f>IF(V$2=Payroll!$I33,Payroll!$F33,IF(V$2&gt;Payroll!$I33,Payroll!$F33*((1+Payroll!$J33)^(ROUNDDOWN(DATEDIF(Payroll!$I33,V$2,"M")/Payroll!$K33,0))),0))</f>
        <v/>
      </c>
      <c r="W118" s="56">
        <f>IF(W$2=Payroll!$I33,Payroll!$F33,IF(W$2&gt;Payroll!$I33,Payroll!$F33*((1+Payroll!$J33)^(ROUNDDOWN(DATEDIF(Payroll!$I33,W$2,"M")/Payroll!$K33,0))),0))</f>
        <v/>
      </c>
      <c r="X118" s="56">
        <f>IF(X$2=Payroll!$I33,Payroll!$F33,IF(X$2&gt;Payroll!$I33,Payroll!$F33*((1+Payroll!$J33)^(ROUNDDOWN(DATEDIF(Payroll!$I33,X$2,"M")/Payroll!$K33,0))),0))</f>
        <v/>
      </c>
      <c r="Y118" s="56">
        <f>IF(Y$2=Payroll!$I33,Payroll!$F33,IF(Y$2&gt;Payroll!$I33,Payroll!$F33*((1+Payroll!$J33)^(ROUNDDOWN(DATEDIF(Payroll!$I33,Y$2,"M")/Payroll!$K33,0))),0))</f>
        <v/>
      </c>
      <c r="Z118" s="56">
        <f>IF(Z$2=Payroll!$I33,Payroll!$F33,IF(Z$2&gt;Payroll!$I33,Payroll!$F33*((1+Payroll!$J33)^(ROUNDDOWN(DATEDIF(Payroll!$I33,Z$2,"M")/Payroll!$K33,0))),0))</f>
        <v/>
      </c>
      <c r="AA118" s="56">
        <f>IF(AA$2=Payroll!$I33,Payroll!$F33,IF(AA$2&gt;Payroll!$I33,Payroll!$F33*((1+Payroll!$J33)^(ROUNDDOWN(DATEDIF(Payroll!$I33,AA$2,"M")/Payroll!$K33,0))),0))</f>
        <v/>
      </c>
      <c r="AB118" s="56">
        <f>IF(AB$2=Payroll!$I33,Payroll!$F33,IF(AB$2&gt;Payroll!$I33,Payroll!$F33*((1+Payroll!$J33)^(ROUNDDOWN(DATEDIF(Payroll!$I33,AB$2,"M")/Payroll!$K33,0))),0))</f>
        <v/>
      </c>
      <c r="AC118" s="56">
        <f>IF(AC$2=Payroll!$I33,Payroll!$F33,IF(AC$2&gt;Payroll!$I33,Payroll!$F33*((1+Payroll!$J33)^(ROUNDDOWN(DATEDIF(Payroll!$I33,AC$2,"M")/Payroll!$K33,0))),0))</f>
        <v/>
      </c>
      <c r="AD118" s="56">
        <f>IF(AD$2=Payroll!$I33,Payroll!$F33,IF(AD$2&gt;Payroll!$I33,Payroll!$F33*((1+Payroll!$J33)^(ROUNDDOWN(DATEDIF(Payroll!$I33,AD$2,"M")/Payroll!$K33,0))),0))</f>
        <v/>
      </c>
      <c r="AE118" s="56">
        <f>IF(AE$2=Payroll!$I33,Payroll!$F33,IF(AE$2&gt;Payroll!$I33,Payroll!$F33*((1+Payroll!$J33)^(ROUNDDOWN(DATEDIF(Payroll!$I33,AE$2,"M")/Payroll!$K33,0))),0))</f>
        <v/>
      </c>
      <c r="AF118" s="56">
        <f>IF(AF$2=Payroll!$I33,Payroll!$F33,IF(AF$2&gt;Payroll!$I33,Payroll!$F33*((1+Payroll!$J33)^(ROUNDDOWN(DATEDIF(Payroll!$I33,AF$2,"M")/Payroll!$K33,0))),0))</f>
        <v/>
      </c>
      <c r="AG118" s="56">
        <f>IF(AG$2=Payroll!$I33,Payroll!$F33,IF(AG$2&gt;Payroll!$I33,Payroll!$F33*((1+Payroll!$J33)^(ROUNDDOWN(DATEDIF(Payroll!$I33,AG$2,"M")/Payroll!$K33,0))),0))</f>
        <v/>
      </c>
      <c r="AH118" s="56">
        <f>IF(AH$2=Payroll!$I33,Payroll!$F33,IF(AH$2&gt;Payroll!$I33,Payroll!$F33*((1+Payroll!$J33)^(ROUNDDOWN(DATEDIF(Payroll!$I33,AH$2,"M")/Payroll!$K33,0))),0))</f>
        <v/>
      </c>
      <c r="AI118" s="56">
        <f>IF(AI$2=Payroll!$I33,Payroll!$F33,IF(AI$2&gt;Payroll!$I33,Payroll!$F33*((1+Payroll!$J33)^(ROUNDDOWN(DATEDIF(Payroll!$I33,AI$2,"M")/Payroll!$K33,0))),0))</f>
        <v/>
      </c>
      <c r="AJ118" s="56">
        <f>IF(AJ$2=Payroll!$I33,Payroll!$F33,IF(AJ$2&gt;Payroll!$I33,Payroll!$F33*((1+Payroll!$J33)^(ROUNDDOWN(DATEDIF(Payroll!$I33,AJ$2,"M")/Payroll!$K33,0))),0))</f>
        <v/>
      </c>
      <c r="AK118" s="56">
        <f>IF(AK$2=Payroll!$I33,Payroll!$F33,IF(AK$2&gt;Payroll!$I33,Payroll!$F33*((1+Payroll!$J33)^(ROUNDDOWN(DATEDIF(Payroll!$I33,AK$2,"M")/Payroll!$K33,0))),0))</f>
        <v/>
      </c>
      <c r="AL118" s="56">
        <f>IF(AL$2=Payroll!$I33,Payroll!$F33,IF(AL$2&gt;Payroll!$I33,Payroll!$F33*((1+Payroll!$J33)^(ROUNDDOWN(DATEDIF(Payroll!$I33,AL$2,"M")/Payroll!$K33,0))),0))</f>
        <v/>
      </c>
      <c r="AM118" s="56">
        <f>IF(AM$2=Payroll!$I33,Payroll!$F33,IF(AM$2&gt;Payroll!$I33,Payroll!$F33*((1+Payroll!$J33)^(ROUNDDOWN(DATEDIF(Payroll!$I33,AM$2,"M")/Payroll!$K33,0))),0))</f>
        <v/>
      </c>
      <c r="AN118" s="56">
        <f>IF(AN$2=Payroll!$I33,Payroll!$F33,IF(AN$2&gt;Payroll!$I33,Payroll!$F33*((1+Payroll!$J33)^(ROUNDDOWN(DATEDIF(Payroll!$I33,AN$2,"M")/Payroll!$K33,0))),0))</f>
        <v/>
      </c>
      <c r="AO118" s="56">
        <f>IF(AO$2=Payroll!$I33,Payroll!$F33,IF(AO$2&gt;Payroll!$I33,Payroll!$F33*((1+Payroll!$J33)^(ROUNDDOWN(DATEDIF(Payroll!$I33,AO$2,"M")/Payroll!$K33,0))),0))</f>
        <v/>
      </c>
      <c r="AP118" s="56">
        <f>IF(AP$2=Payroll!$I33,Payroll!$F33,IF(AP$2&gt;Payroll!$I33,Payroll!$F33*((1+Payroll!$J33)^(ROUNDDOWN(DATEDIF(Payroll!$I33,AP$2,"M")/Payroll!$K33,0))),0))</f>
        <v/>
      </c>
      <c r="AQ118" s="56">
        <f>IF(AQ$2=Payroll!$I33,Payroll!$F33,IF(AQ$2&gt;Payroll!$I33,Payroll!$F33*((1+Payroll!$J33)^(ROUNDDOWN(DATEDIF(Payroll!$I33,AQ$2,"M")/Payroll!$K33,0))),0))</f>
        <v/>
      </c>
      <c r="AR118" s="56">
        <f>IF(AR$2=Payroll!$I33,Payroll!$F33,IF(AR$2&gt;Payroll!$I33,Payroll!$F33*((1+Payroll!$J33)^(ROUNDDOWN(DATEDIF(Payroll!$I33,AR$2,"M")/Payroll!$K33,0))),0))</f>
        <v/>
      </c>
      <c r="AS118" s="56">
        <f>IF(AS$2=Payroll!$I33,Payroll!$F33,IF(AS$2&gt;Payroll!$I33,Payroll!$F33*((1+Payroll!$J33)^(ROUNDDOWN(DATEDIF(Payroll!$I33,AS$2,"M")/Payroll!$K33,0))),0))</f>
        <v/>
      </c>
      <c r="AT118" s="56">
        <f>IF(AT$2=Payroll!$I33,Payroll!$F33,IF(AT$2&gt;Payroll!$I33,Payroll!$F33*((1+Payroll!$J33)^(ROUNDDOWN(DATEDIF(Payroll!$I33,AT$2,"M")/Payroll!$K33,0))),0))</f>
        <v/>
      </c>
      <c r="AU118" s="56">
        <f>IF(AU$2=Payroll!$I33,Payroll!$F33,IF(AU$2&gt;Payroll!$I33,Payroll!$F33*((1+Payroll!$J33)^(ROUNDDOWN(DATEDIF(Payroll!$I33,AU$2,"M")/Payroll!$K33,0))),0))</f>
        <v/>
      </c>
      <c r="AV118" s="56">
        <f>IF(AV$2=Payroll!$I33,Payroll!$F33,IF(AV$2&gt;Payroll!$I33,Payroll!$F33*((1+Payroll!$J33)^(ROUNDDOWN(DATEDIF(Payroll!$I33,AV$2,"M")/Payroll!$K33,0))),0))</f>
        <v/>
      </c>
      <c r="AW118" s="56">
        <f>IF(AW$2=Payroll!$I33,Payroll!$F33,IF(AW$2&gt;Payroll!$I33,Payroll!$F33*((1+Payroll!$J33)^(ROUNDDOWN(DATEDIF(Payroll!$I33,AW$2,"M")/Payroll!$K33,0))),0))</f>
        <v/>
      </c>
      <c r="AX118" s="56">
        <f>IF(AX$2=Payroll!$I33,Payroll!$F33,IF(AX$2&gt;Payroll!$I33,Payroll!$F33*((1+Payroll!$J33)^(ROUNDDOWN(DATEDIF(Payroll!$I33,AX$2,"M")/Payroll!$K33,0))),0))</f>
        <v/>
      </c>
      <c r="AY118" s="56">
        <f>IF(AY$2=Payroll!$I33,Payroll!$F33,IF(AY$2&gt;Payroll!$I33,Payroll!$F33*((1+Payroll!$J33)^(ROUNDDOWN(DATEDIF(Payroll!$I33,AY$2,"M")/Payroll!$K33,0))),0))</f>
        <v/>
      </c>
      <c r="AZ118" s="56">
        <f>IF(AZ$2=Payroll!$I33,Payroll!$F33,IF(AZ$2&gt;Payroll!$I33,Payroll!$F33*((1+Payroll!$J33)^(ROUNDDOWN(DATEDIF(Payroll!$I33,AZ$2,"M")/Payroll!$K33,0))),0))</f>
        <v/>
      </c>
      <c r="BA118" s="56">
        <f>IF(BA$2=Payroll!$I33,Payroll!$F33,IF(BA$2&gt;Payroll!$I33,Payroll!$F33*((1+Payroll!$J33)^(ROUNDDOWN(DATEDIF(Payroll!$I33,BA$2,"M")/Payroll!$K33,0))),0))</f>
        <v/>
      </c>
      <c r="BB118" s="56">
        <f>IF(BB$2=Payroll!$I33,Payroll!$F33,IF(BB$2&gt;Payroll!$I33,Payroll!$F33*((1+Payroll!$J33)^(ROUNDDOWN(DATEDIF(Payroll!$I33,BB$2,"M")/Payroll!$K33,0))),0))</f>
        <v/>
      </c>
      <c r="BC118" s="56">
        <f>IF(BC$2=Payroll!$I33,Payroll!$F33,IF(BC$2&gt;Payroll!$I33,Payroll!$F33*((1+Payroll!$J33)^(ROUNDDOWN(DATEDIF(Payroll!$I33,BC$2,"M")/Payroll!$K33,0))),0))</f>
        <v/>
      </c>
      <c r="BD118" s="56">
        <f>IF(BD$2=Payroll!$I33,Payroll!$F33,IF(BD$2&gt;Payroll!$I33,Payroll!$F33*((1+Payroll!$J33)^(ROUNDDOWN(DATEDIF(Payroll!$I33,BD$2,"M")/Payroll!$K33,0))),0))</f>
        <v/>
      </c>
      <c r="BE118" s="56">
        <f>IF(BE$2=Payroll!$I33,Payroll!$F33,IF(BE$2&gt;Payroll!$I33,Payroll!$F33*((1+Payroll!$J33)^(ROUNDDOWN(DATEDIF(Payroll!$I33,BE$2,"M")/Payroll!$K33,0))),0))</f>
        <v/>
      </c>
      <c r="BF118" s="56">
        <f>IF(BF$2=Payroll!$I33,Payroll!$F33,IF(BF$2&gt;Payroll!$I33,Payroll!$F33*((1+Payroll!$J33)^(ROUNDDOWN(DATEDIF(Payroll!$I33,BF$2,"M")/Payroll!$K33,0))),0))</f>
        <v/>
      </c>
      <c r="BG118" s="56">
        <f>IF(BG$2=Payroll!$I33,Payroll!$F33,IF(BG$2&gt;Payroll!$I33,Payroll!$F33*((1+Payroll!$J33)^(ROUNDDOWN(DATEDIF(Payroll!$I33,BG$2,"M")/Payroll!$K33,0))),0))</f>
        <v/>
      </c>
      <c r="BH118" s="56">
        <f>IF(BH$2=Payroll!$I33,Payroll!$F33,IF(BH$2&gt;Payroll!$I33,Payroll!$F33*((1+Payroll!$J33)^(ROUNDDOWN(DATEDIF(Payroll!$I33,BH$2,"M")/Payroll!$K33,0))),0))</f>
        <v/>
      </c>
      <c r="BI118" s="56">
        <f>IF(BI$2=Payroll!$I33,Payroll!$F33,IF(BI$2&gt;Payroll!$I33,Payroll!$F33*((1+Payroll!$J33)^(ROUNDDOWN(DATEDIF(Payroll!$I33,BI$2,"M")/Payroll!$K33,0))),0))</f>
        <v/>
      </c>
      <c r="BJ118" s="56">
        <f>IF(BJ$2=Payroll!$I33,Payroll!$F33,IF(BJ$2&gt;Payroll!$I33,Payroll!$F33*((1+Payroll!$J33)^(ROUNDDOWN(DATEDIF(Payroll!$I33,BJ$2,"M")/Payroll!$K33,0))),0))</f>
        <v/>
      </c>
      <c r="BK118" s="56">
        <f>IF(BK$2=Payroll!$I33,Payroll!$F33,IF(BK$2&gt;Payroll!$I33,Payroll!$F33*((1+Payroll!$J33)^(ROUNDDOWN(DATEDIF(Payroll!$I33,BK$2,"M")/Payroll!$K33,0))),0))</f>
        <v/>
      </c>
      <c r="BL118" s="56">
        <f>IF(BL$2=Payroll!$I33,Payroll!$F33,IF(BL$2&gt;Payroll!$I33,Payroll!$F33*((1+Payroll!$J33)^(ROUNDDOWN(DATEDIF(Payroll!$I33,BL$2,"M")/Payroll!$K33,0))),0))</f>
        <v/>
      </c>
      <c r="BM118" s="56">
        <f>IF(BM$2=Payroll!$I33,Payroll!$F33,IF(BM$2&gt;Payroll!$I33,Payroll!$F33*((1+Payroll!$J33)^(ROUNDDOWN(DATEDIF(Payroll!$I33,BM$2,"M")/Payroll!$K33,0))),0))</f>
        <v/>
      </c>
      <c r="BN118" s="56">
        <f>IF(BN$2=Payroll!$I33,Payroll!$F33,IF(BN$2&gt;Payroll!$I33,Payroll!$F33*((1+Payroll!$J33)^(ROUNDDOWN(DATEDIF(Payroll!$I33,BN$2,"M")/Payroll!$K33,0))),0))</f>
        <v/>
      </c>
      <c r="BO118" s="56">
        <f>IF(BO$2=Payroll!$I33,Payroll!$F33,IF(BO$2&gt;Payroll!$I33,Payroll!$F33*((1+Payroll!$J33)^(ROUNDDOWN(DATEDIF(Payroll!$I33,BO$2,"M")/Payroll!$K33,0))),0))</f>
        <v/>
      </c>
      <c r="BP118" s="56">
        <f>IF(BP$2=Payroll!$I33,Payroll!$F33,IF(BP$2&gt;Payroll!$I33,Payroll!$F33*((1+Payroll!$J33)^(ROUNDDOWN(DATEDIF(Payroll!$I33,BP$2,"M")/Payroll!$K33,0))),0))</f>
        <v/>
      </c>
      <c r="BQ118" s="56">
        <f>IF(BQ$2=Payroll!$I33,Payroll!$F33,IF(BQ$2&gt;Payroll!$I33,Payroll!$F33*((1+Payroll!$J33)^(ROUNDDOWN(DATEDIF(Payroll!$I33,BQ$2,"M")/Payroll!$K33,0))),0))</f>
        <v/>
      </c>
      <c r="BR118" s="56">
        <f>IF(BR$2=Payroll!$I33,Payroll!$F33,IF(BR$2&gt;Payroll!$I33,Payroll!$F33*((1+Payroll!$J33)^(ROUNDDOWN(DATEDIF(Payroll!$I33,BR$2,"M")/Payroll!$K33,0))),0))</f>
        <v/>
      </c>
      <c r="BS118" s="56">
        <f>IF(BS$2=Payroll!$I33,Payroll!$F33,IF(BS$2&gt;Payroll!$I33,Payroll!$F33*((1+Payroll!$J33)^(ROUNDDOWN(DATEDIF(Payroll!$I33,BS$2,"M")/Payroll!$K33,0))),0))</f>
        <v/>
      </c>
      <c r="BT118" s="56">
        <f>IF(BT$2=Payroll!$I33,Payroll!$F33,IF(BT$2&gt;Payroll!$I33,Payroll!$F33*((1+Payroll!$J33)^(ROUNDDOWN(DATEDIF(Payroll!$I33,BT$2,"M")/Payroll!$K33,0))),0))</f>
        <v/>
      </c>
      <c r="BU118" s="56">
        <f>IF(BU$2=Payroll!$I33,Payroll!$F33,IF(BU$2&gt;Payroll!$I33,Payroll!$F33*((1+Payroll!$J33)^(ROUNDDOWN(DATEDIF(Payroll!$I33,BU$2,"M")/Payroll!$K33,0))),0))</f>
        <v/>
      </c>
      <c r="BV118" s="56">
        <f>IF(BV$2=Payroll!$I33,Payroll!$F33,IF(BV$2&gt;Payroll!$I33,Payroll!$F33*((1+Payroll!$J33)^(ROUNDDOWN(DATEDIF(Payroll!$I33,BV$2,"M")/Payroll!$K33,0))),0))</f>
        <v/>
      </c>
      <c r="BW118" s="56">
        <f>IF(BW$2=Payroll!$I33,Payroll!$F33,IF(BW$2&gt;Payroll!$I33,Payroll!$F33*((1+Payroll!$J33)^(ROUNDDOWN(DATEDIF(Payroll!$I33,BW$2,"M")/Payroll!$K33,0))),0))</f>
        <v/>
      </c>
      <c r="BX118" s="56">
        <f>IF(BX$2=Payroll!$I33,Payroll!$F33,IF(BX$2&gt;Payroll!$I33,Payroll!$F33*((1+Payroll!$J33)^(ROUNDDOWN(DATEDIF(Payroll!$I33,BX$2,"M")/Payroll!$K33,0))),0))</f>
        <v/>
      </c>
      <c r="BY118" s="56">
        <f>IF(BY$2=Payroll!$I33,Payroll!$F33,IF(BY$2&gt;Payroll!$I33,Payroll!$F33*((1+Payroll!$J33)^(ROUNDDOWN(DATEDIF(Payroll!$I33,BY$2,"M")/Payroll!$K33,0))),0))</f>
        <v/>
      </c>
      <c r="BZ118" s="56">
        <f>IF(BZ$2=Payroll!$I33,Payroll!$F33,IF(BZ$2&gt;Payroll!$I33,Payroll!$F33*((1+Payroll!$J33)^(ROUNDDOWN(DATEDIF(Payroll!$I33,BZ$2,"M")/Payroll!$K33,0))),0))</f>
        <v/>
      </c>
      <c r="CA118" s="56">
        <f>IF(CA$2=Payroll!$I33,Payroll!$F33,IF(CA$2&gt;Payroll!$I33,Payroll!$F33*((1+Payroll!$J33)^(ROUNDDOWN(DATEDIF(Payroll!$I33,CA$2,"M")/Payroll!$K33,0))),0))</f>
        <v/>
      </c>
      <c r="CB118" s="56">
        <f>IF(CB$2=Payroll!$I33,Payroll!$F33,IF(CB$2&gt;Payroll!$I33,Payroll!$F33*((1+Payroll!$J33)^(ROUNDDOWN(DATEDIF(Payroll!$I33,CB$2,"M")/Payroll!$K33,0))),0))</f>
        <v/>
      </c>
      <c r="CC118" s="56">
        <f>IF(CC$2=Payroll!$I33,Payroll!$F33,IF(CC$2&gt;Payroll!$I33,Payroll!$F33*((1+Payroll!$J33)^(ROUNDDOWN(DATEDIF(Payroll!$I33,CC$2,"M")/Payroll!$K33,0))),0))</f>
        <v/>
      </c>
      <c r="CD118" s="56">
        <f>IF(CD$2=Payroll!$I33,Payroll!$F33,IF(CD$2&gt;Payroll!$I33,Payroll!$F33*((1+Payroll!$J33)^(ROUNDDOWN(DATEDIF(Payroll!$I33,CD$2,"M")/Payroll!$K33,0))),0))</f>
        <v/>
      </c>
      <c r="CE118" s="56">
        <f>IF(CE$2=Payroll!$I33,Payroll!$F33,IF(CE$2&gt;Payroll!$I33,Payroll!$F33*((1+Payroll!$J33)^(ROUNDDOWN(DATEDIF(Payroll!$I33,CE$2,"M")/Payroll!$K33,0))),0))</f>
        <v/>
      </c>
      <c r="CF118" s="56">
        <f>IF(CF$2=Payroll!$I33,Payroll!$F33,IF(CF$2&gt;Payroll!$I33,Payroll!$F33*((1+Payroll!$J33)^(ROUNDDOWN(DATEDIF(Payroll!$I33,CF$2,"M")/Payroll!$K33,0))),0))</f>
        <v/>
      </c>
      <c r="CG118" s="56">
        <f>IF(CG$2=Payroll!$I33,Payroll!$F33,IF(CG$2&gt;Payroll!$I33,Payroll!$F33*((1+Payroll!$J33)^(ROUNDDOWN(DATEDIF(Payroll!$I33,CG$2,"M")/Payroll!$K33,0))),0))</f>
        <v/>
      </c>
      <c r="CH118" s="56">
        <f>IF(CH$2=Payroll!$I33,Payroll!$F33,IF(CH$2&gt;Payroll!$I33,Payroll!$F33*((1+Payroll!$J33)^(ROUNDDOWN(DATEDIF(Payroll!$I33,CH$2,"M")/Payroll!$K33,0))),0))</f>
        <v/>
      </c>
      <c r="CI118" s="56">
        <f>IF(CI$2=Payroll!$I33,Payroll!$F33,IF(CI$2&gt;Payroll!$I33,Payroll!$F33*((1+Payroll!$J33)^(ROUNDDOWN(DATEDIF(Payroll!$I33,CI$2,"M")/Payroll!$K33,0))),0))</f>
        <v/>
      </c>
      <c r="CJ118" s="56">
        <f>IF(CJ$2=Payroll!$I33,Payroll!$F33,IF(CJ$2&gt;Payroll!$I33,Payroll!$F33*((1+Payroll!$J33)^(ROUNDDOWN(DATEDIF(Payroll!$I33,CJ$2,"M")/Payroll!$K33,0))),0))</f>
        <v/>
      </c>
      <c r="CK118" s="56">
        <f>IF(CK$2=Payroll!$I33,Payroll!$F33,IF(CK$2&gt;Payroll!$I33,Payroll!$F33*((1+Payroll!$J33)^(ROUNDDOWN(DATEDIF(Payroll!$I33,CK$2,"M")/Payroll!$K33,0))),0))</f>
        <v/>
      </c>
      <c r="CL118" s="56">
        <f>IF(CL$2=Payroll!$I33,Payroll!$F33,IF(CL$2&gt;Payroll!$I33,Payroll!$F33*((1+Payroll!$J33)^(ROUNDDOWN(DATEDIF(Payroll!$I33,CL$2,"M")/Payroll!$K33,0))),0))</f>
        <v/>
      </c>
      <c r="CM118" s="56">
        <f>IF(CM$2=Payroll!$I33,Payroll!$F33,IF(CM$2&gt;Payroll!$I33,Payroll!$F33*((1+Payroll!$J33)^(ROUNDDOWN(DATEDIF(Payroll!$I33,CM$2,"M")/Payroll!$K33,0))),0))</f>
        <v/>
      </c>
      <c r="CN118" s="56">
        <f>IF(CN$2=Payroll!$I33,Payroll!$F33,IF(CN$2&gt;Payroll!$I33,Payroll!$F33*((1+Payroll!$J33)^(ROUNDDOWN(DATEDIF(Payroll!$I33,CN$2,"M")/Payroll!$K33,0))),0))</f>
        <v/>
      </c>
      <c r="CO118" s="56">
        <f>IF(CO$2=Payroll!$I33,Payroll!$F33,IF(CO$2&gt;Payroll!$I33,Payroll!$F33*((1+Payroll!$J33)^(ROUNDDOWN(DATEDIF(Payroll!$I33,CO$2,"M")/Payroll!$K33,0))),0))</f>
        <v/>
      </c>
      <c r="CP118" s="56">
        <f>IF(CP$2=Payroll!$I33,Payroll!$F33,IF(CP$2&gt;Payroll!$I33,Payroll!$F33*((1+Payroll!$J33)^(ROUNDDOWN(DATEDIF(Payroll!$I33,CP$2,"M")/Payroll!$K33,0))),0))</f>
        <v/>
      </c>
      <c r="CQ118" s="56">
        <f>IF(CQ$2=Payroll!$I33,Payroll!$F33,IF(CQ$2&gt;Payroll!$I33,Payroll!$F33*((1+Payroll!$J33)^(ROUNDDOWN(DATEDIF(Payroll!$I33,CQ$2,"M")/Payroll!$K33,0))),0))</f>
        <v/>
      </c>
      <c r="CR118" s="56">
        <f>IF(CR$2=Payroll!$I33,Payroll!$F33,IF(CR$2&gt;Payroll!$I33,Payroll!$F33*((1+Payroll!$J33)^(ROUNDDOWN(DATEDIF(Payroll!$I33,CR$2,"M")/Payroll!$K33,0))),0))</f>
        <v/>
      </c>
      <c r="CS118" s="56">
        <f>IF(CS$2=Payroll!$I33,Payroll!$F33,IF(CS$2&gt;Payroll!$I33,Payroll!$F33*((1+Payroll!$J33)^(ROUNDDOWN(DATEDIF(Payroll!$I33,CS$2,"M")/Payroll!$K33,0))),0))</f>
        <v/>
      </c>
      <c r="CT118" s="56">
        <f>IF(CT$2=Payroll!$I33,Payroll!$F33,IF(CT$2&gt;Payroll!$I33,Payroll!$F33*((1+Payroll!$J33)^(ROUNDDOWN(DATEDIF(Payroll!$I33,CT$2,"M")/Payroll!$K33,0))),0))</f>
        <v/>
      </c>
      <c r="CU118" s="56">
        <f>IF(CU$2=Payroll!$I33,Payroll!$F33,IF(CU$2&gt;Payroll!$I33,Payroll!$F33*((1+Payroll!$J33)^(ROUNDDOWN(DATEDIF(Payroll!$I33,CU$2,"M")/Payroll!$K33,0))),0))</f>
        <v/>
      </c>
      <c r="CV118" s="56">
        <f>IF(CV$2=Payroll!$I33,Payroll!$F33,IF(CV$2&gt;Payroll!$I33,Payroll!$F33*((1+Payroll!$J33)^(ROUNDDOWN(DATEDIF(Payroll!$I33,CV$2,"M")/Payroll!$K33,0))),0))</f>
        <v/>
      </c>
      <c r="CW118" s="56">
        <f>IF(CW$2=Payroll!$I33,Payroll!$F33,IF(CW$2&gt;Payroll!$I33,Payroll!$F33*((1+Payroll!$J33)^(ROUNDDOWN(DATEDIF(Payroll!$I33,CW$2,"M")/Payroll!$K33,0))),0))</f>
        <v/>
      </c>
      <c r="CX118" s="56">
        <f>IF(CX$2=Payroll!$I33,Payroll!$F33,IF(CX$2&gt;Payroll!$I33,Payroll!$F33*((1+Payroll!$J33)^(ROUNDDOWN(DATEDIF(Payroll!$I33,CX$2,"M")/Payroll!$K33,0))),0))</f>
        <v/>
      </c>
    </row>
    <row r="119" outlineLevel="2" ht="15.75" customHeight="1" s="255">
      <c r="A119" s="56">
        <f>Payroll!A34</f>
        <v/>
      </c>
      <c r="B119" s="56" t="n"/>
      <c r="C119" s="56" t="n"/>
      <c r="D119" s="56" t="n"/>
      <c r="E119" s="56">
        <f>IF(E$2=Payroll!$I34,Payroll!$F34,IF(E$2&gt;Payroll!$I34,Payroll!$F34*((1+Payroll!$J34)^(ROUNDDOWN(DATEDIF(Payroll!$I34,E$2,"M")/Payroll!$K34,0))),0))</f>
        <v/>
      </c>
      <c r="F119" s="56">
        <f>IF(F$2=Payroll!$I34,Payroll!$F34,IF(F$2&gt;Payroll!$I34,Payroll!$F34*((1+Payroll!$J34)^(ROUNDDOWN(DATEDIF(Payroll!$I34,F$2,"M")/Payroll!$K34,0))),0))</f>
        <v/>
      </c>
      <c r="G119" s="56">
        <f>IF(G$2=Payroll!$I34,Payroll!$F34,IF(G$2&gt;Payroll!$I34,Payroll!$F34*((1+Payroll!$J34)^(ROUNDDOWN(DATEDIF(Payroll!$I34,G$2,"M")/Payroll!$K34,0))),0))</f>
        <v/>
      </c>
      <c r="H119" s="56">
        <f>IF(H$2=Payroll!$I34,Payroll!$F34,IF(H$2&gt;Payroll!$I34,Payroll!$F34*((1+Payroll!$J34)^(ROUNDDOWN(DATEDIF(Payroll!$I34,H$2,"M")/Payroll!$K34,0))),0))</f>
        <v/>
      </c>
      <c r="I119" s="56">
        <f>IF(I$2=Payroll!$I34,Payroll!$F34,IF(I$2&gt;Payroll!$I34,Payroll!$F34*((1+Payroll!$J34)^(ROUNDDOWN(DATEDIF(Payroll!$I34,I$2,"M")/Payroll!$K34,0))),0))</f>
        <v/>
      </c>
      <c r="J119" s="56">
        <f>IF(J$2=Payroll!$I34,Payroll!$F34,IF(J$2&gt;Payroll!$I34,Payroll!$F34*((1+Payroll!$J34)^(ROUNDDOWN(DATEDIF(Payroll!$I34,J$2,"M")/Payroll!$K34,0))),0))</f>
        <v/>
      </c>
      <c r="K119" s="56">
        <f>IF(K$2=Payroll!$I34,Payroll!$F34,IF(K$2&gt;Payroll!$I34,Payroll!$F34*((1+Payroll!$J34)^(ROUNDDOWN(DATEDIF(Payroll!$I34,K$2,"M")/Payroll!$K34,0))),0))</f>
        <v/>
      </c>
      <c r="L119" s="56">
        <f>IF(L$2=Payroll!$I34,Payroll!$F34,IF(L$2&gt;Payroll!$I34,Payroll!$F34*((1+Payroll!$J34)^(ROUNDDOWN(DATEDIF(Payroll!$I34,L$2,"M")/Payroll!$K34,0))),0))</f>
        <v/>
      </c>
      <c r="M119" s="56">
        <f>IF(M$2=Payroll!$I34,Payroll!$F34,IF(M$2&gt;Payroll!$I34,Payroll!$F34*((1+Payroll!$J34)^(ROUNDDOWN(DATEDIF(Payroll!$I34,M$2,"M")/Payroll!$K34,0))),0))</f>
        <v/>
      </c>
      <c r="N119" s="56">
        <f>IF(N$2=Payroll!$I34,Payroll!$F34,IF(N$2&gt;Payroll!$I34,Payroll!$F34*((1+Payroll!$J34)^(ROUNDDOWN(DATEDIF(Payroll!$I34,N$2,"M")/Payroll!$K34,0))),0))</f>
        <v/>
      </c>
      <c r="O119" s="56">
        <f>IF(O$2=Payroll!$I34,Payroll!$F34,IF(O$2&gt;Payroll!$I34,Payroll!$F34*((1+Payroll!$J34)^(ROUNDDOWN(DATEDIF(Payroll!$I34,O$2,"M")/Payroll!$K34,0))),0))</f>
        <v/>
      </c>
      <c r="P119" s="56">
        <f>IF(P$2=Payroll!$I34,Payroll!$F34,IF(P$2&gt;Payroll!$I34,Payroll!$F34*((1+Payroll!$J34)^(ROUNDDOWN(DATEDIF(Payroll!$I34,P$2,"M")/Payroll!$K34,0))),0))</f>
        <v/>
      </c>
      <c r="Q119" s="56">
        <f>IF(Q$2=Payroll!$I34,Payroll!$F34,IF(Q$2&gt;Payroll!$I34,Payroll!$F34*((1+Payroll!$J34)^(ROUNDDOWN(DATEDIF(Payroll!$I34,Q$2,"M")/Payroll!$K34,0))),0))</f>
        <v/>
      </c>
      <c r="R119" s="56">
        <f>IF(R$2=Payroll!$I34,Payroll!$F34,IF(R$2&gt;Payroll!$I34,Payroll!$F34*((1+Payroll!$J34)^(ROUNDDOWN(DATEDIF(Payroll!$I34,R$2,"M")/Payroll!$K34,0))),0))</f>
        <v/>
      </c>
      <c r="S119" s="56">
        <f>IF(S$2=Payroll!$I34,Payroll!$F34,IF(S$2&gt;Payroll!$I34,Payroll!$F34*((1+Payroll!$J34)^(ROUNDDOWN(DATEDIF(Payroll!$I34,S$2,"M")/Payroll!$K34,0))),0))</f>
        <v/>
      </c>
      <c r="T119" s="56">
        <f>IF(T$2=Payroll!$I34,Payroll!$F34,IF(T$2&gt;Payroll!$I34,Payroll!$F34*((1+Payroll!$J34)^(ROUNDDOWN(DATEDIF(Payroll!$I34,T$2,"M")/Payroll!$K34,0))),0))</f>
        <v/>
      </c>
      <c r="U119" s="56">
        <f>IF(U$2=Payroll!$I34,Payroll!$F34,IF(U$2&gt;Payroll!$I34,Payroll!$F34*((1+Payroll!$J34)^(ROUNDDOWN(DATEDIF(Payroll!$I34,U$2,"M")/Payroll!$K34,0))),0))</f>
        <v/>
      </c>
      <c r="V119" s="56">
        <f>IF(V$2=Payroll!$I34,Payroll!$F34,IF(V$2&gt;Payroll!$I34,Payroll!$F34*((1+Payroll!$J34)^(ROUNDDOWN(DATEDIF(Payroll!$I34,V$2,"M")/Payroll!$K34,0))),0))</f>
        <v/>
      </c>
      <c r="W119" s="56">
        <f>IF(W$2=Payroll!$I34,Payroll!$F34,IF(W$2&gt;Payroll!$I34,Payroll!$F34*((1+Payroll!$J34)^(ROUNDDOWN(DATEDIF(Payroll!$I34,W$2,"M")/Payroll!$K34,0))),0))</f>
        <v/>
      </c>
      <c r="X119" s="56">
        <f>IF(X$2=Payroll!$I34,Payroll!$F34,IF(X$2&gt;Payroll!$I34,Payroll!$F34*((1+Payroll!$J34)^(ROUNDDOWN(DATEDIF(Payroll!$I34,X$2,"M")/Payroll!$K34,0))),0))</f>
        <v/>
      </c>
      <c r="Y119" s="56">
        <f>IF(Y$2=Payroll!$I34,Payroll!$F34,IF(Y$2&gt;Payroll!$I34,Payroll!$F34*((1+Payroll!$J34)^(ROUNDDOWN(DATEDIF(Payroll!$I34,Y$2,"M")/Payroll!$K34,0))),0))</f>
        <v/>
      </c>
      <c r="Z119" s="56">
        <f>IF(Z$2=Payroll!$I34,Payroll!$F34,IF(Z$2&gt;Payroll!$I34,Payroll!$F34*((1+Payroll!$J34)^(ROUNDDOWN(DATEDIF(Payroll!$I34,Z$2,"M")/Payroll!$K34,0))),0))</f>
        <v/>
      </c>
      <c r="AA119" s="56">
        <f>IF(AA$2=Payroll!$I34,Payroll!$F34,IF(AA$2&gt;Payroll!$I34,Payroll!$F34*((1+Payroll!$J34)^(ROUNDDOWN(DATEDIF(Payroll!$I34,AA$2,"M")/Payroll!$K34,0))),0))</f>
        <v/>
      </c>
      <c r="AB119" s="56">
        <f>IF(AB$2=Payroll!$I34,Payroll!$F34,IF(AB$2&gt;Payroll!$I34,Payroll!$F34*((1+Payroll!$J34)^(ROUNDDOWN(DATEDIF(Payroll!$I34,AB$2,"M")/Payroll!$K34,0))),0))</f>
        <v/>
      </c>
      <c r="AC119" s="56">
        <f>IF(AC$2=Payroll!$I34,Payroll!$F34,IF(AC$2&gt;Payroll!$I34,Payroll!$F34*((1+Payroll!$J34)^(ROUNDDOWN(DATEDIF(Payroll!$I34,AC$2,"M")/Payroll!$K34,0))),0))</f>
        <v/>
      </c>
      <c r="AD119" s="56">
        <f>IF(AD$2=Payroll!$I34,Payroll!$F34,IF(AD$2&gt;Payroll!$I34,Payroll!$F34*((1+Payroll!$J34)^(ROUNDDOWN(DATEDIF(Payroll!$I34,AD$2,"M")/Payroll!$K34,0))),0))</f>
        <v/>
      </c>
      <c r="AE119" s="56">
        <f>IF(AE$2=Payroll!$I34,Payroll!$F34,IF(AE$2&gt;Payroll!$I34,Payroll!$F34*((1+Payroll!$J34)^(ROUNDDOWN(DATEDIF(Payroll!$I34,AE$2,"M")/Payroll!$K34,0))),0))</f>
        <v/>
      </c>
      <c r="AF119" s="56">
        <f>IF(AF$2=Payroll!$I34,Payroll!$F34,IF(AF$2&gt;Payroll!$I34,Payroll!$F34*((1+Payroll!$J34)^(ROUNDDOWN(DATEDIF(Payroll!$I34,AF$2,"M")/Payroll!$K34,0))),0))</f>
        <v/>
      </c>
      <c r="AG119" s="56">
        <f>IF(AG$2=Payroll!$I34,Payroll!$F34,IF(AG$2&gt;Payroll!$I34,Payroll!$F34*((1+Payroll!$J34)^(ROUNDDOWN(DATEDIF(Payroll!$I34,AG$2,"M")/Payroll!$K34,0))),0))</f>
        <v/>
      </c>
      <c r="AH119" s="56">
        <f>IF(AH$2=Payroll!$I34,Payroll!$F34,IF(AH$2&gt;Payroll!$I34,Payroll!$F34*((1+Payroll!$J34)^(ROUNDDOWN(DATEDIF(Payroll!$I34,AH$2,"M")/Payroll!$K34,0))),0))</f>
        <v/>
      </c>
      <c r="AI119" s="56">
        <f>IF(AI$2=Payroll!$I34,Payroll!$F34,IF(AI$2&gt;Payroll!$I34,Payroll!$F34*((1+Payroll!$J34)^(ROUNDDOWN(DATEDIF(Payroll!$I34,AI$2,"M")/Payroll!$K34,0))),0))</f>
        <v/>
      </c>
      <c r="AJ119" s="56">
        <f>IF(AJ$2=Payroll!$I34,Payroll!$F34,IF(AJ$2&gt;Payroll!$I34,Payroll!$F34*((1+Payroll!$J34)^(ROUNDDOWN(DATEDIF(Payroll!$I34,AJ$2,"M")/Payroll!$K34,0))),0))</f>
        <v/>
      </c>
      <c r="AK119" s="56">
        <f>IF(AK$2=Payroll!$I34,Payroll!$F34,IF(AK$2&gt;Payroll!$I34,Payroll!$F34*((1+Payroll!$J34)^(ROUNDDOWN(DATEDIF(Payroll!$I34,AK$2,"M")/Payroll!$K34,0))),0))</f>
        <v/>
      </c>
      <c r="AL119" s="56">
        <f>IF(AL$2=Payroll!$I34,Payroll!$F34,IF(AL$2&gt;Payroll!$I34,Payroll!$F34*((1+Payroll!$J34)^(ROUNDDOWN(DATEDIF(Payroll!$I34,AL$2,"M")/Payroll!$K34,0))),0))</f>
        <v/>
      </c>
      <c r="AM119" s="56">
        <f>IF(AM$2=Payroll!$I34,Payroll!$F34,IF(AM$2&gt;Payroll!$I34,Payroll!$F34*((1+Payroll!$J34)^(ROUNDDOWN(DATEDIF(Payroll!$I34,AM$2,"M")/Payroll!$K34,0))),0))</f>
        <v/>
      </c>
      <c r="AN119" s="56">
        <f>IF(AN$2=Payroll!$I34,Payroll!$F34,IF(AN$2&gt;Payroll!$I34,Payroll!$F34*((1+Payroll!$J34)^(ROUNDDOWN(DATEDIF(Payroll!$I34,AN$2,"M")/Payroll!$K34,0))),0))</f>
        <v/>
      </c>
      <c r="AO119" s="56">
        <f>IF(AO$2=Payroll!$I34,Payroll!$F34,IF(AO$2&gt;Payroll!$I34,Payroll!$F34*((1+Payroll!$J34)^(ROUNDDOWN(DATEDIF(Payroll!$I34,AO$2,"M")/Payroll!$K34,0))),0))</f>
        <v/>
      </c>
      <c r="AP119" s="56">
        <f>IF(AP$2=Payroll!$I34,Payroll!$F34,IF(AP$2&gt;Payroll!$I34,Payroll!$F34*((1+Payroll!$J34)^(ROUNDDOWN(DATEDIF(Payroll!$I34,AP$2,"M")/Payroll!$K34,0))),0))</f>
        <v/>
      </c>
      <c r="AQ119" s="56">
        <f>IF(AQ$2=Payroll!$I34,Payroll!$F34,IF(AQ$2&gt;Payroll!$I34,Payroll!$F34*((1+Payroll!$J34)^(ROUNDDOWN(DATEDIF(Payroll!$I34,AQ$2,"M")/Payroll!$K34,0))),0))</f>
        <v/>
      </c>
      <c r="AR119" s="56">
        <f>IF(AR$2=Payroll!$I34,Payroll!$F34,IF(AR$2&gt;Payroll!$I34,Payroll!$F34*((1+Payroll!$J34)^(ROUNDDOWN(DATEDIF(Payroll!$I34,AR$2,"M")/Payroll!$K34,0))),0))</f>
        <v/>
      </c>
      <c r="AS119" s="56">
        <f>IF(AS$2=Payroll!$I34,Payroll!$F34,IF(AS$2&gt;Payroll!$I34,Payroll!$F34*((1+Payroll!$J34)^(ROUNDDOWN(DATEDIF(Payroll!$I34,AS$2,"M")/Payroll!$K34,0))),0))</f>
        <v/>
      </c>
      <c r="AT119" s="56">
        <f>IF(AT$2=Payroll!$I34,Payroll!$F34,IF(AT$2&gt;Payroll!$I34,Payroll!$F34*((1+Payroll!$J34)^(ROUNDDOWN(DATEDIF(Payroll!$I34,AT$2,"M")/Payroll!$K34,0))),0))</f>
        <v/>
      </c>
      <c r="AU119" s="56">
        <f>IF(AU$2=Payroll!$I34,Payroll!$F34,IF(AU$2&gt;Payroll!$I34,Payroll!$F34*((1+Payroll!$J34)^(ROUNDDOWN(DATEDIF(Payroll!$I34,AU$2,"M")/Payroll!$K34,0))),0))</f>
        <v/>
      </c>
      <c r="AV119" s="56">
        <f>IF(AV$2=Payroll!$I34,Payroll!$F34,IF(AV$2&gt;Payroll!$I34,Payroll!$F34*((1+Payroll!$J34)^(ROUNDDOWN(DATEDIF(Payroll!$I34,AV$2,"M")/Payroll!$K34,0))),0))</f>
        <v/>
      </c>
      <c r="AW119" s="56">
        <f>IF(AW$2=Payroll!$I34,Payroll!$F34,IF(AW$2&gt;Payroll!$I34,Payroll!$F34*((1+Payroll!$J34)^(ROUNDDOWN(DATEDIF(Payroll!$I34,AW$2,"M")/Payroll!$K34,0))),0))</f>
        <v/>
      </c>
      <c r="AX119" s="56">
        <f>IF(AX$2=Payroll!$I34,Payroll!$F34,IF(AX$2&gt;Payroll!$I34,Payroll!$F34*((1+Payroll!$J34)^(ROUNDDOWN(DATEDIF(Payroll!$I34,AX$2,"M")/Payroll!$K34,0))),0))</f>
        <v/>
      </c>
      <c r="AY119" s="56">
        <f>IF(AY$2=Payroll!$I34,Payroll!$F34,IF(AY$2&gt;Payroll!$I34,Payroll!$F34*((1+Payroll!$J34)^(ROUNDDOWN(DATEDIF(Payroll!$I34,AY$2,"M")/Payroll!$K34,0))),0))</f>
        <v/>
      </c>
      <c r="AZ119" s="56">
        <f>IF(AZ$2=Payroll!$I34,Payroll!$F34,IF(AZ$2&gt;Payroll!$I34,Payroll!$F34*((1+Payroll!$J34)^(ROUNDDOWN(DATEDIF(Payroll!$I34,AZ$2,"M")/Payroll!$K34,0))),0))</f>
        <v/>
      </c>
      <c r="BA119" s="56">
        <f>IF(BA$2=Payroll!$I34,Payroll!$F34,IF(BA$2&gt;Payroll!$I34,Payroll!$F34*((1+Payroll!$J34)^(ROUNDDOWN(DATEDIF(Payroll!$I34,BA$2,"M")/Payroll!$K34,0))),0))</f>
        <v/>
      </c>
      <c r="BB119" s="56">
        <f>IF(BB$2=Payroll!$I34,Payroll!$F34,IF(BB$2&gt;Payroll!$I34,Payroll!$F34*((1+Payroll!$J34)^(ROUNDDOWN(DATEDIF(Payroll!$I34,BB$2,"M")/Payroll!$K34,0))),0))</f>
        <v/>
      </c>
      <c r="BC119" s="56">
        <f>IF(BC$2=Payroll!$I34,Payroll!$F34,IF(BC$2&gt;Payroll!$I34,Payroll!$F34*((1+Payroll!$J34)^(ROUNDDOWN(DATEDIF(Payroll!$I34,BC$2,"M")/Payroll!$K34,0))),0))</f>
        <v/>
      </c>
      <c r="BD119" s="56">
        <f>IF(BD$2=Payroll!$I34,Payroll!$F34,IF(BD$2&gt;Payroll!$I34,Payroll!$F34*((1+Payroll!$J34)^(ROUNDDOWN(DATEDIF(Payroll!$I34,BD$2,"M")/Payroll!$K34,0))),0))</f>
        <v/>
      </c>
      <c r="BE119" s="56">
        <f>IF(BE$2=Payroll!$I34,Payroll!$F34,IF(BE$2&gt;Payroll!$I34,Payroll!$F34*((1+Payroll!$J34)^(ROUNDDOWN(DATEDIF(Payroll!$I34,BE$2,"M")/Payroll!$K34,0))),0))</f>
        <v/>
      </c>
      <c r="BF119" s="56">
        <f>IF(BF$2=Payroll!$I34,Payroll!$F34,IF(BF$2&gt;Payroll!$I34,Payroll!$F34*((1+Payroll!$J34)^(ROUNDDOWN(DATEDIF(Payroll!$I34,BF$2,"M")/Payroll!$K34,0))),0))</f>
        <v/>
      </c>
      <c r="BG119" s="56">
        <f>IF(BG$2=Payroll!$I34,Payroll!$F34,IF(BG$2&gt;Payroll!$I34,Payroll!$F34*((1+Payroll!$J34)^(ROUNDDOWN(DATEDIF(Payroll!$I34,BG$2,"M")/Payroll!$K34,0))),0))</f>
        <v/>
      </c>
      <c r="BH119" s="56">
        <f>IF(BH$2=Payroll!$I34,Payroll!$F34,IF(BH$2&gt;Payroll!$I34,Payroll!$F34*((1+Payroll!$J34)^(ROUNDDOWN(DATEDIF(Payroll!$I34,BH$2,"M")/Payroll!$K34,0))),0))</f>
        <v/>
      </c>
      <c r="BI119" s="56">
        <f>IF(BI$2=Payroll!$I34,Payroll!$F34,IF(BI$2&gt;Payroll!$I34,Payroll!$F34*((1+Payroll!$J34)^(ROUNDDOWN(DATEDIF(Payroll!$I34,BI$2,"M")/Payroll!$K34,0))),0))</f>
        <v/>
      </c>
      <c r="BJ119" s="56">
        <f>IF(BJ$2=Payroll!$I34,Payroll!$F34,IF(BJ$2&gt;Payroll!$I34,Payroll!$F34*((1+Payroll!$J34)^(ROUNDDOWN(DATEDIF(Payroll!$I34,BJ$2,"M")/Payroll!$K34,0))),0))</f>
        <v/>
      </c>
      <c r="BK119" s="56">
        <f>IF(BK$2=Payroll!$I34,Payroll!$F34,IF(BK$2&gt;Payroll!$I34,Payroll!$F34*((1+Payroll!$J34)^(ROUNDDOWN(DATEDIF(Payroll!$I34,BK$2,"M")/Payroll!$K34,0))),0))</f>
        <v/>
      </c>
      <c r="BL119" s="56">
        <f>IF(BL$2=Payroll!$I34,Payroll!$F34,IF(BL$2&gt;Payroll!$I34,Payroll!$F34*((1+Payroll!$J34)^(ROUNDDOWN(DATEDIF(Payroll!$I34,BL$2,"M")/Payroll!$K34,0))),0))</f>
        <v/>
      </c>
      <c r="BM119" s="56">
        <f>IF(BM$2=Payroll!$I34,Payroll!$F34,IF(BM$2&gt;Payroll!$I34,Payroll!$F34*((1+Payroll!$J34)^(ROUNDDOWN(DATEDIF(Payroll!$I34,BM$2,"M")/Payroll!$K34,0))),0))</f>
        <v/>
      </c>
      <c r="BN119" s="56">
        <f>IF(BN$2=Payroll!$I34,Payroll!$F34,IF(BN$2&gt;Payroll!$I34,Payroll!$F34*((1+Payroll!$J34)^(ROUNDDOWN(DATEDIF(Payroll!$I34,BN$2,"M")/Payroll!$K34,0))),0))</f>
        <v/>
      </c>
      <c r="BO119" s="56">
        <f>IF(BO$2=Payroll!$I34,Payroll!$F34,IF(BO$2&gt;Payroll!$I34,Payroll!$F34*((1+Payroll!$J34)^(ROUNDDOWN(DATEDIF(Payroll!$I34,BO$2,"M")/Payroll!$K34,0))),0))</f>
        <v/>
      </c>
      <c r="BP119" s="56">
        <f>IF(BP$2=Payroll!$I34,Payroll!$F34,IF(BP$2&gt;Payroll!$I34,Payroll!$F34*((1+Payroll!$J34)^(ROUNDDOWN(DATEDIF(Payroll!$I34,BP$2,"M")/Payroll!$K34,0))),0))</f>
        <v/>
      </c>
      <c r="BQ119" s="56">
        <f>IF(BQ$2=Payroll!$I34,Payroll!$F34,IF(BQ$2&gt;Payroll!$I34,Payroll!$F34*((1+Payroll!$J34)^(ROUNDDOWN(DATEDIF(Payroll!$I34,BQ$2,"M")/Payroll!$K34,0))),0))</f>
        <v/>
      </c>
      <c r="BR119" s="56">
        <f>IF(BR$2=Payroll!$I34,Payroll!$F34,IF(BR$2&gt;Payroll!$I34,Payroll!$F34*((1+Payroll!$J34)^(ROUNDDOWN(DATEDIF(Payroll!$I34,BR$2,"M")/Payroll!$K34,0))),0))</f>
        <v/>
      </c>
      <c r="BS119" s="56">
        <f>IF(BS$2=Payroll!$I34,Payroll!$F34,IF(BS$2&gt;Payroll!$I34,Payroll!$F34*((1+Payroll!$J34)^(ROUNDDOWN(DATEDIF(Payroll!$I34,BS$2,"M")/Payroll!$K34,0))),0))</f>
        <v/>
      </c>
      <c r="BT119" s="56">
        <f>IF(BT$2=Payroll!$I34,Payroll!$F34,IF(BT$2&gt;Payroll!$I34,Payroll!$F34*((1+Payroll!$J34)^(ROUNDDOWN(DATEDIF(Payroll!$I34,BT$2,"M")/Payroll!$K34,0))),0))</f>
        <v/>
      </c>
      <c r="BU119" s="56">
        <f>IF(BU$2=Payroll!$I34,Payroll!$F34,IF(BU$2&gt;Payroll!$I34,Payroll!$F34*((1+Payroll!$J34)^(ROUNDDOWN(DATEDIF(Payroll!$I34,BU$2,"M")/Payroll!$K34,0))),0))</f>
        <v/>
      </c>
      <c r="BV119" s="56">
        <f>IF(BV$2=Payroll!$I34,Payroll!$F34,IF(BV$2&gt;Payroll!$I34,Payroll!$F34*((1+Payroll!$J34)^(ROUNDDOWN(DATEDIF(Payroll!$I34,BV$2,"M")/Payroll!$K34,0))),0))</f>
        <v/>
      </c>
      <c r="BW119" s="56">
        <f>IF(BW$2=Payroll!$I34,Payroll!$F34,IF(BW$2&gt;Payroll!$I34,Payroll!$F34*((1+Payroll!$J34)^(ROUNDDOWN(DATEDIF(Payroll!$I34,BW$2,"M")/Payroll!$K34,0))),0))</f>
        <v/>
      </c>
      <c r="BX119" s="56">
        <f>IF(BX$2=Payroll!$I34,Payroll!$F34,IF(BX$2&gt;Payroll!$I34,Payroll!$F34*((1+Payroll!$J34)^(ROUNDDOWN(DATEDIF(Payroll!$I34,BX$2,"M")/Payroll!$K34,0))),0))</f>
        <v/>
      </c>
      <c r="BY119" s="56">
        <f>IF(BY$2=Payroll!$I34,Payroll!$F34,IF(BY$2&gt;Payroll!$I34,Payroll!$F34*((1+Payroll!$J34)^(ROUNDDOWN(DATEDIF(Payroll!$I34,BY$2,"M")/Payroll!$K34,0))),0))</f>
        <v/>
      </c>
      <c r="BZ119" s="56">
        <f>IF(BZ$2=Payroll!$I34,Payroll!$F34,IF(BZ$2&gt;Payroll!$I34,Payroll!$F34*((1+Payroll!$J34)^(ROUNDDOWN(DATEDIF(Payroll!$I34,BZ$2,"M")/Payroll!$K34,0))),0))</f>
        <v/>
      </c>
      <c r="CA119" s="56">
        <f>IF(CA$2=Payroll!$I34,Payroll!$F34,IF(CA$2&gt;Payroll!$I34,Payroll!$F34*((1+Payroll!$J34)^(ROUNDDOWN(DATEDIF(Payroll!$I34,CA$2,"M")/Payroll!$K34,0))),0))</f>
        <v/>
      </c>
      <c r="CB119" s="56">
        <f>IF(CB$2=Payroll!$I34,Payroll!$F34,IF(CB$2&gt;Payroll!$I34,Payroll!$F34*((1+Payroll!$J34)^(ROUNDDOWN(DATEDIF(Payroll!$I34,CB$2,"M")/Payroll!$K34,0))),0))</f>
        <v/>
      </c>
      <c r="CC119" s="56">
        <f>IF(CC$2=Payroll!$I34,Payroll!$F34,IF(CC$2&gt;Payroll!$I34,Payroll!$F34*((1+Payroll!$J34)^(ROUNDDOWN(DATEDIF(Payroll!$I34,CC$2,"M")/Payroll!$K34,0))),0))</f>
        <v/>
      </c>
      <c r="CD119" s="56">
        <f>IF(CD$2=Payroll!$I34,Payroll!$F34,IF(CD$2&gt;Payroll!$I34,Payroll!$F34*((1+Payroll!$J34)^(ROUNDDOWN(DATEDIF(Payroll!$I34,CD$2,"M")/Payroll!$K34,0))),0))</f>
        <v/>
      </c>
      <c r="CE119" s="56">
        <f>IF(CE$2=Payroll!$I34,Payroll!$F34,IF(CE$2&gt;Payroll!$I34,Payroll!$F34*((1+Payroll!$J34)^(ROUNDDOWN(DATEDIF(Payroll!$I34,CE$2,"M")/Payroll!$K34,0))),0))</f>
        <v/>
      </c>
      <c r="CF119" s="56">
        <f>IF(CF$2=Payroll!$I34,Payroll!$F34,IF(CF$2&gt;Payroll!$I34,Payroll!$F34*((1+Payroll!$J34)^(ROUNDDOWN(DATEDIF(Payroll!$I34,CF$2,"M")/Payroll!$K34,0))),0))</f>
        <v/>
      </c>
      <c r="CG119" s="56">
        <f>IF(CG$2=Payroll!$I34,Payroll!$F34,IF(CG$2&gt;Payroll!$I34,Payroll!$F34*((1+Payroll!$J34)^(ROUNDDOWN(DATEDIF(Payroll!$I34,CG$2,"M")/Payroll!$K34,0))),0))</f>
        <v/>
      </c>
      <c r="CH119" s="56">
        <f>IF(CH$2=Payroll!$I34,Payroll!$F34,IF(CH$2&gt;Payroll!$I34,Payroll!$F34*((1+Payroll!$J34)^(ROUNDDOWN(DATEDIF(Payroll!$I34,CH$2,"M")/Payroll!$K34,0))),0))</f>
        <v/>
      </c>
      <c r="CI119" s="56">
        <f>IF(CI$2=Payroll!$I34,Payroll!$F34,IF(CI$2&gt;Payroll!$I34,Payroll!$F34*((1+Payroll!$J34)^(ROUNDDOWN(DATEDIF(Payroll!$I34,CI$2,"M")/Payroll!$K34,0))),0))</f>
        <v/>
      </c>
      <c r="CJ119" s="56">
        <f>IF(CJ$2=Payroll!$I34,Payroll!$F34,IF(CJ$2&gt;Payroll!$I34,Payroll!$F34*((1+Payroll!$J34)^(ROUNDDOWN(DATEDIF(Payroll!$I34,CJ$2,"M")/Payroll!$K34,0))),0))</f>
        <v/>
      </c>
      <c r="CK119" s="56">
        <f>IF(CK$2=Payroll!$I34,Payroll!$F34,IF(CK$2&gt;Payroll!$I34,Payroll!$F34*((1+Payroll!$J34)^(ROUNDDOWN(DATEDIF(Payroll!$I34,CK$2,"M")/Payroll!$K34,0))),0))</f>
        <v/>
      </c>
      <c r="CL119" s="56">
        <f>IF(CL$2=Payroll!$I34,Payroll!$F34,IF(CL$2&gt;Payroll!$I34,Payroll!$F34*((1+Payroll!$J34)^(ROUNDDOWN(DATEDIF(Payroll!$I34,CL$2,"M")/Payroll!$K34,0))),0))</f>
        <v/>
      </c>
      <c r="CM119" s="56">
        <f>IF(CM$2=Payroll!$I34,Payroll!$F34,IF(CM$2&gt;Payroll!$I34,Payroll!$F34*((1+Payroll!$J34)^(ROUNDDOWN(DATEDIF(Payroll!$I34,CM$2,"M")/Payroll!$K34,0))),0))</f>
        <v/>
      </c>
      <c r="CN119" s="56">
        <f>IF(CN$2=Payroll!$I34,Payroll!$F34,IF(CN$2&gt;Payroll!$I34,Payroll!$F34*((1+Payroll!$J34)^(ROUNDDOWN(DATEDIF(Payroll!$I34,CN$2,"M")/Payroll!$K34,0))),0))</f>
        <v/>
      </c>
      <c r="CO119" s="56">
        <f>IF(CO$2=Payroll!$I34,Payroll!$F34,IF(CO$2&gt;Payroll!$I34,Payroll!$F34*((1+Payroll!$J34)^(ROUNDDOWN(DATEDIF(Payroll!$I34,CO$2,"M")/Payroll!$K34,0))),0))</f>
        <v/>
      </c>
      <c r="CP119" s="56">
        <f>IF(CP$2=Payroll!$I34,Payroll!$F34,IF(CP$2&gt;Payroll!$I34,Payroll!$F34*((1+Payroll!$J34)^(ROUNDDOWN(DATEDIF(Payroll!$I34,CP$2,"M")/Payroll!$K34,0))),0))</f>
        <v/>
      </c>
      <c r="CQ119" s="56">
        <f>IF(CQ$2=Payroll!$I34,Payroll!$F34,IF(CQ$2&gt;Payroll!$I34,Payroll!$F34*((1+Payroll!$J34)^(ROUNDDOWN(DATEDIF(Payroll!$I34,CQ$2,"M")/Payroll!$K34,0))),0))</f>
        <v/>
      </c>
      <c r="CR119" s="56">
        <f>IF(CR$2=Payroll!$I34,Payroll!$F34,IF(CR$2&gt;Payroll!$I34,Payroll!$F34*((1+Payroll!$J34)^(ROUNDDOWN(DATEDIF(Payroll!$I34,CR$2,"M")/Payroll!$K34,0))),0))</f>
        <v/>
      </c>
      <c r="CS119" s="56">
        <f>IF(CS$2=Payroll!$I34,Payroll!$F34,IF(CS$2&gt;Payroll!$I34,Payroll!$F34*((1+Payroll!$J34)^(ROUNDDOWN(DATEDIF(Payroll!$I34,CS$2,"M")/Payroll!$K34,0))),0))</f>
        <v/>
      </c>
      <c r="CT119" s="56">
        <f>IF(CT$2=Payroll!$I34,Payroll!$F34,IF(CT$2&gt;Payroll!$I34,Payroll!$F34*((1+Payroll!$J34)^(ROUNDDOWN(DATEDIF(Payroll!$I34,CT$2,"M")/Payroll!$K34,0))),0))</f>
        <v/>
      </c>
      <c r="CU119" s="56">
        <f>IF(CU$2=Payroll!$I34,Payroll!$F34,IF(CU$2&gt;Payroll!$I34,Payroll!$F34*((1+Payroll!$J34)^(ROUNDDOWN(DATEDIF(Payroll!$I34,CU$2,"M")/Payroll!$K34,0))),0))</f>
        <v/>
      </c>
      <c r="CV119" s="56">
        <f>IF(CV$2=Payroll!$I34,Payroll!$F34,IF(CV$2&gt;Payroll!$I34,Payroll!$F34*((1+Payroll!$J34)^(ROUNDDOWN(DATEDIF(Payroll!$I34,CV$2,"M")/Payroll!$K34,0))),0))</f>
        <v/>
      </c>
      <c r="CW119" s="56">
        <f>IF(CW$2=Payroll!$I34,Payroll!$F34,IF(CW$2&gt;Payroll!$I34,Payroll!$F34*((1+Payroll!$J34)^(ROUNDDOWN(DATEDIF(Payroll!$I34,CW$2,"M")/Payroll!$K34,0))),0))</f>
        <v/>
      </c>
      <c r="CX119" s="56">
        <f>IF(CX$2=Payroll!$I34,Payroll!$F34,IF(CX$2&gt;Payroll!$I34,Payroll!$F34*((1+Payroll!$J34)^(ROUNDDOWN(DATEDIF(Payroll!$I34,CX$2,"M")/Payroll!$K34,0))),0))</f>
        <v/>
      </c>
    </row>
    <row r="120" outlineLevel="2" ht="15.75" customHeight="1" s="255">
      <c r="A120" s="56">
        <f>Payroll!A35</f>
        <v/>
      </c>
      <c r="B120" s="56" t="n"/>
      <c r="C120" s="56" t="n"/>
      <c r="D120" s="56" t="n"/>
      <c r="E120" s="56">
        <f>IF(E$2=Payroll!$I35,Payroll!$F35,IF(E$2&gt;Payroll!$I35,Payroll!$F35*((1+Payroll!$J35)^(ROUNDDOWN(DATEDIF(Payroll!$I35,E$2,"M")/Payroll!$K35,0))),0))</f>
        <v/>
      </c>
      <c r="F120" s="56">
        <f>IF(F$2=Payroll!$I35,Payroll!$F35,IF(F$2&gt;Payroll!$I35,Payroll!$F35*((1+Payroll!$J35)^(ROUNDDOWN(DATEDIF(Payroll!$I35,F$2,"M")/Payroll!$K35,0))),0))</f>
        <v/>
      </c>
      <c r="G120" s="56">
        <f>IF(G$2=Payroll!$I35,Payroll!$F35,IF(G$2&gt;Payroll!$I35,Payroll!$F35*((1+Payroll!$J35)^(ROUNDDOWN(DATEDIF(Payroll!$I35,G$2,"M")/Payroll!$K35,0))),0))</f>
        <v/>
      </c>
      <c r="H120" s="56">
        <f>IF(H$2=Payroll!$I35,Payroll!$F35,IF(H$2&gt;Payroll!$I35,Payroll!$F35*((1+Payroll!$J35)^(ROUNDDOWN(DATEDIF(Payroll!$I35,H$2,"M")/Payroll!$K35,0))),0))</f>
        <v/>
      </c>
      <c r="I120" s="56">
        <f>IF(I$2=Payroll!$I35,Payroll!$F35,IF(I$2&gt;Payroll!$I35,Payroll!$F35*((1+Payroll!$J35)^(ROUNDDOWN(DATEDIF(Payroll!$I35,I$2,"M")/Payroll!$K35,0))),0))</f>
        <v/>
      </c>
      <c r="J120" s="56">
        <f>IF(J$2=Payroll!$I35,Payroll!$F35,IF(J$2&gt;Payroll!$I35,Payroll!$F35*((1+Payroll!$J35)^(ROUNDDOWN(DATEDIF(Payroll!$I35,J$2,"M")/Payroll!$K35,0))),0))</f>
        <v/>
      </c>
      <c r="K120" s="56">
        <f>IF(K$2=Payroll!$I35,Payroll!$F35,IF(K$2&gt;Payroll!$I35,Payroll!$F35*((1+Payroll!$J35)^(ROUNDDOWN(DATEDIF(Payroll!$I35,K$2,"M")/Payroll!$K35,0))),0))</f>
        <v/>
      </c>
      <c r="L120" s="56">
        <f>IF(L$2=Payroll!$I35,Payroll!$F35,IF(L$2&gt;Payroll!$I35,Payroll!$F35*((1+Payroll!$J35)^(ROUNDDOWN(DATEDIF(Payroll!$I35,L$2,"M")/Payroll!$K35,0))),0))</f>
        <v/>
      </c>
      <c r="M120" s="56">
        <f>IF(M$2=Payroll!$I35,Payroll!$F35,IF(M$2&gt;Payroll!$I35,Payroll!$F35*((1+Payroll!$J35)^(ROUNDDOWN(DATEDIF(Payroll!$I35,M$2,"M")/Payroll!$K35,0))),0))</f>
        <v/>
      </c>
      <c r="N120" s="56">
        <f>IF(N$2=Payroll!$I35,Payroll!$F35,IF(N$2&gt;Payroll!$I35,Payroll!$F35*((1+Payroll!$J35)^(ROUNDDOWN(DATEDIF(Payroll!$I35,N$2,"M")/Payroll!$K35,0))),0))</f>
        <v/>
      </c>
      <c r="O120" s="56">
        <f>IF(O$2=Payroll!$I35,Payroll!$F35,IF(O$2&gt;Payroll!$I35,Payroll!$F35*((1+Payroll!$J35)^(ROUNDDOWN(DATEDIF(Payroll!$I35,O$2,"M")/Payroll!$K35,0))),0))</f>
        <v/>
      </c>
      <c r="P120" s="56">
        <f>IF(P$2=Payroll!$I35,Payroll!$F35,IF(P$2&gt;Payroll!$I35,Payroll!$F35*((1+Payroll!$J35)^(ROUNDDOWN(DATEDIF(Payroll!$I35,P$2,"M")/Payroll!$K35,0))),0))</f>
        <v/>
      </c>
      <c r="Q120" s="56">
        <f>IF(Q$2=Payroll!$I35,Payroll!$F35,IF(Q$2&gt;Payroll!$I35,Payroll!$F35*((1+Payroll!$J35)^(ROUNDDOWN(DATEDIF(Payroll!$I35,Q$2,"M")/Payroll!$K35,0))),0))</f>
        <v/>
      </c>
      <c r="R120" s="56">
        <f>IF(R$2=Payroll!$I35,Payroll!$F35,IF(R$2&gt;Payroll!$I35,Payroll!$F35*((1+Payroll!$J35)^(ROUNDDOWN(DATEDIF(Payroll!$I35,R$2,"M")/Payroll!$K35,0))),0))</f>
        <v/>
      </c>
      <c r="S120" s="56">
        <f>IF(S$2=Payroll!$I35,Payroll!$F35,IF(S$2&gt;Payroll!$I35,Payroll!$F35*((1+Payroll!$J35)^(ROUNDDOWN(DATEDIF(Payroll!$I35,S$2,"M")/Payroll!$K35,0))),0))</f>
        <v/>
      </c>
      <c r="T120" s="56">
        <f>IF(T$2=Payroll!$I35,Payroll!$F35,IF(T$2&gt;Payroll!$I35,Payroll!$F35*((1+Payroll!$J35)^(ROUNDDOWN(DATEDIF(Payroll!$I35,T$2,"M")/Payroll!$K35,0))),0))</f>
        <v/>
      </c>
      <c r="U120" s="56">
        <f>IF(U$2=Payroll!$I35,Payroll!$F35,IF(U$2&gt;Payroll!$I35,Payroll!$F35*((1+Payroll!$J35)^(ROUNDDOWN(DATEDIF(Payroll!$I35,U$2,"M")/Payroll!$K35,0))),0))</f>
        <v/>
      </c>
      <c r="V120" s="56">
        <f>IF(V$2=Payroll!$I35,Payroll!$F35,IF(V$2&gt;Payroll!$I35,Payroll!$F35*((1+Payroll!$J35)^(ROUNDDOWN(DATEDIF(Payroll!$I35,V$2,"M")/Payroll!$K35,0))),0))</f>
        <v/>
      </c>
      <c r="W120" s="56">
        <f>IF(W$2=Payroll!$I35,Payroll!$F35,IF(W$2&gt;Payroll!$I35,Payroll!$F35*((1+Payroll!$J35)^(ROUNDDOWN(DATEDIF(Payroll!$I35,W$2,"M")/Payroll!$K35,0))),0))</f>
        <v/>
      </c>
      <c r="X120" s="56">
        <f>IF(X$2=Payroll!$I35,Payroll!$F35,IF(X$2&gt;Payroll!$I35,Payroll!$F35*((1+Payroll!$J35)^(ROUNDDOWN(DATEDIF(Payroll!$I35,X$2,"M")/Payroll!$K35,0))),0))</f>
        <v/>
      </c>
      <c r="Y120" s="56">
        <f>IF(Y$2=Payroll!$I35,Payroll!$F35,IF(Y$2&gt;Payroll!$I35,Payroll!$F35*((1+Payroll!$J35)^(ROUNDDOWN(DATEDIF(Payroll!$I35,Y$2,"M")/Payroll!$K35,0))),0))</f>
        <v/>
      </c>
      <c r="Z120" s="56">
        <f>IF(Z$2=Payroll!$I35,Payroll!$F35,IF(Z$2&gt;Payroll!$I35,Payroll!$F35*((1+Payroll!$J35)^(ROUNDDOWN(DATEDIF(Payroll!$I35,Z$2,"M")/Payroll!$K35,0))),0))</f>
        <v/>
      </c>
      <c r="AA120" s="56">
        <f>IF(AA$2=Payroll!$I35,Payroll!$F35,IF(AA$2&gt;Payroll!$I35,Payroll!$F35*((1+Payroll!$J35)^(ROUNDDOWN(DATEDIF(Payroll!$I35,AA$2,"M")/Payroll!$K35,0))),0))</f>
        <v/>
      </c>
      <c r="AB120" s="56">
        <f>IF(AB$2=Payroll!$I35,Payroll!$F35,IF(AB$2&gt;Payroll!$I35,Payroll!$F35*((1+Payroll!$J35)^(ROUNDDOWN(DATEDIF(Payroll!$I35,AB$2,"M")/Payroll!$K35,0))),0))</f>
        <v/>
      </c>
      <c r="AC120" s="56">
        <f>IF(AC$2=Payroll!$I35,Payroll!$F35,IF(AC$2&gt;Payroll!$I35,Payroll!$F35*((1+Payroll!$J35)^(ROUNDDOWN(DATEDIF(Payroll!$I35,AC$2,"M")/Payroll!$K35,0))),0))</f>
        <v/>
      </c>
      <c r="AD120" s="56">
        <f>IF(AD$2=Payroll!$I35,Payroll!$F35,IF(AD$2&gt;Payroll!$I35,Payroll!$F35*((1+Payroll!$J35)^(ROUNDDOWN(DATEDIF(Payroll!$I35,AD$2,"M")/Payroll!$K35,0))),0))</f>
        <v/>
      </c>
      <c r="AE120" s="56">
        <f>IF(AE$2=Payroll!$I35,Payroll!$F35,IF(AE$2&gt;Payroll!$I35,Payroll!$F35*((1+Payroll!$J35)^(ROUNDDOWN(DATEDIF(Payroll!$I35,AE$2,"M")/Payroll!$K35,0))),0))</f>
        <v/>
      </c>
      <c r="AF120" s="56">
        <f>IF(AF$2=Payroll!$I35,Payroll!$F35,IF(AF$2&gt;Payroll!$I35,Payroll!$F35*((1+Payroll!$J35)^(ROUNDDOWN(DATEDIF(Payroll!$I35,AF$2,"M")/Payroll!$K35,0))),0))</f>
        <v/>
      </c>
      <c r="AG120" s="56">
        <f>IF(AG$2=Payroll!$I35,Payroll!$F35,IF(AG$2&gt;Payroll!$I35,Payroll!$F35*((1+Payroll!$J35)^(ROUNDDOWN(DATEDIF(Payroll!$I35,AG$2,"M")/Payroll!$K35,0))),0))</f>
        <v/>
      </c>
      <c r="AH120" s="56">
        <f>IF(AH$2=Payroll!$I35,Payroll!$F35,IF(AH$2&gt;Payroll!$I35,Payroll!$F35*((1+Payroll!$J35)^(ROUNDDOWN(DATEDIF(Payroll!$I35,AH$2,"M")/Payroll!$K35,0))),0))</f>
        <v/>
      </c>
      <c r="AI120" s="56">
        <f>IF(AI$2=Payroll!$I35,Payroll!$F35,IF(AI$2&gt;Payroll!$I35,Payroll!$F35*((1+Payroll!$J35)^(ROUNDDOWN(DATEDIF(Payroll!$I35,AI$2,"M")/Payroll!$K35,0))),0))</f>
        <v/>
      </c>
      <c r="AJ120" s="56">
        <f>IF(AJ$2=Payroll!$I35,Payroll!$F35,IF(AJ$2&gt;Payroll!$I35,Payroll!$F35*((1+Payroll!$J35)^(ROUNDDOWN(DATEDIF(Payroll!$I35,AJ$2,"M")/Payroll!$K35,0))),0))</f>
        <v/>
      </c>
      <c r="AK120" s="56">
        <f>IF(AK$2=Payroll!$I35,Payroll!$F35,IF(AK$2&gt;Payroll!$I35,Payroll!$F35*((1+Payroll!$J35)^(ROUNDDOWN(DATEDIF(Payroll!$I35,AK$2,"M")/Payroll!$K35,0))),0))</f>
        <v/>
      </c>
      <c r="AL120" s="56">
        <f>IF(AL$2=Payroll!$I35,Payroll!$F35,IF(AL$2&gt;Payroll!$I35,Payroll!$F35*((1+Payroll!$J35)^(ROUNDDOWN(DATEDIF(Payroll!$I35,AL$2,"M")/Payroll!$K35,0))),0))</f>
        <v/>
      </c>
      <c r="AM120" s="56">
        <f>IF(AM$2=Payroll!$I35,Payroll!$F35,IF(AM$2&gt;Payroll!$I35,Payroll!$F35*((1+Payroll!$J35)^(ROUNDDOWN(DATEDIF(Payroll!$I35,AM$2,"M")/Payroll!$K35,0))),0))</f>
        <v/>
      </c>
      <c r="AN120" s="56">
        <f>IF(AN$2=Payroll!$I35,Payroll!$F35,IF(AN$2&gt;Payroll!$I35,Payroll!$F35*((1+Payroll!$J35)^(ROUNDDOWN(DATEDIF(Payroll!$I35,AN$2,"M")/Payroll!$K35,0))),0))</f>
        <v/>
      </c>
      <c r="AO120" s="56">
        <f>IF(AO$2=Payroll!$I35,Payroll!$F35,IF(AO$2&gt;Payroll!$I35,Payroll!$F35*((1+Payroll!$J35)^(ROUNDDOWN(DATEDIF(Payroll!$I35,AO$2,"M")/Payroll!$K35,0))),0))</f>
        <v/>
      </c>
      <c r="AP120" s="56">
        <f>IF(AP$2=Payroll!$I35,Payroll!$F35,IF(AP$2&gt;Payroll!$I35,Payroll!$F35*((1+Payroll!$J35)^(ROUNDDOWN(DATEDIF(Payroll!$I35,AP$2,"M")/Payroll!$K35,0))),0))</f>
        <v/>
      </c>
      <c r="AQ120" s="56">
        <f>IF(AQ$2=Payroll!$I35,Payroll!$F35,IF(AQ$2&gt;Payroll!$I35,Payroll!$F35*((1+Payroll!$J35)^(ROUNDDOWN(DATEDIF(Payroll!$I35,AQ$2,"M")/Payroll!$K35,0))),0))</f>
        <v/>
      </c>
      <c r="AR120" s="56">
        <f>IF(AR$2=Payroll!$I35,Payroll!$F35,IF(AR$2&gt;Payroll!$I35,Payroll!$F35*((1+Payroll!$J35)^(ROUNDDOWN(DATEDIF(Payroll!$I35,AR$2,"M")/Payroll!$K35,0))),0))</f>
        <v/>
      </c>
      <c r="AS120" s="56">
        <f>IF(AS$2=Payroll!$I35,Payroll!$F35,IF(AS$2&gt;Payroll!$I35,Payroll!$F35*((1+Payroll!$J35)^(ROUNDDOWN(DATEDIF(Payroll!$I35,AS$2,"M")/Payroll!$K35,0))),0))</f>
        <v/>
      </c>
      <c r="AT120" s="56">
        <f>IF(AT$2=Payroll!$I35,Payroll!$F35,IF(AT$2&gt;Payroll!$I35,Payroll!$F35*((1+Payroll!$J35)^(ROUNDDOWN(DATEDIF(Payroll!$I35,AT$2,"M")/Payroll!$K35,0))),0))</f>
        <v/>
      </c>
      <c r="AU120" s="56">
        <f>IF(AU$2=Payroll!$I35,Payroll!$F35,IF(AU$2&gt;Payroll!$I35,Payroll!$F35*((1+Payroll!$J35)^(ROUNDDOWN(DATEDIF(Payroll!$I35,AU$2,"M")/Payroll!$K35,0))),0))</f>
        <v/>
      </c>
      <c r="AV120" s="56">
        <f>IF(AV$2=Payroll!$I35,Payroll!$F35,IF(AV$2&gt;Payroll!$I35,Payroll!$F35*((1+Payroll!$J35)^(ROUNDDOWN(DATEDIF(Payroll!$I35,AV$2,"M")/Payroll!$K35,0))),0))</f>
        <v/>
      </c>
      <c r="AW120" s="56">
        <f>IF(AW$2=Payroll!$I35,Payroll!$F35,IF(AW$2&gt;Payroll!$I35,Payroll!$F35*((1+Payroll!$J35)^(ROUNDDOWN(DATEDIF(Payroll!$I35,AW$2,"M")/Payroll!$K35,0))),0))</f>
        <v/>
      </c>
      <c r="AX120" s="56">
        <f>IF(AX$2=Payroll!$I35,Payroll!$F35,IF(AX$2&gt;Payroll!$I35,Payroll!$F35*((1+Payroll!$J35)^(ROUNDDOWN(DATEDIF(Payroll!$I35,AX$2,"M")/Payroll!$K35,0))),0))</f>
        <v/>
      </c>
      <c r="AY120" s="56">
        <f>IF(AY$2=Payroll!$I35,Payroll!$F35,IF(AY$2&gt;Payroll!$I35,Payroll!$F35*((1+Payroll!$J35)^(ROUNDDOWN(DATEDIF(Payroll!$I35,AY$2,"M")/Payroll!$K35,0))),0))</f>
        <v/>
      </c>
      <c r="AZ120" s="56">
        <f>IF(AZ$2=Payroll!$I35,Payroll!$F35,IF(AZ$2&gt;Payroll!$I35,Payroll!$F35*((1+Payroll!$J35)^(ROUNDDOWN(DATEDIF(Payroll!$I35,AZ$2,"M")/Payroll!$K35,0))),0))</f>
        <v/>
      </c>
      <c r="BA120" s="56">
        <f>IF(BA$2=Payroll!$I35,Payroll!$F35,IF(BA$2&gt;Payroll!$I35,Payroll!$F35*((1+Payroll!$J35)^(ROUNDDOWN(DATEDIF(Payroll!$I35,BA$2,"M")/Payroll!$K35,0))),0))</f>
        <v/>
      </c>
      <c r="BB120" s="56">
        <f>IF(BB$2=Payroll!$I35,Payroll!$F35,IF(BB$2&gt;Payroll!$I35,Payroll!$F35*((1+Payroll!$J35)^(ROUNDDOWN(DATEDIF(Payroll!$I35,BB$2,"M")/Payroll!$K35,0))),0))</f>
        <v/>
      </c>
      <c r="BC120" s="56">
        <f>IF(BC$2=Payroll!$I35,Payroll!$F35,IF(BC$2&gt;Payroll!$I35,Payroll!$F35*((1+Payroll!$J35)^(ROUNDDOWN(DATEDIF(Payroll!$I35,BC$2,"M")/Payroll!$K35,0))),0))</f>
        <v/>
      </c>
      <c r="BD120" s="56">
        <f>IF(BD$2=Payroll!$I35,Payroll!$F35,IF(BD$2&gt;Payroll!$I35,Payroll!$F35*((1+Payroll!$J35)^(ROUNDDOWN(DATEDIF(Payroll!$I35,BD$2,"M")/Payroll!$K35,0))),0))</f>
        <v/>
      </c>
      <c r="BE120" s="56">
        <f>IF(BE$2=Payroll!$I35,Payroll!$F35,IF(BE$2&gt;Payroll!$I35,Payroll!$F35*((1+Payroll!$J35)^(ROUNDDOWN(DATEDIF(Payroll!$I35,BE$2,"M")/Payroll!$K35,0))),0))</f>
        <v/>
      </c>
      <c r="BF120" s="56">
        <f>IF(BF$2=Payroll!$I35,Payroll!$F35,IF(BF$2&gt;Payroll!$I35,Payroll!$F35*((1+Payroll!$J35)^(ROUNDDOWN(DATEDIF(Payroll!$I35,BF$2,"M")/Payroll!$K35,0))),0))</f>
        <v/>
      </c>
      <c r="BG120" s="56">
        <f>IF(BG$2=Payroll!$I35,Payroll!$F35,IF(BG$2&gt;Payroll!$I35,Payroll!$F35*((1+Payroll!$J35)^(ROUNDDOWN(DATEDIF(Payroll!$I35,BG$2,"M")/Payroll!$K35,0))),0))</f>
        <v/>
      </c>
      <c r="BH120" s="56">
        <f>IF(BH$2=Payroll!$I35,Payroll!$F35,IF(BH$2&gt;Payroll!$I35,Payroll!$F35*((1+Payroll!$J35)^(ROUNDDOWN(DATEDIF(Payroll!$I35,BH$2,"M")/Payroll!$K35,0))),0))</f>
        <v/>
      </c>
      <c r="BI120" s="56">
        <f>IF(BI$2=Payroll!$I35,Payroll!$F35,IF(BI$2&gt;Payroll!$I35,Payroll!$F35*((1+Payroll!$J35)^(ROUNDDOWN(DATEDIF(Payroll!$I35,BI$2,"M")/Payroll!$K35,0))),0))</f>
        <v/>
      </c>
      <c r="BJ120" s="56">
        <f>IF(BJ$2=Payroll!$I35,Payroll!$F35,IF(BJ$2&gt;Payroll!$I35,Payroll!$F35*((1+Payroll!$J35)^(ROUNDDOWN(DATEDIF(Payroll!$I35,BJ$2,"M")/Payroll!$K35,0))),0))</f>
        <v/>
      </c>
      <c r="BK120" s="56">
        <f>IF(BK$2=Payroll!$I35,Payroll!$F35,IF(BK$2&gt;Payroll!$I35,Payroll!$F35*((1+Payroll!$J35)^(ROUNDDOWN(DATEDIF(Payroll!$I35,BK$2,"M")/Payroll!$K35,0))),0))</f>
        <v/>
      </c>
      <c r="BL120" s="56">
        <f>IF(BL$2=Payroll!$I35,Payroll!$F35,IF(BL$2&gt;Payroll!$I35,Payroll!$F35*((1+Payroll!$J35)^(ROUNDDOWN(DATEDIF(Payroll!$I35,BL$2,"M")/Payroll!$K35,0))),0))</f>
        <v/>
      </c>
      <c r="BM120" s="56">
        <f>IF(BM$2=Payroll!$I35,Payroll!$F35,IF(BM$2&gt;Payroll!$I35,Payroll!$F35*((1+Payroll!$J35)^(ROUNDDOWN(DATEDIF(Payroll!$I35,BM$2,"M")/Payroll!$K35,0))),0))</f>
        <v/>
      </c>
      <c r="BN120" s="56">
        <f>IF(BN$2=Payroll!$I35,Payroll!$F35,IF(BN$2&gt;Payroll!$I35,Payroll!$F35*((1+Payroll!$J35)^(ROUNDDOWN(DATEDIF(Payroll!$I35,BN$2,"M")/Payroll!$K35,0))),0))</f>
        <v/>
      </c>
      <c r="BO120" s="56">
        <f>IF(BO$2=Payroll!$I35,Payroll!$F35,IF(BO$2&gt;Payroll!$I35,Payroll!$F35*((1+Payroll!$J35)^(ROUNDDOWN(DATEDIF(Payroll!$I35,BO$2,"M")/Payroll!$K35,0))),0))</f>
        <v/>
      </c>
      <c r="BP120" s="56">
        <f>IF(BP$2=Payroll!$I35,Payroll!$F35,IF(BP$2&gt;Payroll!$I35,Payroll!$F35*((1+Payroll!$J35)^(ROUNDDOWN(DATEDIF(Payroll!$I35,BP$2,"M")/Payroll!$K35,0))),0))</f>
        <v/>
      </c>
      <c r="BQ120" s="56">
        <f>IF(BQ$2=Payroll!$I35,Payroll!$F35,IF(BQ$2&gt;Payroll!$I35,Payroll!$F35*((1+Payroll!$J35)^(ROUNDDOWN(DATEDIF(Payroll!$I35,BQ$2,"M")/Payroll!$K35,0))),0))</f>
        <v/>
      </c>
      <c r="BR120" s="56">
        <f>IF(BR$2=Payroll!$I35,Payroll!$F35,IF(BR$2&gt;Payroll!$I35,Payroll!$F35*((1+Payroll!$J35)^(ROUNDDOWN(DATEDIF(Payroll!$I35,BR$2,"M")/Payroll!$K35,0))),0))</f>
        <v/>
      </c>
      <c r="BS120" s="56">
        <f>IF(BS$2=Payroll!$I35,Payroll!$F35,IF(BS$2&gt;Payroll!$I35,Payroll!$F35*((1+Payroll!$J35)^(ROUNDDOWN(DATEDIF(Payroll!$I35,BS$2,"M")/Payroll!$K35,0))),0))</f>
        <v/>
      </c>
      <c r="BT120" s="56">
        <f>IF(BT$2=Payroll!$I35,Payroll!$F35,IF(BT$2&gt;Payroll!$I35,Payroll!$F35*((1+Payroll!$J35)^(ROUNDDOWN(DATEDIF(Payroll!$I35,BT$2,"M")/Payroll!$K35,0))),0))</f>
        <v/>
      </c>
      <c r="BU120" s="56">
        <f>IF(BU$2=Payroll!$I35,Payroll!$F35,IF(BU$2&gt;Payroll!$I35,Payroll!$F35*((1+Payroll!$J35)^(ROUNDDOWN(DATEDIF(Payroll!$I35,BU$2,"M")/Payroll!$K35,0))),0))</f>
        <v/>
      </c>
      <c r="BV120" s="56">
        <f>IF(BV$2=Payroll!$I35,Payroll!$F35,IF(BV$2&gt;Payroll!$I35,Payroll!$F35*((1+Payroll!$J35)^(ROUNDDOWN(DATEDIF(Payroll!$I35,BV$2,"M")/Payroll!$K35,0))),0))</f>
        <v/>
      </c>
      <c r="BW120" s="56">
        <f>IF(BW$2=Payroll!$I35,Payroll!$F35,IF(BW$2&gt;Payroll!$I35,Payroll!$F35*((1+Payroll!$J35)^(ROUNDDOWN(DATEDIF(Payroll!$I35,BW$2,"M")/Payroll!$K35,0))),0))</f>
        <v/>
      </c>
      <c r="BX120" s="56">
        <f>IF(BX$2=Payroll!$I35,Payroll!$F35,IF(BX$2&gt;Payroll!$I35,Payroll!$F35*((1+Payroll!$J35)^(ROUNDDOWN(DATEDIF(Payroll!$I35,BX$2,"M")/Payroll!$K35,0))),0))</f>
        <v/>
      </c>
      <c r="BY120" s="56">
        <f>IF(BY$2=Payroll!$I35,Payroll!$F35,IF(BY$2&gt;Payroll!$I35,Payroll!$F35*((1+Payroll!$J35)^(ROUNDDOWN(DATEDIF(Payroll!$I35,BY$2,"M")/Payroll!$K35,0))),0))</f>
        <v/>
      </c>
      <c r="BZ120" s="56">
        <f>IF(BZ$2=Payroll!$I35,Payroll!$F35,IF(BZ$2&gt;Payroll!$I35,Payroll!$F35*((1+Payroll!$J35)^(ROUNDDOWN(DATEDIF(Payroll!$I35,BZ$2,"M")/Payroll!$K35,0))),0))</f>
        <v/>
      </c>
      <c r="CA120" s="56">
        <f>IF(CA$2=Payroll!$I35,Payroll!$F35,IF(CA$2&gt;Payroll!$I35,Payroll!$F35*((1+Payroll!$J35)^(ROUNDDOWN(DATEDIF(Payroll!$I35,CA$2,"M")/Payroll!$K35,0))),0))</f>
        <v/>
      </c>
      <c r="CB120" s="56">
        <f>IF(CB$2=Payroll!$I35,Payroll!$F35,IF(CB$2&gt;Payroll!$I35,Payroll!$F35*((1+Payroll!$J35)^(ROUNDDOWN(DATEDIF(Payroll!$I35,CB$2,"M")/Payroll!$K35,0))),0))</f>
        <v/>
      </c>
      <c r="CC120" s="56">
        <f>IF(CC$2=Payroll!$I35,Payroll!$F35,IF(CC$2&gt;Payroll!$I35,Payroll!$F35*((1+Payroll!$J35)^(ROUNDDOWN(DATEDIF(Payroll!$I35,CC$2,"M")/Payroll!$K35,0))),0))</f>
        <v/>
      </c>
      <c r="CD120" s="56">
        <f>IF(CD$2=Payroll!$I35,Payroll!$F35,IF(CD$2&gt;Payroll!$I35,Payroll!$F35*((1+Payroll!$J35)^(ROUNDDOWN(DATEDIF(Payroll!$I35,CD$2,"M")/Payroll!$K35,0))),0))</f>
        <v/>
      </c>
      <c r="CE120" s="56">
        <f>IF(CE$2=Payroll!$I35,Payroll!$F35,IF(CE$2&gt;Payroll!$I35,Payroll!$F35*((1+Payroll!$J35)^(ROUNDDOWN(DATEDIF(Payroll!$I35,CE$2,"M")/Payroll!$K35,0))),0))</f>
        <v/>
      </c>
      <c r="CF120" s="56">
        <f>IF(CF$2=Payroll!$I35,Payroll!$F35,IF(CF$2&gt;Payroll!$I35,Payroll!$F35*((1+Payroll!$J35)^(ROUNDDOWN(DATEDIF(Payroll!$I35,CF$2,"M")/Payroll!$K35,0))),0))</f>
        <v/>
      </c>
      <c r="CG120" s="56">
        <f>IF(CG$2=Payroll!$I35,Payroll!$F35,IF(CG$2&gt;Payroll!$I35,Payroll!$F35*((1+Payroll!$J35)^(ROUNDDOWN(DATEDIF(Payroll!$I35,CG$2,"M")/Payroll!$K35,0))),0))</f>
        <v/>
      </c>
      <c r="CH120" s="56">
        <f>IF(CH$2=Payroll!$I35,Payroll!$F35,IF(CH$2&gt;Payroll!$I35,Payroll!$F35*((1+Payroll!$J35)^(ROUNDDOWN(DATEDIF(Payroll!$I35,CH$2,"M")/Payroll!$K35,0))),0))</f>
        <v/>
      </c>
      <c r="CI120" s="56">
        <f>IF(CI$2=Payroll!$I35,Payroll!$F35,IF(CI$2&gt;Payroll!$I35,Payroll!$F35*((1+Payroll!$J35)^(ROUNDDOWN(DATEDIF(Payroll!$I35,CI$2,"M")/Payroll!$K35,0))),0))</f>
        <v/>
      </c>
      <c r="CJ120" s="56">
        <f>IF(CJ$2=Payroll!$I35,Payroll!$F35,IF(CJ$2&gt;Payroll!$I35,Payroll!$F35*((1+Payroll!$J35)^(ROUNDDOWN(DATEDIF(Payroll!$I35,CJ$2,"M")/Payroll!$K35,0))),0))</f>
        <v/>
      </c>
      <c r="CK120" s="56">
        <f>IF(CK$2=Payroll!$I35,Payroll!$F35,IF(CK$2&gt;Payroll!$I35,Payroll!$F35*((1+Payroll!$J35)^(ROUNDDOWN(DATEDIF(Payroll!$I35,CK$2,"M")/Payroll!$K35,0))),0))</f>
        <v/>
      </c>
      <c r="CL120" s="56">
        <f>IF(CL$2=Payroll!$I35,Payroll!$F35,IF(CL$2&gt;Payroll!$I35,Payroll!$F35*((1+Payroll!$J35)^(ROUNDDOWN(DATEDIF(Payroll!$I35,CL$2,"M")/Payroll!$K35,0))),0))</f>
        <v/>
      </c>
      <c r="CM120" s="56">
        <f>IF(CM$2=Payroll!$I35,Payroll!$F35,IF(CM$2&gt;Payroll!$I35,Payroll!$F35*((1+Payroll!$J35)^(ROUNDDOWN(DATEDIF(Payroll!$I35,CM$2,"M")/Payroll!$K35,0))),0))</f>
        <v/>
      </c>
      <c r="CN120" s="56">
        <f>IF(CN$2=Payroll!$I35,Payroll!$F35,IF(CN$2&gt;Payroll!$I35,Payroll!$F35*((1+Payroll!$J35)^(ROUNDDOWN(DATEDIF(Payroll!$I35,CN$2,"M")/Payroll!$K35,0))),0))</f>
        <v/>
      </c>
      <c r="CO120" s="56">
        <f>IF(CO$2=Payroll!$I35,Payroll!$F35,IF(CO$2&gt;Payroll!$I35,Payroll!$F35*((1+Payroll!$J35)^(ROUNDDOWN(DATEDIF(Payroll!$I35,CO$2,"M")/Payroll!$K35,0))),0))</f>
        <v/>
      </c>
      <c r="CP120" s="56">
        <f>IF(CP$2=Payroll!$I35,Payroll!$F35,IF(CP$2&gt;Payroll!$I35,Payroll!$F35*((1+Payroll!$J35)^(ROUNDDOWN(DATEDIF(Payroll!$I35,CP$2,"M")/Payroll!$K35,0))),0))</f>
        <v/>
      </c>
      <c r="CQ120" s="56">
        <f>IF(CQ$2=Payroll!$I35,Payroll!$F35,IF(CQ$2&gt;Payroll!$I35,Payroll!$F35*((1+Payroll!$J35)^(ROUNDDOWN(DATEDIF(Payroll!$I35,CQ$2,"M")/Payroll!$K35,0))),0))</f>
        <v/>
      </c>
      <c r="CR120" s="56">
        <f>IF(CR$2=Payroll!$I35,Payroll!$F35,IF(CR$2&gt;Payroll!$I35,Payroll!$F35*((1+Payroll!$J35)^(ROUNDDOWN(DATEDIF(Payroll!$I35,CR$2,"M")/Payroll!$K35,0))),0))</f>
        <v/>
      </c>
      <c r="CS120" s="56">
        <f>IF(CS$2=Payroll!$I35,Payroll!$F35,IF(CS$2&gt;Payroll!$I35,Payroll!$F35*((1+Payroll!$J35)^(ROUNDDOWN(DATEDIF(Payroll!$I35,CS$2,"M")/Payroll!$K35,0))),0))</f>
        <v/>
      </c>
      <c r="CT120" s="56">
        <f>IF(CT$2=Payroll!$I35,Payroll!$F35,IF(CT$2&gt;Payroll!$I35,Payroll!$F35*((1+Payroll!$J35)^(ROUNDDOWN(DATEDIF(Payroll!$I35,CT$2,"M")/Payroll!$K35,0))),0))</f>
        <v/>
      </c>
      <c r="CU120" s="56">
        <f>IF(CU$2=Payroll!$I35,Payroll!$F35,IF(CU$2&gt;Payroll!$I35,Payroll!$F35*((1+Payroll!$J35)^(ROUNDDOWN(DATEDIF(Payroll!$I35,CU$2,"M")/Payroll!$K35,0))),0))</f>
        <v/>
      </c>
      <c r="CV120" s="56">
        <f>IF(CV$2=Payroll!$I35,Payroll!$F35,IF(CV$2&gt;Payroll!$I35,Payroll!$F35*((1+Payroll!$J35)^(ROUNDDOWN(DATEDIF(Payroll!$I35,CV$2,"M")/Payroll!$K35,0))),0))</f>
        <v/>
      </c>
      <c r="CW120" s="56">
        <f>IF(CW$2=Payroll!$I35,Payroll!$F35,IF(CW$2&gt;Payroll!$I35,Payroll!$F35*((1+Payroll!$J35)^(ROUNDDOWN(DATEDIF(Payroll!$I35,CW$2,"M")/Payroll!$K35,0))),0))</f>
        <v/>
      </c>
      <c r="CX120" s="56">
        <f>IF(CX$2=Payroll!$I35,Payroll!$F35,IF(CX$2&gt;Payroll!$I35,Payroll!$F35*((1+Payroll!$J35)^(ROUNDDOWN(DATEDIF(Payroll!$I35,CX$2,"M")/Payroll!$K35,0))),0))</f>
        <v/>
      </c>
    </row>
    <row r="121" outlineLevel="2" ht="15.75" customHeight="1" s="255">
      <c r="A121" s="56">
        <f>Payroll!A36</f>
        <v/>
      </c>
      <c r="B121" s="56" t="n"/>
      <c r="C121" s="56" t="n"/>
      <c r="D121" s="56" t="n"/>
      <c r="E121" s="56">
        <f>IF(E$2=Payroll!$I36,Payroll!$F36,IF(E$2&gt;Payroll!$I36,Payroll!$F36*((1+Payroll!$J36)^(ROUNDDOWN(DATEDIF(Payroll!$I36,E$2,"M")/Payroll!$K36,0))),0))</f>
        <v/>
      </c>
      <c r="F121" s="56">
        <f>IF(F$2=Payroll!$I36,Payroll!$F36,IF(F$2&gt;Payroll!$I36,Payroll!$F36*((1+Payroll!$J36)^(ROUNDDOWN(DATEDIF(Payroll!$I36,F$2,"M")/Payroll!$K36,0))),0))</f>
        <v/>
      </c>
      <c r="G121" s="56">
        <f>IF(G$2=Payroll!$I36,Payroll!$F36,IF(G$2&gt;Payroll!$I36,Payroll!$F36*((1+Payroll!$J36)^(ROUNDDOWN(DATEDIF(Payroll!$I36,G$2,"M")/Payroll!$K36,0))),0))</f>
        <v/>
      </c>
      <c r="H121" s="56">
        <f>IF(H$2=Payroll!$I36,Payroll!$F36,IF(H$2&gt;Payroll!$I36,Payroll!$F36*((1+Payroll!$J36)^(ROUNDDOWN(DATEDIF(Payroll!$I36,H$2,"M")/Payroll!$K36,0))),0))</f>
        <v/>
      </c>
      <c r="I121" s="56">
        <f>IF(I$2=Payroll!$I36,Payroll!$F36,IF(I$2&gt;Payroll!$I36,Payroll!$F36*((1+Payroll!$J36)^(ROUNDDOWN(DATEDIF(Payroll!$I36,I$2,"M")/Payroll!$K36,0))),0))</f>
        <v/>
      </c>
      <c r="J121" s="56">
        <f>IF(J$2=Payroll!$I36,Payroll!$F36,IF(J$2&gt;Payroll!$I36,Payroll!$F36*((1+Payroll!$J36)^(ROUNDDOWN(DATEDIF(Payroll!$I36,J$2,"M")/Payroll!$K36,0))),0))</f>
        <v/>
      </c>
      <c r="K121" s="56">
        <f>IF(K$2=Payroll!$I36,Payroll!$F36,IF(K$2&gt;Payroll!$I36,Payroll!$F36*((1+Payroll!$J36)^(ROUNDDOWN(DATEDIF(Payroll!$I36,K$2,"M")/Payroll!$K36,0))),0))</f>
        <v/>
      </c>
      <c r="L121" s="56">
        <f>IF(L$2=Payroll!$I36,Payroll!$F36,IF(L$2&gt;Payroll!$I36,Payroll!$F36*((1+Payroll!$J36)^(ROUNDDOWN(DATEDIF(Payroll!$I36,L$2,"M")/Payroll!$K36,0))),0))</f>
        <v/>
      </c>
      <c r="M121" s="56">
        <f>IF(M$2=Payroll!$I36,Payroll!$F36,IF(M$2&gt;Payroll!$I36,Payroll!$F36*((1+Payroll!$J36)^(ROUNDDOWN(DATEDIF(Payroll!$I36,M$2,"M")/Payroll!$K36,0))),0))</f>
        <v/>
      </c>
      <c r="N121" s="56">
        <f>IF(N$2=Payroll!$I36,Payroll!$F36,IF(N$2&gt;Payroll!$I36,Payroll!$F36*((1+Payroll!$J36)^(ROUNDDOWN(DATEDIF(Payroll!$I36,N$2,"M")/Payroll!$K36,0))),0))</f>
        <v/>
      </c>
      <c r="O121" s="56">
        <f>IF(O$2=Payroll!$I36,Payroll!$F36,IF(O$2&gt;Payroll!$I36,Payroll!$F36*((1+Payroll!$J36)^(ROUNDDOWN(DATEDIF(Payroll!$I36,O$2,"M")/Payroll!$K36,0))),0))</f>
        <v/>
      </c>
      <c r="P121" s="56">
        <f>IF(P$2=Payroll!$I36,Payroll!$F36,IF(P$2&gt;Payroll!$I36,Payroll!$F36*((1+Payroll!$J36)^(ROUNDDOWN(DATEDIF(Payroll!$I36,P$2,"M")/Payroll!$K36,0))),0))</f>
        <v/>
      </c>
      <c r="Q121" s="56">
        <f>IF(Q$2=Payroll!$I36,Payroll!$F36,IF(Q$2&gt;Payroll!$I36,Payroll!$F36*((1+Payroll!$J36)^(ROUNDDOWN(DATEDIF(Payroll!$I36,Q$2,"M")/Payroll!$K36,0))),0))</f>
        <v/>
      </c>
      <c r="R121" s="56">
        <f>IF(R$2=Payroll!$I36,Payroll!$F36,IF(R$2&gt;Payroll!$I36,Payroll!$F36*((1+Payroll!$J36)^(ROUNDDOWN(DATEDIF(Payroll!$I36,R$2,"M")/Payroll!$K36,0))),0))</f>
        <v/>
      </c>
      <c r="S121" s="56">
        <f>IF(S$2=Payroll!$I36,Payroll!$F36,IF(S$2&gt;Payroll!$I36,Payroll!$F36*((1+Payroll!$J36)^(ROUNDDOWN(DATEDIF(Payroll!$I36,S$2,"M")/Payroll!$K36,0))),0))</f>
        <v/>
      </c>
      <c r="T121" s="56">
        <f>IF(T$2=Payroll!$I36,Payroll!$F36,IF(T$2&gt;Payroll!$I36,Payroll!$F36*((1+Payroll!$J36)^(ROUNDDOWN(DATEDIF(Payroll!$I36,T$2,"M")/Payroll!$K36,0))),0))</f>
        <v/>
      </c>
      <c r="U121" s="56">
        <f>IF(U$2=Payroll!$I36,Payroll!$F36,IF(U$2&gt;Payroll!$I36,Payroll!$F36*((1+Payroll!$J36)^(ROUNDDOWN(DATEDIF(Payroll!$I36,U$2,"M")/Payroll!$K36,0))),0))</f>
        <v/>
      </c>
      <c r="V121" s="56">
        <f>IF(V$2=Payroll!$I36,Payroll!$F36,IF(V$2&gt;Payroll!$I36,Payroll!$F36*((1+Payroll!$J36)^(ROUNDDOWN(DATEDIF(Payroll!$I36,V$2,"M")/Payroll!$K36,0))),0))</f>
        <v/>
      </c>
      <c r="W121" s="56">
        <f>IF(W$2=Payroll!$I36,Payroll!$F36,IF(W$2&gt;Payroll!$I36,Payroll!$F36*((1+Payroll!$J36)^(ROUNDDOWN(DATEDIF(Payroll!$I36,W$2,"M")/Payroll!$K36,0))),0))</f>
        <v/>
      </c>
      <c r="X121" s="56">
        <f>IF(X$2=Payroll!$I36,Payroll!$F36,IF(X$2&gt;Payroll!$I36,Payroll!$F36*((1+Payroll!$J36)^(ROUNDDOWN(DATEDIF(Payroll!$I36,X$2,"M")/Payroll!$K36,0))),0))</f>
        <v/>
      </c>
      <c r="Y121" s="56">
        <f>IF(Y$2=Payroll!$I36,Payroll!$F36,IF(Y$2&gt;Payroll!$I36,Payroll!$F36*((1+Payroll!$J36)^(ROUNDDOWN(DATEDIF(Payroll!$I36,Y$2,"M")/Payroll!$K36,0))),0))</f>
        <v/>
      </c>
      <c r="Z121" s="56">
        <f>IF(Z$2=Payroll!$I36,Payroll!$F36,IF(Z$2&gt;Payroll!$I36,Payroll!$F36*((1+Payroll!$J36)^(ROUNDDOWN(DATEDIF(Payroll!$I36,Z$2,"M")/Payroll!$K36,0))),0))</f>
        <v/>
      </c>
      <c r="AA121" s="56">
        <f>IF(AA$2=Payroll!$I36,Payroll!$F36,IF(AA$2&gt;Payroll!$I36,Payroll!$F36*((1+Payroll!$J36)^(ROUNDDOWN(DATEDIF(Payroll!$I36,AA$2,"M")/Payroll!$K36,0))),0))</f>
        <v/>
      </c>
      <c r="AB121" s="56">
        <f>IF(AB$2=Payroll!$I36,Payroll!$F36,IF(AB$2&gt;Payroll!$I36,Payroll!$F36*((1+Payroll!$J36)^(ROUNDDOWN(DATEDIF(Payroll!$I36,AB$2,"M")/Payroll!$K36,0))),0))</f>
        <v/>
      </c>
      <c r="AC121" s="56">
        <f>IF(AC$2=Payroll!$I36,Payroll!$F36,IF(AC$2&gt;Payroll!$I36,Payroll!$F36*((1+Payroll!$J36)^(ROUNDDOWN(DATEDIF(Payroll!$I36,AC$2,"M")/Payroll!$K36,0))),0))</f>
        <v/>
      </c>
      <c r="AD121" s="56">
        <f>IF(AD$2=Payroll!$I36,Payroll!$F36,IF(AD$2&gt;Payroll!$I36,Payroll!$F36*((1+Payroll!$J36)^(ROUNDDOWN(DATEDIF(Payroll!$I36,AD$2,"M")/Payroll!$K36,0))),0))</f>
        <v/>
      </c>
      <c r="AE121" s="56">
        <f>IF(AE$2=Payroll!$I36,Payroll!$F36,IF(AE$2&gt;Payroll!$I36,Payroll!$F36*((1+Payroll!$J36)^(ROUNDDOWN(DATEDIF(Payroll!$I36,AE$2,"M")/Payroll!$K36,0))),0))</f>
        <v/>
      </c>
      <c r="AF121" s="56">
        <f>IF(AF$2=Payroll!$I36,Payroll!$F36,IF(AF$2&gt;Payroll!$I36,Payroll!$F36*((1+Payroll!$J36)^(ROUNDDOWN(DATEDIF(Payroll!$I36,AF$2,"M")/Payroll!$K36,0))),0))</f>
        <v/>
      </c>
      <c r="AG121" s="56">
        <f>IF(AG$2=Payroll!$I36,Payroll!$F36,IF(AG$2&gt;Payroll!$I36,Payroll!$F36*((1+Payroll!$J36)^(ROUNDDOWN(DATEDIF(Payroll!$I36,AG$2,"M")/Payroll!$K36,0))),0))</f>
        <v/>
      </c>
      <c r="AH121" s="56">
        <f>IF(AH$2=Payroll!$I36,Payroll!$F36,IF(AH$2&gt;Payroll!$I36,Payroll!$F36*((1+Payroll!$J36)^(ROUNDDOWN(DATEDIF(Payroll!$I36,AH$2,"M")/Payroll!$K36,0))),0))</f>
        <v/>
      </c>
      <c r="AI121" s="56">
        <f>IF(AI$2=Payroll!$I36,Payroll!$F36,IF(AI$2&gt;Payroll!$I36,Payroll!$F36*((1+Payroll!$J36)^(ROUNDDOWN(DATEDIF(Payroll!$I36,AI$2,"M")/Payroll!$K36,0))),0))</f>
        <v/>
      </c>
      <c r="AJ121" s="56">
        <f>IF(AJ$2=Payroll!$I36,Payroll!$F36,IF(AJ$2&gt;Payroll!$I36,Payroll!$F36*((1+Payroll!$J36)^(ROUNDDOWN(DATEDIF(Payroll!$I36,AJ$2,"M")/Payroll!$K36,0))),0))</f>
        <v/>
      </c>
      <c r="AK121" s="56">
        <f>IF(AK$2=Payroll!$I36,Payroll!$F36,IF(AK$2&gt;Payroll!$I36,Payroll!$F36*((1+Payroll!$J36)^(ROUNDDOWN(DATEDIF(Payroll!$I36,AK$2,"M")/Payroll!$K36,0))),0))</f>
        <v/>
      </c>
      <c r="AL121" s="56">
        <f>IF(AL$2=Payroll!$I36,Payroll!$F36,IF(AL$2&gt;Payroll!$I36,Payroll!$F36*((1+Payroll!$J36)^(ROUNDDOWN(DATEDIF(Payroll!$I36,AL$2,"M")/Payroll!$K36,0))),0))</f>
        <v/>
      </c>
      <c r="AM121" s="56">
        <f>IF(AM$2=Payroll!$I36,Payroll!$F36,IF(AM$2&gt;Payroll!$I36,Payroll!$F36*((1+Payroll!$J36)^(ROUNDDOWN(DATEDIF(Payroll!$I36,AM$2,"M")/Payroll!$K36,0))),0))</f>
        <v/>
      </c>
      <c r="AN121" s="56">
        <f>IF(AN$2=Payroll!$I36,Payroll!$F36,IF(AN$2&gt;Payroll!$I36,Payroll!$F36*((1+Payroll!$J36)^(ROUNDDOWN(DATEDIF(Payroll!$I36,AN$2,"M")/Payroll!$K36,0))),0))</f>
        <v/>
      </c>
      <c r="AO121" s="56">
        <f>IF(AO$2=Payroll!$I36,Payroll!$F36,IF(AO$2&gt;Payroll!$I36,Payroll!$F36*((1+Payroll!$J36)^(ROUNDDOWN(DATEDIF(Payroll!$I36,AO$2,"M")/Payroll!$K36,0))),0))</f>
        <v/>
      </c>
      <c r="AP121" s="56">
        <f>IF(AP$2=Payroll!$I36,Payroll!$F36,IF(AP$2&gt;Payroll!$I36,Payroll!$F36*((1+Payroll!$J36)^(ROUNDDOWN(DATEDIF(Payroll!$I36,AP$2,"M")/Payroll!$K36,0))),0))</f>
        <v/>
      </c>
      <c r="AQ121" s="56">
        <f>IF(AQ$2=Payroll!$I36,Payroll!$F36,IF(AQ$2&gt;Payroll!$I36,Payroll!$F36*((1+Payroll!$J36)^(ROUNDDOWN(DATEDIF(Payroll!$I36,AQ$2,"M")/Payroll!$K36,0))),0))</f>
        <v/>
      </c>
      <c r="AR121" s="56">
        <f>IF(AR$2=Payroll!$I36,Payroll!$F36,IF(AR$2&gt;Payroll!$I36,Payroll!$F36*((1+Payroll!$J36)^(ROUNDDOWN(DATEDIF(Payroll!$I36,AR$2,"M")/Payroll!$K36,0))),0))</f>
        <v/>
      </c>
      <c r="AS121" s="56">
        <f>IF(AS$2=Payroll!$I36,Payroll!$F36,IF(AS$2&gt;Payroll!$I36,Payroll!$F36*((1+Payroll!$J36)^(ROUNDDOWN(DATEDIF(Payroll!$I36,AS$2,"M")/Payroll!$K36,0))),0))</f>
        <v/>
      </c>
      <c r="AT121" s="56">
        <f>IF(AT$2=Payroll!$I36,Payroll!$F36,IF(AT$2&gt;Payroll!$I36,Payroll!$F36*((1+Payroll!$J36)^(ROUNDDOWN(DATEDIF(Payroll!$I36,AT$2,"M")/Payroll!$K36,0))),0))</f>
        <v/>
      </c>
      <c r="AU121" s="56">
        <f>IF(AU$2=Payroll!$I36,Payroll!$F36,IF(AU$2&gt;Payroll!$I36,Payroll!$F36*((1+Payroll!$J36)^(ROUNDDOWN(DATEDIF(Payroll!$I36,AU$2,"M")/Payroll!$K36,0))),0))</f>
        <v/>
      </c>
      <c r="AV121" s="56">
        <f>IF(AV$2=Payroll!$I36,Payroll!$F36,IF(AV$2&gt;Payroll!$I36,Payroll!$F36*((1+Payroll!$J36)^(ROUNDDOWN(DATEDIF(Payroll!$I36,AV$2,"M")/Payroll!$K36,0))),0))</f>
        <v/>
      </c>
      <c r="AW121" s="56">
        <f>IF(AW$2=Payroll!$I36,Payroll!$F36,IF(AW$2&gt;Payroll!$I36,Payroll!$F36*((1+Payroll!$J36)^(ROUNDDOWN(DATEDIF(Payroll!$I36,AW$2,"M")/Payroll!$K36,0))),0))</f>
        <v/>
      </c>
      <c r="AX121" s="56">
        <f>IF(AX$2=Payroll!$I36,Payroll!$F36,IF(AX$2&gt;Payroll!$I36,Payroll!$F36*((1+Payroll!$J36)^(ROUNDDOWN(DATEDIF(Payroll!$I36,AX$2,"M")/Payroll!$K36,0))),0))</f>
        <v/>
      </c>
      <c r="AY121" s="56">
        <f>IF(AY$2=Payroll!$I36,Payroll!$F36,IF(AY$2&gt;Payroll!$I36,Payroll!$F36*((1+Payroll!$J36)^(ROUNDDOWN(DATEDIF(Payroll!$I36,AY$2,"M")/Payroll!$K36,0))),0))</f>
        <v/>
      </c>
      <c r="AZ121" s="56">
        <f>IF(AZ$2=Payroll!$I36,Payroll!$F36,IF(AZ$2&gt;Payroll!$I36,Payroll!$F36*((1+Payroll!$J36)^(ROUNDDOWN(DATEDIF(Payroll!$I36,AZ$2,"M")/Payroll!$K36,0))),0))</f>
        <v/>
      </c>
      <c r="BA121" s="56">
        <f>IF(BA$2=Payroll!$I36,Payroll!$F36,IF(BA$2&gt;Payroll!$I36,Payroll!$F36*((1+Payroll!$J36)^(ROUNDDOWN(DATEDIF(Payroll!$I36,BA$2,"M")/Payroll!$K36,0))),0))</f>
        <v/>
      </c>
      <c r="BB121" s="56">
        <f>IF(BB$2=Payroll!$I36,Payroll!$F36,IF(BB$2&gt;Payroll!$I36,Payroll!$F36*((1+Payroll!$J36)^(ROUNDDOWN(DATEDIF(Payroll!$I36,BB$2,"M")/Payroll!$K36,0))),0))</f>
        <v/>
      </c>
      <c r="BC121" s="56">
        <f>IF(BC$2=Payroll!$I36,Payroll!$F36,IF(BC$2&gt;Payroll!$I36,Payroll!$F36*((1+Payroll!$J36)^(ROUNDDOWN(DATEDIF(Payroll!$I36,BC$2,"M")/Payroll!$K36,0))),0))</f>
        <v/>
      </c>
      <c r="BD121" s="56">
        <f>IF(BD$2=Payroll!$I36,Payroll!$F36,IF(BD$2&gt;Payroll!$I36,Payroll!$F36*((1+Payroll!$J36)^(ROUNDDOWN(DATEDIF(Payroll!$I36,BD$2,"M")/Payroll!$K36,0))),0))</f>
        <v/>
      </c>
      <c r="BE121" s="56">
        <f>IF(BE$2=Payroll!$I36,Payroll!$F36,IF(BE$2&gt;Payroll!$I36,Payroll!$F36*((1+Payroll!$J36)^(ROUNDDOWN(DATEDIF(Payroll!$I36,BE$2,"M")/Payroll!$K36,0))),0))</f>
        <v/>
      </c>
      <c r="BF121" s="56">
        <f>IF(BF$2=Payroll!$I36,Payroll!$F36,IF(BF$2&gt;Payroll!$I36,Payroll!$F36*((1+Payroll!$J36)^(ROUNDDOWN(DATEDIF(Payroll!$I36,BF$2,"M")/Payroll!$K36,0))),0))</f>
        <v/>
      </c>
      <c r="BG121" s="56">
        <f>IF(BG$2=Payroll!$I36,Payroll!$F36,IF(BG$2&gt;Payroll!$I36,Payroll!$F36*((1+Payroll!$J36)^(ROUNDDOWN(DATEDIF(Payroll!$I36,BG$2,"M")/Payroll!$K36,0))),0))</f>
        <v/>
      </c>
      <c r="BH121" s="56">
        <f>IF(BH$2=Payroll!$I36,Payroll!$F36,IF(BH$2&gt;Payroll!$I36,Payroll!$F36*((1+Payroll!$J36)^(ROUNDDOWN(DATEDIF(Payroll!$I36,BH$2,"M")/Payroll!$K36,0))),0))</f>
        <v/>
      </c>
      <c r="BI121" s="56">
        <f>IF(BI$2=Payroll!$I36,Payroll!$F36,IF(BI$2&gt;Payroll!$I36,Payroll!$F36*((1+Payroll!$J36)^(ROUNDDOWN(DATEDIF(Payroll!$I36,BI$2,"M")/Payroll!$K36,0))),0))</f>
        <v/>
      </c>
      <c r="BJ121" s="56">
        <f>IF(BJ$2=Payroll!$I36,Payroll!$F36,IF(BJ$2&gt;Payroll!$I36,Payroll!$F36*((1+Payroll!$J36)^(ROUNDDOWN(DATEDIF(Payroll!$I36,BJ$2,"M")/Payroll!$K36,0))),0))</f>
        <v/>
      </c>
      <c r="BK121" s="56">
        <f>IF(BK$2=Payroll!$I36,Payroll!$F36,IF(BK$2&gt;Payroll!$I36,Payroll!$F36*((1+Payroll!$J36)^(ROUNDDOWN(DATEDIF(Payroll!$I36,BK$2,"M")/Payroll!$K36,0))),0))</f>
        <v/>
      </c>
      <c r="BL121" s="56">
        <f>IF(BL$2=Payroll!$I36,Payroll!$F36,IF(BL$2&gt;Payroll!$I36,Payroll!$F36*((1+Payroll!$J36)^(ROUNDDOWN(DATEDIF(Payroll!$I36,BL$2,"M")/Payroll!$K36,0))),0))</f>
        <v/>
      </c>
      <c r="BM121" s="56">
        <f>IF(BM$2=Payroll!$I36,Payroll!$F36,IF(BM$2&gt;Payroll!$I36,Payroll!$F36*((1+Payroll!$J36)^(ROUNDDOWN(DATEDIF(Payroll!$I36,BM$2,"M")/Payroll!$K36,0))),0))</f>
        <v/>
      </c>
      <c r="BN121" s="56">
        <f>IF(BN$2=Payroll!$I36,Payroll!$F36,IF(BN$2&gt;Payroll!$I36,Payroll!$F36*((1+Payroll!$J36)^(ROUNDDOWN(DATEDIF(Payroll!$I36,BN$2,"M")/Payroll!$K36,0))),0))</f>
        <v/>
      </c>
      <c r="BO121" s="56">
        <f>IF(BO$2=Payroll!$I36,Payroll!$F36,IF(BO$2&gt;Payroll!$I36,Payroll!$F36*((1+Payroll!$J36)^(ROUNDDOWN(DATEDIF(Payroll!$I36,BO$2,"M")/Payroll!$K36,0))),0))</f>
        <v/>
      </c>
      <c r="BP121" s="56">
        <f>IF(BP$2=Payroll!$I36,Payroll!$F36,IF(BP$2&gt;Payroll!$I36,Payroll!$F36*((1+Payroll!$J36)^(ROUNDDOWN(DATEDIF(Payroll!$I36,BP$2,"M")/Payroll!$K36,0))),0))</f>
        <v/>
      </c>
      <c r="BQ121" s="56">
        <f>IF(BQ$2=Payroll!$I36,Payroll!$F36,IF(BQ$2&gt;Payroll!$I36,Payroll!$F36*((1+Payroll!$J36)^(ROUNDDOWN(DATEDIF(Payroll!$I36,BQ$2,"M")/Payroll!$K36,0))),0))</f>
        <v/>
      </c>
      <c r="BR121" s="56">
        <f>IF(BR$2=Payroll!$I36,Payroll!$F36,IF(BR$2&gt;Payroll!$I36,Payroll!$F36*((1+Payroll!$J36)^(ROUNDDOWN(DATEDIF(Payroll!$I36,BR$2,"M")/Payroll!$K36,0))),0))</f>
        <v/>
      </c>
      <c r="BS121" s="56">
        <f>IF(BS$2=Payroll!$I36,Payroll!$F36,IF(BS$2&gt;Payroll!$I36,Payroll!$F36*((1+Payroll!$J36)^(ROUNDDOWN(DATEDIF(Payroll!$I36,BS$2,"M")/Payroll!$K36,0))),0))</f>
        <v/>
      </c>
      <c r="BT121" s="56">
        <f>IF(BT$2=Payroll!$I36,Payroll!$F36,IF(BT$2&gt;Payroll!$I36,Payroll!$F36*((1+Payroll!$J36)^(ROUNDDOWN(DATEDIF(Payroll!$I36,BT$2,"M")/Payroll!$K36,0))),0))</f>
        <v/>
      </c>
      <c r="BU121" s="56">
        <f>IF(BU$2=Payroll!$I36,Payroll!$F36,IF(BU$2&gt;Payroll!$I36,Payroll!$F36*((1+Payroll!$J36)^(ROUNDDOWN(DATEDIF(Payroll!$I36,BU$2,"M")/Payroll!$K36,0))),0))</f>
        <v/>
      </c>
      <c r="BV121" s="56">
        <f>IF(BV$2=Payroll!$I36,Payroll!$F36,IF(BV$2&gt;Payroll!$I36,Payroll!$F36*((1+Payroll!$J36)^(ROUNDDOWN(DATEDIF(Payroll!$I36,BV$2,"M")/Payroll!$K36,0))),0))</f>
        <v/>
      </c>
      <c r="BW121" s="56">
        <f>IF(BW$2=Payroll!$I36,Payroll!$F36,IF(BW$2&gt;Payroll!$I36,Payroll!$F36*((1+Payroll!$J36)^(ROUNDDOWN(DATEDIF(Payroll!$I36,BW$2,"M")/Payroll!$K36,0))),0))</f>
        <v/>
      </c>
      <c r="BX121" s="56">
        <f>IF(BX$2=Payroll!$I36,Payroll!$F36,IF(BX$2&gt;Payroll!$I36,Payroll!$F36*((1+Payroll!$J36)^(ROUNDDOWN(DATEDIF(Payroll!$I36,BX$2,"M")/Payroll!$K36,0))),0))</f>
        <v/>
      </c>
      <c r="BY121" s="56">
        <f>IF(BY$2=Payroll!$I36,Payroll!$F36,IF(BY$2&gt;Payroll!$I36,Payroll!$F36*((1+Payroll!$J36)^(ROUNDDOWN(DATEDIF(Payroll!$I36,BY$2,"M")/Payroll!$K36,0))),0))</f>
        <v/>
      </c>
      <c r="BZ121" s="56">
        <f>IF(BZ$2=Payroll!$I36,Payroll!$F36,IF(BZ$2&gt;Payroll!$I36,Payroll!$F36*((1+Payroll!$J36)^(ROUNDDOWN(DATEDIF(Payroll!$I36,BZ$2,"M")/Payroll!$K36,0))),0))</f>
        <v/>
      </c>
      <c r="CA121" s="56">
        <f>IF(CA$2=Payroll!$I36,Payroll!$F36,IF(CA$2&gt;Payroll!$I36,Payroll!$F36*((1+Payroll!$J36)^(ROUNDDOWN(DATEDIF(Payroll!$I36,CA$2,"M")/Payroll!$K36,0))),0))</f>
        <v/>
      </c>
      <c r="CB121" s="56">
        <f>IF(CB$2=Payroll!$I36,Payroll!$F36,IF(CB$2&gt;Payroll!$I36,Payroll!$F36*((1+Payroll!$J36)^(ROUNDDOWN(DATEDIF(Payroll!$I36,CB$2,"M")/Payroll!$K36,0))),0))</f>
        <v/>
      </c>
      <c r="CC121" s="56">
        <f>IF(CC$2=Payroll!$I36,Payroll!$F36,IF(CC$2&gt;Payroll!$I36,Payroll!$F36*((1+Payroll!$J36)^(ROUNDDOWN(DATEDIF(Payroll!$I36,CC$2,"M")/Payroll!$K36,0))),0))</f>
        <v/>
      </c>
      <c r="CD121" s="56">
        <f>IF(CD$2=Payroll!$I36,Payroll!$F36,IF(CD$2&gt;Payroll!$I36,Payroll!$F36*((1+Payroll!$J36)^(ROUNDDOWN(DATEDIF(Payroll!$I36,CD$2,"M")/Payroll!$K36,0))),0))</f>
        <v/>
      </c>
      <c r="CE121" s="56">
        <f>IF(CE$2=Payroll!$I36,Payroll!$F36,IF(CE$2&gt;Payroll!$I36,Payroll!$F36*((1+Payroll!$J36)^(ROUNDDOWN(DATEDIF(Payroll!$I36,CE$2,"M")/Payroll!$K36,0))),0))</f>
        <v/>
      </c>
      <c r="CF121" s="56">
        <f>IF(CF$2=Payroll!$I36,Payroll!$F36,IF(CF$2&gt;Payroll!$I36,Payroll!$F36*((1+Payroll!$J36)^(ROUNDDOWN(DATEDIF(Payroll!$I36,CF$2,"M")/Payroll!$K36,0))),0))</f>
        <v/>
      </c>
      <c r="CG121" s="56">
        <f>IF(CG$2=Payroll!$I36,Payroll!$F36,IF(CG$2&gt;Payroll!$I36,Payroll!$F36*((1+Payroll!$J36)^(ROUNDDOWN(DATEDIF(Payroll!$I36,CG$2,"M")/Payroll!$K36,0))),0))</f>
        <v/>
      </c>
      <c r="CH121" s="56">
        <f>IF(CH$2=Payroll!$I36,Payroll!$F36,IF(CH$2&gt;Payroll!$I36,Payroll!$F36*((1+Payroll!$J36)^(ROUNDDOWN(DATEDIF(Payroll!$I36,CH$2,"M")/Payroll!$K36,0))),0))</f>
        <v/>
      </c>
      <c r="CI121" s="56">
        <f>IF(CI$2=Payroll!$I36,Payroll!$F36,IF(CI$2&gt;Payroll!$I36,Payroll!$F36*((1+Payroll!$J36)^(ROUNDDOWN(DATEDIF(Payroll!$I36,CI$2,"M")/Payroll!$K36,0))),0))</f>
        <v/>
      </c>
      <c r="CJ121" s="56">
        <f>IF(CJ$2=Payroll!$I36,Payroll!$F36,IF(CJ$2&gt;Payroll!$I36,Payroll!$F36*((1+Payroll!$J36)^(ROUNDDOWN(DATEDIF(Payroll!$I36,CJ$2,"M")/Payroll!$K36,0))),0))</f>
        <v/>
      </c>
      <c r="CK121" s="56">
        <f>IF(CK$2=Payroll!$I36,Payroll!$F36,IF(CK$2&gt;Payroll!$I36,Payroll!$F36*((1+Payroll!$J36)^(ROUNDDOWN(DATEDIF(Payroll!$I36,CK$2,"M")/Payroll!$K36,0))),0))</f>
        <v/>
      </c>
      <c r="CL121" s="56">
        <f>IF(CL$2=Payroll!$I36,Payroll!$F36,IF(CL$2&gt;Payroll!$I36,Payroll!$F36*((1+Payroll!$J36)^(ROUNDDOWN(DATEDIF(Payroll!$I36,CL$2,"M")/Payroll!$K36,0))),0))</f>
        <v/>
      </c>
      <c r="CM121" s="56">
        <f>IF(CM$2=Payroll!$I36,Payroll!$F36,IF(CM$2&gt;Payroll!$I36,Payroll!$F36*((1+Payroll!$J36)^(ROUNDDOWN(DATEDIF(Payroll!$I36,CM$2,"M")/Payroll!$K36,0))),0))</f>
        <v/>
      </c>
      <c r="CN121" s="56">
        <f>IF(CN$2=Payroll!$I36,Payroll!$F36,IF(CN$2&gt;Payroll!$I36,Payroll!$F36*((1+Payroll!$J36)^(ROUNDDOWN(DATEDIF(Payroll!$I36,CN$2,"M")/Payroll!$K36,0))),0))</f>
        <v/>
      </c>
      <c r="CO121" s="56">
        <f>IF(CO$2=Payroll!$I36,Payroll!$F36,IF(CO$2&gt;Payroll!$I36,Payroll!$F36*((1+Payroll!$J36)^(ROUNDDOWN(DATEDIF(Payroll!$I36,CO$2,"M")/Payroll!$K36,0))),0))</f>
        <v/>
      </c>
      <c r="CP121" s="56">
        <f>IF(CP$2=Payroll!$I36,Payroll!$F36,IF(CP$2&gt;Payroll!$I36,Payroll!$F36*((1+Payroll!$J36)^(ROUNDDOWN(DATEDIF(Payroll!$I36,CP$2,"M")/Payroll!$K36,0))),0))</f>
        <v/>
      </c>
      <c r="CQ121" s="56">
        <f>IF(CQ$2=Payroll!$I36,Payroll!$F36,IF(CQ$2&gt;Payroll!$I36,Payroll!$F36*((1+Payroll!$J36)^(ROUNDDOWN(DATEDIF(Payroll!$I36,CQ$2,"M")/Payroll!$K36,0))),0))</f>
        <v/>
      </c>
      <c r="CR121" s="56">
        <f>IF(CR$2=Payroll!$I36,Payroll!$F36,IF(CR$2&gt;Payroll!$I36,Payroll!$F36*((1+Payroll!$J36)^(ROUNDDOWN(DATEDIF(Payroll!$I36,CR$2,"M")/Payroll!$K36,0))),0))</f>
        <v/>
      </c>
      <c r="CS121" s="56">
        <f>IF(CS$2=Payroll!$I36,Payroll!$F36,IF(CS$2&gt;Payroll!$I36,Payroll!$F36*((1+Payroll!$J36)^(ROUNDDOWN(DATEDIF(Payroll!$I36,CS$2,"M")/Payroll!$K36,0))),0))</f>
        <v/>
      </c>
      <c r="CT121" s="56">
        <f>IF(CT$2=Payroll!$I36,Payroll!$F36,IF(CT$2&gt;Payroll!$I36,Payroll!$F36*((1+Payroll!$J36)^(ROUNDDOWN(DATEDIF(Payroll!$I36,CT$2,"M")/Payroll!$K36,0))),0))</f>
        <v/>
      </c>
      <c r="CU121" s="56">
        <f>IF(CU$2=Payroll!$I36,Payroll!$F36,IF(CU$2&gt;Payroll!$I36,Payroll!$F36*((1+Payroll!$J36)^(ROUNDDOWN(DATEDIF(Payroll!$I36,CU$2,"M")/Payroll!$K36,0))),0))</f>
        <v/>
      </c>
      <c r="CV121" s="56">
        <f>IF(CV$2=Payroll!$I36,Payroll!$F36,IF(CV$2&gt;Payroll!$I36,Payroll!$F36*((1+Payroll!$J36)^(ROUNDDOWN(DATEDIF(Payroll!$I36,CV$2,"M")/Payroll!$K36,0))),0))</f>
        <v/>
      </c>
      <c r="CW121" s="56">
        <f>IF(CW$2=Payroll!$I36,Payroll!$F36,IF(CW$2&gt;Payroll!$I36,Payroll!$F36*((1+Payroll!$J36)^(ROUNDDOWN(DATEDIF(Payroll!$I36,CW$2,"M")/Payroll!$K36,0))),0))</f>
        <v/>
      </c>
      <c r="CX121" s="56">
        <f>IF(CX$2=Payroll!$I36,Payroll!$F36,IF(CX$2&gt;Payroll!$I36,Payroll!$F36*((1+Payroll!$J36)^(ROUNDDOWN(DATEDIF(Payroll!$I36,CX$2,"M")/Payroll!$K36,0))),0))</f>
        <v/>
      </c>
    </row>
    <row r="122" outlineLevel="2" ht="15.75" customHeight="1" s="255">
      <c r="A122" s="56">
        <f>Payroll!A37</f>
        <v/>
      </c>
      <c r="B122" s="56" t="n"/>
      <c r="C122" s="56" t="n"/>
      <c r="D122" s="56" t="n"/>
      <c r="E122" s="56">
        <f>IF(E$2=Payroll!$I37,Payroll!$F37,IF(E$2&gt;Payroll!$I37,Payroll!$F37*((1+Payroll!$J37)^(ROUNDDOWN(DATEDIF(Payroll!$I37,E$2,"M")/Payroll!$K37,0))),0))</f>
        <v/>
      </c>
      <c r="F122" s="56">
        <f>IF(F$2=Payroll!$I37,Payroll!$F37,IF(F$2&gt;Payroll!$I37,Payroll!$F37*((1+Payroll!$J37)^(ROUNDDOWN(DATEDIF(Payroll!$I37,F$2,"M")/Payroll!$K37,0))),0))</f>
        <v/>
      </c>
      <c r="G122" s="56">
        <f>IF(G$2=Payroll!$I37,Payroll!$F37,IF(G$2&gt;Payroll!$I37,Payroll!$F37*((1+Payroll!$J37)^(ROUNDDOWN(DATEDIF(Payroll!$I37,G$2,"M")/Payroll!$K37,0))),0))</f>
        <v/>
      </c>
      <c r="H122" s="56">
        <f>IF(H$2=Payroll!$I37,Payroll!$F37,IF(H$2&gt;Payroll!$I37,Payroll!$F37*((1+Payroll!$J37)^(ROUNDDOWN(DATEDIF(Payroll!$I37,H$2,"M")/Payroll!$K37,0))),0))</f>
        <v/>
      </c>
      <c r="I122" s="56">
        <f>IF(I$2=Payroll!$I37,Payroll!$F37,IF(I$2&gt;Payroll!$I37,Payroll!$F37*((1+Payroll!$J37)^(ROUNDDOWN(DATEDIF(Payroll!$I37,I$2,"M")/Payroll!$K37,0))),0))</f>
        <v/>
      </c>
      <c r="J122" s="56">
        <f>IF(J$2=Payroll!$I37,Payroll!$F37,IF(J$2&gt;Payroll!$I37,Payroll!$F37*((1+Payroll!$J37)^(ROUNDDOWN(DATEDIF(Payroll!$I37,J$2,"M")/Payroll!$K37,0))),0))</f>
        <v/>
      </c>
      <c r="K122" s="56">
        <f>IF(K$2=Payroll!$I37,Payroll!$F37,IF(K$2&gt;Payroll!$I37,Payroll!$F37*((1+Payroll!$J37)^(ROUNDDOWN(DATEDIF(Payroll!$I37,K$2,"M")/Payroll!$K37,0))),0))</f>
        <v/>
      </c>
      <c r="L122" s="56">
        <f>IF(L$2=Payroll!$I37,Payroll!$F37,IF(L$2&gt;Payroll!$I37,Payroll!$F37*((1+Payroll!$J37)^(ROUNDDOWN(DATEDIF(Payroll!$I37,L$2,"M")/Payroll!$K37,0))),0))</f>
        <v/>
      </c>
      <c r="M122" s="56">
        <f>IF(M$2=Payroll!$I37,Payroll!$F37,IF(M$2&gt;Payroll!$I37,Payroll!$F37*((1+Payroll!$J37)^(ROUNDDOWN(DATEDIF(Payroll!$I37,M$2,"M")/Payroll!$K37,0))),0))</f>
        <v/>
      </c>
      <c r="N122" s="56">
        <f>IF(N$2=Payroll!$I37,Payroll!$F37,IF(N$2&gt;Payroll!$I37,Payroll!$F37*((1+Payroll!$J37)^(ROUNDDOWN(DATEDIF(Payroll!$I37,N$2,"M")/Payroll!$K37,0))),0))</f>
        <v/>
      </c>
      <c r="O122" s="56">
        <f>IF(O$2=Payroll!$I37,Payroll!$F37,IF(O$2&gt;Payroll!$I37,Payroll!$F37*((1+Payroll!$J37)^(ROUNDDOWN(DATEDIF(Payroll!$I37,O$2,"M")/Payroll!$K37,0))),0))</f>
        <v/>
      </c>
      <c r="P122" s="56">
        <f>IF(P$2=Payroll!$I37,Payroll!$F37,IF(P$2&gt;Payroll!$I37,Payroll!$F37*((1+Payroll!$J37)^(ROUNDDOWN(DATEDIF(Payroll!$I37,P$2,"M")/Payroll!$K37,0))),0))</f>
        <v/>
      </c>
      <c r="Q122" s="56">
        <f>IF(Q$2=Payroll!$I37,Payroll!$F37,IF(Q$2&gt;Payroll!$I37,Payroll!$F37*((1+Payroll!$J37)^(ROUNDDOWN(DATEDIF(Payroll!$I37,Q$2,"M")/Payroll!$K37,0))),0))</f>
        <v/>
      </c>
      <c r="R122" s="56">
        <f>IF(R$2=Payroll!$I37,Payroll!$F37,IF(R$2&gt;Payroll!$I37,Payroll!$F37*((1+Payroll!$J37)^(ROUNDDOWN(DATEDIF(Payroll!$I37,R$2,"M")/Payroll!$K37,0))),0))</f>
        <v/>
      </c>
      <c r="S122" s="56">
        <f>IF(S$2=Payroll!$I37,Payroll!$F37,IF(S$2&gt;Payroll!$I37,Payroll!$F37*((1+Payroll!$J37)^(ROUNDDOWN(DATEDIF(Payroll!$I37,S$2,"M")/Payroll!$K37,0))),0))</f>
        <v/>
      </c>
      <c r="T122" s="56">
        <f>IF(T$2=Payroll!$I37,Payroll!$F37,IF(T$2&gt;Payroll!$I37,Payroll!$F37*((1+Payroll!$J37)^(ROUNDDOWN(DATEDIF(Payroll!$I37,T$2,"M")/Payroll!$K37,0))),0))</f>
        <v/>
      </c>
      <c r="U122" s="56">
        <f>IF(U$2=Payroll!$I37,Payroll!$F37,IF(U$2&gt;Payroll!$I37,Payroll!$F37*((1+Payroll!$J37)^(ROUNDDOWN(DATEDIF(Payroll!$I37,U$2,"M")/Payroll!$K37,0))),0))</f>
        <v/>
      </c>
      <c r="V122" s="56">
        <f>IF(V$2=Payroll!$I37,Payroll!$F37,IF(V$2&gt;Payroll!$I37,Payroll!$F37*((1+Payroll!$J37)^(ROUNDDOWN(DATEDIF(Payroll!$I37,V$2,"M")/Payroll!$K37,0))),0))</f>
        <v/>
      </c>
      <c r="W122" s="56">
        <f>IF(W$2=Payroll!$I37,Payroll!$F37,IF(W$2&gt;Payroll!$I37,Payroll!$F37*((1+Payroll!$J37)^(ROUNDDOWN(DATEDIF(Payroll!$I37,W$2,"M")/Payroll!$K37,0))),0))</f>
        <v/>
      </c>
      <c r="X122" s="56">
        <f>IF(X$2=Payroll!$I37,Payroll!$F37,IF(X$2&gt;Payroll!$I37,Payroll!$F37*((1+Payroll!$J37)^(ROUNDDOWN(DATEDIF(Payroll!$I37,X$2,"M")/Payroll!$K37,0))),0))</f>
        <v/>
      </c>
      <c r="Y122" s="56">
        <f>IF(Y$2=Payroll!$I37,Payroll!$F37,IF(Y$2&gt;Payroll!$I37,Payroll!$F37*((1+Payroll!$J37)^(ROUNDDOWN(DATEDIF(Payroll!$I37,Y$2,"M")/Payroll!$K37,0))),0))</f>
        <v/>
      </c>
      <c r="Z122" s="56">
        <f>IF(Z$2=Payroll!$I37,Payroll!$F37,IF(Z$2&gt;Payroll!$I37,Payroll!$F37*((1+Payroll!$J37)^(ROUNDDOWN(DATEDIF(Payroll!$I37,Z$2,"M")/Payroll!$K37,0))),0))</f>
        <v/>
      </c>
      <c r="AA122" s="56">
        <f>IF(AA$2=Payroll!$I37,Payroll!$F37,IF(AA$2&gt;Payroll!$I37,Payroll!$F37*((1+Payroll!$J37)^(ROUNDDOWN(DATEDIF(Payroll!$I37,AA$2,"M")/Payroll!$K37,0))),0))</f>
        <v/>
      </c>
      <c r="AB122" s="56">
        <f>IF(AB$2=Payroll!$I37,Payroll!$F37,IF(AB$2&gt;Payroll!$I37,Payroll!$F37*((1+Payroll!$J37)^(ROUNDDOWN(DATEDIF(Payroll!$I37,AB$2,"M")/Payroll!$K37,0))),0))</f>
        <v/>
      </c>
      <c r="AC122" s="56">
        <f>IF(AC$2=Payroll!$I37,Payroll!$F37,IF(AC$2&gt;Payroll!$I37,Payroll!$F37*((1+Payroll!$J37)^(ROUNDDOWN(DATEDIF(Payroll!$I37,AC$2,"M")/Payroll!$K37,0))),0))</f>
        <v/>
      </c>
      <c r="AD122" s="56">
        <f>IF(AD$2=Payroll!$I37,Payroll!$F37,IF(AD$2&gt;Payroll!$I37,Payroll!$F37*((1+Payroll!$J37)^(ROUNDDOWN(DATEDIF(Payroll!$I37,AD$2,"M")/Payroll!$K37,0))),0))</f>
        <v/>
      </c>
      <c r="AE122" s="56">
        <f>IF(AE$2=Payroll!$I37,Payroll!$F37,IF(AE$2&gt;Payroll!$I37,Payroll!$F37*((1+Payroll!$J37)^(ROUNDDOWN(DATEDIF(Payroll!$I37,AE$2,"M")/Payroll!$K37,0))),0))</f>
        <v/>
      </c>
      <c r="AF122" s="56">
        <f>IF(AF$2=Payroll!$I37,Payroll!$F37,IF(AF$2&gt;Payroll!$I37,Payroll!$F37*((1+Payroll!$J37)^(ROUNDDOWN(DATEDIF(Payroll!$I37,AF$2,"M")/Payroll!$K37,0))),0))</f>
        <v/>
      </c>
      <c r="AG122" s="56">
        <f>IF(AG$2=Payroll!$I37,Payroll!$F37,IF(AG$2&gt;Payroll!$I37,Payroll!$F37*((1+Payroll!$J37)^(ROUNDDOWN(DATEDIF(Payroll!$I37,AG$2,"M")/Payroll!$K37,0))),0))</f>
        <v/>
      </c>
      <c r="AH122" s="56">
        <f>IF(AH$2=Payroll!$I37,Payroll!$F37,IF(AH$2&gt;Payroll!$I37,Payroll!$F37*((1+Payroll!$J37)^(ROUNDDOWN(DATEDIF(Payroll!$I37,AH$2,"M")/Payroll!$K37,0))),0))</f>
        <v/>
      </c>
      <c r="AI122" s="56">
        <f>IF(AI$2=Payroll!$I37,Payroll!$F37,IF(AI$2&gt;Payroll!$I37,Payroll!$F37*((1+Payroll!$J37)^(ROUNDDOWN(DATEDIF(Payroll!$I37,AI$2,"M")/Payroll!$K37,0))),0))</f>
        <v/>
      </c>
      <c r="AJ122" s="56">
        <f>IF(AJ$2=Payroll!$I37,Payroll!$F37,IF(AJ$2&gt;Payroll!$I37,Payroll!$F37*((1+Payroll!$J37)^(ROUNDDOWN(DATEDIF(Payroll!$I37,AJ$2,"M")/Payroll!$K37,0))),0))</f>
        <v/>
      </c>
      <c r="AK122" s="56">
        <f>IF(AK$2=Payroll!$I37,Payroll!$F37,IF(AK$2&gt;Payroll!$I37,Payroll!$F37*((1+Payroll!$J37)^(ROUNDDOWN(DATEDIF(Payroll!$I37,AK$2,"M")/Payroll!$K37,0))),0))</f>
        <v/>
      </c>
      <c r="AL122" s="56">
        <f>IF(AL$2=Payroll!$I37,Payroll!$F37,IF(AL$2&gt;Payroll!$I37,Payroll!$F37*((1+Payroll!$J37)^(ROUNDDOWN(DATEDIF(Payroll!$I37,AL$2,"M")/Payroll!$K37,0))),0))</f>
        <v/>
      </c>
      <c r="AM122" s="56">
        <f>IF(AM$2=Payroll!$I37,Payroll!$F37,IF(AM$2&gt;Payroll!$I37,Payroll!$F37*((1+Payroll!$J37)^(ROUNDDOWN(DATEDIF(Payroll!$I37,AM$2,"M")/Payroll!$K37,0))),0))</f>
        <v/>
      </c>
      <c r="AN122" s="56">
        <f>IF(AN$2=Payroll!$I37,Payroll!$F37,IF(AN$2&gt;Payroll!$I37,Payroll!$F37*((1+Payroll!$J37)^(ROUNDDOWN(DATEDIF(Payroll!$I37,AN$2,"M")/Payroll!$K37,0))),0))</f>
        <v/>
      </c>
      <c r="AO122" s="56">
        <f>IF(AO$2=Payroll!$I37,Payroll!$F37,IF(AO$2&gt;Payroll!$I37,Payroll!$F37*((1+Payroll!$J37)^(ROUNDDOWN(DATEDIF(Payroll!$I37,AO$2,"M")/Payroll!$K37,0))),0))</f>
        <v/>
      </c>
      <c r="AP122" s="56">
        <f>IF(AP$2=Payroll!$I37,Payroll!$F37,IF(AP$2&gt;Payroll!$I37,Payroll!$F37*((1+Payroll!$J37)^(ROUNDDOWN(DATEDIF(Payroll!$I37,AP$2,"M")/Payroll!$K37,0))),0))</f>
        <v/>
      </c>
      <c r="AQ122" s="56">
        <f>IF(AQ$2=Payroll!$I37,Payroll!$F37,IF(AQ$2&gt;Payroll!$I37,Payroll!$F37*((1+Payroll!$J37)^(ROUNDDOWN(DATEDIF(Payroll!$I37,AQ$2,"M")/Payroll!$K37,0))),0))</f>
        <v/>
      </c>
      <c r="AR122" s="56">
        <f>IF(AR$2=Payroll!$I37,Payroll!$F37,IF(AR$2&gt;Payroll!$I37,Payroll!$F37*((1+Payroll!$J37)^(ROUNDDOWN(DATEDIF(Payroll!$I37,AR$2,"M")/Payroll!$K37,0))),0))</f>
        <v/>
      </c>
      <c r="AS122" s="56">
        <f>IF(AS$2=Payroll!$I37,Payroll!$F37,IF(AS$2&gt;Payroll!$I37,Payroll!$F37*((1+Payroll!$J37)^(ROUNDDOWN(DATEDIF(Payroll!$I37,AS$2,"M")/Payroll!$K37,0))),0))</f>
        <v/>
      </c>
      <c r="AT122" s="56">
        <f>IF(AT$2=Payroll!$I37,Payroll!$F37,IF(AT$2&gt;Payroll!$I37,Payroll!$F37*((1+Payroll!$J37)^(ROUNDDOWN(DATEDIF(Payroll!$I37,AT$2,"M")/Payroll!$K37,0))),0))</f>
        <v/>
      </c>
      <c r="AU122" s="56">
        <f>IF(AU$2=Payroll!$I37,Payroll!$F37,IF(AU$2&gt;Payroll!$I37,Payroll!$F37*((1+Payroll!$J37)^(ROUNDDOWN(DATEDIF(Payroll!$I37,AU$2,"M")/Payroll!$K37,0))),0))</f>
        <v/>
      </c>
      <c r="AV122" s="56">
        <f>IF(AV$2=Payroll!$I37,Payroll!$F37,IF(AV$2&gt;Payroll!$I37,Payroll!$F37*((1+Payroll!$J37)^(ROUNDDOWN(DATEDIF(Payroll!$I37,AV$2,"M")/Payroll!$K37,0))),0))</f>
        <v/>
      </c>
      <c r="AW122" s="56">
        <f>IF(AW$2=Payroll!$I37,Payroll!$F37,IF(AW$2&gt;Payroll!$I37,Payroll!$F37*((1+Payroll!$J37)^(ROUNDDOWN(DATEDIF(Payroll!$I37,AW$2,"M")/Payroll!$K37,0))),0))</f>
        <v/>
      </c>
      <c r="AX122" s="56">
        <f>IF(AX$2=Payroll!$I37,Payroll!$F37,IF(AX$2&gt;Payroll!$I37,Payroll!$F37*((1+Payroll!$J37)^(ROUNDDOWN(DATEDIF(Payroll!$I37,AX$2,"M")/Payroll!$K37,0))),0))</f>
        <v/>
      </c>
      <c r="AY122" s="56">
        <f>IF(AY$2=Payroll!$I37,Payroll!$F37,IF(AY$2&gt;Payroll!$I37,Payroll!$F37*((1+Payroll!$J37)^(ROUNDDOWN(DATEDIF(Payroll!$I37,AY$2,"M")/Payroll!$K37,0))),0))</f>
        <v/>
      </c>
      <c r="AZ122" s="56">
        <f>IF(AZ$2=Payroll!$I37,Payroll!$F37,IF(AZ$2&gt;Payroll!$I37,Payroll!$F37*((1+Payroll!$J37)^(ROUNDDOWN(DATEDIF(Payroll!$I37,AZ$2,"M")/Payroll!$K37,0))),0))</f>
        <v/>
      </c>
      <c r="BA122" s="56">
        <f>IF(BA$2=Payroll!$I37,Payroll!$F37,IF(BA$2&gt;Payroll!$I37,Payroll!$F37*((1+Payroll!$J37)^(ROUNDDOWN(DATEDIF(Payroll!$I37,BA$2,"M")/Payroll!$K37,0))),0))</f>
        <v/>
      </c>
      <c r="BB122" s="56">
        <f>IF(BB$2=Payroll!$I37,Payroll!$F37,IF(BB$2&gt;Payroll!$I37,Payroll!$F37*((1+Payroll!$J37)^(ROUNDDOWN(DATEDIF(Payroll!$I37,BB$2,"M")/Payroll!$K37,0))),0))</f>
        <v/>
      </c>
      <c r="BC122" s="56">
        <f>IF(BC$2=Payroll!$I37,Payroll!$F37,IF(BC$2&gt;Payroll!$I37,Payroll!$F37*((1+Payroll!$J37)^(ROUNDDOWN(DATEDIF(Payroll!$I37,BC$2,"M")/Payroll!$K37,0))),0))</f>
        <v/>
      </c>
      <c r="BD122" s="56">
        <f>IF(BD$2=Payroll!$I37,Payroll!$F37,IF(BD$2&gt;Payroll!$I37,Payroll!$F37*((1+Payroll!$J37)^(ROUNDDOWN(DATEDIF(Payroll!$I37,BD$2,"M")/Payroll!$K37,0))),0))</f>
        <v/>
      </c>
      <c r="BE122" s="56">
        <f>IF(BE$2=Payroll!$I37,Payroll!$F37,IF(BE$2&gt;Payroll!$I37,Payroll!$F37*((1+Payroll!$J37)^(ROUNDDOWN(DATEDIF(Payroll!$I37,BE$2,"M")/Payroll!$K37,0))),0))</f>
        <v/>
      </c>
      <c r="BF122" s="56">
        <f>IF(BF$2=Payroll!$I37,Payroll!$F37,IF(BF$2&gt;Payroll!$I37,Payroll!$F37*((1+Payroll!$J37)^(ROUNDDOWN(DATEDIF(Payroll!$I37,BF$2,"M")/Payroll!$K37,0))),0))</f>
        <v/>
      </c>
      <c r="BG122" s="56">
        <f>IF(BG$2=Payroll!$I37,Payroll!$F37,IF(BG$2&gt;Payroll!$I37,Payroll!$F37*((1+Payroll!$J37)^(ROUNDDOWN(DATEDIF(Payroll!$I37,BG$2,"M")/Payroll!$K37,0))),0))</f>
        <v/>
      </c>
      <c r="BH122" s="56">
        <f>IF(BH$2=Payroll!$I37,Payroll!$F37,IF(BH$2&gt;Payroll!$I37,Payroll!$F37*((1+Payroll!$J37)^(ROUNDDOWN(DATEDIF(Payroll!$I37,BH$2,"M")/Payroll!$K37,0))),0))</f>
        <v/>
      </c>
      <c r="BI122" s="56">
        <f>IF(BI$2=Payroll!$I37,Payroll!$F37,IF(BI$2&gt;Payroll!$I37,Payroll!$F37*((1+Payroll!$J37)^(ROUNDDOWN(DATEDIF(Payroll!$I37,BI$2,"M")/Payroll!$K37,0))),0))</f>
        <v/>
      </c>
      <c r="BJ122" s="56">
        <f>IF(BJ$2=Payroll!$I37,Payroll!$F37,IF(BJ$2&gt;Payroll!$I37,Payroll!$F37*((1+Payroll!$J37)^(ROUNDDOWN(DATEDIF(Payroll!$I37,BJ$2,"M")/Payroll!$K37,0))),0))</f>
        <v/>
      </c>
      <c r="BK122" s="56">
        <f>IF(BK$2=Payroll!$I37,Payroll!$F37,IF(BK$2&gt;Payroll!$I37,Payroll!$F37*((1+Payroll!$J37)^(ROUNDDOWN(DATEDIF(Payroll!$I37,BK$2,"M")/Payroll!$K37,0))),0))</f>
        <v/>
      </c>
      <c r="BL122" s="56">
        <f>IF(BL$2=Payroll!$I37,Payroll!$F37,IF(BL$2&gt;Payroll!$I37,Payroll!$F37*((1+Payroll!$J37)^(ROUNDDOWN(DATEDIF(Payroll!$I37,BL$2,"M")/Payroll!$K37,0))),0))</f>
        <v/>
      </c>
      <c r="BM122" s="56">
        <f>IF(BM$2=Payroll!$I37,Payroll!$F37,IF(BM$2&gt;Payroll!$I37,Payroll!$F37*((1+Payroll!$J37)^(ROUNDDOWN(DATEDIF(Payroll!$I37,BM$2,"M")/Payroll!$K37,0))),0))</f>
        <v/>
      </c>
      <c r="BN122" s="56">
        <f>IF(BN$2=Payroll!$I37,Payroll!$F37,IF(BN$2&gt;Payroll!$I37,Payroll!$F37*((1+Payroll!$J37)^(ROUNDDOWN(DATEDIF(Payroll!$I37,BN$2,"M")/Payroll!$K37,0))),0))</f>
        <v/>
      </c>
      <c r="BO122" s="56">
        <f>IF(BO$2=Payroll!$I37,Payroll!$F37,IF(BO$2&gt;Payroll!$I37,Payroll!$F37*((1+Payroll!$J37)^(ROUNDDOWN(DATEDIF(Payroll!$I37,BO$2,"M")/Payroll!$K37,0))),0))</f>
        <v/>
      </c>
      <c r="BP122" s="56">
        <f>IF(BP$2=Payroll!$I37,Payroll!$F37,IF(BP$2&gt;Payroll!$I37,Payroll!$F37*((1+Payroll!$J37)^(ROUNDDOWN(DATEDIF(Payroll!$I37,BP$2,"M")/Payroll!$K37,0))),0))</f>
        <v/>
      </c>
      <c r="BQ122" s="56">
        <f>IF(BQ$2=Payroll!$I37,Payroll!$F37,IF(BQ$2&gt;Payroll!$I37,Payroll!$F37*((1+Payroll!$J37)^(ROUNDDOWN(DATEDIF(Payroll!$I37,BQ$2,"M")/Payroll!$K37,0))),0))</f>
        <v/>
      </c>
      <c r="BR122" s="56">
        <f>IF(BR$2=Payroll!$I37,Payroll!$F37,IF(BR$2&gt;Payroll!$I37,Payroll!$F37*((1+Payroll!$J37)^(ROUNDDOWN(DATEDIF(Payroll!$I37,BR$2,"M")/Payroll!$K37,0))),0))</f>
        <v/>
      </c>
      <c r="BS122" s="56">
        <f>IF(BS$2=Payroll!$I37,Payroll!$F37,IF(BS$2&gt;Payroll!$I37,Payroll!$F37*((1+Payroll!$J37)^(ROUNDDOWN(DATEDIF(Payroll!$I37,BS$2,"M")/Payroll!$K37,0))),0))</f>
        <v/>
      </c>
      <c r="BT122" s="56">
        <f>IF(BT$2=Payroll!$I37,Payroll!$F37,IF(BT$2&gt;Payroll!$I37,Payroll!$F37*((1+Payroll!$J37)^(ROUNDDOWN(DATEDIF(Payroll!$I37,BT$2,"M")/Payroll!$K37,0))),0))</f>
        <v/>
      </c>
      <c r="BU122" s="56">
        <f>IF(BU$2=Payroll!$I37,Payroll!$F37,IF(BU$2&gt;Payroll!$I37,Payroll!$F37*((1+Payroll!$J37)^(ROUNDDOWN(DATEDIF(Payroll!$I37,BU$2,"M")/Payroll!$K37,0))),0))</f>
        <v/>
      </c>
      <c r="BV122" s="56">
        <f>IF(BV$2=Payroll!$I37,Payroll!$F37,IF(BV$2&gt;Payroll!$I37,Payroll!$F37*((1+Payroll!$J37)^(ROUNDDOWN(DATEDIF(Payroll!$I37,BV$2,"M")/Payroll!$K37,0))),0))</f>
        <v/>
      </c>
      <c r="BW122" s="56">
        <f>IF(BW$2=Payroll!$I37,Payroll!$F37,IF(BW$2&gt;Payroll!$I37,Payroll!$F37*((1+Payroll!$J37)^(ROUNDDOWN(DATEDIF(Payroll!$I37,BW$2,"M")/Payroll!$K37,0))),0))</f>
        <v/>
      </c>
      <c r="BX122" s="56">
        <f>IF(BX$2=Payroll!$I37,Payroll!$F37,IF(BX$2&gt;Payroll!$I37,Payroll!$F37*((1+Payroll!$J37)^(ROUNDDOWN(DATEDIF(Payroll!$I37,BX$2,"M")/Payroll!$K37,0))),0))</f>
        <v/>
      </c>
      <c r="BY122" s="56">
        <f>IF(BY$2=Payroll!$I37,Payroll!$F37,IF(BY$2&gt;Payroll!$I37,Payroll!$F37*((1+Payroll!$J37)^(ROUNDDOWN(DATEDIF(Payroll!$I37,BY$2,"M")/Payroll!$K37,0))),0))</f>
        <v/>
      </c>
      <c r="BZ122" s="56">
        <f>IF(BZ$2=Payroll!$I37,Payroll!$F37,IF(BZ$2&gt;Payroll!$I37,Payroll!$F37*((1+Payroll!$J37)^(ROUNDDOWN(DATEDIF(Payroll!$I37,BZ$2,"M")/Payroll!$K37,0))),0))</f>
        <v/>
      </c>
      <c r="CA122" s="56">
        <f>IF(CA$2=Payroll!$I37,Payroll!$F37,IF(CA$2&gt;Payroll!$I37,Payroll!$F37*((1+Payroll!$J37)^(ROUNDDOWN(DATEDIF(Payroll!$I37,CA$2,"M")/Payroll!$K37,0))),0))</f>
        <v/>
      </c>
      <c r="CB122" s="56">
        <f>IF(CB$2=Payroll!$I37,Payroll!$F37,IF(CB$2&gt;Payroll!$I37,Payroll!$F37*((1+Payroll!$J37)^(ROUNDDOWN(DATEDIF(Payroll!$I37,CB$2,"M")/Payroll!$K37,0))),0))</f>
        <v/>
      </c>
      <c r="CC122" s="56">
        <f>IF(CC$2=Payroll!$I37,Payroll!$F37,IF(CC$2&gt;Payroll!$I37,Payroll!$F37*((1+Payroll!$J37)^(ROUNDDOWN(DATEDIF(Payroll!$I37,CC$2,"M")/Payroll!$K37,0))),0))</f>
        <v/>
      </c>
      <c r="CD122" s="56">
        <f>IF(CD$2=Payroll!$I37,Payroll!$F37,IF(CD$2&gt;Payroll!$I37,Payroll!$F37*((1+Payroll!$J37)^(ROUNDDOWN(DATEDIF(Payroll!$I37,CD$2,"M")/Payroll!$K37,0))),0))</f>
        <v/>
      </c>
      <c r="CE122" s="56">
        <f>IF(CE$2=Payroll!$I37,Payroll!$F37,IF(CE$2&gt;Payroll!$I37,Payroll!$F37*((1+Payroll!$J37)^(ROUNDDOWN(DATEDIF(Payroll!$I37,CE$2,"M")/Payroll!$K37,0))),0))</f>
        <v/>
      </c>
      <c r="CF122" s="56">
        <f>IF(CF$2=Payroll!$I37,Payroll!$F37,IF(CF$2&gt;Payroll!$I37,Payroll!$F37*((1+Payroll!$J37)^(ROUNDDOWN(DATEDIF(Payroll!$I37,CF$2,"M")/Payroll!$K37,0))),0))</f>
        <v/>
      </c>
      <c r="CG122" s="56">
        <f>IF(CG$2=Payroll!$I37,Payroll!$F37,IF(CG$2&gt;Payroll!$I37,Payroll!$F37*((1+Payroll!$J37)^(ROUNDDOWN(DATEDIF(Payroll!$I37,CG$2,"M")/Payroll!$K37,0))),0))</f>
        <v/>
      </c>
      <c r="CH122" s="56">
        <f>IF(CH$2=Payroll!$I37,Payroll!$F37,IF(CH$2&gt;Payroll!$I37,Payroll!$F37*((1+Payroll!$J37)^(ROUNDDOWN(DATEDIF(Payroll!$I37,CH$2,"M")/Payroll!$K37,0))),0))</f>
        <v/>
      </c>
      <c r="CI122" s="56">
        <f>IF(CI$2=Payroll!$I37,Payroll!$F37,IF(CI$2&gt;Payroll!$I37,Payroll!$F37*((1+Payroll!$J37)^(ROUNDDOWN(DATEDIF(Payroll!$I37,CI$2,"M")/Payroll!$K37,0))),0))</f>
        <v/>
      </c>
      <c r="CJ122" s="56">
        <f>IF(CJ$2=Payroll!$I37,Payroll!$F37,IF(CJ$2&gt;Payroll!$I37,Payroll!$F37*((1+Payroll!$J37)^(ROUNDDOWN(DATEDIF(Payroll!$I37,CJ$2,"M")/Payroll!$K37,0))),0))</f>
        <v/>
      </c>
      <c r="CK122" s="56">
        <f>IF(CK$2=Payroll!$I37,Payroll!$F37,IF(CK$2&gt;Payroll!$I37,Payroll!$F37*((1+Payroll!$J37)^(ROUNDDOWN(DATEDIF(Payroll!$I37,CK$2,"M")/Payroll!$K37,0))),0))</f>
        <v/>
      </c>
      <c r="CL122" s="56">
        <f>IF(CL$2=Payroll!$I37,Payroll!$F37,IF(CL$2&gt;Payroll!$I37,Payroll!$F37*((1+Payroll!$J37)^(ROUNDDOWN(DATEDIF(Payroll!$I37,CL$2,"M")/Payroll!$K37,0))),0))</f>
        <v/>
      </c>
      <c r="CM122" s="56">
        <f>IF(CM$2=Payroll!$I37,Payroll!$F37,IF(CM$2&gt;Payroll!$I37,Payroll!$F37*((1+Payroll!$J37)^(ROUNDDOWN(DATEDIF(Payroll!$I37,CM$2,"M")/Payroll!$K37,0))),0))</f>
        <v/>
      </c>
      <c r="CN122" s="56">
        <f>IF(CN$2=Payroll!$I37,Payroll!$F37,IF(CN$2&gt;Payroll!$I37,Payroll!$F37*((1+Payroll!$J37)^(ROUNDDOWN(DATEDIF(Payroll!$I37,CN$2,"M")/Payroll!$K37,0))),0))</f>
        <v/>
      </c>
      <c r="CO122" s="56">
        <f>IF(CO$2=Payroll!$I37,Payroll!$F37,IF(CO$2&gt;Payroll!$I37,Payroll!$F37*((1+Payroll!$J37)^(ROUNDDOWN(DATEDIF(Payroll!$I37,CO$2,"M")/Payroll!$K37,0))),0))</f>
        <v/>
      </c>
      <c r="CP122" s="56">
        <f>IF(CP$2=Payroll!$I37,Payroll!$F37,IF(CP$2&gt;Payroll!$I37,Payroll!$F37*((1+Payroll!$J37)^(ROUNDDOWN(DATEDIF(Payroll!$I37,CP$2,"M")/Payroll!$K37,0))),0))</f>
        <v/>
      </c>
      <c r="CQ122" s="56">
        <f>IF(CQ$2=Payroll!$I37,Payroll!$F37,IF(CQ$2&gt;Payroll!$I37,Payroll!$F37*((1+Payroll!$J37)^(ROUNDDOWN(DATEDIF(Payroll!$I37,CQ$2,"M")/Payroll!$K37,0))),0))</f>
        <v/>
      </c>
      <c r="CR122" s="56">
        <f>IF(CR$2=Payroll!$I37,Payroll!$F37,IF(CR$2&gt;Payroll!$I37,Payroll!$F37*((1+Payroll!$J37)^(ROUNDDOWN(DATEDIF(Payroll!$I37,CR$2,"M")/Payroll!$K37,0))),0))</f>
        <v/>
      </c>
      <c r="CS122" s="56">
        <f>IF(CS$2=Payroll!$I37,Payroll!$F37,IF(CS$2&gt;Payroll!$I37,Payroll!$F37*((1+Payroll!$J37)^(ROUNDDOWN(DATEDIF(Payroll!$I37,CS$2,"M")/Payroll!$K37,0))),0))</f>
        <v/>
      </c>
      <c r="CT122" s="56">
        <f>IF(CT$2=Payroll!$I37,Payroll!$F37,IF(CT$2&gt;Payroll!$I37,Payroll!$F37*((1+Payroll!$J37)^(ROUNDDOWN(DATEDIF(Payroll!$I37,CT$2,"M")/Payroll!$K37,0))),0))</f>
        <v/>
      </c>
      <c r="CU122" s="56">
        <f>IF(CU$2=Payroll!$I37,Payroll!$F37,IF(CU$2&gt;Payroll!$I37,Payroll!$F37*((1+Payroll!$J37)^(ROUNDDOWN(DATEDIF(Payroll!$I37,CU$2,"M")/Payroll!$K37,0))),0))</f>
        <v/>
      </c>
      <c r="CV122" s="56">
        <f>IF(CV$2=Payroll!$I37,Payroll!$F37,IF(CV$2&gt;Payroll!$I37,Payroll!$F37*((1+Payroll!$J37)^(ROUNDDOWN(DATEDIF(Payroll!$I37,CV$2,"M")/Payroll!$K37,0))),0))</f>
        <v/>
      </c>
      <c r="CW122" s="56">
        <f>IF(CW$2=Payroll!$I37,Payroll!$F37,IF(CW$2&gt;Payroll!$I37,Payroll!$F37*((1+Payroll!$J37)^(ROUNDDOWN(DATEDIF(Payroll!$I37,CW$2,"M")/Payroll!$K37,0))),0))</f>
        <v/>
      </c>
      <c r="CX122" s="56">
        <f>IF(CX$2=Payroll!$I37,Payroll!$F37,IF(CX$2&gt;Payroll!$I37,Payroll!$F37*((1+Payroll!$J37)^(ROUNDDOWN(DATEDIF(Payroll!$I37,CX$2,"M")/Payroll!$K37,0))),0))</f>
        <v/>
      </c>
    </row>
    <row r="123" outlineLevel="2" ht="15.75" customHeight="1" s="255">
      <c r="A123" s="56">
        <f>Payroll!A38</f>
        <v/>
      </c>
      <c r="B123" s="56" t="n"/>
      <c r="C123" s="56" t="n"/>
      <c r="D123" s="56" t="n"/>
      <c r="E123" s="56">
        <f>IF(E$2=Payroll!$I38,Payroll!$F38,IF(E$2&gt;Payroll!$I38,Payroll!$F38*((1+Payroll!$J38)^(ROUNDDOWN(DATEDIF(Payroll!$I38,E$2,"M")/Payroll!$K38,0))),0))</f>
        <v/>
      </c>
      <c r="F123" s="56">
        <f>IF(F$2=Payroll!$I38,Payroll!$F38,IF(F$2&gt;Payroll!$I38,Payroll!$F38*((1+Payroll!$J38)^(ROUNDDOWN(DATEDIF(Payroll!$I38,F$2,"M")/Payroll!$K38,0))),0))</f>
        <v/>
      </c>
      <c r="G123" s="56">
        <f>IF(G$2=Payroll!$I38,Payroll!$F38,IF(G$2&gt;Payroll!$I38,Payroll!$F38*((1+Payroll!$J38)^(ROUNDDOWN(DATEDIF(Payroll!$I38,G$2,"M")/Payroll!$K38,0))),0))</f>
        <v/>
      </c>
      <c r="H123" s="56">
        <f>IF(H$2=Payroll!$I38,Payroll!$F38,IF(H$2&gt;Payroll!$I38,Payroll!$F38*((1+Payroll!$J38)^(ROUNDDOWN(DATEDIF(Payroll!$I38,H$2,"M")/Payroll!$K38,0))),0))</f>
        <v/>
      </c>
      <c r="I123" s="56">
        <f>IF(I$2=Payroll!$I38,Payroll!$F38,IF(I$2&gt;Payroll!$I38,Payroll!$F38*((1+Payroll!$J38)^(ROUNDDOWN(DATEDIF(Payroll!$I38,I$2,"M")/Payroll!$K38,0))),0))</f>
        <v/>
      </c>
      <c r="J123" s="56">
        <f>IF(J$2=Payroll!$I38,Payroll!$F38,IF(J$2&gt;Payroll!$I38,Payroll!$F38*((1+Payroll!$J38)^(ROUNDDOWN(DATEDIF(Payroll!$I38,J$2,"M")/Payroll!$K38,0))),0))</f>
        <v/>
      </c>
      <c r="K123" s="56">
        <f>IF(K$2=Payroll!$I38,Payroll!$F38,IF(K$2&gt;Payroll!$I38,Payroll!$F38*((1+Payroll!$J38)^(ROUNDDOWN(DATEDIF(Payroll!$I38,K$2,"M")/Payroll!$K38,0))),0))</f>
        <v/>
      </c>
      <c r="L123" s="56">
        <f>IF(L$2=Payroll!$I38,Payroll!$F38,IF(L$2&gt;Payroll!$I38,Payroll!$F38*((1+Payroll!$J38)^(ROUNDDOWN(DATEDIF(Payroll!$I38,L$2,"M")/Payroll!$K38,0))),0))</f>
        <v/>
      </c>
      <c r="M123" s="56">
        <f>IF(M$2=Payroll!$I38,Payroll!$F38,IF(M$2&gt;Payroll!$I38,Payroll!$F38*((1+Payroll!$J38)^(ROUNDDOWN(DATEDIF(Payroll!$I38,M$2,"M")/Payroll!$K38,0))),0))</f>
        <v/>
      </c>
      <c r="N123" s="56">
        <f>IF(N$2=Payroll!$I38,Payroll!$F38,IF(N$2&gt;Payroll!$I38,Payroll!$F38*((1+Payroll!$J38)^(ROUNDDOWN(DATEDIF(Payroll!$I38,N$2,"M")/Payroll!$K38,0))),0))</f>
        <v/>
      </c>
      <c r="O123" s="56">
        <f>IF(O$2=Payroll!$I38,Payroll!$F38,IF(O$2&gt;Payroll!$I38,Payroll!$F38*((1+Payroll!$J38)^(ROUNDDOWN(DATEDIF(Payroll!$I38,O$2,"M")/Payroll!$K38,0))),0))</f>
        <v/>
      </c>
      <c r="P123" s="56">
        <f>IF(P$2=Payroll!$I38,Payroll!$F38,IF(P$2&gt;Payroll!$I38,Payroll!$F38*((1+Payroll!$J38)^(ROUNDDOWN(DATEDIF(Payroll!$I38,P$2,"M")/Payroll!$K38,0))),0))</f>
        <v/>
      </c>
      <c r="Q123" s="56">
        <f>IF(Q$2=Payroll!$I38,Payroll!$F38,IF(Q$2&gt;Payroll!$I38,Payroll!$F38*((1+Payroll!$J38)^(ROUNDDOWN(DATEDIF(Payroll!$I38,Q$2,"M")/Payroll!$K38,0))),0))</f>
        <v/>
      </c>
      <c r="R123" s="56">
        <f>IF(R$2=Payroll!$I38,Payroll!$F38,IF(R$2&gt;Payroll!$I38,Payroll!$F38*((1+Payroll!$J38)^(ROUNDDOWN(DATEDIF(Payroll!$I38,R$2,"M")/Payroll!$K38,0))),0))</f>
        <v/>
      </c>
      <c r="S123" s="56">
        <f>IF(S$2=Payroll!$I38,Payroll!$F38,IF(S$2&gt;Payroll!$I38,Payroll!$F38*((1+Payroll!$J38)^(ROUNDDOWN(DATEDIF(Payroll!$I38,S$2,"M")/Payroll!$K38,0))),0))</f>
        <v/>
      </c>
      <c r="T123" s="56">
        <f>IF(T$2=Payroll!$I38,Payroll!$F38,IF(T$2&gt;Payroll!$I38,Payroll!$F38*((1+Payroll!$J38)^(ROUNDDOWN(DATEDIF(Payroll!$I38,T$2,"M")/Payroll!$K38,0))),0))</f>
        <v/>
      </c>
      <c r="U123" s="56">
        <f>IF(U$2=Payroll!$I38,Payroll!$F38,IF(U$2&gt;Payroll!$I38,Payroll!$F38*((1+Payroll!$J38)^(ROUNDDOWN(DATEDIF(Payroll!$I38,U$2,"M")/Payroll!$K38,0))),0))</f>
        <v/>
      </c>
      <c r="V123" s="56">
        <f>IF(V$2=Payroll!$I38,Payroll!$F38,IF(V$2&gt;Payroll!$I38,Payroll!$F38*((1+Payroll!$J38)^(ROUNDDOWN(DATEDIF(Payroll!$I38,V$2,"M")/Payroll!$K38,0))),0))</f>
        <v/>
      </c>
      <c r="W123" s="56">
        <f>IF(W$2=Payroll!$I38,Payroll!$F38,IF(W$2&gt;Payroll!$I38,Payroll!$F38*((1+Payroll!$J38)^(ROUNDDOWN(DATEDIF(Payroll!$I38,W$2,"M")/Payroll!$K38,0))),0))</f>
        <v/>
      </c>
      <c r="X123" s="56">
        <f>IF(X$2=Payroll!$I38,Payroll!$F38,IF(X$2&gt;Payroll!$I38,Payroll!$F38*((1+Payroll!$J38)^(ROUNDDOWN(DATEDIF(Payroll!$I38,X$2,"M")/Payroll!$K38,0))),0))</f>
        <v/>
      </c>
      <c r="Y123" s="56">
        <f>IF(Y$2=Payroll!$I38,Payroll!$F38,IF(Y$2&gt;Payroll!$I38,Payroll!$F38*((1+Payroll!$J38)^(ROUNDDOWN(DATEDIF(Payroll!$I38,Y$2,"M")/Payroll!$K38,0))),0))</f>
        <v/>
      </c>
      <c r="Z123" s="56">
        <f>IF(Z$2=Payroll!$I38,Payroll!$F38,IF(Z$2&gt;Payroll!$I38,Payroll!$F38*((1+Payroll!$J38)^(ROUNDDOWN(DATEDIF(Payroll!$I38,Z$2,"M")/Payroll!$K38,0))),0))</f>
        <v/>
      </c>
      <c r="AA123" s="56">
        <f>IF(AA$2=Payroll!$I38,Payroll!$F38,IF(AA$2&gt;Payroll!$I38,Payroll!$F38*((1+Payroll!$J38)^(ROUNDDOWN(DATEDIF(Payroll!$I38,AA$2,"M")/Payroll!$K38,0))),0))</f>
        <v/>
      </c>
      <c r="AB123" s="56">
        <f>IF(AB$2=Payroll!$I38,Payroll!$F38,IF(AB$2&gt;Payroll!$I38,Payroll!$F38*((1+Payroll!$J38)^(ROUNDDOWN(DATEDIF(Payroll!$I38,AB$2,"M")/Payroll!$K38,0))),0))</f>
        <v/>
      </c>
      <c r="AC123" s="56">
        <f>IF(AC$2=Payroll!$I38,Payroll!$F38,IF(AC$2&gt;Payroll!$I38,Payroll!$F38*((1+Payroll!$J38)^(ROUNDDOWN(DATEDIF(Payroll!$I38,AC$2,"M")/Payroll!$K38,0))),0))</f>
        <v/>
      </c>
      <c r="AD123" s="56">
        <f>IF(AD$2=Payroll!$I38,Payroll!$F38,IF(AD$2&gt;Payroll!$I38,Payroll!$F38*((1+Payroll!$J38)^(ROUNDDOWN(DATEDIF(Payroll!$I38,AD$2,"M")/Payroll!$K38,0))),0))</f>
        <v/>
      </c>
      <c r="AE123" s="56">
        <f>IF(AE$2=Payroll!$I38,Payroll!$F38,IF(AE$2&gt;Payroll!$I38,Payroll!$F38*((1+Payroll!$J38)^(ROUNDDOWN(DATEDIF(Payroll!$I38,AE$2,"M")/Payroll!$K38,0))),0))</f>
        <v/>
      </c>
      <c r="AF123" s="56">
        <f>IF(AF$2=Payroll!$I38,Payroll!$F38,IF(AF$2&gt;Payroll!$I38,Payroll!$F38*((1+Payroll!$J38)^(ROUNDDOWN(DATEDIF(Payroll!$I38,AF$2,"M")/Payroll!$K38,0))),0))</f>
        <v/>
      </c>
      <c r="AG123" s="56">
        <f>IF(AG$2=Payroll!$I38,Payroll!$F38,IF(AG$2&gt;Payroll!$I38,Payroll!$F38*((1+Payroll!$J38)^(ROUNDDOWN(DATEDIF(Payroll!$I38,AG$2,"M")/Payroll!$K38,0))),0))</f>
        <v/>
      </c>
      <c r="AH123" s="56">
        <f>IF(AH$2=Payroll!$I38,Payroll!$F38,IF(AH$2&gt;Payroll!$I38,Payroll!$F38*((1+Payroll!$J38)^(ROUNDDOWN(DATEDIF(Payroll!$I38,AH$2,"M")/Payroll!$K38,0))),0))</f>
        <v/>
      </c>
      <c r="AI123" s="56">
        <f>IF(AI$2=Payroll!$I38,Payroll!$F38,IF(AI$2&gt;Payroll!$I38,Payroll!$F38*((1+Payroll!$J38)^(ROUNDDOWN(DATEDIF(Payroll!$I38,AI$2,"M")/Payroll!$K38,0))),0))</f>
        <v/>
      </c>
      <c r="AJ123" s="56">
        <f>IF(AJ$2=Payroll!$I38,Payroll!$F38,IF(AJ$2&gt;Payroll!$I38,Payroll!$F38*((1+Payroll!$J38)^(ROUNDDOWN(DATEDIF(Payroll!$I38,AJ$2,"M")/Payroll!$K38,0))),0))</f>
        <v/>
      </c>
      <c r="AK123" s="56">
        <f>IF(AK$2=Payroll!$I38,Payroll!$F38,IF(AK$2&gt;Payroll!$I38,Payroll!$F38*((1+Payroll!$J38)^(ROUNDDOWN(DATEDIF(Payroll!$I38,AK$2,"M")/Payroll!$K38,0))),0))</f>
        <v/>
      </c>
      <c r="AL123" s="56">
        <f>IF(AL$2=Payroll!$I38,Payroll!$F38,IF(AL$2&gt;Payroll!$I38,Payroll!$F38*((1+Payroll!$J38)^(ROUNDDOWN(DATEDIF(Payroll!$I38,AL$2,"M")/Payroll!$K38,0))),0))</f>
        <v/>
      </c>
      <c r="AM123" s="56">
        <f>IF(AM$2=Payroll!$I38,Payroll!$F38,IF(AM$2&gt;Payroll!$I38,Payroll!$F38*((1+Payroll!$J38)^(ROUNDDOWN(DATEDIF(Payroll!$I38,AM$2,"M")/Payroll!$K38,0))),0))</f>
        <v/>
      </c>
      <c r="AN123" s="56">
        <f>IF(AN$2=Payroll!$I38,Payroll!$F38,IF(AN$2&gt;Payroll!$I38,Payroll!$F38*((1+Payroll!$J38)^(ROUNDDOWN(DATEDIF(Payroll!$I38,AN$2,"M")/Payroll!$K38,0))),0))</f>
        <v/>
      </c>
      <c r="AO123" s="56">
        <f>IF(AO$2=Payroll!$I38,Payroll!$F38,IF(AO$2&gt;Payroll!$I38,Payroll!$F38*((1+Payroll!$J38)^(ROUNDDOWN(DATEDIF(Payroll!$I38,AO$2,"M")/Payroll!$K38,0))),0))</f>
        <v/>
      </c>
      <c r="AP123" s="56">
        <f>IF(AP$2=Payroll!$I38,Payroll!$F38,IF(AP$2&gt;Payroll!$I38,Payroll!$F38*((1+Payroll!$J38)^(ROUNDDOWN(DATEDIF(Payroll!$I38,AP$2,"M")/Payroll!$K38,0))),0))</f>
        <v/>
      </c>
      <c r="AQ123" s="56">
        <f>IF(AQ$2=Payroll!$I38,Payroll!$F38,IF(AQ$2&gt;Payroll!$I38,Payroll!$F38*((1+Payroll!$J38)^(ROUNDDOWN(DATEDIF(Payroll!$I38,AQ$2,"M")/Payroll!$K38,0))),0))</f>
        <v/>
      </c>
      <c r="AR123" s="56">
        <f>IF(AR$2=Payroll!$I38,Payroll!$F38,IF(AR$2&gt;Payroll!$I38,Payroll!$F38*((1+Payroll!$J38)^(ROUNDDOWN(DATEDIF(Payroll!$I38,AR$2,"M")/Payroll!$K38,0))),0))</f>
        <v/>
      </c>
      <c r="AS123" s="56">
        <f>IF(AS$2=Payroll!$I38,Payroll!$F38,IF(AS$2&gt;Payroll!$I38,Payroll!$F38*((1+Payroll!$J38)^(ROUNDDOWN(DATEDIF(Payroll!$I38,AS$2,"M")/Payroll!$K38,0))),0))</f>
        <v/>
      </c>
      <c r="AT123" s="56">
        <f>IF(AT$2=Payroll!$I38,Payroll!$F38,IF(AT$2&gt;Payroll!$I38,Payroll!$F38*((1+Payroll!$J38)^(ROUNDDOWN(DATEDIF(Payroll!$I38,AT$2,"M")/Payroll!$K38,0))),0))</f>
        <v/>
      </c>
      <c r="AU123" s="56">
        <f>IF(AU$2=Payroll!$I38,Payroll!$F38,IF(AU$2&gt;Payroll!$I38,Payroll!$F38*((1+Payroll!$J38)^(ROUNDDOWN(DATEDIF(Payroll!$I38,AU$2,"M")/Payroll!$K38,0))),0))</f>
        <v/>
      </c>
      <c r="AV123" s="56">
        <f>IF(AV$2=Payroll!$I38,Payroll!$F38,IF(AV$2&gt;Payroll!$I38,Payroll!$F38*((1+Payroll!$J38)^(ROUNDDOWN(DATEDIF(Payroll!$I38,AV$2,"M")/Payroll!$K38,0))),0))</f>
        <v/>
      </c>
      <c r="AW123" s="56">
        <f>IF(AW$2=Payroll!$I38,Payroll!$F38,IF(AW$2&gt;Payroll!$I38,Payroll!$F38*((1+Payroll!$J38)^(ROUNDDOWN(DATEDIF(Payroll!$I38,AW$2,"M")/Payroll!$K38,0))),0))</f>
        <v/>
      </c>
      <c r="AX123" s="56">
        <f>IF(AX$2=Payroll!$I38,Payroll!$F38,IF(AX$2&gt;Payroll!$I38,Payroll!$F38*((1+Payroll!$J38)^(ROUNDDOWN(DATEDIF(Payroll!$I38,AX$2,"M")/Payroll!$K38,0))),0))</f>
        <v/>
      </c>
      <c r="AY123" s="56">
        <f>IF(AY$2=Payroll!$I38,Payroll!$F38,IF(AY$2&gt;Payroll!$I38,Payroll!$F38*((1+Payroll!$J38)^(ROUNDDOWN(DATEDIF(Payroll!$I38,AY$2,"M")/Payroll!$K38,0))),0))</f>
        <v/>
      </c>
      <c r="AZ123" s="56">
        <f>IF(AZ$2=Payroll!$I38,Payroll!$F38,IF(AZ$2&gt;Payroll!$I38,Payroll!$F38*((1+Payroll!$J38)^(ROUNDDOWN(DATEDIF(Payroll!$I38,AZ$2,"M")/Payroll!$K38,0))),0))</f>
        <v/>
      </c>
      <c r="BA123" s="56">
        <f>IF(BA$2=Payroll!$I38,Payroll!$F38,IF(BA$2&gt;Payroll!$I38,Payroll!$F38*((1+Payroll!$J38)^(ROUNDDOWN(DATEDIF(Payroll!$I38,BA$2,"M")/Payroll!$K38,0))),0))</f>
        <v/>
      </c>
      <c r="BB123" s="56">
        <f>IF(BB$2=Payroll!$I38,Payroll!$F38,IF(BB$2&gt;Payroll!$I38,Payroll!$F38*((1+Payroll!$J38)^(ROUNDDOWN(DATEDIF(Payroll!$I38,BB$2,"M")/Payroll!$K38,0))),0))</f>
        <v/>
      </c>
      <c r="BC123" s="56">
        <f>IF(BC$2=Payroll!$I38,Payroll!$F38,IF(BC$2&gt;Payroll!$I38,Payroll!$F38*((1+Payroll!$J38)^(ROUNDDOWN(DATEDIF(Payroll!$I38,BC$2,"M")/Payroll!$K38,0))),0))</f>
        <v/>
      </c>
      <c r="BD123" s="56">
        <f>IF(BD$2=Payroll!$I38,Payroll!$F38,IF(BD$2&gt;Payroll!$I38,Payroll!$F38*((1+Payroll!$J38)^(ROUNDDOWN(DATEDIF(Payroll!$I38,BD$2,"M")/Payroll!$K38,0))),0))</f>
        <v/>
      </c>
      <c r="BE123" s="56">
        <f>IF(BE$2=Payroll!$I38,Payroll!$F38,IF(BE$2&gt;Payroll!$I38,Payroll!$F38*((1+Payroll!$J38)^(ROUNDDOWN(DATEDIF(Payroll!$I38,BE$2,"M")/Payroll!$K38,0))),0))</f>
        <v/>
      </c>
      <c r="BF123" s="56">
        <f>IF(BF$2=Payroll!$I38,Payroll!$F38,IF(BF$2&gt;Payroll!$I38,Payroll!$F38*((1+Payroll!$J38)^(ROUNDDOWN(DATEDIF(Payroll!$I38,BF$2,"M")/Payroll!$K38,0))),0))</f>
        <v/>
      </c>
      <c r="BG123" s="56">
        <f>IF(BG$2=Payroll!$I38,Payroll!$F38,IF(BG$2&gt;Payroll!$I38,Payroll!$F38*((1+Payroll!$J38)^(ROUNDDOWN(DATEDIF(Payroll!$I38,BG$2,"M")/Payroll!$K38,0))),0))</f>
        <v/>
      </c>
      <c r="BH123" s="56">
        <f>IF(BH$2=Payroll!$I38,Payroll!$F38,IF(BH$2&gt;Payroll!$I38,Payroll!$F38*((1+Payroll!$J38)^(ROUNDDOWN(DATEDIF(Payroll!$I38,BH$2,"M")/Payroll!$K38,0))),0))</f>
        <v/>
      </c>
      <c r="BI123" s="56">
        <f>IF(BI$2=Payroll!$I38,Payroll!$F38,IF(BI$2&gt;Payroll!$I38,Payroll!$F38*((1+Payroll!$J38)^(ROUNDDOWN(DATEDIF(Payroll!$I38,BI$2,"M")/Payroll!$K38,0))),0))</f>
        <v/>
      </c>
      <c r="BJ123" s="56">
        <f>IF(BJ$2=Payroll!$I38,Payroll!$F38,IF(BJ$2&gt;Payroll!$I38,Payroll!$F38*((1+Payroll!$J38)^(ROUNDDOWN(DATEDIF(Payroll!$I38,BJ$2,"M")/Payroll!$K38,0))),0))</f>
        <v/>
      </c>
      <c r="BK123" s="56">
        <f>IF(BK$2=Payroll!$I38,Payroll!$F38,IF(BK$2&gt;Payroll!$I38,Payroll!$F38*((1+Payroll!$J38)^(ROUNDDOWN(DATEDIF(Payroll!$I38,BK$2,"M")/Payroll!$K38,0))),0))</f>
        <v/>
      </c>
      <c r="BL123" s="56">
        <f>IF(BL$2=Payroll!$I38,Payroll!$F38,IF(BL$2&gt;Payroll!$I38,Payroll!$F38*((1+Payroll!$J38)^(ROUNDDOWN(DATEDIF(Payroll!$I38,BL$2,"M")/Payroll!$K38,0))),0))</f>
        <v/>
      </c>
      <c r="BM123" s="56">
        <f>IF(BM$2=Payroll!$I38,Payroll!$F38,IF(BM$2&gt;Payroll!$I38,Payroll!$F38*((1+Payroll!$J38)^(ROUNDDOWN(DATEDIF(Payroll!$I38,BM$2,"M")/Payroll!$K38,0))),0))</f>
        <v/>
      </c>
      <c r="BN123" s="56">
        <f>IF(BN$2=Payroll!$I38,Payroll!$F38,IF(BN$2&gt;Payroll!$I38,Payroll!$F38*((1+Payroll!$J38)^(ROUNDDOWN(DATEDIF(Payroll!$I38,BN$2,"M")/Payroll!$K38,0))),0))</f>
        <v/>
      </c>
      <c r="BO123" s="56">
        <f>IF(BO$2=Payroll!$I38,Payroll!$F38,IF(BO$2&gt;Payroll!$I38,Payroll!$F38*((1+Payroll!$J38)^(ROUNDDOWN(DATEDIF(Payroll!$I38,BO$2,"M")/Payroll!$K38,0))),0))</f>
        <v/>
      </c>
      <c r="BP123" s="56">
        <f>IF(BP$2=Payroll!$I38,Payroll!$F38,IF(BP$2&gt;Payroll!$I38,Payroll!$F38*((1+Payroll!$J38)^(ROUNDDOWN(DATEDIF(Payroll!$I38,BP$2,"M")/Payroll!$K38,0))),0))</f>
        <v/>
      </c>
      <c r="BQ123" s="56">
        <f>IF(BQ$2=Payroll!$I38,Payroll!$F38,IF(BQ$2&gt;Payroll!$I38,Payroll!$F38*((1+Payroll!$J38)^(ROUNDDOWN(DATEDIF(Payroll!$I38,BQ$2,"M")/Payroll!$K38,0))),0))</f>
        <v/>
      </c>
      <c r="BR123" s="56">
        <f>IF(BR$2=Payroll!$I38,Payroll!$F38,IF(BR$2&gt;Payroll!$I38,Payroll!$F38*((1+Payroll!$J38)^(ROUNDDOWN(DATEDIF(Payroll!$I38,BR$2,"M")/Payroll!$K38,0))),0))</f>
        <v/>
      </c>
      <c r="BS123" s="56">
        <f>IF(BS$2=Payroll!$I38,Payroll!$F38,IF(BS$2&gt;Payroll!$I38,Payroll!$F38*((1+Payroll!$J38)^(ROUNDDOWN(DATEDIF(Payroll!$I38,BS$2,"M")/Payroll!$K38,0))),0))</f>
        <v/>
      </c>
      <c r="BT123" s="56">
        <f>IF(BT$2=Payroll!$I38,Payroll!$F38,IF(BT$2&gt;Payroll!$I38,Payroll!$F38*((1+Payroll!$J38)^(ROUNDDOWN(DATEDIF(Payroll!$I38,BT$2,"M")/Payroll!$K38,0))),0))</f>
        <v/>
      </c>
      <c r="BU123" s="56">
        <f>IF(BU$2=Payroll!$I38,Payroll!$F38,IF(BU$2&gt;Payroll!$I38,Payroll!$F38*((1+Payroll!$J38)^(ROUNDDOWN(DATEDIF(Payroll!$I38,BU$2,"M")/Payroll!$K38,0))),0))</f>
        <v/>
      </c>
      <c r="BV123" s="56">
        <f>IF(BV$2=Payroll!$I38,Payroll!$F38,IF(BV$2&gt;Payroll!$I38,Payroll!$F38*((1+Payroll!$J38)^(ROUNDDOWN(DATEDIF(Payroll!$I38,BV$2,"M")/Payroll!$K38,0))),0))</f>
        <v/>
      </c>
      <c r="BW123" s="56">
        <f>IF(BW$2=Payroll!$I38,Payroll!$F38,IF(BW$2&gt;Payroll!$I38,Payroll!$F38*((1+Payroll!$J38)^(ROUNDDOWN(DATEDIF(Payroll!$I38,BW$2,"M")/Payroll!$K38,0))),0))</f>
        <v/>
      </c>
      <c r="BX123" s="56">
        <f>IF(BX$2=Payroll!$I38,Payroll!$F38,IF(BX$2&gt;Payroll!$I38,Payroll!$F38*((1+Payroll!$J38)^(ROUNDDOWN(DATEDIF(Payroll!$I38,BX$2,"M")/Payroll!$K38,0))),0))</f>
        <v/>
      </c>
      <c r="BY123" s="56">
        <f>IF(BY$2=Payroll!$I38,Payroll!$F38,IF(BY$2&gt;Payroll!$I38,Payroll!$F38*((1+Payroll!$J38)^(ROUNDDOWN(DATEDIF(Payroll!$I38,BY$2,"M")/Payroll!$K38,0))),0))</f>
        <v/>
      </c>
      <c r="BZ123" s="56">
        <f>IF(BZ$2=Payroll!$I38,Payroll!$F38,IF(BZ$2&gt;Payroll!$I38,Payroll!$F38*((1+Payroll!$J38)^(ROUNDDOWN(DATEDIF(Payroll!$I38,BZ$2,"M")/Payroll!$K38,0))),0))</f>
        <v/>
      </c>
      <c r="CA123" s="56">
        <f>IF(CA$2=Payroll!$I38,Payroll!$F38,IF(CA$2&gt;Payroll!$I38,Payroll!$F38*((1+Payroll!$J38)^(ROUNDDOWN(DATEDIF(Payroll!$I38,CA$2,"M")/Payroll!$K38,0))),0))</f>
        <v/>
      </c>
      <c r="CB123" s="56">
        <f>IF(CB$2=Payroll!$I38,Payroll!$F38,IF(CB$2&gt;Payroll!$I38,Payroll!$F38*((1+Payroll!$J38)^(ROUNDDOWN(DATEDIF(Payroll!$I38,CB$2,"M")/Payroll!$K38,0))),0))</f>
        <v/>
      </c>
      <c r="CC123" s="56">
        <f>IF(CC$2=Payroll!$I38,Payroll!$F38,IF(CC$2&gt;Payroll!$I38,Payroll!$F38*((1+Payroll!$J38)^(ROUNDDOWN(DATEDIF(Payroll!$I38,CC$2,"M")/Payroll!$K38,0))),0))</f>
        <v/>
      </c>
      <c r="CD123" s="56">
        <f>IF(CD$2=Payroll!$I38,Payroll!$F38,IF(CD$2&gt;Payroll!$I38,Payroll!$F38*((1+Payroll!$J38)^(ROUNDDOWN(DATEDIF(Payroll!$I38,CD$2,"M")/Payroll!$K38,0))),0))</f>
        <v/>
      </c>
      <c r="CE123" s="56">
        <f>IF(CE$2=Payroll!$I38,Payroll!$F38,IF(CE$2&gt;Payroll!$I38,Payroll!$F38*((1+Payroll!$J38)^(ROUNDDOWN(DATEDIF(Payroll!$I38,CE$2,"M")/Payroll!$K38,0))),0))</f>
        <v/>
      </c>
      <c r="CF123" s="56">
        <f>IF(CF$2=Payroll!$I38,Payroll!$F38,IF(CF$2&gt;Payroll!$I38,Payroll!$F38*((1+Payroll!$J38)^(ROUNDDOWN(DATEDIF(Payroll!$I38,CF$2,"M")/Payroll!$K38,0))),0))</f>
        <v/>
      </c>
      <c r="CG123" s="56">
        <f>IF(CG$2=Payroll!$I38,Payroll!$F38,IF(CG$2&gt;Payroll!$I38,Payroll!$F38*((1+Payroll!$J38)^(ROUNDDOWN(DATEDIF(Payroll!$I38,CG$2,"M")/Payroll!$K38,0))),0))</f>
        <v/>
      </c>
      <c r="CH123" s="56">
        <f>IF(CH$2=Payroll!$I38,Payroll!$F38,IF(CH$2&gt;Payroll!$I38,Payroll!$F38*((1+Payroll!$J38)^(ROUNDDOWN(DATEDIF(Payroll!$I38,CH$2,"M")/Payroll!$K38,0))),0))</f>
        <v/>
      </c>
      <c r="CI123" s="56">
        <f>IF(CI$2=Payroll!$I38,Payroll!$F38,IF(CI$2&gt;Payroll!$I38,Payroll!$F38*((1+Payroll!$J38)^(ROUNDDOWN(DATEDIF(Payroll!$I38,CI$2,"M")/Payroll!$K38,0))),0))</f>
        <v/>
      </c>
      <c r="CJ123" s="56">
        <f>IF(CJ$2=Payroll!$I38,Payroll!$F38,IF(CJ$2&gt;Payroll!$I38,Payroll!$F38*((1+Payroll!$J38)^(ROUNDDOWN(DATEDIF(Payroll!$I38,CJ$2,"M")/Payroll!$K38,0))),0))</f>
        <v/>
      </c>
      <c r="CK123" s="56">
        <f>IF(CK$2=Payroll!$I38,Payroll!$F38,IF(CK$2&gt;Payroll!$I38,Payroll!$F38*((1+Payroll!$J38)^(ROUNDDOWN(DATEDIF(Payroll!$I38,CK$2,"M")/Payroll!$K38,0))),0))</f>
        <v/>
      </c>
      <c r="CL123" s="56">
        <f>IF(CL$2=Payroll!$I38,Payroll!$F38,IF(CL$2&gt;Payroll!$I38,Payroll!$F38*((1+Payroll!$J38)^(ROUNDDOWN(DATEDIF(Payroll!$I38,CL$2,"M")/Payroll!$K38,0))),0))</f>
        <v/>
      </c>
      <c r="CM123" s="56">
        <f>IF(CM$2=Payroll!$I38,Payroll!$F38,IF(CM$2&gt;Payroll!$I38,Payroll!$F38*((1+Payroll!$J38)^(ROUNDDOWN(DATEDIF(Payroll!$I38,CM$2,"M")/Payroll!$K38,0))),0))</f>
        <v/>
      </c>
      <c r="CN123" s="56">
        <f>IF(CN$2=Payroll!$I38,Payroll!$F38,IF(CN$2&gt;Payroll!$I38,Payroll!$F38*((1+Payroll!$J38)^(ROUNDDOWN(DATEDIF(Payroll!$I38,CN$2,"M")/Payroll!$K38,0))),0))</f>
        <v/>
      </c>
      <c r="CO123" s="56">
        <f>IF(CO$2=Payroll!$I38,Payroll!$F38,IF(CO$2&gt;Payroll!$I38,Payroll!$F38*((1+Payroll!$J38)^(ROUNDDOWN(DATEDIF(Payroll!$I38,CO$2,"M")/Payroll!$K38,0))),0))</f>
        <v/>
      </c>
      <c r="CP123" s="56">
        <f>IF(CP$2=Payroll!$I38,Payroll!$F38,IF(CP$2&gt;Payroll!$I38,Payroll!$F38*((1+Payroll!$J38)^(ROUNDDOWN(DATEDIF(Payroll!$I38,CP$2,"M")/Payroll!$K38,0))),0))</f>
        <v/>
      </c>
      <c r="CQ123" s="56">
        <f>IF(CQ$2=Payroll!$I38,Payroll!$F38,IF(CQ$2&gt;Payroll!$I38,Payroll!$F38*((1+Payroll!$J38)^(ROUNDDOWN(DATEDIF(Payroll!$I38,CQ$2,"M")/Payroll!$K38,0))),0))</f>
        <v/>
      </c>
      <c r="CR123" s="56">
        <f>IF(CR$2=Payroll!$I38,Payroll!$F38,IF(CR$2&gt;Payroll!$I38,Payroll!$F38*((1+Payroll!$J38)^(ROUNDDOWN(DATEDIF(Payroll!$I38,CR$2,"M")/Payroll!$K38,0))),0))</f>
        <v/>
      </c>
      <c r="CS123" s="56">
        <f>IF(CS$2=Payroll!$I38,Payroll!$F38,IF(CS$2&gt;Payroll!$I38,Payroll!$F38*((1+Payroll!$J38)^(ROUNDDOWN(DATEDIF(Payroll!$I38,CS$2,"M")/Payroll!$K38,0))),0))</f>
        <v/>
      </c>
      <c r="CT123" s="56">
        <f>IF(CT$2=Payroll!$I38,Payroll!$F38,IF(CT$2&gt;Payroll!$I38,Payroll!$F38*((1+Payroll!$J38)^(ROUNDDOWN(DATEDIF(Payroll!$I38,CT$2,"M")/Payroll!$K38,0))),0))</f>
        <v/>
      </c>
      <c r="CU123" s="56">
        <f>IF(CU$2=Payroll!$I38,Payroll!$F38,IF(CU$2&gt;Payroll!$I38,Payroll!$F38*((1+Payroll!$J38)^(ROUNDDOWN(DATEDIF(Payroll!$I38,CU$2,"M")/Payroll!$K38,0))),0))</f>
        <v/>
      </c>
      <c r="CV123" s="56">
        <f>IF(CV$2=Payroll!$I38,Payroll!$F38,IF(CV$2&gt;Payroll!$I38,Payroll!$F38*((1+Payroll!$J38)^(ROUNDDOWN(DATEDIF(Payroll!$I38,CV$2,"M")/Payroll!$K38,0))),0))</f>
        <v/>
      </c>
      <c r="CW123" s="56">
        <f>IF(CW$2=Payroll!$I38,Payroll!$F38,IF(CW$2&gt;Payroll!$I38,Payroll!$F38*((1+Payroll!$J38)^(ROUNDDOWN(DATEDIF(Payroll!$I38,CW$2,"M")/Payroll!$K38,0))),0))</f>
        <v/>
      </c>
      <c r="CX123" s="56">
        <f>IF(CX$2=Payroll!$I38,Payroll!$F38,IF(CX$2&gt;Payroll!$I38,Payroll!$F38*((1+Payroll!$J38)^(ROUNDDOWN(DATEDIF(Payroll!$I38,CX$2,"M")/Payroll!$K38,0))),0))</f>
        <v/>
      </c>
    </row>
    <row r="124" outlineLevel="2" ht="15.75" customHeight="1" s="25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  <c r="CW124" s="56" t="n"/>
      <c r="CX124" s="56" t="n"/>
    </row>
    <row r="125" outlineLevel="2" ht="15.75" customHeight="1" s="25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  <c r="CW125" s="56" t="n"/>
      <c r="CX125" s="56" t="n"/>
    </row>
    <row r="126" outlineLevel="1" ht="15.75" customHeight="1" s="25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  <c r="CW126" s="56" t="n"/>
      <c r="CX126" s="56" t="n"/>
    </row>
    <row r="127" outlineLevel="1" ht="15.75" customHeight="1" s="255">
      <c r="A127" s="60">
        <f>Payroll!A48</f>
        <v/>
      </c>
      <c r="B127" s="60" t="n"/>
      <c r="C127" s="60" t="n"/>
      <c r="D127" s="60" t="n"/>
      <c r="E127" s="60">
        <f>SUM(E128:E133)</f>
        <v/>
      </c>
      <c r="F127" s="60">
        <f>SUM(F128:F133)</f>
        <v/>
      </c>
      <c r="G127" s="60">
        <f>SUM(G128:G133)</f>
        <v/>
      </c>
      <c r="H127" s="60">
        <f>SUM(H128:H133)</f>
        <v/>
      </c>
      <c r="I127" s="60">
        <f>SUM(I128:I133)</f>
        <v/>
      </c>
      <c r="J127" s="60">
        <f>SUM(J128:J133)</f>
        <v/>
      </c>
      <c r="K127" s="60">
        <f>SUM(K128:K133)</f>
        <v/>
      </c>
      <c r="L127" s="60">
        <f>SUM(L128:L133)</f>
        <v/>
      </c>
      <c r="M127" s="60">
        <f>SUM(M128:M133)</f>
        <v/>
      </c>
      <c r="N127" s="60">
        <f>SUM(N128:N133)</f>
        <v/>
      </c>
      <c r="O127" s="60">
        <f>SUM(O128:O133)</f>
        <v/>
      </c>
      <c r="P127" s="60">
        <f>SUM(P128:P133)</f>
        <v/>
      </c>
      <c r="Q127" s="60">
        <f>SUM(Q128:Q133)</f>
        <v/>
      </c>
      <c r="R127" s="60">
        <f>SUM(R128:R133)</f>
        <v/>
      </c>
      <c r="S127" s="60">
        <f>SUM(S128:S133)</f>
        <v/>
      </c>
      <c r="T127" s="60">
        <f>SUM(T128:T133)</f>
        <v/>
      </c>
      <c r="U127" s="60">
        <f>SUM(U128:U133)</f>
        <v/>
      </c>
      <c r="V127" s="60">
        <f>SUM(V128:V133)</f>
        <v/>
      </c>
      <c r="W127" s="60">
        <f>SUM(W128:W133)</f>
        <v/>
      </c>
      <c r="X127" s="60">
        <f>SUM(X128:X133)</f>
        <v/>
      </c>
      <c r="Y127" s="60">
        <f>SUM(Y128:Y133)</f>
        <v/>
      </c>
      <c r="Z127" s="60">
        <f>SUM(Z128:Z133)</f>
        <v/>
      </c>
      <c r="AA127" s="60">
        <f>SUM(AA128:AA133)</f>
        <v/>
      </c>
      <c r="AB127" s="60">
        <f>SUM(AB128:AB133)</f>
        <v/>
      </c>
      <c r="AC127" s="60">
        <f>SUM(AC128:AC133)</f>
        <v/>
      </c>
      <c r="AD127" s="60">
        <f>SUM(AD128:AD133)</f>
        <v/>
      </c>
      <c r="AE127" s="60">
        <f>SUM(AE128:AE133)</f>
        <v/>
      </c>
      <c r="AF127" s="60">
        <f>SUM(AF128:AF133)</f>
        <v/>
      </c>
      <c r="AG127" s="60">
        <f>SUM(AG128:AG133)</f>
        <v/>
      </c>
      <c r="AH127" s="60">
        <f>SUM(AH128:AH133)</f>
        <v/>
      </c>
      <c r="AI127" s="60">
        <f>SUM(AI128:AI133)</f>
        <v/>
      </c>
      <c r="AJ127" s="60">
        <f>SUM(AJ128:AJ133)</f>
        <v/>
      </c>
      <c r="AK127" s="60">
        <f>SUM(AK128:AK133)</f>
        <v/>
      </c>
      <c r="AL127" s="60">
        <f>SUM(AL128:AL133)</f>
        <v/>
      </c>
      <c r="AM127" s="60">
        <f>SUM(AM128:AM133)</f>
        <v/>
      </c>
      <c r="AN127" s="60">
        <f>SUM(AN128:AN133)</f>
        <v/>
      </c>
      <c r="AO127" s="60">
        <f>SUM(AO128:AO133)</f>
        <v/>
      </c>
      <c r="AP127" s="60">
        <f>SUM(AP128:AP133)</f>
        <v/>
      </c>
      <c r="AQ127" s="60">
        <f>SUM(AQ128:AQ133)</f>
        <v/>
      </c>
      <c r="AR127" s="60">
        <f>SUM(AR128:AR133)</f>
        <v/>
      </c>
      <c r="AS127" s="60">
        <f>SUM(AS128:AS133)</f>
        <v/>
      </c>
      <c r="AT127" s="60">
        <f>SUM(AT128:AT133)</f>
        <v/>
      </c>
      <c r="AU127" s="60">
        <f>SUM(AU128:AU133)</f>
        <v/>
      </c>
      <c r="AV127" s="60">
        <f>SUM(AV128:AV133)</f>
        <v/>
      </c>
      <c r="AW127" s="60">
        <f>SUM(AW128:AW133)</f>
        <v/>
      </c>
      <c r="AX127" s="60">
        <f>SUM(AX128:AX133)</f>
        <v/>
      </c>
      <c r="AY127" s="60">
        <f>SUM(AY128:AY133)</f>
        <v/>
      </c>
      <c r="AZ127" s="60">
        <f>SUM(AZ128:AZ133)</f>
        <v/>
      </c>
      <c r="BA127" s="60">
        <f>SUM(BA128:BA133)</f>
        <v/>
      </c>
      <c r="BB127" s="60">
        <f>SUM(BB128:BB133)</f>
        <v/>
      </c>
      <c r="BC127" s="60">
        <f>SUM(BC128:BC133)</f>
        <v/>
      </c>
      <c r="BD127" s="60">
        <f>SUM(BD128:BD133)</f>
        <v/>
      </c>
      <c r="BE127" s="60">
        <f>SUM(BE128:BE133)</f>
        <v/>
      </c>
      <c r="BF127" s="60">
        <f>SUM(BF128:BF133)</f>
        <v/>
      </c>
      <c r="BG127" s="60">
        <f>SUM(BG128:BG133)</f>
        <v/>
      </c>
      <c r="BH127" s="60">
        <f>SUM(BH128:BH133)</f>
        <v/>
      </c>
      <c r="BI127" s="60">
        <f>SUM(BI128:BI133)</f>
        <v/>
      </c>
      <c r="BJ127" s="60">
        <f>SUM(BJ128:BJ133)</f>
        <v/>
      </c>
      <c r="BK127" s="60">
        <f>SUM(BK128:BK133)</f>
        <v/>
      </c>
      <c r="BL127" s="60">
        <f>SUM(BL128:BL133)</f>
        <v/>
      </c>
      <c r="BM127" s="60">
        <f>SUM(BM128:BM133)</f>
        <v/>
      </c>
      <c r="BN127" s="60">
        <f>SUM(BN128:BN133)</f>
        <v/>
      </c>
      <c r="BO127" s="60">
        <f>SUM(BO128:BO133)</f>
        <v/>
      </c>
      <c r="BP127" s="60">
        <f>SUM(BP128:BP133)</f>
        <v/>
      </c>
      <c r="BQ127" s="60">
        <f>SUM(BQ128:BQ133)</f>
        <v/>
      </c>
      <c r="BR127" s="60">
        <f>SUM(BR128:BR133)</f>
        <v/>
      </c>
      <c r="BS127" s="60">
        <f>SUM(BS128:BS133)</f>
        <v/>
      </c>
      <c r="BT127" s="60">
        <f>SUM(BT128:BT133)</f>
        <v/>
      </c>
      <c r="BU127" s="60">
        <f>SUM(BU128:BU133)</f>
        <v/>
      </c>
      <c r="BV127" s="60">
        <f>SUM(BV128:BV133)</f>
        <v/>
      </c>
      <c r="BW127" s="60">
        <f>SUM(BW128:BW133)</f>
        <v/>
      </c>
      <c r="BX127" s="60">
        <f>SUM(BX128:BX133)</f>
        <v/>
      </c>
      <c r="BY127" s="60">
        <f>SUM(BY128:BY133)</f>
        <v/>
      </c>
      <c r="BZ127" s="60">
        <f>SUM(BZ128:BZ133)</f>
        <v/>
      </c>
      <c r="CA127" s="60">
        <f>SUM(CA128:CA133)</f>
        <v/>
      </c>
      <c r="CB127" s="60">
        <f>SUM(CB128:CB133)</f>
        <v/>
      </c>
      <c r="CC127" s="60">
        <f>SUM(CC128:CC133)</f>
        <v/>
      </c>
      <c r="CD127" s="60">
        <f>SUM(CD128:CD133)</f>
        <v/>
      </c>
      <c r="CE127" s="60">
        <f>SUM(CE128:CE133)</f>
        <v/>
      </c>
      <c r="CF127" s="60">
        <f>SUM(CF128:CF133)</f>
        <v/>
      </c>
      <c r="CG127" s="60">
        <f>SUM(CG128:CG133)</f>
        <v/>
      </c>
      <c r="CH127" s="60">
        <f>SUM(CH128:CH133)</f>
        <v/>
      </c>
      <c r="CI127" s="60">
        <f>SUM(CI128:CI133)</f>
        <v/>
      </c>
      <c r="CJ127" s="60">
        <f>SUM(CJ128:CJ133)</f>
        <v/>
      </c>
      <c r="CK127" s="60">
        <f>SUM(CK128:CK133)</f>
        <v/>
      </c>
      <c r="CL127" s="60">
        <f>SUM(CL128:CL133)</f>
        <v/>
      </c>
      <c r="CM127" s="60">
        <f>SUM(CM128:CM133)</f>
        <v/>
      </c>
      <c r="CN127" s="60">
        <f>SUM(CN128:CN133)</f>
        <v/>
      </c>
      <c r="CO127" s="60">
        <f>SUM(CO128:CO133)</f>
        <v/>
      </c>
      <c r="CP127" s="60">
        <f>SUM(CP128:CP133)</f>
        <v/>
      </c>
      <c r="CQ127" s="60">
        <f>SUM(CQ128:CQ133)</f>
        <v/>
      </c>
      <c r="CR127" s="60">
        <f>SUM(CR128:CR133)</f>
        <v/>
      </c>
      <c r="CS127" s="60">
        <f>SUM(CS128:CS133)</f>
        <v/>
      </c>
      <c r="CT127" s="60">
        <f>SUM(CT128:CT133)</f>
        <v/>
      </c>
      <c r="CU127" s="60">
        <f>SUM(CU128:CU133)</f>
        <v/>
      </c>
      <c r="CV127" s="60">
        <f>SUM(CV128:CV133)</f>
        <v/>
      </c>
      <c r="CW127" s="60">
        <f>SUM(CW128:CW133)</f>
        <v/>
      </c>
      <c r="CX127" s="60">
        <f>SUM(CX128:CX133)</f>
        <v/>
      </c>
    </row>
    <row r="128" outlineLevel="2" ht="15.75" customHeight="1" s="255">
      <c r="A128" s="56">
        <f>Payroll!A49</f>
        <v/>
      </c>
      <c r="B128" s="56" t="n"/>
      <c r="C128" s="56" t="n"/>
      <c r="D128" s="56" t="n"/>
      <c r="E128" s="56">
        <f>IF(E$2=Payroll!$I49,Payroll!$F49,IF(E$2&gt;Payroll!$I49,Payroll!$F49*((1+Payroll!$J49)^(ROUNDDOWN(DATEDIF(Payroll!$I49,E$2,"M")/Payroll!$K49,0))),0))</f>
        <v/>
      </c>
      <c r="F128" s="56">
        <f>IF(F$2=Payroll!$I49,Payroll!$F49,IF(F$2&gt;Payroll!$I49,Payroll!$F49*((1+Payroll!$J49)^(ROUNDDOWN(DATEDIF(Payroll!$I49,F$2,"M")/Payroll!$K49,0))),0))</f>
        <v/>
      </c>
      <c r="G128" s="56">
        <f>IF(G$2=Payroll!$I49,Payroll!$F49,IF(G$2&gt;Payroll!$I49,Payroll!$F49*((1+Payroll!$J49)^(ROUNDDOWN(DATEDIF(Payroll!$I49,G$2,"M")/Payroll!$K49,0))),0))</f>
        <v/>
      </c>
      <c r="H128" s="56">
        <f>IF(H$2=Payroll!$I49,Payroll!$F49,IF(H$2&gt;Payroll!$I49,Payroll!$F49*((1+Payroll!$J49)^(ROUNDDOWN(DATEDIF(Payroll!$I49,H$2,"M")/Payroll!$K49,0))),0))</f>
        <v/>
      </c>
      <c r="I128" s="56">
        <f>IF(I$2=Payroll!$I49,Payroll!$F49,IF(I$2&gt;Payroll!$I49,Payroll!$F49*((1+Payroll!$J49)^(ROUNDDOWN(DATEDIF(Payroll!$I49,I$2,"M")/Payroll!$K49,0))),0))</f>
        <v/>
      </c>
      <c r="J128" s="56">
        <f>IF(J$2=Payroll!$I49,Payroll!$F49,IF(J$2&gt;Payroll!$I49,Payroll!$F49*((1+Payroll!$J49)^(ROUNDDOWN(DATEDIF(Payroll!$I49,J$2,"M")/Payroll!$K49,0))),0))</f>
        <v/>
      </c>
      <c r="K128" s="56">
        <f>IF(K$2=Payroll!$I49,Payroll!$F49,IF(K$2&gt;Payroll!$I49,Payroll!$F49*((1+Payroll!$J49)^(ROUNDDOWN(DATEDIF(Payroll!$I49,K$2,"M")/Payroll!$K49,0))),0))</f>
        <v/>
      </c>
      <c r="L128" s="56">
        <f>IF(L$2=Payroll!$I49,Payroll!$F49,IF(L$2&gt;Payroll!$I49,Payroll!$F49*((1+Payroll!$J49)^(ROUNDDOWN(DATEDIF(Payroll!$I49,L$2,"M")/Payroll!$K49,0))),0))</f>
        <v/>
      </c>
      <c r="M128" s="56">
        <f>IF(M$2=Payroll!$I49,Payroll!$F49,IF(M$2&gt;Payroll!$I49,Payroll!$F49*((1+Payroll!$J49)^(ROUNDDOWN(DATEDIF(Payroll!$I49,M$2,"M")/Payroll!$K49,0))),0))</f>
        <v/>
      </c>
      <c r="N128" s="56">
        <f>IF(N$2=Payroll!$I49,Payroll!$F49,IF(N$2&gt;Payroll!$I49,Payroll!$F49*((1+Payroll!$J49)^(ROUNDDOWN(DATEDIF(Payroll!$I49,N$2,"M")/Payroll!$K49,0))),0))</f>
        <v/>
      </c>
      <c r="O128" s="56">
        <f>IF(O$2=Payroll!$I49,Payroll!$F49,IF(O$2&gt;Payroll!$I49,Payroll!$F49*((1+Payroll!$J49)^(ROUNDDOWN(DATEDIF(Payroll!$I49,O$2,"M")/Payroll!$K49,0))),0))</f>
        <v/>
      </c>
      <c r="P128" s="56">
        <f>IF(P$2=Payroll!$I49,Payroll!$F49,IF(P$2&gt;Payroll!$I49,Payroll!$F49*((1+Payroll!$J49)^(ROUNDDOWN(DATEDIF(Payroll!$I49,P$2,"M")/Payroll!$K49,0))),0))</f>
        <v/>
      </c>
      <c r="Q128" s="56">
        <f>IF(Q$2=Payroll!$I49,Payroll!$F49,IF(Q$2&gt;Payroll!$I49,Payroll!$F49*((1+Payroll!$J49)^(ROUNDDOWN(DATEDIF(Payroll!$I49,Q$2,"M")/Payroll!$K49,0))),0))</f>
        <v/>
      </c>
      <c r="R128" s="56">
        <f>IF(R$2=Payroll!$I49,Payroll!$F49,IF(R$2&gt;Payroll!$I49,Payroll!$F49*((1+Payroll!$J49)^(ROUNDDOWN(DATEDIF(Payroll!$I49,R$2,"M")/Payroll!$K49,0))),0))</f>
        <v/>
      </c>
      <c r="S128" s="56">
        <f>IF(S$2=Payroll!$I49,Payroll!$F49,IF(S$2&gt;Payroll!$I49,Payroll!$F49*((1+Payroll!$J49)^(ROUNDDOWN(DATEDIF(Payroll!$I49,S$2,"M")/Payroll!$K49,0))),0))</f>
        <v/>
      </c>
      <c r="T128" s="56">
        <f>IF(T$2=Payroll!$I49,Payroll!$F49,IF(T$2&gt;Payroll!$I49,Payroll!$F49*((1+Payroll!$J49)^(ROUNDDOWN(DATEDIF(Payroll!$I49,T$2,"M")/Payroll!$K49,0))),0))</f>
        <v/>
      </c>
      <c r="U128" s="56">
        <f>IF(U$2=Payroll!$I49,Payroll!$F49,IF(U$2&gt;Payroll!$I49,Payroll!$F49*((1+Payroll!$J49)^(ROUNDDOWN(DATEDIF(Payroll!$I49,U$2,"M")/Payroll!$K49,0))),0))</f>
        <v/>
      </c>
      <c r="V128" s="56">
        <f>IF(V$2=Payroll!$I49,Payroll!$F49,IF(V$2&gt;Payroll!$I49,Payroll!$F49*((1+Payroll!$J49)^(ROUNDDOWN(DATEDIF(Payroll!$I49,V$2,"M")/Payroll!$K49,0))),0))</f>
        <v/>
      </c>
      <c r="W128" s="56">
        <f>IF(W$2=Payroll!$I49,Payroll!$F49,IF(W$2&gt;Payroll!$I49,Payroll!$F49*((1+Payroll!$J49)^(ROUNDDOWN(DATEDIF(Payroll!$I49,W$2,"M")/Payroll!$K49,0))),0))</f>
        <v/>
      </c>
      <c r="X128" s="56">
        <f>IF(X$2=Payroll!$I49,Payroll!$F49,IF(X$2&gt;Payroll!$I49,Payroll!$F49*((1+Payroll!$J49)^(ROUNDDOWN(DATEDIF(Payroll!$I49,X$2,"M")/Payroll!$K49,0))),0))</f>
        <v/>
      </c>
      <c r="Y128" s="56">
        <f>IF(Y$2=Payroll!$I49,Payroll!$F49,IF(Y$2&gt;Payroll!$I49,Payroll!$F49*((1+Payroll!$J49)^(ROUNDDOWN(DATEDIF(Payroll!$I49,Y$2,"M")/Payroll!$K49,0))),0))</f>
        <v/>
      </c>
      <c r="Z128" s="56">
        <f>IF(Z$2=Payroll!$I49,Payroll!$F49,IF(Z$2&gt;Payroll!$I49,Payroll!$F49*((1+Payroll!$J49)^(ROUNDDOWN(DATEDIF(Payroll!$I49,Z$2,"M")/Payroll!$K49,0))),0))</f>
        <v/>
      </c>
      <c r="AA128" s="56">
        <f>IF(AA$2=Payroll!$I49,Payroll!$F49,IF(AA$2&gt;Payroll!$I49,Payroll!$F49*((1+Payroll!$J49)^(ROUNDDOWN(DATEDIF(Payroll!$I49,AA$2,"M")/Payroll!$K49,0))),0))</f>
        <v/>
      </c>
      <c r="AB128" s="56">
        <f>IF(AB$2=Payroll!$I49,Payroll!$F49,IF(AB$2&gt;Payroll!$I49,Payroll!$F49*((1+Payroll!$J49)^(ROUNDDOWN(DATEDIF(Payroll!$I49,AB$2,"M")/Payroll!$K49,0))),0))</f>
        <v/>
      </c>
      <c r="AC128" s="56">
        <f>IF(AC$2=Payroll!$I49,Payroll!$F49,IF(AC$2&gt;Payroll!$I49,Payroll!$F49*((1+Payroll!$J49)^(ROUNDDOWN(DATEDIF(Payroll!$I49,AC$2,"M")/Payroll!$K49,0))),0))</f>
        <v/>
      </c>
      <c r="AD128" s="56">
        <f>IF(AD$2=Payroll!$I49,Payroll!$F49,IF(AD$2&gt;Payroll!$I49,Payroll!$F49*((1+Payroll!$J49)^(ROUNDDOWN(DATEDIF(Payroll!$I49,AD$2,"M")/Payroll!$K49,0))),0))</f>
        <v/>
      </c>
      <c r="AE128" s="56">
        <f>IF(AE$2=Payroll!$I49,Payroll!$F49,IF(AE$2&gt;Payroll!$I49,Payroll!$F49*((1+Payroll!$J49)^(ROUNDDOWN(DATEDIF(Payroll!$I49,AE$2,"M")/Payroll!$K49,0))),0))</f>
        <v/>
      </c>
      <c r="AF128" s="56">
        <f>IF(AF$2=Payroll!$I49,Payroll!$F49,IF(AF$2&gt;Payroll!$I49,Payroll!$F49*((1+Payroll!$J49)^(ROUNDDOWN(DATEDIF(Payroll!$I49,AF$2,"M")/Payroll!$K49,0))),0))</f>
        <v/>
      </c>
      <c r="AG128" s="56">
        <f>IF(AG$2=Payroll!$I49,Payroll!$F49,IF(AG$2&gt;Payroll!$I49,Payroll!$F49*((1+Payroll!$J49)^(ROUNDDOWN(DATEDIF(Payroll!$I49,AG$2,"M")/Payroll!$K49,0))),0))</f>
        <v/>
      </c>
      <c r="AH128" s="56">
        <f>IF(AH$2=Payroll!$I49,Payroll!$F49,IF(AH$2&gt;Payroll!$I49,Payroll!$F49*((1+Payroll!$J49)^(ROUNDDOWN(DATEDIF(Payroll!$I49,AH$2,"M")/Payroll!$K49,0))),0))</f>
        <v/>
      </c>
      <c r="AI128" s="56">
        <f>IF(AI$2=Payroll!$I49,Payroll!$F49,IF(AI$2&gt;Payroll!$I49,Payroll!$F49*((1+Payroll!$J49)^(ROUNDDOWN(DATEDIF(Payroll!$I49,AI$2,"M")/Payroll!$K49,0))),0))</f>
        <v/>
      </c>
      <c r="AJ128" s="56">
        <f>IF(AJ$2=Payroll!$I49,Payroll!$F49,IF(AJ$2&gt;Payroll!$I49,Payroll!$F49*((1+Payroll!$J49)^(ROUNDDOWN(DATEDIF(Payroll!$I49,AJ$2,"M")/Payroll!$K49,0))),0))</f>
        <v/>
      </c>
      <c r="AK128" s="56">
        <f>IF(AK$2=Payroll!$I49,Payroll!$F49,IF(AK$2&gt;Payroll!$I49,Payroll!$F49*((1+Payroll!$J49)^(ROUNDDOWN(DATEDIF(Payroll!$I49,AK$2,"M")/Payroll!$K49,0))),0))</f>
        <v/>
      </c>
      <c r="AL128" s="56">
        <f>IF(AL$2=Payroll!$I49,Payroll!$F49,IF(AL$2&gt;Payroll!$I49,Payroll!$F49*((1+Payroll!$J49)^(ROUNDDOWN(DATEDIF(Payroll!$I49,AL$2,"M")/Payroll!$K49,0))),0))</f>
        <v/>
      </c>
      <c r="AM128" s="56">
        <f>IF(AM$2=Payroll!$I49,Payroll!$F49,IF(AM$2&gt;Payroll!$I49,Payroll!$F49*((1+Payroll!$J49)^(ROUNDDOWN(DATEDIF(Payroll!$I49,AM$2,"M")/Payroll!$K49,0))),0))</f>
        <v/>
      </c>
      <c r="AN128" s="56">
        <f>IF(AN$2=Payroll!$I49,Payroll!$F49,IF(AN$2&gt;Payroll!$I49,Payroll!$F49*((1+Payroll!$J49)^(ROUNDDOWN(DATEDIF(Payroll!$I49,AN$2,"M")/Payroll!$K49,0))),0))</f>
        <v/>
      </c>
      <c r="AO128" s="56">
        <f>IF(AO$2=Payroll!$I49,Payroll!$F49,IF(AO$2&gt;Payroll!$I49,Payroll!$F49*((1+Payroll!$J49)^(ROUNDDOWN(DATEDIF(Payroll!$I49,AO$2,"M")/Payroll!$K49,0))),0))</f>
        <v/>
      </c>
      <c r="AP128" s="56">
        <f>IF(AP$2=Payroll!$I49,Payroll!$F49,IF(AP$2&gt;Payroll!$I49,Payroll!$F49*((1+Payroll!$J49)^(ROUNDDOWN(DATEDIF(Payroll!$I49,AP$2,"M")/Payroll!$K49,0))),0))</f>
        <v/>
      </c>
      <c r="AQ128" s="56">
        <f>IF(AQ$2=Payroll!$I49,Payroll!$F49,IF(AQ$2&gt;Payroll!$I49,Payroll!$F49*((1+Payroll!$J49)^(ROUNDDOWN(DATEDIF(Payroll!$I49,AQ$2,"M")/Payroll!$K49,0))),0))</f>
        <v/>
      </c>
      <c r="AR128" s="56">
        <f>IF(AR$2=Payroll!$I49,Payroll!$F49,IF(AR$2&gt;Payroll!$I49,Payroll!$F49*((1+Payroll!$J49)^(ROUNDDOWN(DATEDIF(Payroll!$I49,AR$2,"M")/Payroll!$K49,0))),0))</f>
        <v/>
      </c>
      <c r="AS128" s="56">
        <f>IF(AS$2=Payroll!$I49,Payroll!$F49,IF(AS$2&gt;Payroll!$I49,Payroll!$F49*((1+Payroll!$J49)^(ROUNDDOWN(DATEDIF(Payroll!$I49,AS$2,"M")/Payroll!$K49,0))),0))</f>
        <v/>
      </c>
      <c r="AT128" s="56">
        <f>IF(AT$2=Payroll!$I49,Payroll!$F49,IF(AT$2&gt;Payroll!$I49,Payroll!$F49*((1+Payroll!$J49)^(ROUNDDOWN(DATEDIF(Payroll!$I49,AT$2,"M")/Payroll!$K49,0))),0))</f>
        <v/>
      </c>
      <c r="AU128" s="56">
        <f>IF(AU$2=Payroll!$I49,Payroll!$F49,IF(AU$2&gt;Payroll!$I49,Payroll!$F49*((1+Payroll!$J49)^(ROUNDDOWN(DATEDIF(Payroll!$I49,AU$2,"M")/Payroll!$K49,0))),0))</f>
        <v/>
      </c>
      <c r="AV128" s="56">
        <f>IF(AV$2=Payroll!$I49,Payroll!$F49,IF(AV$2&gt;Payroll!$I49,Payroll!$F49*((1+Payroll!$J49)^(ROUNDDOWN(DATEDIF(Payroll!$I49,AV$2,"M")/Payroll!$K49,0))),0))</f>
        <v/>
      </c>
      <c r="AW128" s="56">
        <f>IF(AW$2=Payroll!$I49,Payroll!$F49,IF(AW$2&gt;Payroll!$I49,Payroll!$F49*((1+Payroll!$J49)^(ROUNDDOWN(DATEDIF(Payroll!$I49,AW$2,"M")/Payroll!$K49,0))),0))</f>
        <v/>
      </c>
      <c r="AX128" s="56">
        <f>IF(AX$2=Payroll!$I49,Payroll!$F49,IF(AX$2&gt;Payroll!$I49,Payroll!$F49*((1+Payroll!$J49)^(ROUNDDOWN(DATEDIF(Payroll!$I49,AX$2,"M")/Payroll!$K49,0))),0))</f>
        <v/>
      </c>
      <c r="AY128" s="56">
        <f>IF(AY$2=Payroll!$I49,Payroll!$F49,IF(AY$2&gt;Payroll!$I49,Payroll!$F49*((1+Payroll!$J49)^(ROUNDDOWN(DATEDIF(Payroll!$I49,AY$2,"M")/Payroll!$K49,0))),0))</f>
        <v/>
      </c>
      <c r="AZ128" s="56">
        <f>IF(AZ$2=Payroll!$I49,Payroll!$F49,IF(AZ$2&gt;Payroll!$I49,Payroll!$F49*((1+Payroll!$J49)^(ROUNDDOWN(DATEDIF(Payroll!$I49,AZ$2,"M")/Payroll!$K49,0))),0))</f>
        <v/>
      </c>
      <c r="BA128" s="56">
        <f>IF(BA$2=Payroll!$I49,Payroll!$F49,IF(BA$2&gt;Payroll!$I49,Payroll!$F49*((1+Payroll!$J49)^(ROUNDDOWN(DATEDIF(Payroll!$I49,BA$2,"M")/Payroll!$K49,0))),0))</f>
        <v/>
      </c>
      <c r="BB128" s="56">
        <f>IF(BB$2=Payroll!$I49,Payroll!$F49,IF(BB$2&gt;Payroll!$I49,Payroll!$F49*((1+Payroll!$J49)^(ROUNDDOWN(DATEDIF(Payroll!$I49,BB$2,"M")/Payroll!$K49,0))),0))</f>
        <v/>
      </c>
      <c r="BC128" s="56">
        <f>IF(BC$2=Payroll!$I49,Payroll!$F49,IF(BC$2&gt;Payroll!$I49,Payroll!$F49*((1+Payroll!$J49)^(ROUNDDOWN(DATEDIF(Payroll!$I49,BC$2,"M")/Payroll!$K49,0))),0))</f>
        <v/>
      </c>
      <c r="BD128" s="56">
        <f>IF(BD$2=Payroll!$I49,Payroll!$F49,IF(BD$2&gt;Payroll!$I49,Payroll!$F49*((1+Payroll!$J49)^(ROUNDDOWN(DATEDIF(Payroll!$I49,BD$2,"M")/Payroll!$K49,0))),0))</f>
        <v/>
      </c>
      <c r="BE128" s="56">
        <f>IF(BE$2=Payroll!$I49,Payroll!$F49,IF(BE$2&gt;Payroll!$I49,Payroll!$F49*((1+Payroll!$J49)^(ROUNDDOWN(DATEDIF(Payroll!$I49,BE$2,"M")/Payroll!$K49,0))),0))</f>
        <v/>
      </c>
      <c r="BF128" s="56">
        <f>IF(BF$2=Payroll!$I49,Payroll!$F49,IF(BF$2&gt;Payroll!$I49,Payroll!$F49*((1+Payroll!$J49)^(ROUNDDOWN(DATEDIF(Payroll!$I49,BF$2,"M")/Payroll!$K49,0))),0))</f>
        <v/>
      </c>
      <c r="BG128" s="56">
        <f>IF(BG$2=Payroll!$I49,Payroll!$F49,IF(BG$2&gt;Payroll!$I49,Payroll!$F49*((1+Payroll!$J49)^(ROUNDDOWN(DATEDIF(Payroll!$I49,BG$2,"M")/Payroll!$K49,0))),0))</f>
        <v/>
      </c>
      <c r="BH128" s="56">
        <f>IF(BH$2=Payroll!$I49,Payroll!$F49,IF(BH$2&gt;Payroll!$I49,Payroll!$F49*((1+Payroll!$J49)^(ROUNDDOWN(DATEDIF(Payroll!$I49,BH$2,"M")/Payroll!$K49,0))),0))</f>
        <v/>
      </c>
      <c r="BI128" s="56">
        <f>IF(BI$2=Payroll!$I49,Payroll!$F49,IF(BI$2&gt;Payroll!$I49,Payroll!$F49*((1+Payroll!$J49)^(ROUNDDOWN(DATEDIF(Payroll!$I49,BI$2,"M")/Payroll!$K49,0))),0))</f>
        <v/>
      </c>
      <c r="BJ128" s="56">
        <f>IF(BJ$2=Payroll!$I49,Payroll!$F49,IF(BJ$2&gt;Payroll!$I49,Payroll!$F49*((1+Payroll!$J49)^(ROUNDDOWN(DATEDIF(Payroll!$I49,BJ$2,"M")/Payroll!$K49,0))),0))</f>
        <v/>
      </c>
      <c r="BK128" s="56">
        <f>IF(BK$2=Payroll!$I49,Payroll!$F49,IF(BK$2&gt;Payroll!$I49,Payroll!$F49*((1+Payroll!$J49)^(ROUNDDOWN(DATEDIF(Payroll!$I49,BK$2,"M")/Payroll!$K49,0))),0))</f>
        <v/>
      </c>
      <c r="BL128" s="56">
        <f>IF(BL$2=Payroll!$I49,Payroll!$F49,IF(BL$2&gt;Payroll!$I49,Payroll!$F49*((1+Payroll!$J49)^(ROUNDDOWN(DATEDIF(Payroll!$I49,BL$2,"M")/Payroll!$K49,0))),0))</f>
        <v/>
      </c>
      <c r="BM128" s="56">
        <f>IF(BM$2=Payroll!$I49,Payroll!$F49,IF(BM$2&gt;Payroll!$I49,Payroll!$F49*((1+Payroll!$J49)^(ROUNDDOWN(DATEDIF(Payroll!$I49,BM$2,"M")/Payroll!$K49,0))),0))</f>
        <v/>
      </c>
      <c r="BN128" s="56">
        <f>IF(BN$2=Payroll!$I49,Payroll!$F49,IF(BN$2&gt;Payroll!$I49,Payroll!$F49*((1+Payroll!$J49)^(ROUNDDOWN(DATEDIF(Payroll!$I49,BN$2,"M")/Payroll!$K49,0))),0))</f>
        <v/>
      </c>
      <c r="BO128" s="56">
        <f>IF(BO$2=Payroll!$I49,Payroll!$F49,IF(BO$2&gt;Payroll!$I49,Payroll!$F49*((1+Payroll!$J49)^(ROUNDDOWN(DATEDIF(Payroll!$I49,BO$2,"M")/Payroll!$K49,0))),0))</f>
        <v/>
      </c>
      <c r="BP128" s="56">
        <f>IF(BP$2=Payroll!$I49,Payroll!$F49,IF(BP$2&gt;Payroll!$I49,Payroll!$F49*((1+Payroll!$J49)^(ROUNDDOWN(DATEDIF(Payroll!$I49,BP$2,"M")/Payroll!$K49,0))),0))</f>
        <v/>
      </c>
      <c r="BQ128" s="56">
        <f>IF(BQ$2=Payroll!$I49,Payroll!$F49,IF(BQ$2&gt;Payroll!$I49,Payroll!$F49*((1+Payroll!$J49)^(ROUNDDOWN(DATEDIF(Payroll!$I49,BQ$2,"M")/Payroll!$K49,0))),0))</f>
        <v/>
      </c>
      <c r="BR128" s="56">
        <f>IF(BR$2=Payroll!$I49,Payroll!$F49,IF(BR$2&gt;Payroll!$I49,Payroll!$F49*((1+Payroll!$J49)^(ROUNDDOWN(DATEDIF(Payroll!$I49,BR$2,"M")/Payroll!$K49,0))),0))</f>
        <v/>
      </c>
      <c r="BS128" s="56">
        <f>IF(BS$2=Payroll!$I49,Payroll!$F49,IF(BS$2&gt;Payroll!$I49,Payroll!$F49*((1+Payroll!$J49)^(ROUNDDOWN(DATEDIF(Payroll!$I49,BS$2,"M")/Payroll!$K49,0))),0))</f>
        <v/>
      </c>
      <c r="BT128" s="56">
        <f>IF(BT$2=Payroll!$I49,Payroll!$F49,IF(BT$2&gt;Payroll!$I49,Payroll!$F49*((1+Payroll!$J49)^(ROUNDDOWN(DATEDIF(Payroll!$I49,BT$2,"M")/Payroll!$K49,0))),0))</f>
        <v/>
      </c>
      <c r="BU128" s="56">
        <f>IF(BU$2=Payroll!$I49,Payroll!$F49,IF(BU$2&gt;Payroll!$I49,Payroll!$F49*((1+Payroll!$J49)^(ROUNDDOWN(DATEDIF(Payroll!$I49,BU$2,"M")/Payroll!$K49,0))),0))</f>
        <v/>
      </c>
      <c r="BV128" s="56">
        <f>IF(BV$2=Payroll!$I49,Payroll!$F49,IF(BV$2&gt;Payroll!$I49,Payroll!$F49*((1+Payroll!$J49)^(ROUNDDOWN(DATEDIF(Payroll!$I49,BV$2,"M")/Payroll!$K49,0))),0))</f>
        <v/>
      </c>
      <c r="BW128" s="56">
        <f>IF(BW$2=Payroll!$I49,Payroll!$F49,IF(BW$2&gt;Payroll!$I49,Payroll!$F49*((1+Payroll!$J49)^(ROUNDDOWN(DATEDIF(Payroll!$I49,BW$2,"M")/Payroll!$K49,0))),0))</f>
        <v/>
      </c>
      <c r="BX128" s="56">
        <f>IF(BX$2=Payroll!$I49,Payroll!$F49,IF(BX$2&gt;Payroll!$I49,Payroll!$F49*((1+Payroll!$J49)^(ROUNDDOWN(DATEDIF(Payroll!$I49,BX$2,"M")/Payroll!$K49,0))),0))</f>
        <v/>
      </c>
      <c r="BY128" s="56">
        <f>IF(BY$2=Payroll!$I49,Payroll!$F49,IF(BY$2&gt;Payroll!$I49,Payroll!$F49*((1+Payroll!$J49)^(ROUNDDOWN(DATEDIF(Payroll!$I49,BY$2,"M")/Payroll!$K49,0))),0))</f>
        <v/>
      </c>
      <c r="BZ128" s="56">
        <f>IF(BZ$2=Payroll!$I49,Payroll!$F49,IF(BZ$2&gt;Payroll!$I49,Payroll!$F49*((1+Payroll!$J49)^(ROUNDDOWN(DATEDIF(Payroll!$I49,BZ$2,"M")/Payroll!$K49,0))),0))</f>
        <v/>
      </c>
      <c r="CA128" s="56">
        <f>IF(CA$2=Payroll!$I49,Payroll!$F49,IF(CA$2&gt;Payroll!$I49,Payroll!$F49*((1+Payroll!$J49)^(ROUNDDOWN(DATEDIF(Payroll!$I49,CA$2,"M")/Payroll!$K49,0))),0))</f>
        <v/>
      </c>
      <c r="CB128" s="56">
        <f>IF(CB$2=Payroll!$I49,Payroll!$F49,IF(CB$2&gt;Payroll!$I49,Payroll!$F49*((1+Payroll!$J49)^(ROUNDDOWN(DATEDIF(Payroll!$I49,CB$2,"M")/Payroll!$K49,0))),0))</f>
        <v/>
      </c>
      <c r="CC128" s="56">
        <f>IF(CC$2=Payroll!$I49,Payroll!$F49,IF(CC$2&gt;Payroll!$I49,Payroll!$F49*((1+Payroll!$J49)^(ROUNDDOWN(DATEDIF(Payroll!$I49,CC$2,"M")/Payroll!$K49,0))),0))</f>
        <v/>
      </c>
      <c r="CD128" s="56">
        <f>IF(CD$2=Payroll!$I49,Payroll!$F49,IF(CD$2&gt;Payroll!$I49,Payroll!$F49*((1+Payroll!$J49)^(ROUNDDOWN(DATEDIF(Payroll!$I49,CD$2,"M")/Payroll!$K49,0))),0))</f>
        <v/>
      </c>
      <c r="CE128" s="56">
        <f>IF(CE$2=Payroll!$I49,Payroll!$F49,IF(CE$2&gt;Payroll!$I49,Payroll!$F49*((1+Payroll!$J49)^(ROUNDDOWN(DATEDIF(Payroll!$I49,CE$2,"M")/Payroll!$K49,0))),0))</f>
        <v/>
      </c>
      <c r="CF128" s="56">
        <f>IF(CF$2=Payroll!$I49,Payroll!$F49,IF(CF$2&gt;Payroll!$I49,Payroll!$F49*((1+Payroll!$J49)^(ROUNDDOWN(DATEDIF(Payroll!$I49,CF$2,"M")/Payroll!$K49,0))),0))</f>
        <v/>
      </c>
      <c r="CG128" s="56">
        <f>IF(CG$2=Payroll!$I49,Payroll!$F49,IF(CG$2&gt;Payroll!$I49,Payroll!$F49*((1+Payroll!$J49)^(ROUNDDOWN(DATEDIF(Payroll!$I49,CG$2,"M")/Payroll!$K49,0))),0))</f>
        <v/>
      </c>
      <c r="CH128" s="56">
        <f>IF(CH$2=Payroll!$I49,Payroll!$F49,IF(CH$2&gt;Payroll!$I49,Payroll!$F49*((1+Payroll!$J49)^(ROUNDDOWN(DATEDIF(Payroll!$I49,CH$2,"M")/Payroll!$K49,0))),0))</f>
        <v/>
      </c>
      <c r="CI128" s="56">
        <f>IF(CI$2=Payroll!$I49,Payroll!$F49,IF(CI$2&gt;Payroll!$I49,Payroll!$F49*((1+Payroll!$J49)^(ROUNDDOWN(DATEDIF(Payroll!$I49,CI$2,"M")/Payroll!$K49,0))),0))</f>
        <v/>
      </c>
      <c r="CJ128" s="56">
        <f>IF(CJ$2=Payroll!$I49,Payroll!$F49,IF(CJ$2&gt;Payroll!$I49,Payroll!$F49*((1+Payroll!$J49)^(ROUNDDOWN(DATEDIF(Payroll!$I49,CJ$2,"M")/Payroll!$K49,0))),0))</f>
        <v/>
      </c>
      <c r="CK128" s="56">
        <f>IF(CK$2=Payroll!$I49,Payroll!$F49,IF(CK$2&gt;Payroll!$I49,Payroll!$F49*((1+Payroll!$J49)^(ROUNDDOWN(DATEDIF(Payroll!$I49,CK$2,"M")/Payroll!$K49,0))),0))</f>
        <v/>
      </c>
      <c r="CL128" s="56">
        <f>IF(CL$2=Payroll!$I49,Payroll!$F49,IF(CL$2&gt;Payroll!$I49,Payroll!$F49*((1+Payroll!$J49)^(ROUNDDOWN(DATEDIF(Payroll!$I49,CL$2,"M")/Payroll!$K49,0))),0))</f>
        <v/>
      </c>
      <c r="CM128" s="56">
        <f>IF(CM$2=Payroll!$I49,Payroll!$F49,IF(CM$2&gt;Payroll!$I49,Payroll!$F49*((1+Payroll!$J49)^(ROUNDDOWN(DATEDIF(Payroll!$I49,CM$2,"M")/Payroll!$K49,0))),0))</f>
        <v/>
      </c>
      <c r="CN128" s="56">
        <f>IF(CN$2=Payroll!$I49,Payroll!$F49,IF(CN$2&gt;Payroll!$I49,Payroll!$F49*((1+Payroll!$J49)^(ROUNDDOWN(DATEDIF(Payroll!$I49,CN$2,"M")/Payroll!$K49,0))),0))</f>
        <v/>
      </c>
      <c r="CO128" s="56">
        <f>IF(CO$2=Payroll!$I49,Payroll!$F49,IF(CO$2&gt;Payroll!$I49,Payroll!$F49*((1+Payroll!$J49)^(ROUNDDOWN(DATEDIF(Payroll!$I49,CO$2,"M")/Payroll!$K49,0))),0))</f>
        <v/>
      </c>
      <c r="CP128" s="56">
        <f>IF(CP$2=Payroll!$I49,Payroll!$F49,IF(CP$2&gt;Payroll!$I49,Payroll!$F49*((1+Payroll!$J49)^(ROUNDDOWN(DATEDIF(Payroll!$I49,CP$2,"M")/Payroll!$K49,0))),0))</f>
        <v/>
      </c>
      <c r="CQ128" s="56">
        <f>IF(CQ$2=Payroll!$I49,Payroll!$F49,IF(CQ$2&gt;Payroll!$I49,Payroll!$F49*((1+Payroll!$J49)^(ROUNDDOWN(DATEDIF(Payroll!$I49,CQ$2,"M")/Payroll!$K49,0))),0))</f>
        <v/>
      </c>
      <c r="CR128" s="56">
        <f>IF(CR$2=Payroll!$I49,Payroll!$F49,IF(CR$2&gt;Payroll!$I49,Payroll!$F49*((1+Payroll!$J49)^(ROUNDDOWN(DATEDIF(Payroll!$I49,CR$2,"M")/Payroll!$K49,0))),0))</f>
        <v/>
      </c>
      <c r="CS128" s="56">
        <f>IF(CS$2=Payroll!$I49,Payroll!$F49,IF(CS$2&gt;Payroll!$I49,Payroll!$F49*((1+Payroll!$J49)^(ROUNDDOWN(DATEDIF(Payroll!$I49,CS$2,"M")/Payroll!$K49,0))),0))</f>
        <v/>
      </c>
      <c r="CT128" s="56">
        <f>IF(CT$2=Payroll!$I49,Payroll!$F49,IF(CT$2&gt;Payroll!$I49,Payroll!$F49*((1+Payroll!$J49)^(ROUNDDOWN(DATEDIF(Payroll!$I49,CT$2,"M")/Payroll!$K49,0))),0))</f>
        <v/>
      </c>
      <c r="CU128" s="56">
        <f>IF(CU$2=Payroll!$I49,Payroll!$F49,IF(CU$2&gt;Payroll!$I49,Payroll!$F49*((1+Payroll!$J49)^(ROUNDDOWN(DATEDIF(Payroll!$I49,CU$2,"M")/Payroll!$K49,0))),0))</f>
        <v/>
      </c>
      <c r="CV128" s="56">
        <f>IF(CV$2=Payroll!$I49,Payroll!$F49,IF(CV$2&gt;Payroll!$I49,Payroll!$F49*((1+Payroll!$J49)^(ROUNDDOWN(DATEDIF(Payroll!$I49,CV$2,"M")/Payroll!$K49,0))),0))</f>
        <v/>
      </c>
      <c r="CW128" s="56">
        <f>IF(CW$2=Payroll!$I49,Payroll!$F49,IF(CW$2&gt;Payroll!$I49,Payroll!$F49*((1+Payroll!$J49)^(ROUNDDOWN(DATEDIF(Payroll!$I49,CW$2,"M")/Payroll!$K49,0))),0))</f>
        <v/>
      </c>
      <c r="CX128" s="56">
        <f>IF(CX$2=Payroll!$I49,Payroll!$F49,IF(CX$2&gt;Payroll!$I49,Payroll!$F49*((1+Payroll!$J49)^(ROUNDDOWN(DATEDIF(Payroll!$I49,CX$2,"M")/Payroll!$K49,0))),0))</f>
        <v/>
      </c>
    </row>
    <row r="129" outlineLevel="2" ht="15.75" customHeight="1" s="255">
      <c r="A129" s="56">
        <f>Payroll!A52</f>
        <v/>
      </c>
      <c r="B129" s="56" t="n"/>
      <c r="C129" s="56" t="n"/>
      <c r="D129" s="56" t="n"/>
      <c r="E129" s="56">
        <f>IF(E$2=Payroll!$I52,Payroll!$F52,IF(E$2&gt;Payroll!$I52,Payroll!$F52*((1+Payroll!$J52)^(ROUNDDOWN(DATEDIF(Payroll!$I52,E$2,"M")/Payroll!$K52,0))),0))</f>
        <v/>
      </c>
      <c r="F129" s="56">
        <f>IF(F$2=Payroll!$I52,Payroll!$F52,IF(F$2&gt;Payroll!$I52,Payroll!$F52*((1+Payroll!$J52)^(ROUNDDOWN(DATEDIF(Payroll!$I52,F$2,"M")/Payroll!$K52,0))),0))</f>
        <v/>
      </c>
      <c r="G129" s="56">
        <f>IF(G$2=Payroll!$I52,Payroll!$F52,IF(G$2&gt;Payroll!$I52,Payroll!$F52*((1+Payroll!$J52)^(ROUNDDOWN(DATEDIF(Payroll!$I52,G$2,"M")/Payroll!$K52,0))),0))</f>
        <v/>
      </c>
      <c r="H129" s="56">
        <f>IF(H$2=Payroll!$I52,Payroll!$F52,IF(H$2&gt;Payroll!$I52,Payroll!$F52*((1+Payroll!$J52)^(ROUNDDOWN(DATEDIF(Payroll!$I52,H$2,"M")/Payroll!$K52,0))),0))</f>
        <v/>
      </c>
      <c r="I129" s="56">
        <f>IF(I$2=Payroll!$I52,Payroll!$F52,IF(I$2&gt;Payroll!$I52,Payroll!$F52*((1+Payroll!$J52)^(ROUNDDOWN(DATEDIF(Payroll!$I52,I$2,"M")/Payroll!$K52,0))),0))</f>
        <v/>
      </c>
      <c r="J129" s="56">
        <f>IF(J$2=Payroll!$I52,Payroll!$F52,IF(J$2&gt;Payroll!$I52,Payroll!$F52*((1+Payroll!$J52)^(ROUNDDOWN(DATEDIF(Payroll!$I52,J$2,"M")/Payroll!$K52,0))),0))</f>
        <v/>
      </c>
      <c r="K129" s="56">
        <f>IF(K$2=Payroll!$I52,Payroll!$F52,IF(K$2&gt;Payroll!$I52,Payroll!$F52*((1+Payroll!$J52)^(ROUNDDOWN(DATEDIF(Payroll!$I52,K$2,"M")/Payroll!$K52,0))),0))</f>
        <v/>
      </c>
      <c r="L129" s="56">
        <f>IF(L$2=Payroll!$I52,Payroll!$F52,IF(L$2&gt;Payroll!$I52,Payroll!$F52*((1+Payroll!$J52)^(ROUNDDOWN(DATEDIF(Payroll!$I52,L$2,"M")/Payroll!$K52,0))),0))</f>
        <v/>
      </c>
      <c r="M129" s="56">
        <f>IF(M$2=Payroll!$I52,Payroll!$F52,IF(M$2&gt;Payroll!$I52,Payroll!$F52*((1+Payroll!$J52)^(ROUNDDOWN(DATEDIF(Payroll!$I52,M$2,"M")/Payroll!$K52,0))),0))</f>
        <v/>
      </c>
      <c r="N129" s="56">
        <f>IF(N$2=Payroll!$I52,Payroll!$F52,IF(N$2&gt;Payroll!$I52,Payroll!$F52*((1+Payroll!$J52)^(ROUNDDOWN(DATEDIF(Payroll!$I52,N$2,"M")/Payroll!$K52,0))),0))</f>
        <v/>
      </c>
      <c r="O129" s="56">
        <f>IF(O$2=Payroll!$I52,Payroll!$F52,IF(O$2&gt;Payroll!$I52,Payroll!$F52*((1+Payroll!$J52)^(ROUNDDOWN(DATEDIF(Payroll!$I52,O$2,"M")/Payroll!$K52,0))),0))</f>
        <v/>
      </c>
      <c r="P129" s="56">
        <f>IF(P$2=Payroll!$I52,Payroll!$F52,IF(P$2&gt;Payroll!$I52,Payroll!$F52*((1+Payroll!$J52)^(ROUNDDOWN(DATEDIF(Payroll!$I52,P$2,"M")/Payroll!$K52,0))),0))</f>
        <v/>
      </c>
      <c r="Q129" s="56">
        <f>IF(Q$2=Payroll!$I52,Payroll!$F52,IF(Q$2&gt;Payroll!$I52,Payroll!$F52*((1+Payroll!$J52)^(ROUNDDOWN(DATEDIF(Payroll!$I52,Q$2,"M")/Payroll!$K52,0))),0))</f>
        <v/>
      </c>
      <c r="R129" s="56">
        <f>IF(R$2=Payroll!$I52,Payroll!$F52,IF(R$2&gt;Payroll!$I52,Payroll!$F52*((1+Payroll!$J52)^(ROUNDDOWN(DATEDIF(Payroll!$I52,R$2,"M")/Payroll!$K52,0))),0))</f>
        <v/>
      </c>
      <c r="S129" s="56">
        <f>IF(S$2=Payroll!$I52,Payroll!$F52,IF(S$2&gt;Payroll!$I52,Payroll!$F52*((1+Payroll!$J52)^(ROUNDDOWN(DATEDIF(Payroll!$I52,S$2,"M")/Payroll!$K52,0))),0))</f>
        <v/>
      </c>
      <c r="T129" s="56">
        <f>IF(T$2=Payroll!$I52,Payroll!$F52,IF(T$2&gt;Payroll!$I52,Payroll!$F52*((1+Payroll!$J52)^(ROUNDDOWN(DATEDIF(Payroll!$I52,T$2,"M")/Payroll!$K52,0))),0))</f>
        <v/>
      </c>
      <c r="U129" s="56">
        <f>IF(U$2=Payroll!$I52,Payroll!$F52,IF(U$2&gt;Payroll!$I52,Payroll!$F52*((1+Payroll!$J52)^(ROUNDDOWN(DATEDIF(Payroll!$I52,U$2,"M")/Payroll!$K52,0))),0))</f>
        <v/>
      </c>
      <c r="V129" s="56">
        <f>IF(V$2=Payroll!$I52,Payroll!$F52,IF(V$2&gt;Payroll!$I52,Payroll!$F52*((1+Payroll!$J52)^(ROUNDDOWN(DATEDIF(Payroll!$I52,V$2,"M")/Payroll!$K52,0))),0))</f>
        <v/>
      </c>
      <c r="W129" s="56">
        <f>IF(W$2=Payroll!$I52,Payroll!$F52,IF(W$2&gt;Payroll!$I52,Payroll!$F52*((1+Payroll!$J52)^(ROUNDDOWN(DATEDIF(Payroll!$I52,W$2,"M")/Payroll!$K52,0))),0))</f>
        <v/>
      </c>
      <c r="X129" s="56">
        <f>IF(X$2=Payroll!$I52,Payroll!$F52,IF(X$2&gt;Payroll!$I52,Payroll!$F52*((1+Payroll!$J52)^(ROUNDDOWN(DATEDIF(Payroll!$I52,X$2,"M")/Payroll!$K52,0))),0))</f>
        <v/>
      </c>
      <c r="Y129" s="56">
        <f>IF(Y$2=Payroll!$I52,Payroll!$F52,IF(Y$2&gt;Payroll!$I52,Payroll!$F52*((1+Payroll!$J52)^(ROUNDDOWN(DATEDIF(Payroll!$I52,Y$2,"M")/Payroll!$K52,0))),0))</f>
        <v/>
      </c>
      <c r="Z129" s="56">
        <f>IF(Z$2=Payroll!$I52,Payroll!$F52,IF(Z$2&gt;Payroll!$I52,Payroll!$F52*((1+Payroll!$J52)^(ROUNDDOWN(DATEDIF(Payroll!$I52,Z$2,"M")/Payroll!$K52,0))),0))</f>
        <v/>
      </c>
      <c r="AA129" s="56">
        <f>IF(AA$2=Payroll!$I52,Payroll!$F52,IF(AA$2&gt;Payroll!$I52,Payroll!$F52*((1+Payroll!$J52)^(ROUNDDOWN(DATEDIF(Payroll!$I52,AA$2,"M")/Payroll!$K52,0))),0))</f>
        <v/>
      </c>
      <c r="AB129" s="56">
        <f>IF(AB$2=Payroll!$I52,Payroll!$F52,IF(AB$2&gt;Payroll!$I52,Payroll!$F52*((1+Payroll!$J52)^(ROUNDDOWN(DATEDIF(Payroll!$I52,AB$2,"M")/Payroll!$K52,0))),0))</f>
        <v/>
      </c>
      <c r="AC129" s="56">
        <f>IF(AC$2=Payroll!$I52,Payroll!$F52,IF(AC$2&gt;Payroll!$I52,Payroll!$F52*((1+Payroll!$J52)^(ROUNDDOWN(DATEDIF(Payroll!$I52,AC$2,"M")/Payroll!$K52,0))),0))</f>
        <v/>
      </c>
      <c r="AD129" s="56">
        <f>IF(AD$2=Payroll!$I52,Payroll!$F52,IF(AD$2&gt;Payroll!$I52,Payroll!$F52*((1+Payroll!$J52)^(ROUNDDOWN(DATEDIF(Payroll!$I52,AD$2,"M")/Payroll!$K52,0))),0))</f>
        <v/>
      </c>
      <c r="AE129" s="56">
        <f>IF(AE$2=Payroll!$I52,Payroll!$F52,IF(AE$2&gt;Payroll!$I52,Payroll!$F52*((1+Payroll!$J52)^(ROUNDDOWN(DATEDIF(Payroll!$I52,AE$2,"M")/Payroll!$K52,0))),0))</f>
        <v/>
      </c>
      <c r="AF129" s="56">
        <f>IF(AF$2=Payroll!$I52,Payroll!$F52,IF(AF$2&gt;Payroll!$I52,Payroll!$F52*((1+Payroll!$J52)^(ROUNDDOWN(DATEDIF(Payroll!$I52,AF$2,"M")/Payroll!$K52,0))),0))</f>
        <v/>
      </c>
      <c r="AG129" s="56">
        <f>IF(AG$2=Payroll!$I52,Payroll!$F52,IF(AG$2&gt;Payroll!$I52,Payroll!$F52*((1+Payroll!$J52)^(ROUNDDOWN(DATEDIF(Payroll!$I52,AG$2,"M")/Payroll!$K52,0))),0))</f>
        <v/>
      </c>
      <c r="AH129" s="56">
        <f>IF(AH$2=Payroll!$I52,Payroll!$F52,IF(AH$2&gt;Payroll!$I52,Payroll!$F52*((1+Payroll!$J52)^(ROUNDDOWN(DATEDIF(Payroll!$I52,AH$2,"M")/Payroll!$K52,0))),0))</f>
        <v/>
      </c>
      <c r="AI129" s="56">
        <f>IF(AI$2=Payroll!$I52,Payroll!$F52,IF(AI$2&gt;Payroll!$I52,Payroll!$F52*((1+Payroll!$J52)^(ROUNDDOWN(DATEDIF(Payroll!$I52,AI$2,"M")/Payroll!$K52,0))),0))</f>
        <v/>
      </c>
      <c r="AJ129" s="56">
        <f>IF(AJ$2=Payroll!$I52,Payroll!$F52,IF(AJ$2&gt;Payroll!$I52,Payroll!$F52*((1+Payroll!$J52)^(ROUNDDOWN(DATEDIF(Payroll!$I52,AJ$2,"M")/Payroll!$K52,0))),0))</f>
        <v/>
      </c>
      <c r="AK129" s="56">
        <f>IF(AK$2=Payroll!$I52,Payroll!$F52,IF(AK$2&gt;Payroll!$I52,Payroll!$F52*((1+Payroll!$J52)^(ROUNDDOWN(DATEDIF(Payroll!$I52,AK$2,"M")/Payroll!$K52,0))),0))</f>
        <v/>
      </c>
      <c r="AL129" s="56">
        <f>IF(AL$2=Payroll!$I52,Payroll!$F52,IF(AL$2&gt;Payroll!$I52,Payroll!$F52*((1+Payroll!$J52)^(ROUNDDOWN(DATEDIF(Payroll!$I52,AL$2,"M")/Payroll!$K52,0))),0))</f>
        <v/>
      </c>
      <c r="AM129" s="56">
        <f>IF(AM$2=Payroll!$I52,Payroll!$F52,IF(AM$2&gt;Payroll!$I52,Payroll!$F52*((1+Payroll!$J52)^(ROUNDDOWN(DATEDIF(Payroll!$I52,AM$2,"M")/Payroll!$K52,0))),0))</f>
        <v/>
      </c>
      <c r="AN129" s="56">
        <f>IF(AN$2=Payroll!$I52,Payroll!$F52,IF(AN$2&gt;Payroll!$I52,Payroll!$F52*((1+Payroll!$J52)^(ROUNDDOWN(DATEDIF(Payroll!$I52,AN$2,"M")/Payroll!$K52,0))),0))</f>
        <v/>
      </c>
      <c r="AO129" s="56">
        <f>IF(AO$2=Payroll!$I52,Payroll!$F52,IF(AO$2&gt;Payroll!$I52,Payroll!$F52*((1+Payroll!$J52)^(ROUNDDOWN(DATEDIF(Payroll!$I52,AO$2,"M")/Payroll!$K52,0))),0))</f>
        <v/>
      </c>
      <c r="AP129" s="56">
        <f>IF(AP$2=Payroll!$I52,Payroll!$F52,IF(AP$2&gt;Payroll!$I52,Payroll!$F52*((1+Payroll!$J52)^(ROUNDDOWN(DATEDIF(Payroll!$I52,AP$2,"M")/Payroll!$K52,0))),0))</f>
        <v/>
      </c>
      <c r="AQ129" s="56">
        <f>IF(AQ$2=Payroll!$I52,Payroll!$F52,IF(AQ$2&gt;Payroll!$I52,Payroll!$F52*((1+Payroll!$J52)^(ROUNDDOWN(DATEDIF(Payroll!$I52,AQ$2,"M")/Payroll!$K52,0))),0))</f>
        <v/>
      </c>
      <c r="AR129" s="56">
        <f>IF(AR$2=Payroll!$I52,Payroll!$F52,IF(AR$2&gt;Payroll!$I52,Payroll!$F52*((1+Payroll!$J52)^(ROUNDDOWN(DATEDIF(Payroll!$I52,AR$2,"M")/Payroll!$K52,0))),0))</f>
        <v/>
      </c>
      <c r="AS129" s="56">
        <f>IF(AS$2=Payroll!$I52,Payroll!$F52,IF(AS$2&gt;Payroll!$I52,Payroll!$F52*((1+Payroll!$J52)^(ROUNDDOWN(DATEDIF(Payroll!$I52,AS$2,"M")/Payroll!$K52,0))),0))</f>
        <v/>
      </c>
      <c r="AT129" s="56">
        <f>IF(AT$2=Payroll!$I52,Payroll!$F52,IF(AT$2&gt;Payroll!$I52,Payroll!$F52*((1+Payroll!$J52)^(ROUNDDOWN(DATEDIF(Payroll!$I52,AT$2,"M")/Payroll!$K52,0))),0))</f>
        <v/>
      </c>
      <c r="AU129" s="56">
        <f>IF(AU$2=Payroll!$I52,Payroll!$F52,IF(AU$2&gt;Payroll!$I52,Payroll!$F52*((1+Payroll!$J52)^(ROUNDDOWN(DATEDIF(Payroll!$I52,AU$2,"M")/Payroll!$K52,0))),0))</f>
        <v/>
      </c>
      <c r="AV129" s="56">
        <f>IF(AV$2=Payroll!$I52,Payroll!$F52,IF(AV$2&gt;Payroll!$I52,Payroll!$F52*((1+Payroll!$J52)^(ROUNDDOWN(DATEDIF(Payroll!$I52,AV$2,"M")/Payroll!$K52,0))),0))</f>
        <v/>
      </c>
      <c r="AW129" s="56">
        <f>IF(AW$2=Payroll!$I52,Payroll!$F52,IF(AW$2&gt;Payroll!$I52,Payroll!$F52*((1+Payroll!$J52)^(ROUNDDOWN(DATEDIF(Payroll!$I52,AW$2,"M")/Payroll!$K52,0))),0))</f>
        <v/>
      </c>
      <c r="AX129" s="56">
        <f>IF(AX$2=Payroll!$I52,Payroll!$F52,IF(AX$2&gt;Payroll!$I52,Payroll!$F52*((1+Payroll!$J52)^(ROUNDDOWN(DATEDIF(Payroll!$I52,AX$2,"M")/Payroll!$K52,0))),0))</f>
        <v/>
      </c>
      <c r="AY129" s="56">
        <f>IF(AY$2=Payroll!$I52,Payroll!$F52,IF(AY$2&gt;Payroll!$I52,Payroll!$F52*((1+Payroll!$J52)^(ROUNDDOWN(DATEDIF(Payroll!$I52,AY$2,"M")/Payroll!$K52,0))),0))</f>
        <v/>
      </c>
      <c r="AZ129" s="56">
        <f>IF(AZ$2=Payroll!$I52,Payroll!$F52,IF(AZ$2&gt;Payroll!$I52,Payroll!$F52*((1+Payroll!$J52)^(ROUNDDOWN(DATEDIF(Payroll!$I52,AZ$2,"M")/Payroll!$K52,0))),0))</f>
        <v/>
      </c>
      <c r="BA129" s="56">
        <f>IF(BA$2=Payroll!$I52,Payroll!$F52,IF(BA$2&gt;Payroll!$I52,Payroll!$F52*((1+Payroll!$J52)^(ROUNDDOWN(DATEDIF(Payroll!$I52,BA$2,"M")/Payroll!$K52,0))),0))</f>
        <v/>
      </c>
      <c r="BB129" s="56">
        <f>IF(BB$2=Payroll!$I52,Payroll!$F52,IF(BB$2&gt;Payroll!$I52,Payroll!$F52*((1+Payroll!$J52)^(ROUNDDOWN(DATEDIF(Payroll!$I52,BB$2,"M")/Payroll!$K52,0))),0))</f>
        <v/>
      </c>
      <c r="BC129" s="56">
        <f>IF(BC$2=Payroll!$I52,Payroll!$F52,IF(BC$2&gt;Payroll!$I52,Payroll!$F52*((1+Payroll!$J52)^(ROUNDDOWN(DATEDIF(Payroll!$I52,BC$2,"M")/Payroll!$K52,0))),0))</f>
        <v/>
      </c>
      <c r="BD129" s="56">
        <f>IF(BD$2=Payroll!$I52,Payroll!$F52,IF(BD$2&gt;Payroll!$I52,Payroll!$F52*((1+Payroll!$J52)^(ROUNDDOWN(DATEDIF(Payroll!$I52,BD$2,"M")/Payroll!$K52,0))),0))</f>
        <v/>
      </c>
      <c r="BE129" s="56">
        <f>IF(BE$2=Payroll!$I52,Payroll!$F52,IF(BE$2&gt;Payroll!$I52,Payroll!$F52*((1+Payroll!$J52)^(ROUNDDOWN(DATEDIF(Payroll!$I52,BE$2,"M")/Payroll!$K52,0))),0))</f>
        <v/>
      </c>
      <c r="BF129" s="56">
        <f>IF(BF$2=Payroll!$I52,Payroll!$F52,IF(BF$2&gt;Payroll!$I52,Payroll!$F52*((1+Payroll!$J52)^(ROUNDDOWN(DATEDIF(Payroll!$I52,BF$2,"M")/Payroll!$K52,0))),0))</f>
        <v/>
      </c>
      <c r="BG129" s="56">
        <f>IF(BG$2=Payroll!$I52,Payroll!$F52,IF(BG$2&gt;Payroll!$I52,Payroll!$F52*((1+Payroll!$J52)^(ROUNDDOWN(DATEDIF(Payroll!$I52,BG$2,"M")/Payroll!$K52,0))),0))</f>
        <v/>
      </c>
      <c r="BH129" s="56">
        <f>IF(BH$2=Payroll!$I52,Payroll!$F52,IF(BH$2&gt;Payroll!$I52,Payroll!$F52*((1+Payroll!$J52)^(ROUNDDOWN(DATEDIF(Payroll!$I52,BH$2,"M")/Payroll!$K52,0))),0))</f>
        <v/>
      </c>
      <c r="BI129" s="56">
        <f>IF(BI$2=Payroll!$I52,Payroll!$F52,IF(BI$2&gt;Payroll!$I52,Payroll!$F52*((1+Payroll!$J52)^(ROUNDDOWN(DATEDIF(Payroll!$I52,BI$2,"M")/Payroll!$K52,0))),0))</f>
        <v/>
      </c>
      <c r="BJ129" s="56">
        <f>IF(BJ$2=Payroll!$I52,Payroll!$F52,IF(BJ$2&gt;Payroll!$I52,Payroll!$F52*((1+Payroll!$J52)^(ROUNDDOWN(DATEDIF(Payroll!$I52,BJ$2,"M")/Payroll!$K52,0))),0))</f>
        <v/>
      </c>
      <c r="BK129" s="56">
        <f>IF(BK$2=Payroll!$I52,Payroll!$F52,IF(BK$2&gt;Payroll!$I52,Payroll!$F52*((1+Payroll!$J52)^(ROUNDDOWN(DATEDIF(Payroll!$I52,BK$2,"M")/Payroll!$K52,0))),0))</f>
        <v/>
      </c>
      <c r="BL129" s="56">
        <f>IF(BL$2=Payroll!$I52,Payroll!$F52,IF(BL$2&gt;Payroll!$I52,Payroll!$F52*((1+Payroll!$J52)^(ROUNDDOWN(DATEDIF(Payroll!$I52,BL$2,"M")/Payroll!$K52,0))),0))</f>
        <v/>
      </c>
      <c r="BM129" s="56">
        <f>IF(BM$2=Payroll!$I52,Payroll!$F52,IF(BM$2&gt;Payroll!$I52,Payroll!$F52*((1+Payroll!$J52)^(ROUNDDOWN(DATEDIF(Payroll!$I52,BM$2,"M")/Payroll!$K52,0))),0))</f>
        <v/>
      </c>
      <c r="BN129" s="56">
        <f>IF(BN$2=Payroll!$I52,Payroll!$F52,IF(BN$2&gt;Payroll!$I52,Payroll!$F52*((1+Payroll!$J52)^(ROUNDDOWN(DATEDIF(Payroll!$I52,BN$2,"M")/Payroll!$K52,0))),0))</f>
        <v/>
      </c>
      <c r="BO129" s="56">
        <f>IF(BO$2=Payroll!$I52,Payroll!$F52,IF(BO$2&gt;Payroll!$I52,Payroll!$F52*((1+Payroll!$J52)^(ROUNDDOWN(DATEDIF(Payroll!$I52,BO$2,"M")/Payroll!$K52,0))),0))</f>
        <v/>
      </c>
      <c r="BP129" s="56">
        <f>IF(BP$2=Payroll!$I52,Payroll!$F52,IF(BP$2&gt;Payroll!$I52,Payroll!$F52*((1+Payroll!$J52)^(ROUNDDOWN(DATEDIF(Payroll!$I52,BP$2,"M")/Payroll!$K52,0))),0))</f>
        <v/>
      </c>
      <c r="BQ129" s="56">
        <f>IF(BQ$2=Payroll!$I52,Payroll!$F52,IF(BQ$2&gt;Payroll!$I52,Payroll!$F52*((1+Payroll!$J52)^(ROUNDDOWN(DATEDIF(Payroll!$I52,BQ$2,"M")/Payroll!$K52,0))),0))</f>
        <v/>
      </c>
      <c r="BR129" s="56">
        <f>IF(BR$2=Payroll!$I52,Payroll!$F52,IF(BR$2&gt;Payroll!$I52,Payroll!$F52*((1+Payroll!$J52)^(ROUNDDOWN(DATEDIF(Payroll!$I52,BR$2,"M")/Payroll!$K52,0))),0))</f>
        <v/>
      </c>
      <c r="BS129" s="56">
        <f>IF(BS$2=Payroll!$I52,Payroll!$F52,IF(BS$2&gt;Payroll!$I52,Payroll!$F52*((1+Payroll!$J52)^(ROUNDDOWN(DATEDIF(Payroll!$I52,BS$2,"M")/Payroll!$K52,0))),0))</f>
        <v/>
      </c>
      <c r="BT129" s="56">
        <f>IF(BT$2=Payroll!$I52,Payroll!$F52,IF(BT$2&gt;Payroll!$I52,Payroll!$F52*((1+Payroll!$J52)^(ROUNDDOWN(DATEDIF(Payroll!$I52,BT$2,"M")/Payroll!$K52,0))),0))</f>
        <v/>
      </c>
      <c r="BU129" s="56">
        <f>IF(BU$2=Payroll!$I52,Payroll!$F52,IF(BU$2&gt;Payroll!$I52,Payroll!$F52*((1+Payroll!$J52)^(ROUNDDOWN(DATEDIF(Payroll!$I52,BU$2,"M")/Payroll!$K52,0))),0))</f>
        <v/>
      </c>
      <c r="BV129" s="56">
        <f>IF(BV$2=Payroll!$I52,Payroll!$F52,IF(BV$2&gt;Payroll!$I52,Payroll!$F52*((1+Payroll!$J52)^(ROUNDDOWN(DATEDIF(Payroll!$I52,BV$2,"M")/Payroll!$K52,0))),0))</f>
        <v/>
      </c>
      <c r="BW129" s="56">
        <f>IF(BW$2=Payroll!$I52,Payroll!$F52,IF(BW$2&gt;Payroll!$I52,Payroll!$F52*((1+Payroll!$J52)^(ROUNDDOWN(DATEDIF(Payroll!$I52,BW$2,"M")/Payroll!$K52,0))),0))</f>
        <v/>
      </c>
      <c r="BX129" s="56">
        <f>IF(BX$2=Payroll!$I52,Payroll!$F52,IF(BX$2&gt;Payroll!$I52,Payroll!$F52*((1+Payroll!$J52)^(ROUNDDOWN(DATEDIF(Payroll!$I52,BX$2,"M")/Payroll!$K52,0))),0))</f>
        <v/>
      </c>
      <c r="BY129" s="56">
        <f>IF(BY$2=Payroll!$I52,Payroll!$F52,IF(BY$2&gt;Payroll!$I52,Payroll!$F52*((1+Payroll!$J52)^(ROUNDDOWN(DATEDIF(Payroll!$I52,BY$2,"M")/Payroll!$K52,0))),0))</f>
        <v/>
      </c>
      <c r="BZ129" s="56">
        <f>IF(BZ$2=Payroll!$I52,Payroll!$F52,IF(BZ$2&gt;Payroll!$I52,Payroll!$F52*((1+Payroll!$J52)^(ROUNDDOWN(DATEDIF(Payroll!$I52,BZ$2,"M")/Payroll!$K52,0))),0))</f>
        <v/>
      </c>
      <c r="CA129" s="56">
        <f>IF(CA$2=Payroll!$I52,Payroll!$F52,IF(CA$2&gt;Payroll!$I52,Payroll!$F52*((1+Payroll!$J52)^(ROUNDDOWN(DATEDIF(Payroll!$I52,CA$2,"M")/Payroll!$K52,0))),0))</f>
        <v/>
      </c>
      <c r="CB129" s="56">
        <f>IF(CB$2=Payroll!$I52,Payroll!$F52,IF(CB$2&gt;Payroll!$I52,Payroll!$F52*((1+Payroll!$J52)^(ROUNDDOWN(DATEDIF(Payroll!$I52,CB$2,"M")/Payroll!$K52,0))),0))</f>
        <v/>
      </c>
      <c r="CC129" s="56">
        <f>IF(CC$2=Payroll!$I52,Payroll!$F52,IF(CC$2&gt;Payroll!$I52,Payroll!$F52*((1+Payroll!$J52)^(ROUNDDOWN(DATEDIF(Payroll!$I52,CC$2,"M")/Payroll!$K52,0))),0))</f>
        <v/>
      </c>
      <c r="CD129" s="56">
        <f>IF(CD$2=Payroll!$I52,Payroll!$F52,IF(CD$2&gt;Payroll!$I52,Payroll!$F52*((1+Payroll!$J52)^(ROUNDDOWN(DATEDIF(Payroll!$I52,CD$2,"M")/Payroll!$K52,0))),0))</f>
        <v/>
      </c>
      <c r="CE129" s="56">
        <f>IF(CE$2=Payroll!$I52,Payroll!$F52,IF(CE$2&gt;Payroll!$I52,Payroll!$F52*((1+Payroll!$J52)^(ROUNDDOWN(DATEDIF(Payroll!$I52,CE$2,"M")/Payroll!$K52,0))),0))</f>
        <v/>
      </c>
      <c r="CF129" s="56">
        <f>IF(CF$2=Payroll!$I52,Payroll!$F52,IF(CF$2&gt;Payroll!$I52,Payroll!$F52*((1+Payroll!$J52)^(ROUNDDOWN(DATEDIF(Payroll!$I52,CF$2,"M")/Payroll!$K52,0))),0))</f>
        <v/>
      </c>
      <c r="CG129" s="56">
        <f>IF(CG$2=Payroll!$I52,Payroll!$F52,IF(CG$2&gt;Payroll!$I52,Payroll!$F52*((1+Payroll!$J52)^(ROUNDDOWN(DATEDIF(Payroll!$I52,CG$2,"M")/Payroll!$K52,0))),0))</f>
        <v/>
      </c>
      <c r="CH129" s="56">
        <f>IF(CH$2=Payroll!$I52,Payroll!$F52,IF(CH$2&gt;Payroll!$I52,Payroll!$F52*((1+Payroll!$J52)^(ROUNDDOWN(DATEDIF(Payroll!$I52,CH$2,"M")/Payroll!$K52,0))),0))</f>
        <v/>
      </c>
      <c r="CI129" s="56">
        <f>IF(CI$2=Payroll!$I52,Payroll!$F52,IF(CI$2&gt;Payroll!$I52,Payroll!$F52*((1+Payroll!$J52)^(ROUNDDOWN(DATEDIF(Payroll!$I52,CI$2,"M")/Payroll!$K52,0))),0))</f>
        <v/>
      </c>
      <c r="CJ129" s="56">
        <f>IF(CJ$2=Payroll!$I52,Payroll!$F52,IF(CJ$2&gt;Payroll!$I52,Payroll!$F52*((1+Payroll!$J52)^(ROUNDDOWN(DATEDIF(Payroll!$I52,CJ$2,"M")/Payroll!$K52,0))),0))</f>
        <v/>
      </c>
      <c r="CK129" s="56">
        <f>IF(CK$2=Payroll!$I52,Payroll!$F52,IF(CK$2&gt;Payroll!$I52,Payroll!$F52*((1+Payroll!$J52)^(ROUNDDOWN(DATEDIF(Payroll!$I52,CK$2,"M")/Payroll!$K52,0))),0))</f>
        <v/>
      </c>
      <c r="CL129" s="56">
        <f>IF(CL$2=Payroll!$I52,Payroll!$F52,IF(CL$2&gt;Payroll!$I52,Payroll!$F52*((1+Payroll!$J52)^(ROUNDDOWN(DATEDIF(Payroll!$I52,CL$2,"M")/Payroll!$K52,0))),0))</f>
        <v/>
      </c>
      <c r="CM129" s="56">
        <f>IF(CM$2=Payroll!$I52,Payroll!$F52,IF(CM$2&gt;Payroll!$I52,Payroll!$F52*((1+Payroll!$J52)^(ROUNDDOWN(DATEDIF(Payroll!$I52,CM$2,"M")/Payroll!$K52,0))),0))</f>
        <v/>
      </c>
      <c r="CN129" s="56">
        <f>IF(CN$2=Payroll!$I52,Payroll!$F52,IF(CN$2&gt;Payroll!$I52,Payroll!$F52*((1+Payroll!$J52)^(ROUNDDOWN(DATEDIF(Payroll!$I52,CN$2,"M")/Payroll!$K52,0))),0))</f>
        <v/>
      </c>
      <c r="CO129" s="56">
        <f>IF(CO$2=Payroll!$I52,Payroll!$F52,IF(CO$2&gt;Payroll!$I52,Payroll!$F52*((1+Payroll!$J52)^(ROUNDDOWN(DATEDIF(Payroll!$I52,CO$2,"M")/Payroll!$K52,0))),0))</f>
        <v/>
      </c>
      <c r="CP129" s="56">
        <f>IF(CP$2=Payroll!$I52,Payroll!$F52,IF(CP$2&gt;Payroll!$I52,Payroll!$F52*((1+Payroll!$J52)^(ROUNDDOWN(DATEDIF(Payroll!$I52,CP$2,"M")/Payroll!$K52,0))),0))</f>
        <v/>
      </c>
      <c r="CQ129" s="56">
        <f>IF(CQ$2=Payroll!$I52,Payroll!$F52,IF(CQ$2&gt;Payroll!$I52,Payroll!$F52*((1+Payroll!$J52)^(ROUNDDOWN(DATEDIF(Payroll!$I52,CQ$2,"M")/Payroll!$K52,0))),0))</f>
        <v/>
      </c>
      <c r="CR129" s="56">
        <f>IF(CR$2=Payroll!$I52,Payroll!$F52,IF(CR$2&gt;Payroll!$I52,Payroll!$F52*((1+Payroll!$J52)^(ROUNDDOWN(DATEDIF(Payroll!$I52,CR$2,"M")/Payroll!$K52,0))),0))</f>
        <v/>
      </c>
      <c r="CS129" s="56">
        <f>IF(CS$2=Payroll!$I52,Payroll!$F52,IF(CS$2&gt;Payroll!$I52,Payroll!$F52*((1+Payroll!$J52)^(ROUNDDOWN(DATEDIF(Payroll!$I52,CS$2,"M")/Payroll!$K52,0))),0))</f>
        <v/>
      </c>
      <c r="CT129" s="56">
        <f>IF(CT$2=Payroll!$I52,Payroll!$F52,IF(CT$2&gt;Payroll!$I52,Payroll!$F52*((1+Payroll!$J52)^(ROUNDDOWN(DATEDIF(Payroll!$I52,CT$2,"M")/Payroll!$K52,0))),0))</f>
        <v/>
      </c>
      <c r="CU129" s="56">
        <f>IF(CU$2=Payroll!$I52,Payroll!$F52,IF(CU$2&gt;Payroll!$I52,Payroll!$F52*((1+Payroll!$J52)^(ROUNDDOWN(DATEDIF(Payroll!$I52,CU$2,"M")/Payroll!$K52,0))),0))</f>
        <v/>
      </c>
      <c r="CV129" s="56">
        <f>IF(CV$2=Payroll!$I52,Payroll!$F52,IF(CV$2&gt;Payroll!$I52,Payroll!$F52*((1+Payroll!$J52)^(ROUNDDOWN(DATEDIF(Payroll!$I52,CV$2,"M")/Payroll!$K52,0))),0))</f>
        <v/>
      </c>
      <c r="CW129" s="56">
        <f>IF(CW$2=Payroll!$I52,Payroll!$F52,IF(CW$2&gt;Payroll!$I52,Payroll!$F52*((1+Payroll!$J52)^(ROUNDDOWN(DATEDIF(Payroll!$I52,CW$2,"M")/Payroll!$K52,0))),0))</f>
        <v/>
      </c>
      <c r="CX129" s="56">
        <f>IF(CX$2=Payroll!$I52,Payroll!$F52,IF(CX$2&gt;Payroll!$I52,Payroll!$F52*((1+Payroll!$J52)^(ROUNDDOWN(DATEDIF(Payroll!$I52,CX$2,"M")/Payroll!$K52,0))),0))</f>
        <v/>
      </c>
    </row>
    <row r="130" outlineLevel="2" ht="15.75" customHeight="1" s="255">
      <c r="A130" s="56">
        <f>Payroll!A53</f>
        <v/>
      </c>
      <c r="B130" s="56" t="n"/>
      <c r="C130" s="56" t="n"/>
      <c r="D130" s="56" t="n"/>
      <c r="E130" s="56">
        <f>IF(E$2=Payroll!$I53,Payroll!$F53,IF(E$2&gt;Payroll!$I53,Payroll!$F53*((1+Payroll!$J53)^(ROUNDDOWN(DATEDIF(Payroll!$I53,E$2,"M")/Payroll!$K53,0))),0))</f>
        <v/>
      </c>
      <c r="F130" s="56">
        <f>IF(F$2=Payroll!$I53,Payroll!$F53,IF(F$2&gt;Payroll!$I53,Payroll!$F53*((1+Payroll!$J53)^(ROUNDDOWN(DATEDIF(Payroll!$I53,F$2,"M")/Payroll!$K53,0))),0))</f>
        <v/>
      </c>
      <c r="G130" s="56">
        <f>IF(G$2=Payroll!$I53,Payroll!$F53,IF(G$2&gt;Payroll!$I53,Payroll!$F53*((1+Payroll!$J53)^(ROUNDDOWN(DATEDIF(Payroll!$I53,G$2,"M")/Payroll!$K53,0))),0))</f>
        <v/>
      </c>
      <c r="H130" s="56">
        <f>IF(H$2=Payroll!$I53,Payroll!$F53,IF(H$2&gt;Payroll!$I53,Payroll!$F53*((1+Payroll!$J53)^(ROUNDDOWN(DATEDIF(Payroll!$I53,H$2,"M")/Payroll!$K53,0))),0))</f>
        <v/>
      </c>
      <c r="I130" s="56">
        <f>IF(I$2=Payroll!$I53,Payroll!$F53,IF(I$2&gt;Payroll!$I53,Payroll!$F53*((1+Payroll!$J53)^(ROUNDDOWN(DATEDIF(Payroll!$I53,I$2,"M")/Payroll!$K53,0))),0))</f>
        <v/>
      </c>
      <c r="J130" s="56">
        <f>IF(J$2=Payroll!$I53,Payroll!$F53,IF(J$2&gt;Payroll!$I53,Payroll!$F53*((1+Payroll!$J53)^(ROUNDDOWN(DATEDIF(Payroll!$I53,J$2,"M")/Payroll!$K53,0))),0))</f>
        <v/>
      </c>
      <c r="K130" s="56">
        <f>IF(K$2=Payroll!$I53,Payroll!$F53,IF(K$2&gt;Payroll!$I53,Payroll!$F53*((1+Payroll!$J53)^(ROUNDDOWN(DATEDIF(Payroll!$I53,K$2,"M")/Payroll!$K53,0))),0))</f>
        <v/>
      </c>
      <c r="L130" s="56">
        <f>IF(L$2=Payroll!$I53,Payroll!$F53,IF(L$2&gt;Payroll!$I53,Payroll!$F53*((1+Payroll!$J53)^(ROUNDDOWN(DATEDIF(Payroll!$I53,L$2,"M")/Payroll!$K53,0))),0))</f>
        <v/>
      </c>
      <c r="M130" s="56">
        <f>IF(M$2=Payroll!$I53,Payroll!$F53,IF(M$2&gt;Payroll!$I53,Payroll!$F53*((1+Payroll!$J53)^(ROUNDDOWN(DATEDIF(Payroll!$I53,M$2,"M")/Payroll!$K53,0))),0))</f>
        <v/>
      </c>
      <c r="N130" s="56">
        <f>IF(N$2=Payroll!$I53,Payroll!$F53,IF(N$2&gt;Payroll!$I53,Payroll!$F53*((1+Payroll!$J53)^(ROUNDDOWN(DATEDIF(Payroll!$I53,N$2,"M")/Payroll!$K53,0))),0))</f>
        <v/>
      </c>
      <c r="O130" s="56">
        <f>IF(O$2=Payroll!$I53,Payroll!$F53,IF(O$2&gt;Payroll!$I53,Payroll!$F53*((1+Payroll!$J53)^(ROUNDDOWN(DATEDIF(Payroll!$I53,O$2,"M")/Payroll!$K53,0))),0))</f>
        <v/>
      </c>
      <c r="P130" s="56">
        <f>IF(P$2=Payroll!$I53,Payroll!$F53,IF(P$2&gt;Payroll!$I53,Payroll!$F53*((1+Payroll!$J53)^(ROUNDDOWN(DATEDIF(Payroll!$I53,P$2,"M")/Payroll!$K53,0))),0))</f>
        <v/>
      </c>
      <c r="Q130" s="56">
        <f>IF(Q$2=Payroll!$I53,Payroll!$F53,IF(Q$2&gt;Payroll!$I53,Payroll!$F53*((1+Payroll!$J53)^(ROUNDDOWN(DATEDIF(Payroll!$I53,Q$2,"M")/Payroll!$K53,0))),0))</f>
        <v/>
      </c>
      <c r="R130" s="56">
        <f>IF(R$2=Payroll!$I53,Payroll!$F53,IF(R$2&gt;Payroll!$I53,Payroll!$F53*((1+Payroll!$J53)^(ROUNDDOWN(DATEDIF(Payroll!$I53,R$2,"M")/Payroll!$K53,0))),0))</f>
        <v/>
      </c>
      <c r="S130" s="56">
        <f>IF(S$2=Payroll!$I53,Payroll!$F53,IF(S$2&gt;Payroll!$I53,Payroll!$F53*((1+Payroll!$J53)^(ROUNDDOWN(DATEDIF(Payroll!$I53,S$2,"M")/Payroll!$K53,0))),0))</f>
        <v/>
      </c>
      <c r="T130" s="56">
        <f>IF(T$2=Payroll!$I53,Payroll!$F53,IF(T$2&gt;Payroll!$I53,Payroll!$F53*((1+Payroll!$J53)^(ROUNDDOWN(DATEDIF(Payroll!$I53,T$2,"M")/Payroll!$K53,0))),0))</f>
        <v/>
      </c>
      <c r="U130" s="56">
        <f>IF(U$2=Payroll!$I53,Payroll!$F53,IF(U$2&gt;Payroll!$I53,Payroll!$F53*((1+Payroll!$J53)^(ROUNDDOWN(DATEDIF(Payroll!$I53,U$2,"M")/Payroll!$K53,0))),0))</f>
        <v/>
      </c>
      <c r="V130" s="56">
        <f>IF(V$2=Payroll!$I53,Payroll!$F53,IF(V$2&gt;Payroll!$I53,Payroll!$F53*((1+Payroll!$J53)^(ROUNDDOWN(DATEDIF(Payroll!$I53,V$2,"M")/Payroll!$K53,0))),0))</f>
        <v/>
      </c>
      <c r="W130" s="56">
        <f>IF(W$2=Payroll!$I53,Payroll!$F53,IF(W$2&gt;Payroll!$I53,Payroll!$F53*((1+Payroll!$J53)^(ROUNDDOWN(DATEDIF(Payroll!$I53,W$2,"M")/Payroll!$K53,0))),0))</f>
        <v/>
      </c>
      <c r="X130" s="56">
        <f>IF(X$2=Payroll!$I53,Payroll!$F53,IF(X$2&gt;Payroll!$I53,Payroll!$F53*((1+Payroll!$J53)^(ROUNDDOWN(DATEDIF(Payroll!$I53,X$2,"M")/Payroll!$K53,0))),0))</f>
        <v/>
      </c>
      <c r="Y130" s="56">
        <f>IF(Y$2=Payroll!$I53,Payroll!$F53,IF(Y$2&gt;Payroll!$I53,Payroll!$F53*((1+Payroll!$J53)^(ROUNDDOWN(DATEDIF(Payroll!$I53,Y$2,"M")/Payroll!$K53,0))),0))</f>
        <v/>
      </c>
      <c r="Z130" s="56">
        <f>IF(Z$2=Payroll!$I53,Payroll!$F53,IF(Z$2&gt;Payroll!$I53,Payroll!$F53*((1+Payroll!$J53)^(ROUNDDOWN(DATEDIF(Payroll!$I53,Z$2,"M")/Payroll!$K53,0))),0))</f>
        <v/>
      </c>
      <c r="AA130" s="56">
        <f>IF(AA$2=Payroll!$I53,Payroll!$F53,IF(AA$2&gt;Payroll!$I53,Payroll!$F53*((1+Payroll!$J53)^(ROUNDDOWN(DATEDIF(Payroll!$I53,AA$2,"M")/Payroll!$K53,0))),0))</f>
        <v/>
      </c>
      <c r="AB130" s="56">
        <f>IF(AB$2=Payroll!$I53,Payroll!$F53,IF(AB$2&gt;Payroll!$I53,Payroll!$F53*((1+Payroll!$J53)^(ROUNDDOWN(DATEDIF(Payroll!$I53,AB$2,"M")/Payroll!$K53,0))),0))</f>
        <v/>
      </c>
      <c r="AC130" s="56">
        <f>IF(AC$2=Payroll!$I53,Payroll!$F53,IF(AC$2&gt;Payroll!$I53,Payroll!$F53*((1+Payroll!$J53)^(ROUNDDOWN(DATEDIF(Payroll!$I53,AC$2,"M")/Payroll!$K53,0))),0))</f>
        <v/>
      </c>
      <c r="AD130" s="56">
        <f>IF(AD$2=Payroll!$I53,Payroll!$F53,IF(AD$2&gt;Payroll!$I53,Payroll!$F53*((1+Payroll!$J53)^(ROUNDDOWN(DATEDIF(Payroll!$I53,AD$2,"M")/Payroll!$K53,0))),0))</f>
        <v/>
      </c>
      <c r="AE130" s="56">
        <f>IF(AE$2=Payroll!$I53,Payroll!$F53,IF(AE$2&gt;Payroll!$I53,Payroll!$F53*((1+Payroll!$J53)^(ROUNDDOWN(DATEDIF(Payroll!$I53,AE$2,"M")/Payroll!$K53,0))),0))</f>
        <v/>
      </c>
      <c r="AF130" s="56">
        <f>IF(AF$2=Payroll!$I53,Payroll!$F53,IF(AF$2&gt;Payroll!$I53,Payroll!$F53*((1+Payroll!$J53)^(ROUNDDOWN(DATEDIF(Payroll!$I53,AF$2,"M")/Payroll!$K53,0))),0))</f>
        <v/>
      </c>
      <c r="AG130" s="56">
        <f>IF(AG$2=Payroll!$I53,Payroll!$F53,IF(AG$2&gt;Payroll!$I53,Payroll!$F53*((1+Payroll!$J53)^(ROUNDDOWN(DATEDIF(Payroll!$I53,AG$2,"M")/Payroll!$K53,0))),0))</f>
        <v/>
      </c>
      <c r="AH130" s="56">
        <f>IF(AH$2=Payroll!$I53,Payroll!$F53,IF(AH$2&gt;Payroll!$I53,Payroll!$F53*((1+Payroll!$J53)^(ROUNDDOWN(DATEDIF(Payroll!$I53,AH$2,"M")/Payroll!$K53,0))),0))</f>
        <v/>
      </c>
      <c r="AI130" s="56">
        <f>IF(AI$2=Payroll!$I53,Payroll!$F53,IF(AI$2&gt;Payroll!$I53,Payroll!$F53*((1+Payroll!$J53)^(ROUNDDOWN(DATEDIF(Payroll!$I53,AI$2,"M")/Payroll!$K53,0))),0))</f>
        <v/>
      </c>
      <c r="AJ130" s="56">
        <f>IF(AJ$2=Payroll!$I53,Payroll!$F53,IF(AJ$2&gt;Payroll!$I53,Payroll!$F53*((1+Payroll!$J53)^(ROUNDDOWN(DATEDIF(Payroll!$I53,AJ$2,"M")/Payroll!$K53,0))),0))</f>
        <v/>
      </c>
      <c r="AK130" s="56">
        <f>IF(AK$2=Payroll!$I53,Payroll!$F53,IF(AK$2&gt;Payroll!$I53,Payroll!$F53*((1+Payroll!$J53)^(ROUNDDOWN(DATEDIF(Payroll!$I53,AK$2,"M")/Payroll!$K53,0))),0))</f>
        <v/>
      </c>
      <c r="AL130" s="56">
        <f>IF(AL$2=Payroll!$I53,Payroll!$F53,IF(AL$2&gt;Payroll!$I53,Payroll!$F53*((1+Payroll!$J53)^(ROUNDDOWN(DATEDIF(Payroll!$I53,AL$2,"M")/Payroll!$K53,0))),0))</f>
        <v/>
      </c>
      <c r="AM130" s="56">
        <f>IF(AM$2=Payroll!$I53,Payroll!$F53,IF(AM$2&gt;Payroll!$I53,Payroll!$F53*((1+Payroll!$J53)^(ROUNDDOWN(DATEDIF(Payroll!$I53,AM$2,"M")/Payroll!$K53,0))),0))</f>
        <v/>
      </c>
      <c r="AN130" s="56">
        <f>IF(AN$2=Payroll!$I53,Payroll!$F53,IF(AN$2&gt;Payroll!$I53,Payroll!$F53*((1+Payroll!$J53)^(ROUNDDOWN(DATEDIF(Payroll!$I53,AN$2,"M")/Payroll!$K53,0))),0))</f>
        <v/>
      </c>
      <c r="AO130" s="56">
        <f>IF(AO$2=Payroll!$I53,Payroll!$F53,IF(AO$2&gt;Payroll!$I53,Payroll!$F53*((1+Payroll!$J53)^(ROUNDDOWN(DATEDIF(Payroll!$I53,AO$2,"M")/Payroll!$K53,0))),0))</f>
        <v/>
      </c>
      <c r="AP130" s="56">
        <f>IF(AP$2=Payroll!$I53,Payroll!$F53,IF(AP$2&gt;Payroll!$I53,Payroll!$F53*((1+Payroll!$J53)^(ROUNDDOWN(DATEDIF(Payroll!$I53,AP$2,"M")/Payroll!$K53,0))),0))</f>
        <v/>
      </c>
      <c r="AQ130" s="56">
        <f>IF(AQ$2=Payroll!$I53,Payroll!$F53,IF(AQ$2&gt;Payroll!$I53,Payroll!$F53*((1+Payroll!$J53)^(ROUNDDOWN(DATEDIF(Payroll!$I53,AQ$2,"M")/Payroll!$K53,0))),0))</f>
        <v/>
      </c>
      <c r="AR130" s="56">
        <f>IF(AR$2=Payroll!$I53,Payroll!$F53,IF(AR$2&gt;Payroll!$I53,Payroll!$F53*((1+Payroll!$J53)^(ROUNDDOWN(DATEDIF(Payroll!$I53,AR$2,"M")/Payroll!$K53,0))),0))</f>
        <v/>
      </c>
      <c r="AS130" s="56">
        <f>IF(AS$2=Payroll!$I53,Payroll!$F53,IF(AS$2&gt;Payroll!$I53,Payroll!$F53*((1+Payroll!$J53)^(ROUNDDOWN(DATEDIF(Payroll!$I53,AS$2,"M")/Payroll!$K53,0))),0))</f>
        <v/>
      </c>
      <c r="AT130" s="56">
        <f>IF(AT$2=Payroll!$I53,Payroll!$F53,IF(AT$2&gt;Payroll!$I53,Payroll!$F53*((1+Payroll!$J53)^(ROUNDDOWN(DATEDIF(Payroll!$I53,AT$2,"M")/Payroll!$K53,0))),0))</f>
        <v/>
      </c>
      <c r="AU130" s="56">
        <f>IF(AU$2=Payroll!$I53,Payroll!$F53,IF(AU$2&gt;Payroll!$I53,Payroll!$F53*((1+Payroll!$J53)^(ROUNDDOWN(DATEDIF(Payroll!$I53,AU$2,"M")/Payroll!$K53,0))),0))</f>
        <v/>
      </c>
      <c r="AV130" s="56">
        <f>IF(AV$2=Payroll!$I53,Payroll!$F53,IF(AV$2&gt;Payroll!$I53,Payroll!$F53*((1+Payroll!$J53)^(ROUNDDOWN(DATEDIF(Payroll!$I53,AV$2,"M")/Payroll!$K53,0))),0))</f>
        <v/>
      </c>
      <c r="AW130" s="56">
        <f>IF(AW$2=Payroll!$I53,Payroll!$F53,IF(AW$2&gt;Payroll!$I53,Payroll!$F53*((1+Payroll!$J53)^(ROUNDDOWN(DATEDIF(Payroll!$I53,AW$2,"M")/Payroll!$K53,0))),0))</f>
        <v/>
      </c>
      <c r="AX130" s="56">
        <f>IF(AX$2=Payroll!$I53,Payroll!$F53,IF(AX$2&gt;Payroll!$I53,Payroll!$F53*((1+Payroll!$J53)^(ROUNDDOWN(DATEDIF(Payroll!$I53,AX$2,"M")/Payroll!$K53,0))),0))</f>
        <v/>
      </c>
      <c r="AY130" s="56">
        <f>IF(AY$2=Payroll!$I53,Payroll!$F53,IF(AY$2&gt;Payroll!$I53,Payroll!$F53*((1+Payroll!$J53)^(ROUNDDOWN(DATEDIF(Payroll!$I53,AY$2,"M")/Payroll!$K53,0))),0))</f>
        <v/>
      </c>
      <c r="AZ130" s="56">
        <f>IF(AZ$2=Payroll!$I53,Payroll!$F53,IF(AZ$2&gt;Payroll!$I53,Payroll!$F53*((1+Payroll!$J53)^(ROUNDDOWN(DATEDIF(Payroll!$I53,AZ$2,"M")/Payroll!$K53,0))),0))</f>
        <v/>
      </c>
      <c r="BA130" s="56">
        <f>IF(BA$2=Payroll!$I53,Payroll!$F53,IF(BA$2&gt;Payroll!$I53,Payroll!$F53*((1+Payroll!$J53)^(ROUNDDOWN(DATEDIF(Payroll!$I53,BA$2,"M")/Payroll!$K53,0))),0))</f>
        <v/>
      </c>
      <c r="BB130" s="56">
        <f>IF(BB$2=Payroll!$I53,Payroll!$F53,IF(BB$2&gt;Payroll!$I53,Payroll!$F53*((1+Payroll!$J53)^(ROUNDDOWN(DATEDIF(Payroll!$I53,BB$2,"M")/Payroll!$K53,0))),0))</f>
        <v/>
      </c>
      <c r="BC130" s="56">
        <f>IF(BC$2=Payroll!$I53,Payroll!$F53,IF(BC$2&gt;Payroll!$I53,Payroll!$F53*((1+Payroll!$J53)^(ROUNDDOWN(DATEDIF(Payroll!$I53,BC$2,"M")/Payroll!$K53,0))),0))</f>
        <v/>
      </c>
      <c r="BD130" s="56">
        <f>IF(BD$2=Payroll!$I53,Payroll!$F53,IF(BD$2&gt;Payroll!$I53,Payroll!$F53*((1+Payroll!$J53)^(ROUNDDOWN(DATEDIF(Payroll!$I53,BD$2,"M")/Payroll!$K53,0))),0))</f>
        <v/>
      </c>
      <c r="BE130" s="56">
        <f>IF(BE$2=Payroll!$I53,Payroll!$F53,IF(BE$2&gt;Payroll!$I53,Payroll!$F53*((1+Payroll!$J53)^(ROUNDDOWN(DATEDIF(Payroll!$I53,BE$2,"M")/Payroll!$K53,0))),0))</f>
        <v/>
      </c>
      <c r="BF130" s="56">
        <f>IF(BF$2=Payroll!$I53,Payroll!$F53,IF(BF$2&gt;Payroll!$I53,Payroll!$F53*((1+Payroll!$J53)^(ROUNDDOWN(DATEDIF(Payroll!$I53,BF$2,"M")/Payroll!$K53,0))),0))</f>
        <v/>
      </c>
      <c r="BG130" s="56">
        <f>IF(BG$2=Payroll!$I53,Payroll!$F53,IF(BG$2&gt;Payroll!$I53,Payroll!$F53*((1+Payroll!$J53)^(ROUNDDOWN(DATEDIF(Payroll!$I53,BG$2,"M")/Payroll!$K53,0))),0))</f>
        <v/>
      </c>
      <c r="BH130" s="56">
        <f>IF(BH$2=Payroll!$I53,Payroll!$F53,IF(BH$2&gt;Payroll!$I53,Payroll!$F53*((1+Payroll!$J53)^(ROUNDDOWN(DATEDIF(Payroll!$I53,BH$2,"M")/Payroll!$K53,0))),0))</f>
        <v/>
      </c>
      <c r="BI130" s="56">
        <f>IF(BI$2=Payroll!$I53,Payroll!$F53,IF(BI$2&gt;Payroll!$I53,Payroll!$F53*((1+Payroll!$J53)^(ROUNDDOWN(DATEDIF(Payroll!$I53,BI$2,"M")/Payroll!$K53,0))),0))</f>
        <v/>
      </c>
      <c r="BJ130" s="56">
        <f>IF(BJ$2=Payroll!$I53,Payroll!$F53,IF(BJ$2&gt;Payroll!$I53,Payroll!$F53*((1+Payroll!$J53)^(ROUNDDOWN(DATEDIF(Payroll!$I53,BJ$2,"M")/Payroll!$K53,0))),0))</f>
        <v/>
      </c>
      <c r="BK130" s="56">
        <f>IF(BK$2=Payroll!$I53,Payroll!$F53,IF(BK$2&gt;Payroll!$I53,Payroll!$F53*((1+Payroll!$J53)^(ROUNDDOWN(DATEDIF(Payroll!$I53,BK$2,"M")/Payroll!$K53,0))),0))</f>
        <v/>
      </c>
      <c r="BL130" s="56">
        <f>IF(BL$2=Payroll!$I53,Payroll!$F53,IF(BL$2&gt;Payroll!$I53,Payroll!$F53*((1+Payroll!$J53)^(ROUNDDOWN(DATEDIF(Payroll!$I53,BL$2,"M")/Payroll!$K53,0))),0))</f>
        <v/>
      </c>
      <c r="BM130" s="56">
        <f>IF(BM$2=Payroll!$I53,Payroll!$F53,IF(BM$2&gt;Payroll!$I53,Payroll!$F53*((1+Payroll!$J53)^(ROUNDDOWN(DATEDIF(Payroll!$I53,BM$2,"M")/Payroll!$K53,0))),0))</f>
        <v/>
      </c>
      <c r="BN130" s="56">
        <f>IF(BN$2=Payroll!$I53,Payroll!$F53,IF(BN$2&gt;Payroll!$I53,Payroll!$F53*((1+Payroll!$J53)^(ROUNDDOWN(DATEDIF(Payroll!$I53,BN$2,"M")/Payroll!$K53,0))),0))</f>
        <v/>
      </c>
      <c r="BO130" s="56">
        <f>IF(BO$2=Payroll!$I53,Payroll!$F53,IF(BO$2&gt;Payroll!$I53,Payroll!$F53*((1+Payroll!$J53)^(ROUNDDOWN(DATEDIF(Payroll!$I53,BO$2,"M")/Payroll!$K53,0))),0))</f>
        <v/>
      </c>
      <c r="BP130" s="56">
        <f>IF(BP$2=Payroll!$I53,Payroll!$F53,IF(BP$2&gt;Payroll!$I53,Payroll!$F53*((1+Payroll!$J53)^(ROUNDDOWN(DATEDIF(Payroll!$I53,BP$2,"M")/Payroll!$K53,0))),0))</f>
        <v/>
      </c>
      <c r="BQ130" s="56">
        <f>IF(BQ$2=Payroll!$I53,Payroll!$F53,IF(BQ$2&gt;Payroll!$I53,Payroll!$F53*((1+Payroll!$J53)^(ROUNDDOWN(DATEDIF(Payroll!$I53,BQ$2,"M")/Payroll!$K53,0))),0))</f>
        <v/>
      </c>
      <c r="BR130" s="56">
        <f>IF(BR$2=Payroll!$I53,Payroll!$F53,IF(BR$2&gt;Payroll!$I53,Payroll!$F53*((1+Payroll!$J53)^(ROUNDDOWN(DATEDIF(Payroll!$I53,BR$2,"M")/Payroll!$K53,0))),0))</f>
        <v/>
      </c>
      <c r="BS130" s="56">
        <f>IF(BS$2=Payroll!$I53,Payroll!$F53,IF(BS$2&gt;Payroll!$I53,Payroll!$F53*((1+Payroll!$J53)^(ROUNDDOWN(DATEDIF(Payroll!$I53,BS$2,"M")/Payroll!$K53,0))),0))</f>
        <v/>
      </c>
      <c r="BT130" s="56">
        <f>IF(BT$2=Payroll!$I53,Payroll!$F53,IF(BT$2&gt;Payroll!$I53,Payroll!$F53*((1+Payroll!$J53)^(ROUNDDOWN(DATEDIF(Payroll!$I53,BT$2,"M")/Payroll!$K53,0))),0))</f>
        <v/>
      </c>
      <c r="BU130" s="56">
        <f>IF(BU$2=Payroll!$I53,Payroll!$F53,IF(BU$2&gt;Payroll!$I53,Payroll!$F53*((1+Payroll!$J53)^(ROUNDDOWN(DATEDIF(Payroll!$I53,BU$2,"M")/Payroll!$K53,0))),0))</f>
        <v/>
      </c>
      <c r="BV130" s="56">
        <f>IF(BV$2=Payroll!$I53,Payroll!$F53,IF(BV$2&gt;Payroll!$I53,Payroll!$F53*((1+Payroll!$J53)^(ROUNDDOWN(DATEDIF(Payroll!$I53,BV$2,"M")/Payroll!$K53,0))),0))</f>
        <v/>
      </c>
      <c r="BW130" s="56">
        <f>IF(BW$2=Payroll!$I53,Payroll!$F53,IF(BW$2&gt;Payroll!$I53,Payroll!$F53*((1+Payroll!$J53)^(ROUNDDOWN(DATEDIF(Payroll!$I53,BW$2,"M")/Payroll!$K53,0))),0))</f>
        <v/>
      </c>
      <c r="BX130" s="56">
        <f>IF(BX$2=Payroll!$I53,Payroll!$F53,IF(BX$2&gt;Payroll!$I53,Payroll!$F53*((1+Payroll!$J53)^(ROUNDDOWN(DATEDIF(Payroll!$I53,BX$2,"M")/Payroll!$K53,0))),0))</f>
        <v/>
      </c>
      <c r="BY130" s="56">
        <f>IF(BY$2=Payroll!$I53,Payroll!$F53,IF(BY$2&gt;Payroll!$I53,Payroll!$F53*((1+Payroll!$J53)^(ROUNDDOWN(DATEDIF(Payroll!$I53,BY$2,"M")/Payroll!$K53,0))),0))</f>
        <v/>
      </c>
      <c r="BZ130" s="56">
        <f>IF(BZ$2=Payroll!$I53,Payroll!$F53,IF(BZ$2&gt;Payroll!$I53,Payroll!$F53*((1+Payroll!$J53)^(ROUNDDOWN(DATEDIF(Payroll!$I53,BZ$2,"M")/Payroll!$K53,0))),0))</f>
        <v/>
      </c>
      <c r="CA130" s="56">
        <f>IF(CA$2=Payroll!$I53,Payroll!$F53,IF(CA$2&gt;Payroll!$I53,Payroll!$F53*((1+Payroll!$J53)^(ROUNDDOWN(DATEDIF(Payroll!$I53,CA$2,"M")/Payroll!$K53,0))),0))</f>
        <v/>
      </c>
      <c r="CB130" s="56">
        <f>IF(CB$2=Payroll!$I53,Payroll!$F53,IF(CB$2&gt;Payroll!$I53,Payroll!$F53*((1+Payroll!$J53)^(ROUNDDOWN(DATEDIF(Payroll!$I53,CB$2,"M")/Payroll!$K53,0))),0))</f>
        <v/>
      </c>
      <c r="CC130" s="56">
        <f>IF(CC$2=Payroll!$I53,Payroll!$F53,IF(CC$2&gt;Payroll!$I53,Payroll!$F53*((1+Payroll!$J53)^(ROUNDDOWN(DATEDIF(Payroll!$I53,CC$2,"M")/Payroll!$K53,0))),0))</f>
        <v/>
      </c>
      <c r="CD130" s="56">
        <f>IF(CD$2=Payroll!$I53,Payroll!$F53,IF(CD$2&gt;Payroll!$I53,Payroll!$F53*((1+Payroll!$J53)^(ROUNDDOWN(DATEDIF(Payroll!$I53,CD$2,"M")/Payroll!$K53,0))),0))</f>
        <v/>
      </c>
      <c r="CE130" s="56">
        <f>IF(CE$2=Payroll!$I53,Payroll!$F53,IF(CE$2&gt;Payroll!$I53,Payroll!$F53*((1+Payroll!$J53)^(ROUNDDOWN(DATEDIF(Payroll!$I53,CE$2,"M")/Payroll!$K53,0))),0))</f>
        <v/>
      </c>
      <c r="CF130" s="56">
        <f>IF(CF$2=Payroll!$I53,Payroll!$F53,IF(CF$2&gt;Payroll!$I53,Payroll!$F53*((1+Payroll!$J53)^(ROUNDDOWN(DATEDIF(Payroll!$I53,CF$2,"M")/Payroll!$K53,0))),0))</f>
        <v/>
      </c>
      <c r="CG130" s="56">
        <f>IF(CG$2=Payroll!$I53,Payroll!$F53,IF(CG$2&gt;Payroll!$I53,Payroll!$F53*((1+Payroll!$J53)^(ROUNDDOWN(DATEDIF(Payroll!$I53,CG$2,"M")/Payroll!$K53,0))),0))</f>
        <v/>
      </c>
      <c r="CH130" s="56">
        <f>IF(CH$2=Payroll!$I53,Payroll!$F53,IF(CH$2&gt;Payroll!$I53,Payroll!$F53*((1+Payroll!$J53)^(ROUNDDOWN(DATEDIF(Payroll!$I53,CH$2,"M")/Payroll!$K53,0))),0))</f>
        <v/>
      </c>
      <c r="CI130" s="56">
        <f>IF(CI$2=Payroll!$I53,Payroll!$F53,IF(CI$2&gt;Payroll!$I53,Payroll!$F53*((1+Payroll!$J53)^(ROUNDDOWN(DATEDIF(Payroll!$I53,CI$2,"M")/Payroll!$K53,0))),0))</f>
        <v/>
      </c>
      <c r="CJ130" s="56">
        <f>IF(CJ$2=Payroll!$I53,Payroll!$F53,IF(CJ$2&gt;Payroll!$I53,Payroll!$F53*((1+Payroll!$J53)^(ROUNDDOWN(DATEDIF(Payroll!$I53,CJ$2,"M")/Payroll!$K53,0))),0))</f>
        <v/>
      </c>
      <c r="CK130" s="56">
        <f>IF(CK$2=Payroll!$I53,Payroll!$F53,IF(CK$2&gt;Payroll!$I53,Payroll!$F53*((1+Payroll!$J53)^(ROUNDDOWN(DATEDIF(Payroll!$I53,CK$2,"M")/Payroll!$K53,0))),0))</f>
        <v/>
      </c>
      <c r="CL130" s="56">
        <f>IF(CL$2=Payroll!$I53,Payroll!$F53,IF(CL$2&gt;Payroll!$I53,Payroll!$F53*((1+Payroll!$J53)^(ROUNDDOWN(DATEDIF(Payroll!$I53,CL$2,"M")/Payroll!$K53,0))),0))</f>
        <v/>
      </c>
      <c r="CM130" s="56">
        <f>IF(CM$2=Payroll!$I53,Payroll!$F53,IF(CM$2&gt;Payroll!$I53,Payroll!$F53*((1+Payroll!$J53)^(ROUNDDOWN(DATEDIF(Payroll!$I53,CM$2,"M")/Payroll!$K53,0))),0))</f>
        <v/>
      </c>
      <c r="CN130" s="56">
        <f>IF(CN$2=Payroll!$I53,Payroll!$F53,IF(CN$2&gt;Payroll!$I53,Payroll!$F53*((1+Payroll!$J53)^(ROUNDDOWN(DATEDIF(Payroll!$I53,CN$2,"M")/Payroll!$K53,0))),0))</f>
        <v/>
      </c>
      <c r="CO130" s="56">
        <f>IF(CO$2=Payroll!$I53,Payroll!$F53,IF(CO$2&gt;Payroll!$I53,Payroll!$F53*((1+Payroll!$J53)^(ROUNDDOWN(DATEDIF(Payroll!$I53,CO$2,"M")/Payroll!$K53,0))),0))</f>
        <v/>
      </c>
      <c r="CP130" s="56">
        <f>IF(CP$2=Payroll!$I53,Payroll!$F53,IF(CP$2&gt;Payroll!$I53,Payroll!$F53*((1+Payroll!$J53)^(ROUNDDOWN(DATEDIF(Payroll!$I53,CP$2,"M")/Payroll!$K53,0))),0))</f>
        <v/>
      </c>
      <c r="CQ130" s="56">
        <f>IF(CQ$2=Payroll!$I53,Payroll!$F53,IF(CQ$2&gt;Payroll!$I53,Payroll!$F53*((1+Payroll!$J53)^(ROUNDDOWN(DATEDIF(Payroll!$I53,CQ$2,"M")/Payroll!$K53,0))),0))</f>
        <v/>
      </c>
      <c r="CR130" s="56">
        <f>IF(CR$2=Payroll!$I53,Payroll!$F53,IF(CR$2&gt;Payroll!$I53,Payroll!$F53*((1+Payroll!$J53)^(ROUNDDOWN(DATEDIF(Payroll!$I53,CR$2,"M")/Payroll!$K53,0))),0))</f>
        <v/>
      </c>
      <c r="CS130" s="56">
        <f>IF(CS$2=Payroll!$I53,Payroll!$F53,IF(CS$2&gt;Payroll!$I53,Payroll!$F53*((1+Payroll!$J53)^(ROUNDDOWN(DATEDIF(Payroll!$I53,CS$2,"M")/Payroll!$K53,0))),0))</f>
        <v/>
      </c>
      <c r="CT130" s="56">
        <f>IF(CT$2=Payroll!$I53,Payroll!$F53,IF(CT$2&gt;Payroll!$I53,Payroll!$F53*((1+Payroll!$J53)^(ROUNDDOWN(DATEDIF(Payroll!$I53,CT$2,"M")/Payroll!$K53,0))),0))</f>
        <v/>
      </c>
      <c r="CU130" s="56">
        <f>IF(CU$2=Payroll!$I53,Payroll!$F53,IF(CU$2&gt;Payroll!$I53,Payroll!$F53*((1+Payroll!$J53)^(ROUNDDOWN(DATEDIF(Payroll!$I53,CU$2,"M")/Payroll!$K53,0))),0))</f>
        <v/>
      </c>
      <c r="CV130" s="56">
        <f>IF(CV$2=Payroll!$I53,Payroll!$F53,IF(CV$2&gt;Payroll!$I53,Payroll!$F53*((1+Payroll!$J53)^(ROUNDDOWN(DATEDIF(Payroll!$I53,CV$2,"M")/Payroll!$K53,0))),0))</f>
        <v/>
      </c>
      <c r="CW130" s="56">
        <f>IF(CW$2=Payroll!$I53,Payroll!$F53,IF(CW$2&gt;Payroll!$I53,Payroll!$F53*((1+Payroll!$J53)^(ROUNDDOWN(DATEDIF(Payroll!$I53,CW$2,"M")/Payroll!$K53,0))),0))</f>
        <v/>
      </c>
      <c r="CX130" s="56">
        <f>IF(CX$2=Payroll!$I53,Payroll!$F53,IF(CX$2&gt;Payroll!$I53,Payroll!$F53*((1+Payroll!$J53)^(ROUNDDOWN(DATEDIF(Payroll!$I53,CX$2,"M")/Payroll!$K53,0))),0))</f>
        <v/>
      </c>
    </row>
    <row r="131" outlineLevel="2" ht="15.75" customHeight="1" s="255">
      <c r="A131" s="56">
        <f>Payroll!A54</f>
        <v/>
      </c>
      <c r="B131" s="56" t="n"/>
      <c r="C131" s="56" t="n"/>
      <c r="D131" s="56" t="n"/>
      <c r="E131" s="56">
        <f>IF(E$2=Payroll!$I54,Payroll!$F54,IF(E$2&gt;Payroll!$I54,Payroll!$F54*((1+Payroll!$J54)^(ROUNDDOWN(DATEDIF(Payroll!$I54,E$2,"M")/Payroll!$K54,0))),0))</f>
        <v/>
      </c>
      <c r="F131" s="56">
        <f>IF(F$2=Payroll!$I54,Payroll!$F54,IF(F$2&gt;Payroll!$I54,Payroll!$F54*((1+Payroll!$J54)^(ROUNDDOWN(DATEDIF(Payroll!$I54,F$2,"M")/Payroll!$K54,0))),0))</f>
        <v/>
      </c>
      <c r="G131" s="56">
        <f>IF(G$2=Payroll!$I54,Payroll!$F54,IF(G$2&gt;Payroll!$I54,Payroll!$F54*((1+Payroll!$J54)^(ROUNDDOWN(DATEDIF(Payroll!$I54,G$2,"M")/Payroll!$K54,0))),0))</f>
        <v/>
      </c>
      <c r="H131" s="56">
        <f>IF(H$2=Payroll!$I54,Payroll!$F54,IF(H$2&gt;Payroll!$I54,Payroll!$F54*((1+Payroll!$J54)^(ROUNDDOWN(DATEDIF(Payroll!$I54,H$2,"M")/Payroll!$K54,0))),0))</f>
        <v/>
      </c>
      <c r="I131" s="56">
        <f>IF(I$2=Payroll!$I54,Payroll!$F54,IF(I$2&gt;Payroll!$I54,Payroll!$F54*((1+Payroll!$J54)^(ROUNDDOWN(DATEDIF(Payroll!$I54,I$2,"M")/Payroll!$K54,0))),0))</f>
        <v/>
      </c>
      <c r="J131" s="56">
        <f>IF(J$2=Payroll!$I54,Payroll!$F54,IF(J$2&gt;Payroll!$I54,Payroll!$F54*((1+Payroll!$J54)^(ROUNDDOWN(DATEDIF(Payroll!$I54,J$2,"M")/Payroll!$K54,0))),0))</f>
        <v/>
      </c>
      <c r="K131" s="56">
        <f>IF(K$2=Payroll!$I54,Payroll!$F54,IF(K$2&gt;Payroll!$I54,Payroll!$F54*((1+Payroll!$J54)^(ROUNDDOWN(DATEDIF(Payroll!$I54,K$2,"M")/Payroll!$K54,0))),0))</f>
        <v/>
      </c>
      <c r="L131" s="56">
        <f>IF(L$2=Payroll!$I54,Payroll!$F54,IF(L$2&gt;Payroll!$I54,Payroll!$F54*((1+Payroll!$J54)^(ROUNDDOWN(DATEDIF(Payroll!$I54,L$2,"M")/Payroll!$K54,0))),0))</f>
        <v/>
      </c>
      <c r="M131" s="56">
        <f>IF(M$2=Payroll!$I54,Payroll!$F54,IF(M$2&gt;Payroll!$I54,Payroll!$F54*((1+Payroll!$J54)^(ROUNDDOWN(DATEDIF(Payroll!$I54,M$2,"M")/Payroll!$K54,0))),0))</f>
        <v/>
      </c>
      <c r="N131" s="56">
        <f>IF(N$2=Payroll!$I54,Payroll!$F54,IF(N$2&gt;Payroll!$I54,Payroll!$F54*((1+Payroll!$J54)^(ROUNDDOWN(DATEDIF(Payroll!$I54,N$2,"M")/Payroll!$K54,0))),0))</f>
        <v/>
      </c>
      <c r="O131" s="56">
        <f>IF(O$2=Payroll!$I54,Payroll!$F54,IF(O$2&gt;Payroll!$I54,Payroll!$F54*((1+Payroll!$J54)^(ROUNDDOWN(DATEDIF(Payroll!$I54,O$2,"M")/Payroll!$K54,0))),0))</f>
        <v/>
      </c>
      <c r="P131" s="56">
        <f>IF(P$2=Payroll!$I54,Payroll!$F54,IF(P$2&gt;Payroll!$I54,Payroll!$F54*((1+Payroll!$J54)^(ROUNDDOWN(DATEDIF(Payroll!$I54,P$2,"M")/Payroll!$K54,0))),0))</f>
        <v/>
      </c>
      <c r="Q131" s="56">
        <f>IF(Q$2=Payroll!$I54,Payroll!$F54,IF(Q$2&gt;Payroll!$I54,Payroll!$F54*((1+Payroll!$J54)^(ROUNDDOWN(DATEDIF(Payroll!$I54,Q$2,"M")/Payroll!$K54,0))),0))</f>
        <v/>
      </c>
      <c r="R131" s="56">
        <f>IF(R$2=Payroll!$I54,Payroll!$F54,IF(R$2&gt;Payroll!$I54,Payroll!$F54*((1+Payroll!$J54)^(ROUNDDOWN(DATEDIF(Payroll!$I54,R$2,"M")/Payroll!$K54,0))),0))</f>
        <v/>
      </c>
      <c r="S131" s="56">
        <f>IF(S$2=Payroll!$I54,Payroll!$F54,IF(S$2&gt;Payroll!$I54,Payroll!$F54*((1+Payroll!$J54)^(ROUNDDOWN(DATEDIF(Payroll!$I54,S$2,"M")/Payroll!$K54,0))),0))</f>
        <v/>
      </c>
      <c r="T131" s="56">
        <f>IF(T$2=Payroll!$I54,Payroll!$F54,IF(T$2&gt;Payroll!$I54,Payroll!$F54*((1+Payroll!$J54)^(ROUNDDOWN(DATEDIF(Payroll!$I54,T$2,"M")/Payroll!$K54,0))),0))</f>
        <v/>
      </c>
      <c r="U131" s="56">
        <f>IF(U$2=Payroll!$I54,Payroll!$F54,IF(U$2&gt;Payroll!$I54,Payroll!$F54*((1+Payroll!$J54)^(ROUNDDOWN(DATEDIF(Payroll!$I54,U$2,"M")/Payroll!$K54,0))),0))</f>
        <v/>
      </c>
      <c r="V131" s="56">
        <f>IF(V$2=Payroll!$I54,Payroll!$F54,IF(V$2&gt;Payroll!$I54,Payroll!$F54*((1+Payroll!$J54)^(ROUNDDOWN(DATEDIF(Payroll!$I54,V$2,"M")/Payroll!$K54,0))),0))</f>
        <v/>
      </c>
      <c r="W131" s="56">
        <f>IF(W$2=Payroll!$I54,Payroll!$F54,IF(W$2&gt;Payroll!$I54,Payroll!$F54*((1+Payroll!$J54)^(ROUNDDOWN(DATEDIF(Payroll!$I54,W$2,"M")/Payroll!$K54,0))),0))</f>
        <v/>
      </c>
      <c r="X131" s="56">
        <f>IF(X$2=Payroll!$I54,Payroll!$F54,IF(X$2&gt;Payroll!$I54,Payroll!$F54*((1+Payroll!$J54)^(ROUNDDOWN(DATEDIF(Payroll!$I54,X$2,"M")/Payroll!$K54,0))),0))</f>
        <v/>
      </c>
      <c r="Y131" s="56">
        <f>IF(Y$2=Payroll!$I54,Payroll!$F54,IF(Y$2&gt;Payroll!$I54,Payroll!$F54*((1+Payroll!$J54)^(ROUNDDOWN(DATEDIF(Payroll!$I54,Y$2,"M")/Payroll!$K54,0))),0))</f>
        <v/>
      </c>
      <c r="Z131" s="56">
        <f>IF(Z$2=Payroll!$I54,Payroll!$F54,IF(Z$2&gt;Payroll!$I54,Payroll!$F54*((1+Payroll!$J54)^(ROUNDDOWN(DATEDIF(Payroll!$I54,Z$2,"M")/Payroll!$K54,0))),0))</f>
        <v/>
      </c>
      <c r="AA131" s="56">
        <f>IF(AA$2=Payroll!$I54,Payroll!$F54,IF(AA$2&gt;Payroll!$I54,Payroll!$F54*((1+Payroll!$J54)^(ROUNDDOWN(DATEDIF(Payroll!$I54,AA$2,"M")/Payroll!$K54,0))),0))</f>
        <v/>
      </c>
      <c r="AB131" s="56">
        <f>IF(AB$2=Payroll!$I54,Payroll!$F54,IF(AB$2&gt;Payroll!$I54,Payroll!$F54*((1+Payroll!$J54)^(ROUNDDOWN(DATEDIF(Payroll!$I54,AB$2,"M")/Payroll!$K54,0))),0))</f>
        <v/>
      </c>
      <c r="AC131" s="56">
        <f>IF(AC$2=Payroll!$I54,Payroll!$F54,IF(AC$2&gt;Payroll!$I54,Payroll!$F54*((1+Payroll!$J54)^(ROUNDDOWN(DATEDIF(Payroll!$I54,AC$2,"M")/Payroll!$K54,0))),0))</f>
        <v/>
      </c>
      <c r="AD131" s="56">
        <f>IF(AD$2=Payroll!$I54,Payroll!$F54,IF(AD$2&gt;Payroll!$I54,Payroll!$F54*((1+Payroll!$J54)^(ROUNDDOWN(DATEDIF(Payroll!$I54,AD$2,"M")/Payroll!$K54,0))),0))</f>
        <v/>
      </c>
      <c r="AE131" s="56">
        <f>IF(AE$2=Payroll!$I54,Payroll!$F54,IF(AE$2&gt;Payroll!$I54,Payroll!$F54*((1+Payroll!$J54)^(ROUNDDOWN(DATEDIF(Payroll!$I54,AE$2,"M")/Payroll!$K54,0))),0))</f>
        <v/>
      </c>
      <c r="AF131" s="56">
        <f>IF(AF$2=Payroll!$I54,Payroll!$F54,IF(AF$2&gt;Payroll!$I54,Payroll!$F54*((1+Payroll!$J54)^(ROUNDDOWN(DATEDIF(Payroll!$I54,AF$2,"M")/Payroll!$K54,0))),0))</f>
        <v/>
      </c>
      <c r="AG131" s="56">
        <f>IF(AG$2=Payroll!$I54,Payroll!$F54,IF(AG$2&gt;Payroll!$I54,Payroll!$F54*((1+Payroll!$J54)^(ROUNDDOWN(DATEDIF(Payroll!$I54,AG$2,"M")/Payroll!$K54,0))),0))</f>
        <v/>
      </c>
      <c r="AH131" s="56">
        <f>IF(AH$2=Payroll!$I54,Payroll!$F54,IF(AH$2&gt;Payroll!$I54,Payroll!$F54*((1+Payroll!$J54)^(ROUNDDOWN(DATEDIF(Payroll!$I54,AH$2,"M")/Payroll!$K54,0))),0))</f>
        <v/>
      </c>
      <c r="AI131" s="56">
        <f>IF(AI$2=Payroll!$I54,Payroll!$F54,IF(AI$2&gt;Payroll!$I54,Payroll!$F54*((1+Payroll!$J54)^(ROUNDDOWN(DATEDIF(Payroll!$I54,AI$2,"M")/Payroll!$K54,0))),0))</f>
        <v/>
      </c>
      <c r="AJ131" s="56">
        <f>IF(AJ$2=Payroll!$I54,Payroll!$F54,IF(AJ$2&gt;Payroll!$I54,Payroll!$F54*((1+Payroll!$J54)^(ROUNDDOWN(DATEDIF(Payroll!$I54,AJ$2,"M")/Payroll!$K54,0))),0))</f>
        <v/>
      </c>
      <c r="AK131" s="56">
        <f>IF(AK$2=Payroll!$I54,Payroll!$F54,IF(AK$2&gt;Payroll!$I54,Payroll!$F54*((1+Payroll!$J54)^(ROUNDDOWN(DATEDIF(Payroll!$I54,AK$2,"M")/Payroll!$K54,0))),0))</f>
        <v/>
      </c>
      <c r="AL131" s="56">
        <f>IF(AL$2=Payroll!$I54,Payroll!$F54,IF(AL$2&gt;Payroll!$I54,Payroll!$F54*((1+Payroll!$J54)^(ROUNDDOWN(DATEDIF(Payroll!$I54,AL$2,"M")/Payroll!$K54,0))),0))</f>
        <v/>
      </c>
      <c r="AM131" s="56">
        <f>IF(AM$2=Payroll!$I54,Payroll!$F54,IF(AM$2&gt;Payroll!$I54,Payroll!$F54*((1+Payroll!$J54)^(ROUNDDOWN(DATEDIF(Payroll!$I54,AM$2,"M")/Payroll!$K54,0))),0))</f>
        <v/>
      </c>
      <c r="AN131" s="56">
        <f>IF(AN$2=Payroll!$I54,Payroll!$F54,IF(AN$2&gt;Payroll!$I54,Payroll!$F54*((1+Payroll!$J54)^(ROUNDDOWN(DATEDIF(Payroll!$I54,AN$2,"M")/Payroll!$K54,0))),0))</f>
        <v/>
      </c>
      <c r="AO131" s="56">
        <f>IF(AO$2=Payroll!$I54,Payroll!$F54,IF(AO$2&gt;Payroll!$I54,Payroll!$F54*((1+Payroll!$J54)^(ROUNDDOWN(DATEDIF(Payroll!$I54,AO$2,"M")/Payroll!$K54,0))),0))</f>
        <v/>
      </c>
      <c r="AP131" s="56">
        <f>IF(AP$2=Payroll!$I54,Payroll!$F54,IF(AP$2&gt;Payroll!$I54,Payroll!$F54*((1+Payroll!$J54)^(ROUNDDOWN(DATEDIF(Payroll!$I54,AP$2,"M")/Payroll!$K54,0))),0))</f>
        <v/>
      </c>
      <c r="AQ131" s="56">
        <f>IF(AQ$2=Payroll!$I54,Payroll!$F54,IF(AQ$2&gt;Payroll!$I54,Payroll!$F54*((1+Payroll!$J54)^(ROUNDDOWN(DATEDIF(Payroll!$I54,AQ$2,"M")/Payroll!$K54,0))),0))</f>
        <v/>
      </c>
      <c r="AR131" s="56">
        <f>IF(AR$2=Payroll!$I54,Payroll!$F54,IF(AR$2&gt;Payroll!$I54,Payroll!$F54*((1+Payroll!$J54)^(ROUNDDOWN(DATEDIF(Payroll!$I54,AR$2,"M")/Payroll!$K54,0))),0))</f>
        <v/>
      </c>
      <c r="AS131" s="56">
        <f>IF(AS$2=Payroll!$I54,Payroll!$F54,IF(AS$2&gt;Payroll!$I54,Payroll!$F54*((1+Payroll!$J54)^(ROUNDDOWN(DATEDIF(Payroll!$I54,AS$2,"M")/Payroll!$K54,0))),0))</f>
        <v/>
      </c>
      <c r="AT131" s="56">
        <f>IF(AT$2=Payroll!$I54,Payroll!$F54,IF(AT$2&gt;Payroll!$I54,Payroll!$F54*((1+Payroll!$J54)^(ROUNDDOWN(DATEDIF(Payroll!$I54,AT$2,"M")/Payroll!$K54,0))),0))</f>
        <v/>
      </c>
      <c r="AU131" s="56">
        <f>IF(AU$2=Payroll!$I54,Payroll!$F54,IF(AU$2&gt;Payroll!$I54,Payroll!$F54*((1+Payroll!$J54)^(ROUNDDOWN(DATEDIF(Payroll!$I54,AU$2,"M")/Payroll!$K54,0))),0))</f>
        <v/>
      </c>
      <c r="AV131" s="56">
        <f>IF(AV$2=Payroll!$I54,Payroll!$F54,IF(AV$2&gt;Payroll!$I54,Payroll!$F54*((1+Payroll!$J54)^(ROUNDDOWN(DATEDIF(Payroll!$I54,AV$2,"M")/Payroll!$K54,0))),0))</f>
        <v/>
      </c>
      <c r="AW131" s="56">
        <f>IF(AW$2=Payroll!$I54,Payroll!$F54,IF(AW$2&gt;Payroll!$I54,Payroll!$F54*((1+Payroll!$J54)^(ROUNDDOWN(DATEDIF(Payroll!$I54,AW$2,"M")/Payroll!$K54,0))),0))</f>
        <v/>
      </c>
      <c r="AX131" s="56">
        <f>IF(AX$2=Payroll!$I54,Payroll!$F54,IF(AX$2&gt;Payroll!$I54,Payroll!$F54*((1+Payroll!$J54)^(ROUNDDOWN(DATEDIF(Payroll!$I54,AX$2,"M")/Payroll!$K54,0))),0))</f>
        <v/>
      </c>
      <c r="AY131" s="56">
        <f>IF(AY$2=Payroll!$I54,Payroll!$F54,IF(AY$2&gt;Payroll!$I54,Payroll!$F54*((1+Payroll!$J54)^(ROUNDDOWN(DATEDIF(Payroll!$I54,AY$2,"M")/Payroll!$K54,0))),0))</f>
        <v/>
      </c>
      <c r="AZ131" s="56">
        <f>IF(AZ$2=Payroll!$I54,Payroll!$F54,IF(AZ$2&gt;Payroll!$I54,Payroll!$F54*((1+Payroll!$J54)^(ROUNDDOWN(DATEDIF(Payroll!$I54,AZ$2,"M")/Payroll!$K54,0))),0))</f>
        <v/>
      </c>
      <c r="BA131" s="56">
        <f>IF(BA$2=Payroll!$I54,Payroll!$F54,IF(BA$2&gt;Payroll!$I54,Payroll!$F54*((1+Payroll!$J54)^(ROUNDDOWN(DATEDIF(Payroll!$I54,BA$2,"M")/Payroll!$K54,0))),0))</f>
        <v/>
      </c>
      <c r="BB131" s="56">
        <f>IF(BB$2=Payroll!$I54,Payroll!$F54,IF(BB$2&gt;Payroll!$I54,Payroll!$F54*((1+Payroll!$J54)^(ROUNDDOWN(DATEDIF(Payroll!$I54,BB$2,"M")/Payroll!$K54,0))),0))</f>
        <v/>
      </c>
      <c r="BC131" s="56">
        <f>IF(BC$2=Payroll!$I54,Payroll!$F54,IF(BC$2&gt;Payroll!$I54,Payroll!$F54*((1+Payroll!$J54)^(ROUNDDOWN(DATEDIF(Payroll!$I54,BC$2,"M")/Payroll!$K54,0))),0))</f>
        <v/>
      </c>
      <c r="BD131" s="56">
        <f>IF(BD$2=Payroll!$I54,Payroll!$F54,IF(BD$2&gt;Payroll!$I54,Payroll!$F54*((1+Payroll!$J54)^(ROUNDDOWN(DATEDIF(Payroll!$I54,BD$2,"M")/Payroll!$K54,0))),0))</f>
        <v/>
      </c>
      <c r="BE131" s="56">
        <f>IF(BE$2=Payroll!$I54,Payroll!$F54,IF(BE$2&gt;Payroll!$I54,Payroll!$F54*((1+Payroll!$J54)^(ROUNDDOWN(DATEDIF(Payroll!$I54,BE$2,"M")/Payroll!$K54,0))),0))</f>
        <v/>
      </c>
      <c r="BF131" s="56">
        <f>IF(BF$2=Payroll!$I54,Payroll!$F54,IF(BF$2&gt;Payroll!$I54,Payroll!$F54*((1+Payroll!$J54)^(ROUNDDOWN(DATEDIF(Payroll!$I54,BF$2,"M")/Payroll!$K54,0))),0))</f>
        <v/>
      </c>
      <c r="BG131" s="56">
        <f>IF(BG$2=Payroll!$I54,Payroll!$F54,IF(BG$2&gt;Payroll!$I54,Payroll!$F54*((1+Payroll!$J54)^(ROUNDDOWN(DATEDIF(Payroll!$I54,BG$2,"M")/Payroll!$K54,0))),0))</f>
        <v/>
      </c>
      <c r="BH131" s="56">
        <f>IF(BH$2=Payroll!$I54,Payroll!$F54,IF(BH$2&gt;Payroll!$I54,Payroll!$F54*((1+Payroll!$J54)^(ROUNDDOWN(DATEDIF(Payroll!$I54,BH$2,"M")/Payroll!$K54,0))),0))</f>
        <v/>
      </c>
      <c r="BI131" s="56">
        <f>IF(BI$2=Payroll!$I54,Payroll!$F54,IF(BI$2&gt;Payroll!$I54,Payroll!$F54*((1+Payroll!$J54)^(ROUNDDOWN(DATEDIF(Payroll!$I54,BI$2,"M")/Payroll!$K54,0))),0))</f>
        <v/>
      </c>
      <c r="BJ131" s="56">
        <f>IF(BJ$2=Payroll!$I54,Payroll!$F54,IF(BJ$2&gt;Payroll!$I54,Payroll!$F54*((1+Payroll!$J54)^(ROUNDDOWN(DATEDIF(Payroll!$I54,BJ$2,"M")/Payroll!$K54,0))),0))</f>
        <v/>
      </c>
      <c r="BK131" s="56">
        <f>IF(BK$2=Payroll!$I54,Payroll!$F54,IF(BK$2&gt;Payroll!$I54,Payroll!$F54*((1+Payroll!$J54)^(ROUNDDOWN(DATEDIF(Payroll!$I54,BK$2,"M")/Payroll!$K54,0))),0))</f>
        <v/>
      </c>
      <c r="BL131" s="56">
        <f>IF(BL$2=Payroll!$I54,Payroll!$F54,IF(BL$2&gt;Payroll!$I54,Payroll!$F54*((1+Payroll!$J54)^(ROUNDDOWN(DATEDIF(Payroll!$I54,BL$2,"M")/Payroll!$K54,0))),0))</f>
        <v/>
      </c>
      <c r="BM131" s="56">
        <f>IF(BM$2=Payroll!$I54,Payroll!$F54,IF(BM$2&gt;Payroll!$I54,Payroll!$F54*((1+Payroll!$J54)^(ROUNDDOWN(DATEDIF(Payroll!$I54,BM$2,"M")/Payroll!$K54,0))),0))</f>
        <v/>
      </c>
      <c r="BN131" s="56">
        <f>IF(BN$2=Payroll!$I54,Payroll!$F54,IF(BN$2&gt;Payroll!$I54,Payroll!$F54*((1+Payroll!$J54)^(ROUNDDOWN(DATEDIF(Payroll!$I54,BN$2,"M")/Payroll!$K54,0))),0))</f>
        <v/>
      </c>
      <c r="BO131" s="56">
        <f>IF(BO$2=Payroll!$I54,Payroll!$F54,IF(BO$2&gt;Payroll!$I54,Payroll!$F54*((1+Payroll!$J54)^(ROUNDDOWN(DATEDIF(Payroll!$I54,BO$2,"M")/Payroll!$K54,0))),0))</f>
        <v/>
      </c>
      <c r="BP131" s="56">
        <f>IF(BP$2=Payroll!$I54,Payroll!$F54,IF(BP$2&gt;Payroll!$I54,Payroll!$F54*((1+Payroll!$J54)^(ROUNDDOWN(DATEDIF(Payroll!$I54,BP$2,"M")/Payroll!$K54,0))),0))</f>
        <v/>
      </c>
      <c r="BQ131" s="56">
        <f>IF(BQ$2=Payroll!$I54,Payroll!$F54,IF(BQ$2&gt;Payroll!$I54,Payroll!$F54*((1+Payroll!$J54)^(ROUNDDOWN(DATEDIF(Payroll!$I54,BQ$2,"M")/Payroll!$K54,0))),0))</f>
        <v/>
      </c>
      <c r="BR131" s="56">
        <f>IF(BR$2=Payroll!$I54,Payroll!$F54,IF(BR$2&gt;Payroll!$I54,Payroll!$F54*((1+Payroll!$J54)^(ROUNDDOWN(DATEDIF(Payroll!$I54,BR$2,"M")/Payroll!$K54,0))),0))</f>
        <v/>
      </c>
      <c r="BS131" s="56">
        <f>IF(BS$2=Payroll!$I54,Payroll!$F54,IF(BS$2&gt;Payroll!$I54,Payroll!$F54*((1+Payroll!$J54)^(ROUNDDOWN(DATEDIF(Payroll!$I54,BS$2,"M")/Payroll!$K54,0))),0))</f>
        <v/>
      </c>
      <c r="BT131" s="56">
        <f>IF(BT$2=Payroll!$I54,Payroll!$F54,IF(BT$2&gt;Payroll!$I54,Payroll!$F54*((1+Payroll!$J54)^(ROUNDDOWN(DATEDIF(Payroll!$I54,BT$2,"M")/Payroll!$K54,0))),0))</f>
        <v/>
      </c>
      <c r="BU131" s="56">
        <f>IF(BU$2=Payroll!$I54,Payroll!$F54,IF(BU$2&gt;Payroll!$I54,Payroll!$F54*((1+Payroll!$J54)^(ROUNDDOWN(DATEDIF(Payroll!$I54,BU$2,"M")/Payroll!$K54,0))),0))</f>
        <v/>
      </c>
      <c r="BV131" s="56">
        <f>IF(BV$2=Payroll!$I54,Payroll!$F54,IF(BV$2&gt;Payroll!$I54,Payroll!$F54*((1+Payroll!$J54)^(ROUNDDOWN(DATEDIF(Payroll!$I54,BV$2,"M")/Payroll!$K54,0))),0))</f>
        <v/>
      </c>
      <c r="BW131" s="56">
        <f>IF(BW$2=Payroll!$I54,Payroll!$F54,IF(BW$2&gt;Payroll!$I54,Payroll!$F54*((1+Payroll!$J54)^(ROUNDDOWN(DATEDIF(Payroll!$I54,BW$2,"M")/Payroll!$K54,0))),0))</f>
        <v/>
      </c>
      <c r="BX131" s="56">
        <f>IF(BX$2=Payroll!$I54,Payroll!$F54,IF(BX$2&gt;Payroll!$I54,Payroll!$F54*((1+Payroll!$J54)^(ROUNDDOWN(DATEDIF(Payroll!$I54,BX$2,"M")/Payroll!$K54,0))),0))</f>
        <v/>
      </c>
      <c r="BY131" s="56">
        <f>IF(BY$2=Payroll!$I54,Payroll!$F54,IF(BY$2&gt;Payroll!$I54,Payroll!$F54*((1+Payroll!$J54)^(ROUNDDOWN(DATEDIF(Payroll!$I54,BY$2,"M")/Payroll!$K54,0))),0))</f>
        <v/>
      </c>
      <c r="BZ131" s="56">
        <f>IF(BZ$2=Payroll!$I54,Payroll!$F54,IF(BZ$2&gt;Payroll!$I54,Payroll!$F54*((1+Payroll!$J54)^(ROUNDDOWN(DATEDIF(Payroll!$I54,BZ$2,"M")/Payroll!$K54,0))),0))</f>
        <v/>
      </c>
      <c r="CA131" s="56">
        <f>IF(CA$2=Payroll!$I54,Payroll!$F54,IF(CA$2&gt;Payroll!$I54,Payroll!$F54*((1+Payroll!$J54)^(ROUNDDOWN(DATEDIF(Payroll!$I54,CA$2,"M")/Payroll!$K54,0))),0))</f>
        <v/>
      </c>
      <c r="CB131" s="56">
        <f>IF(CB$2=Payroll!$I54,Payroll!$F54,IF(CB$2&gt;Payroll!$I54,Payroll!$F54*((1+Payroll!$J54)^(ROUNDDOWN(DATEDIF(Payroll!$I54,CB$2,"M")/Payroll!$K54,0))),0))</f>
        <v/>
      </c>
      <c r="CC131" s="56">
        <f>IF(CC$2=Payroll!$I54,Payroll!$F54,IF(CC$2&gt;Payroll!$I54,Payroll!$F54*((1+Payroll!$J54)^(ROUNDDOWN(DATEDIF(Payroll!$I54,CC$2,"M")/Payroll!$K54,0))),0))</f>
        <v/>
      </c>
      <c r="CD131" s="56">
        <f>IF(CD$2=Payroll!$I54,Payroll!$F54,IF(CD$2&gt;Payroll!$I54,Payroll!$F54*((1+Payroll!$J54)^(ROUNDDOWN(DATEDIF(Payroll!$I54,CD$2,"M")/Payroll!$K54,0))),0))</f>
        <v/>
      </c>
      <c r="CE131" s="56">
        <f>IF(CE$2=Payroll!$I54,Payroll!$F54,IF(CE$2&gt;Payroll!$I54,Payroll!$F54*((1+Payroll!$J54)^(ROUNDDOWN(DATEDIF(Payroll!$I54,CE$2,"M")/Payroll!$K54,0))),0))</f>
        <v/>
      </c>
      <c r="CF131" s="56">
        <f>IF(CF$2=Payroll!$I54,Payroll!$F54,IF(CF$2&gt;Payroll!$I54,Payroll!$F54*((1+Payroll!$J54)^(ROUNDDOWN(DATEDIF(Payroll!$I54,CF$2,"M")/Payroll!$K54,0))),0))</f>
        <v/>
      </c>
      <c r="CG131" s="56">
        <f>IF(CG$2=Payroll!$I54,Payroll!$F54,IF(CG$2&gt;Payroll!$I54,Payroll!$F54*((1+Payroll!$J54)^(ROUNDDOWN(DATEDIF(Payroll!$I54,CG$2,"M")/Payroll!$K54,0))),0))</f>
        <v/>
      </c>
      <c r="CH131" s="56">
        <f>IF(CH$2=Payroll!$I54,Payroll!$F54,IF(CH$2&gt;Payroll!$I54,Payroll!$F54*((1+Payroll!$J54)^(ROUNDDOWN(DATEDIF(Payroll!$I54,CH$2,"M")/Payroll!$K54,0))),0))</f>
        <v/>
      </c>
      <c r="CI131" s="56">
        <f>IF(CI$2=Payroll!$I54,Payroll!$F54,IF(CI$2&gt;Payroll!$I54,Payroll!$F54*((1+Payroll!$J54)^(ROUNDDOWN(DATEDIF(Payroll!$I54,CI$2,"M")/Payroll!$K54,0))),0))</f>
        <v/>
      </c>
      <c r="CJ131" s="56">
        <f>IF(CJ$2=Payroll!$I54,Payroll!$F54,IF(CJ$2&gt;Payroll!$I54,Payroll!$F54*((1+Payroll!$J54)^(ROUNDDOWN(DATEDIF(Payroll!$I54,CJ$2,"M")/Payroll!$K54,0))),0))</f>
        <v/>
      </c>
      <c r="CK131" s="56">
        <f>IF(CK$2=Payroll!$I54,Payroll!$F54,IF(CK$2&gt;Payroll!$I54,Payroll!$F54*((1+Payroll!$J54)^(ROUNDDOWN(DATEDIF(Payroll!$I54,CK$2,"M")/Payroll!$K54,0))),0))</f>
        <v/>
      </c>
      <c r="CL131" s="56">
        <f>IF(CL$2=Payroll!$I54,Payroll!$F54,IF(CL$2&gt;Payroll!$I54,Payroll!$F54*((1+Payroll!$J54)^(ROUNDDOWN(DATEDIF(Payroll!$I54,CL$2,"M")/Payroll!$K54,0))),0))</f>
        <v/>
      </c>
      <c r="CM131" s="56">
        <f>IF(CM$2=Payroll!$I54,Payroll!$F54,IF(CM$2&gt;Payroll!$I54,Payroll!$F54*((1+Payroll!$J54)^(ROUNDDOWN(DATEDIF(Payroll!$I54,CM$2,"M")/Payroll!$K54,0))),0))</f>
        <v/>
      </c>
      <c r="CN131" s="56">
        <f>IF(CN$2=Payroll!$I54,Payroll!$F54,IF(CN$2&gt;Payroll!$I54,Payroll!$F54*((1+Payroll!$J54)^(ROUNDDOWN(DATEDIF(Payroll!$I54,CN$2,"M")/Payroll!$K54,0))),0))</f>
        <v/>
      </c>
      <c r="CO131" s="56">
        <f>IF(CO$2=Payroll!$I54,Payroll!$F54,IF(CO$2&gt;Payroll!$I54,Payroll!$F54*((1+Payroll!$J54)^(ROUNDDOWN(DATEDIF(Payroll!$I54,CO$2,"M")/Payroll!$K54,0))),0))</f>
        <v/>
      </c>
      <c r="CP131" s="56">
        <f>IF(CP$2=Payroll!$I54,Payroll!$F54,IF(CP$2&gt;Payroll!$I54,Payroll!$F54*((1+Payroll!$J54)^(ROUNDDOWN(DATEDIF(Payroll!$I54,CP$2,"M")/Payroll!$K54,0))),0))</f>
        <v/>
      </c>
      <c r="CQ131" s="56">
        <f>IF(CQ$2=Payroll!$I54,Payroll!$F54,IF(CQ$2&gt;Payroll!$I54,Payroll!$F54*((1+Payroll!$J54)^(ROUNDDOWN(DATEDIF(Payroll!$I54,CQ$2,"M")/Payroll!$K54,0))),0))</f>
        <v/>
      </c>
      <c r="CR131" s="56">
        <f>IF(CR$2=Payroll!$I54,Payroll!$F54,IF(CR$2&gt;Payroll!$I54,Payroll!$F54*((1+Payroll!$J54)^(ROUNDDOWN(DATEDIF(Payroll!$I54,CR$2,"M")/Payroll!$K54,0))),0))</f>
        <v/>
      </c>
      <c r="CS131" s="56">
        <f>IF(CS$2=Payroll!$I54,Payroll!$F54,IF(CS$2&gt;Payroll!$I54,Payroll!$F54*((1+Payroll!$J54)^(ROUNDDOWN(DATEDIF(Payroll!$I54,CS$2,"M")/Payroll!$K54,0))),0))</f>
        <v/>
      </c>
      <c r="CT131" s="56">
        <f>IF(CT$2=Payroll!$I54,Payroll!$F54,IF(CT$2&gt;Payroll!$I54,Payroll!$F54*((1+Payroll!$J54)^(ROUNDDOWN(DATEDIF(Payroll!$I54,CT$2,"M")/Payroll!$K54,0))),0))</f>
        <v/>
      </c>
      <c r="CU131" s="56">
        <f>IF(CU$2=Payroll!$I54,Payroll!$F54,IF(CU$2&gt;Payroll!$I54,Payroll!$F54*((1+Payroll!$J54)^(ROUNDDOWN(DATEDIF(Payroll!$I54,CU$2,"M")/Payroll!$K54,0))),0))</f>
        <v/>
      </c>
      <c r="CV131" s="56">
        <f>IF(CV$2=Payroll!$I54,Payroll!$F54,IF(CV$2&gt;Payroll!$I54,Payroll!$F54*((1+Payroll!$J54)^(ROUNDDOWN(DATEDIF(Payroll!$I54,CV$2,"M")/Payroll!$K54,0))),0))</f>
        <v/>
      </c>
      <c r="CW131" s="56">
        <f>IF(CW$2=Payroll!$I54,Payroll!$F54,IF(CW$2&gt;Payroll!$I54,Payroll!$F54*((1+Payroll!$J54)^(ROUNDDOWN(DATEDIF(Payroll!$I54,CW$2,"M")/Payroll!$K54,0))),0))</f>
        <v/>
      </c>
      <c r="CX131" s="56">
        <f>IF(CX$2=Payroll!$I54,Payroll!$F54,IF(CX$2&gt;Payroll!$I54,Payroll!$F54*((1+Payroll!$J54)^(ROUNDDOWN(DATEDIF(Payroll!$I54,CX$2,"M")/Payroll!$K54,0))),0))</f>
        <v/>
      </c>
    </row>
    <row r="132" outlineLevel="2" ht="15.75" customHeight="1" s="255">
      <c r="A132" s="56">
        <f>Payroll!A55</f>
        <v/>
      </c>
      <c r="B132" s="56" t="n"/>
      <c r="C132" s="56" t="n"/>
      <c r="D132" s="56" t="n"/>
      <c r="E132" s="56">
        <f>IF(E$2=Payroll!$I55,Payroll!$F55,IF(E$2&gt;Payroll!$I55,Payroll!$F55*((1+Payroll!$J55)^(ROUNDDOWN(DATEDIF(Payroll!$I55,E$2,"M")/Payroll!$K55,0))),0))</f>
        <v/>
      </c>
      <c r="F132" s="56">
        <f>IF(F$2=Payroll!$I55,Payroll!$F55,IF(F$2&gt;Payroll!$I55,Payroll!$F55*((1+Payroll!$J55)^(ROUNDDOWN(DATEDIF(Payroll!$I55,F$2,"M")/Payroll!$K55,0))),0))</f>
        <v/>
      </c>
      <c r="G132" s="56">
        <f>IF(G$2=Payroll!$I55,Payroll!$F55,IF(G$2&gt;Payroll!$I55,Payroll!$F55*((1+Payroll!$J55)^(ROUNDDOWN(DATEDIF(Payroll!$I55,G$2,"M")/Payroll!$K55,0))),0))</f>
        <v/>
      </c>
      <c r="H132" s="56">
        <f>IF(H$2=Payroll!$I55,Payroll!$F55,IF(H$2&gt;Payroll!$I55,Payroll!$F55*((1+Payroll!$J55)^(ROUNDDOWN(DATEDIF(Payroll!$I55,H$2,"M")/Payroll!$K55,0))),0))</f>
        <v/>
      </c>
      <c r="I132" s="56">
        <f>IF(I$2=Payroll!$I55,Payroll!$F55,IF(I$2&gt;Payroll!$I55,Payroll!$F55*((1+Payroll!$J55)^(ROUNDDOWN(DATEDIF(Payroll!$I55,I$2,"M")/Payroll!$K55,0))),0))</f>
        <v/>
      </c>
      <c r="J132" s="56">
        <f>IF(J$2=Payroll!$I55,Payroll!$F55,IF(J$2&gt;Payroll!$I55,Payroll!$F55*((1+Payroll!$J55)^(ROUNDDOWN(DATEDIF(Payroll!$I55,J$2,"M")/Payroll!$K55,0))),0))</f>
        <v/>
      </c>
      <c r="K132" s="56">
        <f>IF(K$2=Payroll!$I55,Payroll!$F55,IF(K$2&gt;Payroll!$I55,Payroll!$F55*((1+Payroll!$J55)^(ROUNDDOWN(DATEDIF(Payroll!$I55,K$2,"M")/Payroll!$K55,0))),0))</f>
        <v/>
      </c>
      <c r="L132" s="56">
        <f>IF(L$2=Payroll!$I55,Payroll!$F55,IF(L$2&gt;Payroll!$I55,Payroll!$F55*((1+Payroll!$J55)^(ROUNDDOWN(DATEDIF(Payroll!$I55,L$2,"M")/Payroll!$K55,0))),0))</f>
        <v/>
      </c>
      <c r="M132" s="56">
        <f>IF(M$2=Payroll!$I55,Payroll!$F55,IF(M$2&gt;Payroll!$I55,Payroll!$F55*((1+Payroll!$J55)^(ROUNDDOWN(DATEDIF(Payroll!$I55,M$2,"M")/Payroll!$K55,0))),0))</f>
        <v/>
      </c>
      <c r="N132" s="56">
        <f>IF(N$2=Payroll!$I55,Payroll!$F55,IF(N$2&gt;Payroll!$I55,Payroll!$F55*((1+Payroll!$J55)^(ROUNDDOWN(DATEDIF(Payroll!$I55,N$2,"M")/Payroll!$K55,0))),0))</f>
        <v/>
      </c>
      <c r="O132" s="56">
        <f>IF(O$2=Payroll!$I55,Payroll!$F55,IF(O$2&gt;Payroll!$I55,Payroll!$F55*((1+Payroll!$J55)^(ROUNDDOWN(DATEDIF(Payroll!$I55,O$2,"M")/Payroll!$K55,0))),0))</f>
        <v/>
      </c>
      <c r="P132" s="56">
        <f>IF(P$2=Payroll!$I55,Payroll!$F55,IF(P$2&gt;Payroll!$I55,Payroll!$F55*((1+Payroll!$J55)^(ROUNDDOWN(DATEDIF(Payroll!$I55,P$2,"M")/Payroll!$K55,0))),0))</f>
        <v/>
      </c>
      <c r="Q132" s="56">
        <f>IF(Q$2=Payroll!$I55,Payroll!$F55,IF(Q$2&gt;Payroll!$I55,Payroll!$F55*((1+Payroll!$J55)^(ROUNDDOWN(DATEDIF(Payroll!$I55,Q$2,"M")/Payroll!$K55,0))),0))</f>
        <v/>
      </c>
      <c r="R132" s="56">
        <f>IF(R$2=Payroll!$I55,Payroll!$F55,IF(R$2&gt;Payroll!$I55,Payroll!$F55*((1+Payroll!$J55)^(ROUNDDOWN(DATEDIF(Payroll!$I55,R$2,"M")/Payroll!$K55,0))),0))</f>
        <v/>
      </c>
      <c r="S132" s="56">
        <f>IF(S$2=Payroll!$I55,Payroll!$F55,IF(S$2&gt;Payroll!$I55,Payroll!$F55*((1+Payroll!$J55)^(ROUNDDOWN(DATEDIF(Payroll!$I55,S$2,"M")/Payroll!$K55,0))),0))</f>
        <v/>
      </c>
      <c r="T132" s="56">
        <f>IF(T$2=Payroll!$I55,Payroll!$F55,IF(T$2&gt;Payroll!$I55,Payroll!$F55*((1+Payroll!$J55)^(ROUNDDOWN(DATEDIF(Payroll!$I55,T$2,"M")/Payroll!$K55,0))),0))</f>
        <v/>
      </c>
      <c r="U132" s="56">
        <f>IF(U$2=Payroll!$I55,Payroll!$F55,IF(U$2&gt;Payroll!$I55,Payroll!$F55*((1+Payroll!$J55)^(ROUNDDOWN(DATEDIF(Payroll!$I55,U$2,"M")/Payroll!$K55,0))),0))</f>
        <v/>
      </c>
      <c r="V132" s="56">
        <f>IF(V$2=Payroll!$I55,Payroll!$F55,IF(V$2&gt;Payroll!$I55,Payroll!$F55*((1+Payroll!$J55)^(ROUNDDOWN(DATEDIF(Payroll!$I55,V$2,"M")/Payroll!$K55,0))),0))</f>
        <v/>
      </c>
      <c r="W132" s="56">
        <f>IF(W$2=Payroll!$I55,Payroll!$F55,IF(W$2&gt;Payroll!$I55,Payroll!$F55*((1+Payroll!$J55)^(ROUNDDOWN(DATEDIF(Payroll!$I55,W$2,"M")/Payroll!$K55,0))),0))</f>
        <v/>
      </c>
      <c r="X132" s="56">
        <f>IF(X$2=Payroll!$I55,Payroll!$F55,IF(X$2&gt;Payroll!$I55,Payroll!$F55*((1+Payroll!$J55)^(ROUNDDOWN(DATEDIF(Payroll!$I55,X$2,"M")/Payroll!$K55,0))),0))</f>
        <v/>
      </c>
      <c r="Y132" s="56">
        <f>IF(Y$2=Payroll!$I55,Payroll!$F55,IF(Y$2&gt;Payroll!$I55,Payroll!$F55*((1+Payroll!$J55)^(ROUNDDOWN(DATEDIF(Payroll!$I55,Y$2,"M")/Payroll!$K55,0))),0))</f>
        <v/>
      </c>
      <c r="Z132" s="56">
        <f>IF(Z$2=Payroll!$I55,Payroll!$F55,IF(Z$2&gt;Payroll!$I55,Payroll!$F55*((1+Payroll!$J55)^(ROUNDDOWN(DATEDIF(Payroll!$I55,Z$2,"M")/Payroll!$K55,0))),0))</f>
        <v/>
      </c>
      <c r="AA132" s="56">
        <f>IF(AA$2=Payroll!$I55,Payroll!$F55,IF(AA$2&gt;Payroll!$I55,Payroll!$F55*((1+Payroll!$J55)^(ROUNDDOWN(DATEDIF(Payroll!$I55,AA$2,"M")/Payroll!$K55,0))),0))</f>
        <v/>
      </c>
      <c r="AB132" s="56">
        <f>IF(AB$2=Payroll!$I55,Payroll!$F55,IF(AB$2&gt;Payroll!$I55,Payroll!$F55*((1+Payroll!$J55)^(ROUNDDOWN(DATEDIF(Payroll!$I55,AB$2,"M")/Payroll!$K55,0))),0))</f>
        <v/>
      </c>
      <c r="AC132" s="56">
        <f>IF(AC$2=Payroll!$I55,Payroll!$F55,IF(AC$2&gt;Payroll!$I55,Payroll!$F55*((1+Payroll!$J55)^(ROUNDDOWN(DATEDIF(Payroll!$I55,AC$2,"M")/Payroll!$K55,0))),0))</f>
        <v/>
      </c>
      <c r="AD132" s="56">
        <f>IF(AD$2=Payroll!$I55,Payroll!$F55,IF(AD$2&gt;Payroll!$I55,Payroll!$F55*((1+Payroll!$J55)^(ROUNDDOWN(DATEDIF(Payroll!$I55,AD$2,"M")/Payroll!$K55,0))),0))</f>
        <v/>
      </c>
      <c r="AE132" s="56">
        <f>IF(AE$2=Payroll!$I55,Payroll!$F55,IF(AE$2&gt;Payroll!$I55,Payroll!$F55*((1+Payroll!$J55)^(ROUNDDOWN(DATEDIF(Payroll!$I55,AE$2,"M")/Payroll!$K55,0))),0))</f>
        <v/>
      </c>
      <c r="AF132" s="56">
        <f>IF(AF$2=Payroll!$I55,Payroll!$F55,IF(AF$2&gt;Payroll!$I55,Payroll!$F55*((1+Payroll!$J55)^(ROUNDDOWN(DATEDIF(Payroll!$I55,AF$2,"M")/Payroll!$K55,0))),0))</f>
        <v/>
      </c>
      <c r="AG132" s="56">
        <f>IF(AG$2=Payroll!$I55,Payroll!$F55,IF(AG$2&gt;Payroll!$I55,Payroll!$F55*((1+Payroll!$J55)^(ROUNDDOWN(DATEDIF(Payroll!$I55,AG$2,"M")/Payroll!$K55,0))),0))</f>
        <v/>
      </c>
      <c r="AH132" s="56">
        <f>IF(AH$2=Payroll!$I55,Payroll!$F55,IF(AH$2&gt;Payroll!$I55,Payroll!$F55*((1+Payroll!$J55)^(ROUNDDOWN(DATEDIF(Payroll!$I55,AH$2,"M")/Payroll!$K55,0))),0))</f>
        <v/>
      </c>
      <c r="AI132" s="56">
        <f>IF(AI$2=Payroll!$I55,Payroll!$F55,IF(AI$2&gt;Payroll!$I55,Payroll!$F55*((1+Payroll!$J55)^(ROUNDDOWN(DATEDIF(Payroll!$I55,AI$2,"M")/Payroll!$K55,0))),0))</f>
        <v/>
      </c>
      <c r="AJ132" s="56">
        <f>IF(AJ$2=Payroll!$I55,Payroll!$F55,IF(AJ$2&gt;Payroll!$I55,Payroll!$F55*((1+Payroll!$J55)^(ROUNDDOWN(DATEDIF(Payroll!$I55,AJ$2,"M")/Payroll!$K55,0))),0))</f>
        <v/>
      </c>
      <c r="AK132" s="56">
        <f>IF(AK$2=Payroll!$I55,Payroll!$F55,IF(AK$2&gt;Payroll!$I55,Payroll!$F55*((1+Payroll!$J55)^(ROUNDDOWN(DATEDIF(Payroll!$I55,AK$2,"M")/Payroll!$K55,0))),0))</f>
        <v/>
      </c>
      <c r="AL132" s="56">
        <f>IF(AL$2=Payroll!$I55,Payroll!$F55,IF(AL$2&gt;Payroll!$I55,Payroll!$F55*((1+Payroll!$J55)^(ROUNDDOWN(DATEDIF(Payroll!$I55,AL$2,"M")/Payroll!$K55,0))),0))</f>
        <v/>
      </c>
      <c r="AM132" s="56">
        <f>IF(AM$2=Payroll!$I55,Payroll!$F55,IF(AM$2&gt;Payroll!$I55,Payroll!$F55*((1+Payroll!$J55)^(ROUNDDOWN(DATEDIF(Payroll!$I55,AM$2,"M")/Payroll!$K55,0))),0))</f>
        <v/>
      </c>
      <c r="AN132" s="56">
        <f>IF(AN$2=Payroll!$I55,Payroll!$F55,IF(AN$2&gt;Payroll!$I55,Payroll!$F55*((1+Payroll!$J55)^(ROUNDDOWN(DATEDIF(Payroll!$I55,AN$2,"M")/Payroll!$K55,0))),0))</f>
        <v/>
      </c>
      <c r="AO132" s="56">
        <f>IF(AO$2=Payroll!$I55,Payroll!$F55,IF(AO$2&gt;Payroll!$I55,Payroll!$F55*((1+Payroll!$J55)^(ROUNDDOWN(DATEDIF(Payroll!$I55,AO$2,"M")/Payroll!$K55,0))),0))</f>
        <v/>
      </c>
      <c r="AP132" s="56">
        <f>IF(AP$2=Payroll!$I55,Payroll!$F55,IF(AP$2&gt;Payroll!$I55,Payroll!$F55*((1+Payroll!$J55)^(ROUNDDOWN(DATEDIF(Payroll!$I55,AP$2,"M")/Payroll!$K55,0))),0))</f>
        <v/>
      </c>
      <c r="AQ132" s="56">
        <f>IF(AQ$2=Payroll!$I55,Payroll!$F55,IF(AQ$2&gt;Payroll!$I55,Payroll!$F55*((1+Payroll!$J55)^(ROUNDDOWN(DATEDIF(Payroll!$I55,AQ$2,"M")/Payroll!$K55,0))),0))</f>
        <v/>
      </c>
      <c r="AR132" s="56">
        <f>IF(AR$2=Payroll!$I55,Payroll!$F55,IF(AR$2&gt;Payroll!$I55,Payroll!$F55*((1+Payroll!$J55)^(ROUNDDOWN(DATEDIF(Payroll!$I55,AR$2,"M")/Payroll!$K55,0))),0))</f>
        <v/>
      </c>
      <c r="AS132" s="56">
        <f>IF(AS$2=Payroll!$I55,Payroll!$F55,IF(AS$2&gt;Payroll!$I55,Payroll!$F55*((1+Payroll!$J55)^(ROUNDDOWN(DATEDIF(Payroll!$I55,AS$2,"M")/Payroll!$K55,0))),0))</f>
        <v/>
      </c>
      <c r="AT132" s="56">
        <f>IF(AT$2=Payroll!$I55,Payroll!$F55,IF(AT$2&gt;Payroll!$I55,Payroll!$F55*((1+Payroll!$J55)^(ROUNDDOWN(DATEDIF(Payroll!$I55,AT$2,"M")/Payroll!$K55,0))),0))</f>
        <v/>
      </c>
      <c r="AU132" s="56">
        <f>IF(AU$2=Payroll!$I55,Payroll!$F55,IF(AU$2&gt;Payroll!$I55,Payroll!$F55*((1+Payroll!$J55)^(ROUNDDOWN(DATEDIF(Payroll!$I55,AU$2,"M")/Payroll!$K55,0))),0))</f>
        <v/>
      </c>
      <c r="AV132" s="56">
        <f>IF(AV$2=Payroll!$I55,Payroll!$F55,IF(AV$2&gt;Payroll!$I55,Payroll!$F55*((1+Payroll!$J55)^(ROUNDDOWN(DATEDIF(Payroll!$I55,AV$2,"M")/Payroll!$K55,0))),0))</f>
        <v/>
      </c>
      <c r="AW132" s="56">
        <f>IF(AW$2=Payroll!$I55,Payroll!$F55,IF(AW$2&gt;Payroll!$I55,Payroll!$F55*((1+Payroll!$J55)^(ROUNDDOWN(DATEDIF(Payroll!$I55,AW$2,"M")/Payroll!$K55,0))),0))</f>
        <v/>
      </c>
      <c r="AX132" s="56">
        <f>IF(AX$2=Payroll!$I55,Payroll!$F55,IF(AX$2&gt;Payroll!$I55,Payroll!$F55*((1+Payroll!$J55)^(ROUNDDOWN(DATEDIF(Payroll!$I55,AX$2,"M")/Payroll!$K55,0))),0))</f>
        <v/>
      </c>
      <c r="AY132" s="56">
        <f>IF(AY$2=Payroll!$I55,Payroll!$F55,IF(AY$2&gt;Payroll!$I55,Payroll!$F55*((1+Payroll!$J55)^(ROUNDDOWN(DATEDIF(Payroll!$I55,AY$2,"M")/Payroll!$K55,0))),0))</f>
        <v/>
      </c>
      <c r="AZ132" s="56">
        <f>IF(AZ$2=Payroll!$I55,Payroll!$F55,IF(AZ$2&gt;Payroll!$I55,Payroll!$F55*((1+Payroll!$J55)^(ROUNDDOWN(DATEDIF(Payroll!$I55,AZ$2,"M")/Payroll!$K55,0))),0))</f>
        <v/>
      </c>
      <c r="BA132" s="56">
        <f>IF(BA$2=Payroll!$I55,Payroll!$F55,IF(BA$2&gt;Payroll!$I55,Payroll!$F55*((1+Payroll!$J55)^(ROUNDDOWN(DATEDIF(Payroll!$I55,BA$2,"M")/Payroll!$K55,0))),0))</f>
        <v/>
      </c>
      <c r="BB132" s="56">
        <f>IF(BB$2=Payroll!$I55,Payroll!$F55,IF(BB$2&gt;Payroll!$I55,Payroll!$F55*((1+Payroll!$J55)^(ROUNDDOWN(DATEDIF(Payroll!$I55,BB$2,"M")/Payroll!$K55,0))),0))</f>
        <v/>
      </c>
      <c r="BC132" s="56">
        <f>IF(BC$2=Payroll!$I55,Payroll!$F55,IF(BC$2&gt;Payroll!$I55,Payroll!$F55*((1+Payroll!$J55)^(ROUNDDOWN(DATEDIF(Payroll!$I55,BC$2,"M")/Payroll!$K55,0))),0))</f>
        <v/>
      </c>
      <c r="BD132" s="56">
        <f>IF(BD$2=Payroll!$I55,Payroll!$F55,IF(BD$2&gt;Payroll!$I55,Payroll!$F55*((1+Payroll!$J55)^(ROUNDDOWN(DATEDIF(Payroll!$I55,BD$2,"M")/Payroll!$K55,0))),0))</f>
        <v/>
      </c>
      <c r="BE132" s="56">
        <f>IF(BE$2=Payroll!$I55,Payroll!$F55,IF(BE$2&gt;Payroll!$I55,Payroll!$F55*((1+Payroll!$J55)^(ROUNDDOWN(DATEDIF(Payroll!$I55,BE$2,"M")/Payroll!$K55,0))),0))</f>
        <v/>
      </c>
      <c r="BF132" s="56">
        <f>IF(BF$2=Payroll!$I55,Payroll!$F55,IF(BF$2&gt;Payroll!$I55,Payroll!$F55*((1+Payroll!$J55)^(ROUNDDOWN(DATEDIF(Payroll!$I55,BF$2,"M")/Payroll!$K55,0))),0))</f>
        <v/>
      </c>
      <c r="BG132" s="56">
        <f>IF(BG$2=Payroll!$I55,Payroll!$F55,IF(BG$2&gt;Payroll!$I55,Payroll!$F55*((1+Payroll!$J55)^(ROUNDDOWN(DATEDIF(Payroll!$I55,BG$2,"M")/Payroll!$K55,0))),0))</f>
        <v/>
      </c>
      <c r="BH132" s="56">
        <f>IF(BH$2=Payroll!$I55,Payroll!$F55,IF(BH$2&gt;Payroll!$I55,Payroll!$F55*((1+Payroll!$J55)^(ROUNDDOWN(DATEDIF(Payroll!$I55,BH$2,"M")/Payroll!$K55,0))),0))</f>
        <v/>
      </c>
      <c r="BI132" s="56">
        <f>IF(BI$2=Payroll!$I55,Payroll!$F55,IF(BI$2&gt;Payroll!$I55,Payroll!$F55*((1+Payroll!$J55)^(ROUNDDOWN(DATEDIF(Payroll!$I55,BI$2,"M")/Payroll!$K55,0))),0))</f>
        <v/>
      </c>
      <c r="BJ132" s="56">
        <f>IF(BJ$2=Payroll!$I55,Payroll!$F55,IF(BJ$2&gt;Payroll!$I55,Payroll!$F55*((1+Payroll!$J55)^(ROUNDDOWN(DATEDIF(Payroll!$I55,BJ$2,"M")/Payroll!$K55,0))),0))</f>
        <v/>
      </c>
      <c r="BK132" s="56">
        <f>IF(BK$2=Payroll!$I55,Payroll!$F55,IF(BK$2&gt;Payroll!$I55,Payroll!$F55*((1+Payroll!$J55)^(ROUNDDOWN(DATEDIF(Payroll!$I55,BK$2,"M")/Payroll!$K55,0))),0))</f>
        <v/>
      </c>
      <c r="BL132" s="56">
        <f>IF(BL$2=Payroll!$I55,Payroll!$F55,IF(BL$2&gt;Payroll!$I55,Payroll!$F55*((1+Payroll!$J55)^(ROUNDDOWN(DATEDIF(Payroll!$I55,BL$2,"M")/Payroll!$K55,0))),0))</f>
        <v/>
      </c>
      <c r="BM132" s="56">
        <f>IF(BM$2=Payroll!$I55,Payroll!$F55,IF(BM$2&gt;Payroll!$I55,Payroll!$F55*((1+Payroll!$J55)^(ROUNDDOWN(DATEDIF(Payroll!$I55,BM$2,"M")/Payroll!$K55,0))),0))</f>
        <v/>
      </c>
      <c r="BN132" s="56">
        <f>IF(BN$2=Payroll!$I55,Payroll!$F55,IF(BN$2&gt;Payroll!$I55,Payroll!$F55*((1+Payroll!$J55)^(ROUNDDOWN(DATEDIF(Payroll!$I55,BN$2,"M")/Payroll!$K55,0))),0))</f>
        <v/>
      </c>
      <c r="BO132" s="56">
        <f>IF(BO$2=Payroll!$I55,Payroll!$F55,IF(BO$2&gt;Payroll!$I55,Payroll!$F55*((1+Payroll!$J55)^(ROUNDDOWN(DATEDIF(Payroll!$I55,BO$2,"M")/Payroll!$K55,0))),0))</f>
        <v/>
      </c>
      <c r="BP132" s="56">
        <f>IF(BP$2=Payroll!$I55,Payroll!$F55,IF(BP$2&gt;Payroll!$I55,Payroll!$F55*((1+Payroll!$J55)^(ROUNDDOWN(DATEDIF(Payroll!$I55,BP$2,"M")/Payroll!$K55,0))),0))</f>
        <v/>
      </c>
      <c r="BQ132" s="56">
        <f>IF(BQ$2=Payroll!$I55,Payroll!$F55,IF(BQ$2&gt;Payroll!$I55,Payroll!$F55*((1+Payroll!$J55)^(ROUNDDOWN(DATEDIF(Payroll!$I55,BQ$2,"M")/Payroll!$K55,0))),0))</f>
        <v/>
      </c>
      <c r="BR132" s="56">
        <f>IF(BR$2=Payroll!$I55,Payroll!$F55,IF(BR$2&gt;Payroll!$I55,Payroll!$F55*((1+Payroll!$J55)^(ROUNDDOWN(DATEDIF(Payroll!$I55,BR$2,"M")/Payroll!$K55,0))),0))</f>
        <v/>
      </c>
      <c r="BS132" s="56">
        <f>IF(BS$2=Payroll!$I55,Payroll!$F55,IF(BS$2&gt;Payroll!$I55,Payroll!$F55*((1+Payroll!$J55)^(ROUNDDOWN(DATEDIF(Payroll!$I55,BS$2,"M")/Payroll!$K55,0))),0))</f>
        <v/>
      </c>
      <c r="BT132" s="56">
        <f>IF(BT$2=Payroll!$I55,Payroll!$F55,IF(BT$2&gt;Payroll!$I55,Payroll!$F55*((1+Payroll!$J55)^(ROUNDDOWN(DATEDIF(Payroll!$I55,BT$2,"M")/Payroll!$K55,0))),0))</f>
        <v/>
      </c>
      <c r="BU132" s="56">
        <f>IF(BU$2=Payroll!$I55,Payroll!$F55,IF(BU$2&gt;Payroll!$I55,Payroll!$F55*((1+Payroll!$J55)^(ROUNDDOWN(DATEDIF(Payroll!$I55,BU$2,"M")/Payroll!$K55,0))),0))</f>
        <v/>
      </c>
      <c r="BV132" s="56">
        <f>IF(BV$2=Payroll!$I55,Payroll!$F55,IF(BV$2&gt;Payroll!$I55,Payroll!$F55*((1+Payroll!$J55)^(ROUNDDOWN(DATEDIF(Payroll!$I55,BV$2,"M")/Payroll!$K55,0))),0))</f>
        <v/>
      </c>
      <c r="BW132" s="56">
        <f>IF(BW$2=Payroll!$I55,Payroll!$F55,IF(BW$2&gt;Payroll!$I55,Payroll!$F55*((1+Payroll!$J55)^(ROUNDDOWN(DATEDIF(Payroll!$I55,BW$2,"M")/Payroll!$K55,0))),0))</f>
        <v/>
      </c>
      <c r="BX132" s="56">
        <f>IF(BX$2=Payroll!$I55,Payroll!$F55,IF(BX$2&gt;Payroll!$I55,Payroll!$F55*((1+Payroll!$J55)^(ROUNDDOWN(DATEDIF(Payroll!$I55,BX$2,"M")/Payroll!$K55,0))),0))</f>
        <v/>
      </c>
      <c r="BY132" s="56">
        <f>IF(BY$2=Payroll!$I55,Payroll!$F55,IF(BY$2&gt;Payroll!$I55,Payroll!$F55*((1+Payroll!$J55)^(ROUNDDOWN(DATEDIF(Payroll!$I55,BY$2,"M")/Payroll!$K55,0))),0))</f>
        <v/>
      </c>
      <c r="BZ132" s="56">
        <f>IF(BZ$2=Payroll!$I55,Payroll!$F55,IF(BZ$2&gt;Payroll!$I55,Payroll!$F55*((1+Payroll!$J55)^(ROUNDDOWN(DATEDIF(Payroll!$I55,BZ$2,"M")/Payroll!$K55,0))),0))</f>
        <v/>
      </c>
      <c r="CA132" s="56">
        <f>IF(CA$2=Payroll!$I55,Payroll!$F55,IF(CA$2&gt;Payroll!$I55,Payroll!$F55*((1+Payroll!$J55)^(ROUNDDOWN(DATEDIF(Payroll!$I55,CA$2,"M")/Payroll!$K55,0))),0))</f>
        <v/>
      </c>
      <c r="CB132" s="56">
        <f>IF(CB$2=Payroll!$I55,Payroll!$F55,IF(CB$2&gt;Payroll!$I55,Payroll!$F55*((1+Payroll!$J55)^(ROUNDDOWN(DATEDIF(Payroll!$I55,CB$2,"M")/Payroll!$K55,0))),0))</f>
        <v/>
      </c>
      <c r="CC132" s="56">
        <f>IF(CC$2=Payroll!$I55,Payroll!$F55,IF(CC$2&gt;Payroll!$I55,Payroll!$F55*((1+Payroll!$J55)^(ROUNDDOWN(DATEDIF(Payroll!$I55,CC$2,"M")/Payroll!$K55,0))),0))</f>
        <v/>
      </c>
      <c r="CD132" s="56">
        <f>IF(CD$2=Payroll!$I55,Payroll!$F55,IF(CD$2&gt;Payroll!$I55,Payroll!$F55*((1+Payroll!$J55)^(ROUNDDOWN(DATEDIF(Payroll!$I55,CD$2,"M")/Payroll!$K55,0))),0))</f>
        <v/>
      </c>
      <c r="CE132" s="56">
        <f>IF(CE$2=Payroll!$I55,Payroll!$F55,IF(CE$2&gt;Payroll!$I55,Payroll!$F55*((1+Payroll!$J55)^(ROUNDDOWN(DATEDIF(Payroll!$I55,CE$2,"M")/Payroll!$K55,0))),0))</f>
        <v/>
      </c>
      <c r="CF132" s="56">
        <f>IF(CF$2=Payroll!$I55,Payroll!$F55,IF(CF$2&gt;Payroll!$I55,Payroll!$F55*((1+Payroll!$J55)^(ROUNDDOWN(DATEDIF(Payroll!$I55,CF$2,"M")/Payroll!$K55,0))),0))</f>
        <v/>
      </c>
      <c r="CG132" s="56">
        <f>IF(CG$2=Payroll!$I55,Payroll!$F55,IF(CG$2&gt;Payroll!$I55,Payroll!$F55*((1+Payroll!$J55)^(ROUNDDOWN(DATEDIF(Payroll!$I55,CG$2,"M")/Payroll!$K55,0))),0))</f>
        <v/>
      </c>
      <c r="CH132" s="56">
        <f>IF(CH$2=Payroll!$I55,Payroll!$F55,IF(CH$2&gt;Payroll!$I55,Payroll!$F55*((1+Payroll!$J55)^(ROUNDDOWN(DATEDIF(Payroll!$I55,CH$2,"M")/Payroll!$K55,0))),0))</f>
        <v/>
      </c>
      <c r="CI132" s="56">
        <f>IF(CI$2=Payroll!$I55,Payroll!$F55,IF(CI$2&gt;Payroll!$I55,Payroll!$F55*((1+Payroll!$J55)^(ROUNDDOWN(DATEDIF(Payroll!$I55,CI$2,"M")/Payroll!$K55,0))),0))</f>
        <v/>
      </c>
      <c r="CJ132" s="56">
        <f>IF(CJ$2=Payroll!$I55,Payroll!$F55,IF(CJ$2&gt;Payroll!$I55,Payroll!$F55*((1+Payroll!$J55)^(ROUNDDOWN(DATEDIF(Payroll!$I55,CJ$2,"M")/Payroll!$K55,0))),0))</f>
        <v/>
      </c>
      <c r="CK132" s="56">
        <f>IF(CK$2=Payroll!$I55,Payroll!$F55,IF(CK$2&gt;Payroll!$I55,Payroll!$F55*((1+Payroll!$J55)^(ROUNDDOWN(DATEDIF(Payroll!$I55,CK$2,"M")/Payroll!$K55,0))),0))</f>
        <v/>
      </c>
      <c r="CL132" s="56">
        <f>IF(CL$2=Payroll!$I55,Payroll!$F55,IF(CL$2&gt;Payroll!$I55,Payroll!$F55*((1+Payroll!$J55)^(ROUNDDOWN(DATEDIF(Payroll!$I55,CL$2,"M")/Payroll!$K55,0))),0))</f>
        <v/>
      </c>
      <c r="CM132" s="56">
        <f>IF(CM$2=Payroll!$I55,Payroll!$F55,IF(CM$2&gt;Payroll!$I55,Payroll!$F55*((1+Payroll!$J55)^(ROUNDDOWN(DATEDIF(Payroll!$I55,CM$2,"M")/Payroll!$K55,0))),0))</f>
        <v/>
      </c>
      <c r="CN132" s="56">
        <f>IF(CN$2=Payroll!$I55,Payroll!$F55,IF(CN$2&gt;Payroll!$I55,Payroll!$F55*((1+Payroll!$J55)^(ROUNDDOWN(DATEDIF(Payroll!$I55,CN$2,"M")/Payroll!$K55,0))),0))</f>
        <v/>
      </c>
      <c r="CO132" s="56">
        <f>IF(CO$2=Payroll!$I55,Payroll!$F55,IF(CO$2&gt;Payroll!$I55,Payroll!$F55*((1+Payroll!$J55)^(ROUNDDOWN(DATEDIF(Payroll!$I55,CO$2,"M")/Payroll!$K55,0))),0))</f>
        <v/>
      </c>
      <c r="CP132" s="56">
        <f>IF(CP$2=Payroll!$I55,Payroll!$F55,IF(CP$2&gt;Payroll!$I55,Payroll!$F55*((1+Payroll!$J55)^(ROUNDDOWN(DATEDIF(Payroll!$I55,CP$2,"M")/Payroll!$K55,0))),0))</f>
        <v/>
      </c>
      <c r="CQ132" s="56">
        <f>IF(CQ$2=Payroll!$I55,Payroll!$F55,IF(CQ$2&gt;Payroll!$I55,Payroll!$F55*((1+Payroll!$J55)^(ROUNDDOWN(DATEDIF(Payroll!$I55,CQ$2,"M")/Payroll!$K55,0))),0))</f>
        <v/>
      </c>
      <c r="CR132" s="56">
        <f>IF(CR$2=Payroll!$I55,Payroll!$F55,IF(CR$2&gt;Payroll!$I55,Payroll!$F55*((1+Payroll!$J55)^(ROUNDDOWN(DATEDIF(Payroll!$I55,CR$2,"M")/Payroll!$K55,0))),0))</f>
        <v/>
      </c>
      <c r="CS132" s="56">
        <f>IF(CS$2=Payroll!$I55,Payroll!$F55,IF(CS$2&gt;Payroll!$I55,Payroll!$F55*((1+Payroll!$J55)^(ROUNDDOWN(DATEDIF(Payroll!$I55,CS$2,"M")/Payroll!$K55,0))),0))</f>
        <v/>
      </c>
      <c r="CT132" s="56">
        <f>IF(CT$2=Payroll!$I55,Payroll!$F55,IF(CT$2&gt;Payroll!$I55,Payroll!$F55*((1+Payroll!$J55)^(ROUNDDOWN(DATEDIF(Payroll!$I55,CT$2,"M")/Payroll!$K55,0))),0))</f>
        <v/>
      </c>
      <c r="CU132" s="56">
        <f>IF(CU$2=Payroll!$I55,Payroll!$F55,IF(CU$2&gt;Payroll!$I55,Payroll!$F55*((1+Payroll!$J55)^(ROUNDDOWN(DATEDIF(Payroll!$I55,CU$2,"M")/Payroll!$K55,0))),0))</f>
        <v/>
      </c>
      <c r="CV132" s="56">
        <f>IF(CV$2=Payroll!$I55,Payroll!$F55,IF(CV$2&gt;Payroll!$I55,Payroll!$F55*((1+Payroll!$J55)^(ROUNDDOWN(DATEDIF(Payroll!$I55,CV$2,"M")/Payroll!$K55,0))),0))</f>
        <v/>
      </c>
      <c r="CW132" s="56">
        <f>IF(CW$2=Payroll!$I55,Payroll!$F55,IF(CW$2&gt;Payroll!$I55,Payroll!$F55*((1+Payroll!$J55)^(ROUNDDOWN(DATEDIF(Payroll!$I55,CW$2,"M")/Payroll!$K55,0))),0))</f>
        <v/>
      </c>
      <c r="CX132" s="56">
        <f>IF(CX$2=Payroll!$I55,Payroll!$F55,IF(CX$2&gt;Payroll!$I55,Payroll!$F55*((1+Payroll!$J55)^(ROUNDDOWN(DATEDIF(Payroll!$I55,CX$2,"M")/Payroll!$K55,0))),0))</f>
        <v/>
      </c>
    </row>
    <row r="133" outlineLevel="2" ht="15.75" customHeight="1" s="255">
      <c r="A133" s="56">
        <f>Payroll!A56</f>
        <v/>
      </c>
      <c r="B133" s="56" t="n"/>
      <c r="C133" s="56" t="n"/>
      <c r="D133" s="56" t="n"/>
      <c r="E133" s="56">
        <f>IF(E$2=Payroll!$I56,Payroll!$F56,IF(E$2&gt;Payroll!$I56,Payroll!$F56*((1+Payroll!$J56)^(ROUNDDOWN(DATEDIF(Payroll!$I56,E$2,"M")/Payroll!$K56,0))),0))</f>
        <v/>
      </c>
      <c r="F133" s="56">
        <f>IF(F$2=Payroll!$I56,Payroll!$F56,IF(F$2&gt;Payroll!$I56,Payroll!$F56*((1+Payroll!$J56)^(ROUNDDOWN(DATEDIF(Payroll!$I56,F$2,"M")/Payroll!$K56,0))),0))</f>
        <v/>
      </c>
      <c r="G133" s="56">
        <f>IF(G$2=Payroll!$I56,Payroll!$F56,IF(G$2&gt;Payroll!$I56,Payroll!$F56*((1+Payroll!$J56)^(ROUNDDOWN(DATEDIF(Payroll!$I56,G$2,"M")/Payroll!$K56,0))),0))</f>
        <v/>
      </c>
      <c r="H133" s="56">
        <f>IF(H$2=Payroll!$I56,Payroll!$F56,IF(H$2&gt;Payroll!$I56,Payroll!$F56*((1+Payroll!$J56)^(ROUNDDOWN(DATEDIF(Payroll!$I56,H$2,"M")/Payroll!$K56,0))),0))</f>
        <v/>
      </c>
      <c r="I133" s="56">
        <f>IF(I$2=Payroll!$I56,Payroll!$F56,IF(I$2&gt;Payroll!$I56,Payroll!$F56*((1+Payroll!$J56)^(ROUNDDOWN(DATEDIF(Payroll!$I56,I$2,"M")/Payroll!$K56,0))),0))</f>
        <v/>
      </c>
      <c r="J133" s="56">
        <f>IF(J$2=Payroll!$I56,Payroll!$F56,IF(J$2&gt;Payroll!$I56,Payroll!$F56*((1+Payroll!$J56)^(ROUNDDOWN(DATEDIF(Payroll!$I56,J$2,"M")/Payroll!$K56,0))),0))</f>
        <v/>
      </c>
      <c r="K133" s="56">
        <f>IF(K$2=Payroll!$I56,Payroll!$F56,IF(K$2&gt;Payroll!$I56,Payroll!$F56*((1+Payroll!$J56)^(ROUNDDOWN(DATEDIF(Payroll!$I56,K$2,"M")/Payroll!$K56,0))),0))</f>
        <v/>
      </c>
      <c r="L133" s="56">
        <f>IF(L$2=Payroll!$I56,Payroll!$F56,IF(L$2&gt;Payroll!$I56,Payroll!$F56*((1+Payroll!$J56)^(ROUNDDOWN(DATEDIF(Payroll!$I56,L$2,"M")/Payroll!$K56,0))),0))</f>
        <v/>
      </c>
      <c r="M133" s="56">
        <f>IF(M$2=Payroll!$I56,Payroll!$F56,IF(M$2&gt;Payroll!$I56,Payroll!$F56*((1+Payroll!$J56)^(ROUNDDOWN(DATEDIF(Payroll!$I56,M$2,"M")/Payroll!$K56,0))),0))</f>
        <v/>
      </c>
      <c r="N133" s="56">
        <f>IF(N$2=Payroll!$I56,Payroll!$F56,IF(N$2&gt;Payroll!$I56,Payroll!$F56*((1+Payroll!$J56)^(ROUNDDOWN(DATEDIF(Payroll!$I56,N$2,"M")/Payroll!$K56,0))),0))</f>
        <v/>
      </c>
      <c r="O133" s="56">
        <f>IF(O$2=Payroll!$I56,Payroll!$F56,IF(O$2&gt;Payroll!$I56,Payroll!$F56*((1+Payroll!$J56)^(ROUNDDOWN(DATEDIF(Payroll!$I56,O$2,"M")/Payroll!$K56,0))),0))</f>
        <v/>
      </c>
      <c r="P133" s="56">
        <f>IF(P$2=Payroll!$I56,Payroll!$F56,IF(P$2&gt;Payroll!$I56,Payroll!$F56*((1+Payroll!$J56)^(ROUNDDOWN(DATEDIF(Payroll!$I56,P$2,"M")/Payroll!$K56,0))),0))</f>
        <v/>
      </c>
      <c r="Q133" s="56">
        <f>IF(Q$2=Payroll!$I56,Payroll!$F56,IF(Q$2&gt;Payroll!$I56,Payroll!$F56*((1+Payroll!$J56)^(ROUNDDOWN(DATEDIF(Payroll!$I56,Q$2,"M")/Payroll!$K56,0))),0))</f>
        <v/>
      </c>
      <c r="R133" s="56">
        <f>IF(R$2=Payroll!$I56,Payroll!$F56,IF(R$2&gt;Payroll!$I56,Payroll!$F56*((1+Payroll!$J56)^(ROUNDDOWN(DATEDIF(Payroll!$I56,R$2,"M")/Payroll!$K56,0))),0))</f>
        <v/>
      </c>
      <c r="S133" s="56">
        <f>IF(S$2=Payroll!$I56,Payroll!$F56,IF(S$2&gt;Payroll!$I56,Payroll!$F56*((1+Payroll!$J56)^(ROUNDDOWN(DATEDIF(Payroll!$I56,S$2,"M")/Payroll!$K56,0))),0))</f>
        <v/>
      </c>
      <c r="T133" s="56">
        <f>IF(T$2=Payroll!$I56,Payroll!$F56,IF(T$2&gt;Payroll!$I56,Payroll!$F56*((1+Payroll!$J56)^(ROUNDDOWN(DATEDIF(Payroll!$I56,T$2,"M")/Payroll!$K56,0))),0))</f>
        <v/>
      </c>
      <c r="U133" s="56">
        <f>IF(U$2=Payroll!$I56,Payroll!$F56,IF(U$2&gt;Payroll!$I56,Payroll!$F56*((1+Payroll!$J56)^(ROUNDDOWN(DATEDIF(Payroll!$I56,U$2,"M")/Payroll!$K56,0))),0))</f>
        <v/>
      </c>
      <c r="V133" s="56">
        <f>IF(V$2=Payroll!$I56,Payroll!$F56,IF(V$2&gt;Payroll!$I56,Payroll!$F56*((1+Payroll!$J56)^(ROUNDDOWN(DATEDIF(Payroll!$I56,V$2,"M")/Payroll!$K56,0))),0))</f>
        <v/>
      </c>
      <c r="W133" s="56">
        <f>IF(W$2=Payroll!$I56,Payroll!$F56,IF(W$2&gt;Payroll!$I56,Payroll!$F56*((1+Payroll!$J56)^(ROUNDDOWN(DATEDIF(Payroll!$I56,W$2,"M")/Payroll!$K56,0))),0))</f>
        <v/>
      </c>
      <c r="X133" s="56">
        <f>IF(X$2=Payroll!$I56,Payroll!$F56,IF(X$2&gt;Payroll!$I56,Payroll!$F56*((1+Payroll!$J56)^(ROUNDDOWN(DATEDIF(Payroll!$I56,X$2,"M")/Payroll!$K56,0))),0))</f>
        <v/>
      </c>
      <c r="Y133" s="56">
        <f>IF(Y$2=Payroll!$I56,Payroll!$F56,IF(Y$2&gt;Payroll!$I56,Payroll!$F56*((1+Payroll!$J56)^(ROUNDDOWN(DATEDIF(Payroll!$I56,Y$2,"M")/Payroll!$K56,0))),0))</f>
        <v/>
      </c>
      <c r="Z133" s="56">
        <f>IF(Z$2=Payroll!$I56,Payroll!$F56,IF(Z$2&gt;Payroll!$I56,Payroll!$F56*((1+Payroll!$J56)^(ROUNDDOWN(DATEDIF(Payroll!$I56,Z$2,"M")/Payroll!$K56,0))),0))</f>
        <v/>
      </c>
      <c r="AA133" s="56">
        <f>IF(AA$2=Payroll!$I56,Payroll!$F56,IF(AA$2&gt;Payroll!$I56,Payroll!$F56*((1+Payroll!$J56)^(ROUNDDOWN(DATEDIF(Payroll!$I56,AA$2,"M")/Payroll!$K56,0))),0))</f>
        <v/>
      </c>
      <c r="AB133" s="56">
        <f>IF(AB$2=Payroll!$I56,Payroll!$F56,IF(AB$2&gt;Payroll!$I56,Payroll!$F56*((1+Payroll!$J56)^(ROUNDDOWN(DATEDIF(Payroll!$I56,AB$2,"M")/Payroll!$K56,0))),0))</f>
        <v/>
      </c>
      <c r="AC133" s="56">
        <f>IF(AC$2=Payroll!$I56,Payroll!$F56,IF(AC$2&gt;Payroll!$I56,Payroll!$F56*((1+Payroll!$J56)^(ROUNDDOWN(DATEDIF(Payroll!$I56,AC$2,"M")/Payroll!$K56,0))),0))</f>
        <v/>
      </c>
      <c r="AD133" s="56">
        <f>IF(AD$2=Payroll!$I56,Payroll!$F56,IF(AD$2&gt;Payroll!$I56,Payroll!$F56*((1+Payroll!$J56)^(ROUNDDOWN(DATEDIF(Payroll!$I56,AD$2,"M")/Payroll!$K56,0))),0))</f>
        <v/>
      </c>
      <c r="AE133" s="56">
        <f>IF(AE$2=Payroll!$I56,Payroll!$F56,IF(AE$2&gt;Payroll!$I56,Payroll!$F56*((1+Payroll!$J56)^(ROUNDDOWN(DATEDIF(Payroll!$I56,AE$2,"M")/Payroll!$K56,0))),0))</f>
        <v/>
      </c>
      <c r="AF133" s="56">
        <f>IF(AF$2=Payroll!$I56,Payroll!$F56,IF(AF$2&gt;Payroll!$I56,Payroll!$F56*((1+Payroll!$J56)^(ROUNDDOWN(DATEDIF(Payroll!$I56,AF$2,"M")/Payroll!$K56,0))),0))</f>
        <v/>
      </c>
      <c r="AG133" s="56">
        <f>IF(AG$2=Payroll!$I56,Payroll!$F56,IF(AG$2&gt;Payroll!$I56,Payroll!$F56*((1+Payroll!$J56)^(ROUNDDOWN(DATEDIF(Payroll!$I56,AG$2,"M")/Payroll!$K56,0))),0))</f>
        <v/>
      </c>
      <c r="AH133" s="56">
        <f>IF(AH$2=Payroll!$I56,Payroll!$F56,IF(AH$2&gt;Payroll!$I56,Payroll!$F56*((1+Payroll!$J56)^(ROUNDDOWN(DATEDIF(Payroll!$I56,AH$2,"M")/Payroll!$K56,0))),0))</f>
        <v/>
      </c>
      <c r="AI133" s="56">
        <f>IF(AI$2=Payroll!$I56,Payroll!$F56,IF(AI$2&gt;Payroll!$I56,Payroll!$F56*((1+Payroll!$J56)^(ROUNDDOWN(DATEDIF(Payroll!$I56,AI$2,"M")/Payroll!$K56,0))),0))</f>
        <v/>
      </c>
      <c r="AJ133" s="56">
        <f>IF(AJ$2=Payroll!$I56,Payroll!$F56,IF(AJ$2&gt;Payroll!$I56,Payroll!$F56*((1+Payroll!$J56)^(ROUNDDOWN(DATEDIF(Payroll!$I56,AJ$2,"M")/Payroll!$K56,0))),0))</f>
        <v/>
      </c>
      <c r="AK133" s="56">
        <f>IF(AK$2=Payroll!$I56,Payroll!$F56,IF(AK$2&gt;Payroll!$I56,Payroll!$F56*((1+Payroll!$J56)^(ROUNDDOWN(DATEDIF(Payroll!$I56,AK$2,"M")/Payroll!$K56,0))),0))</f>
        <v/>
      </c>
      <c r="AL133" s="56">
        <f>IF(AL$2=Payroll!$I56,Payroll!$F56,IF(AL$2&gt;Payroll!$I56,Payroll!$F56*((1+Payroll!$J56)^(ROUNDDOWN(DATEDIF(Payroll!$I56,AL$2,"M")/Payroll!$K56,0))),0))</f>
        <v/>
      </c>
      <c r="AM133" s="56">
        <f>IF(AM$2=Payroll!$I56,Payroll!$F56,IF(AM$2&gt;Payroll!$I56,Payroll!$F56*((1+Payroll!$J56)^(ROUNDDOWN(DATEDIF(Payroll!$I56,AM$2,"M")/Payroll!$K56,0))),0))</f>
        <v/>
      </c>
      <c r="AN133" s="56">
        <f>IF(AN$2=Payroll!$I56,Payroll!$F56,IF(AN$2&gt;Payroll!$I56,Payroll!$F56*((1+Payroll!$J56)^(ROUNDDOWN(DATEDIF(Payroll!$I56,AN$2,"M")/Payroll!$K56,0))),0))</f>
        <v/>
      </c>
      <c r="AO133" s="56">
        <f>IF(AO$2=Payroll!$I56,Payroll!$F56,IF(AO$2&gt;Payroll!$I56,Payroll!$F56*((1+Payroll!$J56)^(ROUNDDOWN(DATEDIF(Payroll!$I56,AO$2,"M")/Payroll!$K56,0))),0))</f>
        <v/>
      </c>
      <c r="AP133" s="56">
        <f>IF(AP$2=Payroll!$I56,Payroll!$F56,IF(AP$2&gt;Payroll!$I56,Payroll!$F56*((1+Payroll!$J56)^(ROUNDDOWN(DATEDIF(Payroll!$I56,AP$2,"M")/Payroll!$K56,0))),0))</f>
        <v/>
      </c>
      <c r="AQ133" s="56">
        <f>IF(AQ$2=Payroll!$I56,Payroll!$F56,IF(AQ$2&gt;Payroll!$I56,Payroll!$F56*((1+Payroll!$J56)^(ROUNDDOWN(DATEDIF(Payroll!$I56,AQ$2,"M")/Payroll!$K56,0))),0))</f>
        <v/>
      </c>
      <c r="AR133" s="56">
        <f>IF(AR$2=Payroll!$I56,Payroll!$F56,IF(AR$2&gt;Payroll!$I56,Payroll!$F56*((1+Payroll!$J56)^(ROUNDDOWN(DATEDIF(Payroll!$I56,AR$2,"M")/Payroll!$K56,0))),0))</f>
        <v/>
      </c>
      <c r="AS133" s="56">
        <f>IF(AS$2=Payroll!$I56,Payroll!$F56,IF(AS$2&gt;Payroll!$I56,Payroll!$F56*((1+Payroll!$J56)^(ROUNDDOWN(DATEDIF(Payroll!$I56,AS$2,"M")/Payroll!$K56,0))),0))</f>
        <v/>
      </c>
      <c r="AT133" s="56">
        <f>IF(AT$2=Payroll!$I56,Payroll!$F56,IF(AT$2&gt;Payroll!$I56,Payroll!$F56*((1+Payroll!$J56)^(ROUNDDOWN(DATEDIF(Payroll!$I56,AT$2,"M")/Payroll!$K56,0))),0))</f>
        <v/>
      </c>
      <c r="AU133" s="56">
        <f>IF(AU$2=Payroll!$I56,Payroll!$F56,IF(AU$2&gt;Payroll!$I56,Payroll!$F56*((1+Payroll!$J56)^(ROUNDDOWN(DATEDIF(Payroll!$I56,AU$2,"M")/Payroll!$K56,0))),0))</f>
        <v/>
      </c>
      <c r="AV133" s="56">
        <f>IF(AV$2=Payroll!$I56,Payroll!$F56,IF(AV$2&gt;Payroll!$I56,Payroll!$F56*((1+Payroll!$J56)^(ROUNDDOWN(DATEDIF(Payroll!$I56,AV$2,"M")/Payroll!$K56,0))),0))</f>
        <v/>
      </c>
      <c r="AW133" s="56">
        <f>IF(AW$2=Payroll!$I56,Payroll!$F56,IF(AW$2&gt;Payroll!$I56,Payroll!$F56*((1+Payroll!$J56)^(ROUNDDOWN(DATEDIF(Payroll!$I56,AW$2,"M")/Payroll!$K56,0))),0))</f>
        <v/>
      </c>
      <c r="AX133" s="56">
        <f>IF(AX$2=Payroll!$I56,Payroll!$F56,IF(AX$2&gt;Payroll!$I56,Payroll!$F56*((1+Payroll!$J56)^(ROUNDDOWN(DATEDIF(Payroll!$I56,AX$2,"M")/Payroll!$K56,0))),0))</f>
        <v/>
      </c>
      <c r="AY133" s="56">
        <f>IF(AY$2=Payroll!$I56,Payroll!$F56,IF(AY$2&gt;Payroll!$I56,Payroll!$F56*((1+Payroll!$J56)^(ROUNDDOWN(DATEDIF(Payroll!$I56,AY$2,"M")/Payroll!$K56,0))),0))</f>
        <v/>
      </c>
      <c r="AZ133" s="56">
        <f>IF(AZ$2=Payroll!$I56,Payroll!$F56,IF(AZ$2&gt;Payroll!$I56,Payroll!$F56*((1+Payroll!$J56)^(ROUNDDOWN(DATEDIF(Payroll!$I56,AZ$2,"M")/Payroll!$K56,0))),0))</f>
        <v/>
      </c>
      <c r="BA133" s="56">
        <f>IF(BA$2=Payroll!$I56,Payroll!$F56,IF(BA$2&gt;Payroll!$I56,Payroll!$F56*((1+Payroll!$J56)^(ROUNDDOWN(DATEDIF(Payroll!$I56,BA$2,"M")/Payroll!$K56,0))),0))</f>
        <v/>
      </c>
      <c r="BB133" s="56">
        <f>IF(BB$2=Payroll!$I56,Payroll!$F56,IF(BB$2&gt;Payroll!$I56,Payroll!$F56*((1+Payroll!$J56)^(ROUNDDOWN(DATEDIF(Payroll!$I56,BB$2,"M")/Payroll!$K56,0))),0))</f>
        <v/>
      </c>
      <c r="BC133" s="56">
        <f>IF(BC$2=Payroll!$I56,Payroll!$F56,IF(BC$2&gt;Payroll!$I56,Payroll!$F56*((1+Payroll!$J56)^(ROUNDDOWN(DATEDIF(Payroll!$I56,BC$2,"M")/Payroll!$K56,0))),0))</f>
        <v/>
      </c>
      <c r="BD133" s="56">
        <f>IF(BD$2=Payroll!$I56,Payroll!$F56,IF(BD$2&gt;Payroll!$I56,Payroll!$F56*((1+Payroll!$J56)^(ROUNDDOWN(DATEDIF(Payroll!$I56,BD$2,"M")/Payroll!$K56,0))),0))</f>
        <v/>
      </c>
      <c r="BE133" s="56">
        <f>IF(BE$2=Payroll!$I56,Payroll!$F56,IF(BE$2&gt;Payroll!$I56,Payroll!$F56*((1+Payroll!$J56)^(ROUNDDOWN(DATEDIF(Payroll!$I56,BE$2,"M")/Payroll!$K56,0))),0))</f>
        <v/>
      </c>
      <c r="BF133" s="56">
        <f>IF(BF$2=Payroll!$I56,Payroll!$F56,IF(BF$2&gt;Payroll!$I56,Payroll!$F56*((1+Payroll!$J56)^(ROUNDDOWN(DATEDIF(Payroll!$I56,BF$2,"M")/Payroll!$K56,0))),0))</f>
        <v/>
      </c>
      <c r="BG133" s="56">
        <f>IF(BG$2=Payroll!$I56,Payroll!$F56,IF(BG$2&gt;Payroll!$I56,Payroll!$F56*((1+Payroll!$J56)^(ROUNDDOWN(DATEDIF(Payroll!$I56,BG$2,"M")/Payroll!$K56,0))),0))</f>
        <v/>
      </c>
      <c r="BH133" s="56">
        <f>IF(BH$2=Payroll!$I56,Payroll!$F56,IF(BH$2&gt;Payroll!$I56,Payroll!$F56*((1+Payroll!$J56)^(ROUNDDOWN(DATEDIF(Payroll!$I56,BH$2,"M")/Payroll!$K56,0))),0))</f>
        <v/>
      </c>
      <c r="BI133" s="56">
        <f>IF(BI$2=Payroll!$I56,Payroll!$F56,IF(BI$2&gt;Payroll!$I56,Payroll!$F56*((1+Payroll!$J56)^(ROUNDDOWN(DATEDIF(Payroll!$I56,BI$2,"M")/Payroll!$K56,0))),0))</f>
        <v/>
      </c>
      <c r="BJ133" s="56">
        <f>IF(BJ$2=Payroll!$I56,Payroll!$F56,IF(BJ$2&gt;Payroll!$I56,Payroll!$F56*((1+Payroll!$J56)^(ROUNDDOWN(DATEDIF(Payroll!$I56,BJ$2,"M")/Payroll!$K56,0))),0))</f>
        <v/>
      </c>
      <c r="BK133" s="56">
        <f>IF(BK$2=Payroll!$I56,Payroll!$F56,IF(BK$2&gt;Payroll!$I56,Payroll!$F56*((1+Payroll!$J56)^(ROUNDDOWN(DATEDIF(Payroll!$I56,BK$2,"M")/Payroll!$K56,0))),0))</f>
        <v/>
      </c>
      <c r="BL133" s="56">
        <f>IF(BL$2=Payroll!$I56,Payroll!$F56,IF(BL$2&gt;Payroll!$I56,Payroll!$F56*((1+Payroll!$J56)^(ROUNDDOWN(DATEDIF(Payroll!$I56,BL$2,"M")/Payroll!$K56,0))),0))</f>
        <v/>
      </c>
      <c r="BM133" s="56">
        <f>IF(BM$2=Payroll!$I56,Payroll!$F56,IF(BM$2&gt;Payroll!$I56,Payroll!$F56*((1+Payroll!$J56)^(ROUNDDOWN(DATEDIF(Payroll!$I56,BM$2,"M")/Payroll!$K56,0))),0))</f>
        <v/>
      </c>
      <c r="BN133" s="56">
        <f>IF(BN$2=Payroll!$I56,Payroll!$F56,IF(BN$2&gt;Payroll!$I56,Payroll!$F56*((1+Payroll!$J56)^(ROUNDDOWN(DATEDIF(Payroll!$I56,BN$2,"M")/Payroll!$K56,0))),0))</f>
        <v/>
      </c>
      <c r="BO133" s="56">
        <f>IF(BO$2=Payroll!$I56,Payroll!$F56,IF(BO$2&gt;Payroll!$I56,Payroll!$F56*((1+Payroll!$J56)^(ROUNDDOWN(DATEDIF(Payroll!$I56,BO$2,"M")/Payroll!$K56,0))),0))</f>
        <v/>
      </c>
      <c r="BP133" s="56">
        <f>IF(BP$2=Payroll!$I56,Payroll!$F56,IF(BP$2&gt;Payroll!$I56,Payroll!$F56*((1+Payroll!$J56)^(ROUNDDOWN(DATEDIF(Payroll!$I56,BP$2,"M")/Payroll!$K56,0))),0))</f>
        <v/>
      </c>
      <c r="BQ133" s="56">
        <f>IF(BQ$2=Payroll!$I56,Payroll!$F56,IF(BQ$2&gt;Payroll!$I56,Payroll!$F56*((1+Payroll!$J56)^(ROUNDDOWN(DATEDIF(Payroll!$I56,BQ$2,"M")/Payroll!$K56,0))),0))</f>
        <v/>
      </c>
      <c r="BR133" s="56">
        <f>IF(BR$2=Payroll!$I56,Payroll!$F56,IF(BR$2&gt;Payroll!$I56,Payroll!$F56*((1+Payroll!$J56)^(ROUNDDOWN(DATEDIF(Payroll!$I56,BR$2,"M")/Payroll!$K56,0))),0))</f>
        <v/>
      </c>
      <c r="BS133" s="56">
        <f>IF(BS$2=Payroll!$I56,Payroll!$F56,IF(BS$2&gt;Payroll!$I56,Payroll!$F56*((1+Payroll!$J56)^(ROUNDDOWN(DATEDIF(Payroll!$I56,BS$2,"M")/Payroll!$K56,0))),0))</f>
        <v/>
      </c>
      <c r="BT133" s="56">
        <f>IF(BT$2=Payroll!$I56,Payroll!$F56,IF(BT$2&gt;Payroll!$I56,Payroll!$F56*((1+Payroll!$J56)^(ROUNDDOWN(DATEDIF(Payroll!$I56,BT$2,"M")/Payroll!$K56,0))),0))</f>
        <v/>
      </c>
      <c r="BU133" s="56">
        <f>IF(BU$2=Payroll!$I56,Payroll!$F56,IF(BU$2&gt;Payroll!$I56,Payroll!$F56*((1+Payroll!$J56)^(ROUNDDOWN(DATEDIF(Payroll!$I56,BU$2,"M")/Payroll!$K56,0))),0))</f>
        <v/>
      </c>
      <c r="BV133" s="56">
        <f>IF(BV$2=Payroll!$I56,Payroll!$F56,IF(BV$2&gt;Payroll!$I56,Payroll!$F56*((1+Payroll!$J56)^(ROUNDDOWN(DATEDIF(Payroll!$I56,BV$2,"M")/Payroll!$K56,0))),0))</f>
        <v/>
      </c>
      <c r="BW133" s="56">
        <f>IF(BW$2=Payroll!$I56,Payroll!$F56,IF(BW$2&gt;Payroll!$I56,Payroll!$F56*((1+Payroll!$J56)^(ROUNDDOWN(DATEDIF(Payroll!$I56,BW$2,"M")/Payroll!$K56,0))),0))</f>
        <v/>
      </c>
      <c r="BX133" s="56">
        <f>IF(BX$2=Payroll!$I56,Payroll!$F56,IF(BX$2&gt;Payroll!$I56,Payroll!$F56*((1+Payroll!$J56)^(ROUNDDOWN(DATEDIF(Payroll!$I56,BX$2,"M")/Payroll!$K56,0))),0))</f>
        <v/>
      </c>
      <c r="BY133" s="56">
        <f>IF(BY$2=Payroll!$I56,Payroll!$F56,IF(BY$2&gt;Payroll!$I56,Payroll!$F56*((1+Payroll!$J56)^(ROUNDDOWN(DATEDIF(Payroll!$I56,BY$2,"M")/Payroll!$K56,0))),0))</f>
        <v/>
      </c>
      <c r="BZ133" s="56">
        <f>IF(BZ$2=Payroll!$I56,Payroll!$F56,IF(BZ$2&gt;Payroll!$I56,Payroll!$F56*((1+Payroll!$J56)^(ROUNDDOWN(DATEDIF(Payroll!$I56,BZ$2,"M")/Payroll!$K56,0))),0))</f>
        <v/>
      </c>
      <c r="CA133" s="56">
        <f>IF(CA$2=Payroll!$I56,Payroll!$F56,IF(CA$2&gt;Payroll!$I56,Payroll!$F56*((1+Payroll!$J56)^(ROUNDDOWN(DATEDIF(Payroll!$I56,CA$2,"M")/Payroll!$K56,0))),0))</f>
        <v/>
      </c>
      <c r="CB133" s="56">
        <f>IF(CB$2=Payroll!$I56,Payroll!$F56,IF(CB$2&gt;Payroll!$I56,Payroll!$F56*((1+Payroll!$J56)^(ROUNDDOWN(DATEDIF(Payroll!$I56,CB$2,"M")/Payroll!$K56,0))),0))</f>
        <v/>
      </c>
      <c r="CC133" s="56">
        <f>IF(CC$2=Payroll!$I56,Payroll!$F56,IF(CC$2&gt;Payroll!$I56,Payroll!$F56*((1+Payroll!$J56)^(ROUNDDOWN(DATEDIF(Payroll!$I56,CC$2,"M")/Payroll!$K56,0))),0))</f>
        <v/>
      </c>
      <c r="CD133" s="56">
        <f>IF(CD$2=Payroll!$I56,Payroll!$F56,IF(CD$2&gt;Payroll!$I56,Payroll!$F56*((1+Payroll!$J56)^(ROUNDDOWN(DATEDIF(Payroll!$I56,CD$2,"M")/Payroll!$K56,0))),0))</f>
        <v/>
      </c>
      <c r="CE133" s="56">
        <f>IF(CE$2=Payroll!$I56,Payroll!$F56,IF(CE$2&gt;Payroll!$I56,Payroll!$F56*((1+Payroll!$J56)^(ROUNDDOWN(DATEDIF(Payroll!$I56,CE$2,"M")/Payroll!$K56,0))),0))</f>
        <v/>
      </c>
      <c r="CF133" s="56">
        <f>IF(CF$2=Payroll!$I56,Payroll!$F56,IF(CF$2&gt;Payroll!$I56,Payroll!$F56*((1+Payroll!$J56)^(ROUNDDOWN(DATEDIF(Payroll!$I56,CF$2,"M")/Payroll!$K56,0))),0))</f>
        <v/>
      </c>
      <c r="CG133" s="56">
        <f>IF(CG$2=Payroll!$I56,Payroll!$F56,IF(CG$2&gt;Payroll!$I56,Payroll!$F56*((1+Payroll!$J56)^(ROUNDDOWN(DATEDIF(Payroll!$I56,CG$2,"M")/Payroll!$K56,0))),0))</f>
        <v/>
      </c>
      <c r="CH133" s="56">
        <f>IF(CH$2=Payroll!$I56,Payroll!$F56,IF(CH$2&gt;Payroll!$I56,Payroll!$F56*((1+Payroll!$J56)^(ROUNDDOWN(DATEDIF(Payroll!$I56,CH$2,"M")/Payroll!$K56,0))),0))</f>
        <v/>
      </c>
      <c r="CI133" s="56">
        <f>IF(CI$2=Payroll!$I56,Payroll!$F56,IF(CI$2&gt;Payroll!$I56,Payroll!$F56*((1+Payroll!$J56)^(ROUNDDOWN(DATEDIF(Payroll!$I56,CI$2,"M")/Payroll!$K56,0))),0))</f>
        <v/>
      </c>
      <c r="CJ133" s="56">
        <f>IF(CJ$2=Payroll!$I56,Payroll!$F56,IF(CJ$2&gt;Payroll!$I56,Payroll!$F56*((1+Payroll!$J56)^(ROUNDDOWN(DATEDIF(Payroll!$I56,CJ$2,"M")/Payroll!$K56,0))),0))</f>
        <v/>
      </c>
      <c r="CK133" s="56">
        <f>IF(CK$2=Payroll!$I56,Payroll!$F56,IF(CK$2&gt;Payroll!$I56,Payroll!$F56*((1+Payroll!$J56)^(ROUNDDOWN(DATEDIF(Payroll!$I56,CK$2,"M")/Payroll!$K56,0))),0))</f>
        <v/>
      </c>
      <c r="CL133" s="56">
        <f>IF(CL$2=Payroll!$I56,Payroll!$F56,IF(CL$2&gt;Payroll!$I56,Payroll!$F56*((1+Payroll!$J56)^(ROUNDDOWN(DATEDIF(Payroll!$I56,CL$2,"M")/Payroll!$K56,0))),0))</f>
        <v/>
      </c>
      <c r="CM133" s="56">
        <f>IF(CM$2=Payroll!$I56,Payroll!$F56,IF(CM$2&gt;Payroll!$I56,Payroll!$F56*((1+Payroll!$J56)^(ROUNDDOWN(DATEDIF(Payroll!$I56,CM$2,"M")/Payroll!$K56,0))),0))</f>
        <v/>
      </c>
      <c r="CN133" s="56">
        <f>IF(CN$2=Payroll!$I56,Payroll!$F56,IF(CN$2&gt;Payroll!$I56,Payroll!$F56*((1+Payroll!$J56)^(ROUNDDOWN(DATEDIF(Payroll!$I56,CN$2,"M")/Payroll!$K56,0))),0))</f>
        <v/>
      </c>
      <c r="CO133" s="56">
        <f>IF(CO$2=Payroll!$I56,Payroll!$F56,IF(CO$2&gt;Payroll!$I56,Payroll!$F56*((1+Payroll!$J56)^(ROUNDDOWN(DATEDIF(Payroll!$I56,CO$2,"M")/Payroll!$K56,0))),0))</f>
        <v/>
      </c>
      <c r="CP133" s="56">
        <f>IF(CP$2=Payroll!$I56,Payroll!$F56,IF(CP$2&gt;Payroll!$I56,Payroll!$F56*((1+Payroll!$J56)^(ROUNDDOWN(DATEDIF(Payroll!$I56,CP$2,"M")/Payroll!$K56,0))),0))</f>
        <v/>
      </c>
      <c r="CQ133" s="56">
        <f>IF(CQ$2=Payroll!$I56,Payroll!$F56,IF(CQ$2&gt;Payroll!$I56,Payroll!$F56*((1+Payroll!$J56)^(ROUNDDOWN(DATEDIF(Payroll!$I56,CQ$2,"M")/Payroll!$K56,0))),0))</f>
        <v/>
      </c>
      <c r="CR133" s="56">
        <f>IF(CR$2=Payroll!$I56,Payroll!$F56,IF(CR$2&gt;Payroll!$I56,Payroll!$F56*((1+Payroll!$J56)^(ROUNDDOWN(DATEDIF(Payroll!$I56,CR$2,"M")/Payroll!$K56,0))),0))</f>
        <v/>
      </c>
      <c r="CS133" s="56">
        <f>IF(CS$2=Payroll!$I56,Payroll!$F56,IF(CS$2&gt;Payroll!$I56,Payroll!$F56*((1+Payroll!$J56)^(ROUNDDOWN(DATEDIF(Payroll!$I56,CS$2,"M")/Payroll!$K56,0))),0))</f>
        <v/>
      </c>
      <c r="CT133" s="56">
        <f>IF(CT$2=Payroll!$I56,Payroll!$F56,IF(CT$2&gt;Payroll!$I56,Payroll!$F56*((1+Payroll!$J56)^(ROUNDDOWN(DATEDIF(Payroll!$I56,CT$2,"M")/Payroll!$K56,0))),0))</f>
        <v/>
      </c>
      <c r="CU133" s="56">
        <f>IF(CU$2=Payroll!$I56,Payroll!$F56,IF(CU$2&gt;Payroll!$I56,Payroll!$F56*((1+Payroll!$J56)^(ROUNDDOWN(DATEDIF(Payroll!$I56,CU$2,"M")/Payroll!$K56,0))),0))</f>
        <v/>
      </c>
      <c r="CV133" s="56">
        <f>IF(CV$2=Payroll!$I56,Payroll!$F56,IF(CV$2&gt;Payroll!$I56,Payroll!$F56*((1+Payroll!$J56)^(ROUNDDOWN(DATEDIF(Payroll!$I56,CV$2,"M")/Payroll!$K56,0))),0))</f>
        <v/>
      </c>
      <c r="CW133" s="56">
        <f>IF(CW$2=Payroll!$I56,Payroll!$F56,IF(CW$2&gt;Payroll!$I56,Payroll!$F56*((1+Payroll!$J56)^(ROUNDDOWN(DATEDIF(Payroll!$I56,CW$2,"M")/Payroll!$K56,0))),0))</f>
        <v/>
      </c>
      <c r="CX133" s="56">
        <f>IF(CX$2=Payroll!$I56,Payroll!$F56,IF(CX$2&gt;Payroll!$I56,Payroll!$F56*((1+Payroll!$J56)^(ROUNDDOWN(DATEDIF(Payroll!$I56,CX$2,"M")/Payroll!$K56,0))),0))</f>
        <v/>
      </c>
    </row>
    <row r="134" outlineLevel="2" ht="15.75" customHeight="1" s="255">
      <c r="A134" s="56">
        <f>Payroll!A57</f>
        <v/>
      </c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  <c r="CW134" s="56" t="n"/>
      <c r="CX134" s="56" t="n"/>
    </row>
    <row r="135" outlineLevel="2" ht="15.75" customHeight="1" s="255">
      <c r="A135" s="42">
        <f>Payroll!A58</f>
        <v/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</row>
    <row r="136" outlineLevel="2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  <c r="CX136" s="42" t="n"/>
    </row>
    <row r="137" outlineLevel="2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  <c r="CX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  <c r="CX138" s="42" t="n"/>
    </row>
    <row r="139" ht="15.75" customHeight="1" s="255">
      <c r="A139" s="146">
        <f>Projections!A92</f>
        <v/>
      </c>
      <c r="B139" s="146" t="n"/>
      <c r="C139" s="146" t="n"/>
      <c r="D139" s="146" t="n"/>
      <c r="E139" s="147">
        <f>E140+E143+E146</f>
        <v/>
      </c>
      <c r="F139" s="147">
        <f>F140+F143+F146</f>
        <v/>
      </c>
      <c r="G139" s="147">
        <f>G140+G143+G146</f>
        <v/>
      </c>
      <c r="H139" s="147">
        <f>H140+H143+H146</f>
        <v/>
      </c>
      <c r="I139" s="147">
        <f>I140+I143+I146</f>
        <v/>
      </c>
      <c r="J139" s="147">
        <f>J140+J143+J146</f>
        <v/>
      </c>
      <c r="K139" s="147">
        <f>K140+K143+K146</f>
        <v/>
      </c>
      <c r="L139" s="147">
        <f>L140+L143+L146</f>
        <v/>
      </c>
      <c r="M139" s="147">
        <f>M140+M143+M146</f>
        <v/>
      </c>
      <c r="N139" s="147">
        <f>N140+N143+N146</f>
        <v/>
      </c>
      <c r="O139" s="147">
        <f>O140+O143+O146</f>
        <v/>
      </c>
      <c r="P139" s="147">
        <f>P140+P143+P146</f>
        <v/>
      </c>
      <c r="Q139" s="147">
        <f>Q140+Q143+Q146</f>
        <v/>
      </c>
      <c r="R139" s="147">
        <f>R140+R143+R146</f>
        <v/>
      </c>
      <c r="S139" s="147">
        <f>S140+S143+S146</f>
        <v/>
      </c>
      <c r="T139" s="147">
        <f>T140+T143+T146</f>
        <v/>
      </c>
      <c r="U139" s="147">
        <f>U140+U143+U146</f>
        <v/>
      </c>
      <c r="V139" s="147">
        <f>V140+V143+V146</f>
        <v/>
      </c>
      <c r="W139" s="147">
        <f>W140+W143+W146</f>
        <v/>
      </c>
      <c r="X139" s="147">
        <f>X140+X143+X146</f>
        <v/>
      </c>
      <c r="Y139" s="147">
        <f>Y140+Y143+Y146</f>
        <v/>
      </c>
      <c r="Z139" s="147">
        <f>Z140+Z143+Z146</f>
        <v/>
      </c>
      <c r="AA139" s="147">
        <f>AA140+AA143+AA146</f>
        <v/>
      </c>
      <c r="AB139" s="147">
        <f>AB140+AB143+AB146</f>
        <v/>
      </c>
      <c r="AC139" s="147">
        <f>AC140+AC143+AC146</f>
        <v/>
      </c>
      <c r="AD139" s="147">
        <f>AD140+AD143+AD146</f>
        <v/>
      </c>
      <c r="AE139" s="147">
        <f>AE140+AE143+AE146</f>
        <v/>
      </c>
      <c r="AF139" s="147">
        <f>AF140+AF143+AF146</f>
        <v/>
      </c>
      <c r="AG139" s="147">
        <f>AG140+AG143+AG146</f>
        <v/>
      </c>
      <c r="AH139" s="147">
        <f>AH140+AH143+AH146</f>
        <v/>
      </c>
      <c r="AI139" s="147">
        <f>AI140+AI143+AI146</f>
        <v/>
      </c>
      <c r="AJ139" s="147">
        <f>AJ140+AJ143+AJ146</f>
        <v/>
      </c>
      <c r="AK139" s="147">
        <f>AK140+AK143+AK146</f>
        <v/>
      </c>
      <c r="AL139" s="147">
        <f>AL140+AL143+AL146</f>
        <v/>
      </c>
      <c r="AM139" s="147">
        <f>AM140+AM143+AM146</f>
        <v/>
      </c>
      <c r="AN139" s="147">
        <f>AN140+AN143+AN146</f>
        <v/>
      </c>
      <c r="AO139" s="147">
        <f>AO140+AO143+AO146</f>
        <v/>
      </c>
      <c r="AP139" s="147">
        <f>AP140+AP143+AP146</f>
        <v/>
      </c>
      <c r="AQ139" s="147">
        <f>AQ140+AQ143+AQ146</f>
        <v/>
      </c>
      <c r="AR139" s="147">
        <f>AR140+AR143+AR146</f>
        <v/>
      </c>
      <c r="AS139" s="147">
        <f>AS140+AS143+AS146</f>
        <v/>
      </c>
      <c r="AT139" s="147">
        <f>AT140+AT143+AT146</f>
        <v/>
      </c>
      <c r="AU139" s="147">
        <f>AU140+AU143+AU146</f>
        <v/>
      </c>
      <c r="AV139" s="147">
        <f>AV140+AV143+AV146</f>
        <v/>
      </c>
      <c r="AW139" s="147">
        <f>AW140+AW143+AW146</f>
        <v/>
      </c>
      <c r="AX139" s="147">
        <f>AX140+AX143+AX146</f>
        <v/>
      </c>
      <c r="AY139" s="147">
        <f>AY140+AY143+AY146</f>
        <v/>
      </c>
      <c r="AZ139" s="147">
        <f>AZ140+AZ143+AZ146</f>
        <v/>
      </c>
      <c r="BA139" s="147">
        <f>BA140+BA143+BA146</f>
        <v/>
      </c>
      <c r="BB139" s="147">
        <f>BB140+BB143+BB146</f>
        <v/>
      </c>
      <c r="BC139" s="147">
        <f>BC140+BC143+BC146</f>
        <v/>
      </c>
      <c r="BD139" s="147">
        <f>BD140+BD143+BD146</f>
        <v/>
      </c>
      <c r="BE139" s="147">
        <f>BE140+BE143+BE146</f>
        <v/>
      </c>
      <c r="BF139" s="147">
        <f>BF140+BF143+BF146</f>
        <v/>
      </c>
      <c r="BG139" s="147">
        <f>BG140+BG143+BG146</f>
        <v/>
      </c>
      <c r="BH139" s="147">
        <f>BH140+BH143+BH146</f>
        <v/>
      </c>
      <c r="BI139" s="147">
        <f>BI140+BI143+BI146</f>
        <v/>
      </c>
      <c r="BJ139" s="147">
        <f>BJ140+BJ143+BJ146</f>
        <v/>
      </c>
      <c r="BK139" s="147">
        <f>BK140+BK143+BK146</f>
        <v/>
      </c>
      <c r="BL139" s="147">
        <f>BL140+BL143+BL146</f>
        <v/>
      </c>
      <c r="BM139" s="147">
        <f>BM140+BM143+BM146</f>
        <v/>
      </c>
      <c r="BN139" s="147">
        <f>BN140+BN143+BN146</f>
        <v/>
      </c>
      <c r="BO139" s="147">
        <f>BO140+BO143+BO146</f>
        <v/>
      </c>
      <c r="BP139" s="147">
        <f>BP140+BP143+BP146</f>
        <v/>
      </c>
      <c r="BQ139" s="147">
        <f>BQ140+BQ143+BQ146</f>
        <v/>
      </c>
      <c r="BR139" s="147">
        <f>BR140+BR143+BR146</f>
        <v/>
      </c>
      <c r="BS139" s="147">
        <f>BS140+BS143+BS146</f>
        <v/>
      </c>
      <c r="BT139" s="147">
        <f>BT140+BT143+BT146</f>
        <v/>
      </c>
      <c r="BU139" s="147">
        <f>BU140+BU143+BU146</f>
        <v/>
      </c>
      <c r="BV139" s="147">
        <f>BV140+BV143+BV146</f>
        <v/>
      </c>
      <c r="BW139" s="147">
        <f>BW140+BW143+BW146</f>
        <v/>
      </c>
      <c r="BX139" s="147">
        <f>BX140+BX143+BX146</f>
        <v/>
      </c>
      <c r="BY139" s="147">
        <f>BY140+BY143+BY146</f>
        <v/>
      </c>
      <c r="BZ139" s="147">
        <f>BZ140+BZ143+BZ146</f>
        <v/>
      </c>
      <c r="CA139" s="147">
        <f>CA140+CA143+CA146</f>
        <v/>
      </c>
      <c r="CB139" s="147">
        <f>CB140+CB143+CB146</f>
        <v/>
      </c>
      <c r="CC139" s="147">
        <f>CC140+CC143+CC146</f>
        <v/>
      </c>
      <c r="CD139" s="147">
        <f>CD140+CD143+CD146</f>
        <v/>
      </c>
      <c r="CE139" s="147">
        <f>CE140+CE143+CE146</f>
        <v/>
      </c>
      <c r="CF139" s="147">
        <f>CF140+CF143+CF146</f>
        <v/>
      </c>
      <c r="CG139" s="147">
        <f>CG140+CG143+CG146</f>
        <v/>
      </c>
      <c r="CH139" s="147">
        <f>CH140+CH143+CH146</f>
        <v/>
      </c>
      <c r="CI139" s="147">
        <f>CI140+CI143+CI146</f>
        <v/>
      </c>
      <c r="CJ139" s="147">
        <f>CJ140+CJ143+CJ146</f>
        <v/>
      </c>
      <c r="CK139" s="147">
        <f>CK140+CK143+CK146</f>
        <v/>
      </c>
      <c r="CL139" s="147">
        <f>CL140+CL143+CL146</f>
        <v/>
      </c>
      <c r="CM139" s="147">
        <f>CM140+CM143+CM146</f>
        <v/>
      </c>
      <c r="CN139" s="147">
        <f>CN140+CN143+CN146</f>
        <v/>
      </c>
      <c r="CO139" s="147">
        <f>CO140+CO143+CO146</f>
        <v/>
      </c>
      <c r="CP139" s="147">
        <f>CP140+CP143+CP146</f>
        <v/>
      </c>
      <c r="CQ139" s="147">
        <f>CQ140+CQ143+CQ146</f>
        <v/>
      </c>
      <c r="CR139" s="147">
        <f>CR140+CR143+CR146</f>
        <v/>
      </c>
      <c r="CS139" s="147">
        <f>CS140+CS143+CS146</f>
        <v/>
      </c>
      <c r="CT139" s="147">
        <f>CT140+CT143+CT146</f>
        <v/>
      </c>
      <c r="CU139" s="147">
        <f>CU140+CU143+CU146</f>
        <v/>
      </c>
      <c r="CV139" s="147">
        <f>CV140+CV143+CV146</f>
        <v/>
      </c>
      <c r="CW139" s="147">
        <f>CW140+CW143+CW146</f>
        <v/>
      </c>
      <c r="CX139" s="147">
        <f>CX140+CX143+CX146</f>
        <v/>
      </c>
    </row>
    <row r="140" outlineLevel="1" ht="15.75" customHeight="1" s="255">
      <c r="A140" s="60">
        <f>Projections!A93</f>
        <v/>
      </c>
      <c r="B140" s="60" t="inlineStr">
        <is>
          <t>Operations</t>
        </is>
      </c>
      <c r="C140" s="60" t="n"/>
      <c r="D140" s="60" t="n"/>
      <c r="E140" s="60">
        <f>SUM(E141:E142)</f>
        <v/>
      </c>
      <c r="F140" s="60">
        <f>SUM(F141:F142)</f>
        <v/>
      </c>
      <c r="G140" s="60">
        <f>SUM(G141:G142)</f>
        <v/>
      </c>
      <c r="H140" s="60">
        <f>SUM(H141:H142)</f>
        <v/>
      </c>
      <c r="I140" s="60">
        <f>SUM(I141:I142)</f>
        <v/>
      </c>
      <c r="J140" s="60">
        <f>SUM(J141:J142)</f>
        <v/>
      </c>
      <c r="K140" s="60">
        <f>SUM(K141:K142)</f>
        <v/>
      </c>
      <c r="L140" s="60">
        <f>SUM(L141:L142)</f>
        <v/>
      </c>
      <c r="M140" s="60">
        <f>SUM(M141:M142)</f>
        <v/>
      </c>
      <c r="N140" s="60">
        <f>SUM(N141:N142)</f>
        <v/>
      </c>
      <c r="O140" s="60">
        <f>SUM(O141:O142)</f>
        <v/>
      </c>
      <c r="P140" s="60">
        <f>SUM(P141:P142)</f>
        <v/>
      </c>
      <c r="Q140" s="60">
        <f>SUM(Q141:Q142)</f>
        <v/>
      </c>
      <c r="R140" s="60">
        <f>SUM(R141:R142)</f>
        <v/>
      </c>
      <c r="S140" s="60">
        <f>SUM(S141:S142)</f>
        <v/>
      </c>
      <c r="T140" s="60">
        <f>SUM(T141:T142)</f>
        <v/>
      </c>
      <c r="U140" s="60">
        <f>SUM(U141:U142)</f>
        <v/>
      </c>
      <c r="V140" s="60">
        <f>SUM(V141:V142)</f>
        <v/>
      </c>
      <c r="W140" s="60">
        <f>SUM(W141:W142)</f>
        <v/>
      </c>
      <c r="X140" s="60">
        <f>SUM(X141:X142)</f>
        <v/>
      </c>
      <c r="Y140" s="60">
        <f>SUM(Y141:Y142)</f>
        <v/>
      </c>
      <c r="Z140" s="60">
        <f>SUM(Z141:Z142)</f>
        <v/>
      </c>
      <c r="AA140" s="60">
        <f>SUM(AA141:AA142)</f>
        <v/>
      </c>
      <c r="AB140" s="60">
        <f>SUM(AB141:AB142)</f>
        <v/>
      </c>
      <c r="AC140" s="60">
        <f>SUM(AC141:AC142)</f>
        <v/>
      </c>
      <c r="AD140" s="60">
        <f>SUM(AD141:AD142)</f>
        <v/>
      </c>
      <c r="AE140" s="60">
        <f>SUM(AE141:AE142)</f>
        <v/>
      </c>
      <c r="AF140" s="60">
        <f>SUM(AF141:AF142)</f>
        <v/>
      </c>
      <c r="AG140" s="60">
        <f>SUM(AG141:AG142)</f>
        <v/>
      </c>
      <c r="AH140" s="60">
        <f>SUM(AH141:AH142)</f>
        <v/>
      </c>
      <c r="AI140" s="60">
        <f>SUM(AI141:AI142)</f>
        <v/>
      </c>
      <c r="AJ140" s="60">
        <f>SUM(AJ141:AJ142)</f>
        <v/>
      </c>
      <c r="AK140" s="60">
        <f>SUM(AK141:AK142)</f>
        <v/>
      </c>
      <c r="AL140" s="60">
        <f>SUM(AL141:AL142)</f>
        <v/>
      </c>
      <c r="AM140" s="60">
        <f>SUM(AM141:AM142)</f>
        <v/>
      </c>
      <c r="AN140" s="60">
        <f>SUM(AN141:AN142)</f>
        <v/>
      </c>
      <c r="AO140" s="60">
        <f>SUM(AO141:AO142)</f>
        <v/>
      </c>
      <c r="AP140" s="60">
        <f>SUM(AP141:AP142)</f>
        <v/>
      </c>
      <c r="AQ140" s="60">
        <f>SUM(AQ141:AQ142)</f>
        <v/>
      </c>
      <c r="AR140" s="60">
        <f>SUM(AR141:AR142)</f>
        <v/>
      </c>
      <c r="AS140" s="60">
        <f>SUM(AS141:AS142)</f>
        <v/>
      </c>
      <c r="AT140" s="60">
        <f>SUM(AT141:AT142)</f>
        <v/>
      </c>
      <c r="AU140" s="60">
        <f>SUM(AU141:AU142)</f>
        <v/>
      </c>
      <c r="AV140" s="60">
        <f>SUM(AV141:AV142)</f>
        <v/>
      </c>
      <c r="AW140" s="60">
        <f>SUM(AW141:AW142)</f>
        <v/>
      </c>
      <c r="AX140" s="60">
        <f>SUM(AX141:AX142)</f>
        <v/>
      </c>
      <c r="AY140" s="60">
        <f>SUM(AY141:AY142)</f>
        <v/>
      </c>
      <c r="AZ140" s="60">
        <f>SUM(AZ141:AZ142)</f>
        <v/>
      </c>
      <c r="BA140" s="60">
        <f>SUM(BA141:BA142)</f>
        <v/>
      </c>
      <c r="BB140" s="60">
        <f>SUM(BB141:BB142)</f>
        <v/>
      </c>
      <c r="BC140" s="60">
        <f>SUM(BC141:BC142)</f>
        <v/>
      </c>
      <c r="BD140" s="60">
        <f>SUM(BD141:BD142)</f>
        <v/>
      </c>
      <c r="BE140" s="60">
        <f>SUM(BE141:BE142)</f>
        <v/>
      </c>
      <c r="BF140" s="60">
        <f>SUM(BF141:BF142)</f>
        <v/>
      </c>
      <c r="BG140" s="60">
        <f>SUM(BG141:BG142)</f>
        <v/>
      </c>
      <c r="BH140" s="60">
        <f>SUM(BH141:BH142)</f>
        <v/>
      </c>
      <c r="BI140" s="60">
        <f>SUM(BI141:BI142)</f>
        <v/>
      </c>
      <c r="BJ140" s="60">
        <f>SUM(BJ141:BJ142)</f>
        <v/>
      </c>
      <c r="BK140" s="60">
        <f>SUM(BK141:BK142)</f>
        <v/>
      </c>
      <c r="BL140" s="60">
        <f>SUM(BL141:BL142)</f>
        <v/>
      </c>
      <c r="BM140" s="60">
        <f>SUM(BM141:BM142)</f>
        <v/>
      </c>
      <c r="BN140" s="60">
        <f>SUM(BN141:BN142)</f>
        <v/>
      </c>
      <c r="BO140" s="60">
        <f>SUM(BO141:BO142)</f>
        <v/>
      </c>
      <c r="BP140" s="60">
        <f>SUM(BP141:BP142)</f>
        <v/>
      </c>
      <c r="BQ140" s="60">
        <f>SUM(BQ141:BQ142)</f>
        <v/>
      </c>
      <c r="BR140" s="60">
        <f>SUM(BR141:BR142)</f>
        <v/>
      </c>
      <c r="BS140" s="60">
        <f>SUM(BS141:BS142)</f>
        <v/>
      </c>
      <c r="BT140" s="60">
        <f>SUM(BT141:BT142)</f>
        <v/>
      </c>
      <c r="BU140" s="60">
        <f>SUM(BU141:BU142)</f>
        <v/>
      </c>
      <c r="BV140" s="60">
        <f>SUM(BV141:BV142)</f>
        <v/>
      </c>
      <c r="BW140" s="60">
        <f>SUM(BW141:BW142)</f>
        <v/>
      </c>
      <c r="BX140" s="60">
        <f>SUM(BX141:BX142)</f>
        <v/>
      </c>
      <c r="BY140" s="60">
        <f>SUM(BY141:BY142)</f>
        <v/>
      </c>
      <c r="BZ140" s="60">
        <f>SUM(BZ141:BZ142)</f>
        <v/>
      </c>
      <c r="CA140" s="60">
        <f>SUM(CA141:CA142)</f>
        <v/>
      </c>
      <c r="CB140" s="60">
        <f>SUM(CB141:CB142)</f>
        <v/>
      </c>
      <c r="CC140" s="60">
        <f>SUM(CC141:CC142)</f>
        <v/>
      </c>
      <c r="CD140" s="60">
        <f>SUM(CD141:CD142)</f>
        <v/>
      </c>
      <c r="CE140" s="60">
        <f>SUM(CE141:CE142)</f>
        <v/>
      </c>
      <c r="CF140" s="60">
        <f>SUM(CF141:CF142)</f>
        <v/>
      </c>
      <c r="CG140" s="60">
        <f>SUM(CG141:CG142)</f>
        <v/>
      </c>
      <c r="CH140" s="60">
        <f>SUM(CH141:CH142)</f>
        <v/>
      </c>
      <c r="CI140" s="60">
        <f>SUM(CI141:CI142)</f>
        <v/>
      </c>
      <c r="CJ140" s="60">
        <f>SUM(CJ141:CJ142)</f>
        <v/>
      </c>
      <c r="CK140" s="60">
        <f>SUM(CK141:CK142)</f>
        <v/>
      </c>
      <c r="CL140" s="60">
        <f>SUM(CL141:CL142)</f>
        <v/>
      </c>
      <c r="CM140" s="60">
        <f>SUM(CM141:CM142)</f>
        <v/>
      </c>
      <c r="CN140" s="60">
        <f>SUM(CN141:CN142)</f>
        <v/>
      </c>
      <c r="CO140" s="60">
        <f>SUM(CO141:CO142)</f>
        <v/>
      </c>
      <c r="CP140" s="60">
        <f>SUM(CP141:CP142)</f>
        <v/>
      </c>
      <c r="CQ140" s="60">
        <f>SUM(CQ141:CQ142)</f>
        <v/>
      </c>
      <c r="CR140" s="60">
        <f>SUM(CR141:CR142)</f>
        <v/>
      </c>
      <c r="CS140" s="60">
        <f>SUM(CS141:CS142)</f>
        <v/>
      </c>
      <c r="CT140" s="60">
        <f>SUM(CT141:CT142)</f>
        <v/>
      </c>
      <c r="CU140" s="60">
        <f>SUM(CU141:CU142)</f>
        <v/>
      </c>
      <c r="CV140" s="60">
        <f>SUM(CV141:CV142)</f>
        <v/>
      </c>
      <c r="CW140" s="60">
        <f>SUM(CW141:CW142)</f>
        <v/>
      </c>
      <c r="CX140" s="60">
        <f>SUM(CX141:CX142)</f>
        <v/>
      </c>
    </row>
    <row r="141" outlineLevel="1" ht="15.75" customHeight="1" s="255">
      <c r="A141" s="56">
        <f>Projections!A94</f>
        <v/>
      </c>
      <c r="B141" s="56" t="n"/>
      <c r="C141" s="56" t="n"/>
      <c r="D141" s="56" t="n"/>
      <c r="E141" s="56">
        <f>IF(E2=Projections!$D$94,Projections!B94,0)</f>
        <v/>
      </c>
      <c r="F141" s="56">
        <f>IF(F2=Projections!$D$94,Projections!C94,0)</f>
        <v/>
      </c>
      <c r="G141" s="56">
        <f>IF(G2=Projections!$D$94,Projections!D94,0)</f>
        <v/>
      </c>
      <c r="H141" s="56">
        <f>IF(H2=Projections!$D$94,Projections!E94,0)</f>
        <v/>
      </c>
      <c r="I141" s="56">
        <f>IF(I2=Projections!$D$94,Projections!F94,0)</f>
        <v/>
      </c>
      <c r="J141" s="56">
        <f>IF(J2=Projections!$D$94,Projections!G94,0)</f>
        <v/>
      </c>
      <c r="K141" s="56">
        <f>IF(K2=Projections!$D$94,Projections!H94,0)</f>
        <v/>
      </c>
      <c r="L141" s="56">
        <f>IF(L2=Projections!$D$94,Projections!I94,0)</f>
        <v/>
      </c>
      <c r="M141" s="56">
        <f>IF(M2=Projections!$D$94,Projections!J94,0)</f>
        <v/>
      </c>
      <c r="N141" s="56">
        <f>IF(N2=Projections!$D$94,Projections!K94,0)</f>
        <v/>
      </c>
      <c r="O141" s="56">
        <f>IF(O2=Projections!$D$94,Projections!L94,0)</f>
        <v/>
      </c>
      <c r="P141" s="56">
        <f>IF(P2=Projections!$D$94,Projections!M94,0)</f>
        <v/>
      </c>
      <c r="Q141" s="56">
        <f>IF(Q2=Projections!$D$94,Projections!N94,0)</f>
        <v/>
      </c>
      <c r="R141" s="56">
        <f>IF(R2=Projections!$D$94,Projections!O94,0)</f>
        <v/>
      </c>
      <c r="S141" s="56">
        <f>IF(S2=Projections!$D$94,Projections!P94,0)</f>
        <v/>
      </c>
      <c r="T141" s="56">
        <f>IF(T2=Projections!$D$94,Projections!Q94,0)</f>
        <v/>
      </c>
      <c r="U141" s="56">
        <f>IF(U2=Projections!$D$94,Projections!R94,0)</f>
        <v/>
      </c>
      <c r="V141" s="56">
        <f>IF(V2=Projections!$D$94,Projections!S94,0)</f>
        <v/>
      </c>
      <c r="W141" s="56">
        <f>IF(W2=Projections!$D$94,Projections!T94,0)</f>
        <v/>
      </c>
      <c r="X141" s="56">
        <f>IF(X2=Projections!$D$94,Projections!U94,0)</f>
        <v/>
      </c>
      <c r="Y141" s="56">
        <f>IF(Y2=Projections!$D$94,Projections!V94,0)</f>
        <v/>
      </c>
      <c r="Z141" s="56">
        <f>IF(Z2=Projections!$D$94,Projections!W94,0)</f>
        <v/>
      </c>
      <c r="AA141" s="56">
        <f>IF(AA2=Projections!$D$94,Projections!X94,0)</f>
        <v/>
      </c>
      <c r="AB141" s="56">
        <f>IF(AB2=Projections!$D$94,Projections!Y94,0)</f>
        <v/>
      </c>
      <c r="AC141" s="56">
        <f>IF(AC2=Projections!$D$94,Projections!Z94,0)</f>
        <v/>
      </c>
      <c r="AD141" s="56">
        <f>IF(AD2=Projections!$D$94,Projections!AA94,0)</f>
        <v/>
      </c>
      <c r="AE141" s="56">
        <f>IF(AE2=Projections!$D$94,Projections!AB94,0)</f>
        <v/>
      </c>
      <c r="AF141" s="56">
        <f>IF(AF2=Projections!$D$94,Projections!AC94,0)</f>
        <v/>
      </c>
      <c r="AG141" s="56">
        <f>IF(AG2=Projections!$D$94,Projections!AD94,0)</f>
        <v/>
      </c>
      <c r="AH141" s="56">
        <f>IF(AH2=Projections!$D$94,Projections!AE94,0)</f>
        <v/>
      </c>
      <c r="AI141" s="56">
        <f>IF(AI2=Projections!$D$94,Projections!AF94,0)</f>
        <v/>
      </c>
      <c r="AJ141" s="56">
        <f>IF(AJ2=Projections!$D$94,Projections!AG94,0)</f>
        <v/>
      </c>
      <c r="AK141" s="56">
        <f>IF(AK2=Projections!$D$94,Projections!AH94,0)</f>
        <v/>
      </c>
      <c r="AL141" s="56">
        <f>IF(AL2=Projections!$D$94,Projections!AI94,0)</f>
        <v/>
      </c>
      <c r="AM141" s="56">
        <f>IF(AM2=Projections!$D$94,Projections!AJ94,0)</f>
        <v/>
      </c>
      <c r="AN141" s="56">
        <f>IF(AN2=Projections!$D$94,Projections!AK94,0)</f>
        <v/>
      </c>
      <c r="AO141" s="56">
        <f>IF(AO2=Projections!$D$94,Projections!AL94,0)</f>
        <v/>
      </c>
      <c r="AP141" s="56">
        <f>IF(AP2=Projections!$D$94,Projections!AM94,0)</f>
        <v/>
      </c>
      <c r="AQ141" s="56">
        <f>IF(AQ2=Projections!$D$94,Projections!AN94,0)</f>
        <v/>
      </c>
      <c r="AR141" s="56">
        <f>IF(AR2=Projections!$D$94,Projections!AO94,0)</f>
        <v/>
      </c>
      <c r="AS141" s="56">
        <f>IF(AS2=Projections!$D$94,Projections!AP94,0)</f>
        <v/>
      </c>
      <c r="AT141" s="56">
        <f>IF(AT2=Projections!$D$94,Projections!AQ94,0)</f>
        <v/>
      </c>
      <c r="AU141" s="56">
        <f>IF(AU2=Projections!$D$94,Projections!AR94,0)</f>
        <v/>
      </c>
      <c r="AV141" s="56">
        <f>IF(AV2=Projections!$D$94,Projections!AS94,0)</f>
        <v/>
      </c>
      <c r="AW141" s="56">
        <f>IF(AW2=Projections!$D$94,Projections!AT94,0)</f>
        <v/>
      </c>
      <c r="AX141" s="56">
        <f>IF(AX2=Projections!$D$94,Projections!AU94,0)</f>
        <v/>
      </c>
      <c r="AY141" s="56">
        <f>IF(AY2=Projections!$D$94,Projections!AV94,0)</f>
        <v/>
      </c>
      <c r="AZ141" s="56">
        <f>IF(AZ2=Projections!$D$94,Projections!AW94,0)</f>
        <v/>
      </c>
      <c r="BA141" s="56">
        <f>IF(BA2=Projections!$D$94,Projections!AX94,0)</f>
        <v/>
      </c>
      <c r="BB141" s="56">
        <f>IF(BB2=Projections!$D$94,Projections!AY94,0)</f>
        <v/>
      </c>
      <c r="BC141" s="56">
        <f>IF(BC2=Projections!$D$94,Projections!AZ94,0)</f>
        <v/>
      </c>
      <c r="BD141" s="56">
        <f>IF(BD2=Projections!$D$94,Projections!BA94,0)</f>
        <v/>
      </c>
      <c r="BE141" s="56">
        <f>IF(BE2=Projections!$D$94,Projections!BB94,0)</f>
        <v/>
      </c>
      <c r="BF141" s="56">
        <f>IF(BF2=Projections!$D$94,Projections!BC94,0)</f>
        <v/>
      </c>
      <c r="BG141" s="56">
        <f>IF(BG2=Projections!$D$94,Projections!BD94,0)</f>
        <v/>
      </c>
      <c r="BH141" s="56">
        <f>IF(BH2=Projections!$D$94,Projections!BE94,0)</f>
        <v/>
      </c>
      <c r="BI141" s="56">
        <f>IF(BI2=Projections!$D$94,Projections!BF94,0)</f>
        <v/>
      </c>
      <c r="BJ141" s="56">
        <f>IF(BJ2=Projections!$D$94,Projections!BG94,0)</f>
        <v/>
      </c>
      <c r="BK141" s="56">
        <f>IF(BK2=Projections!$D$94,Projections!BH94,0)</f>
        <v/>
      </c>
      <c r="BL141" s="56">
        <f>IF(BL2=Projections!$D$94,Projections!BI94,0)</f>
        <v/>
      </c>
      <c r="BM141" s="56">
        <f>IF(BM2=Projections!$D$94,Projections!BJ94,0)</f>
        <v/>
      </c>
      <c r="BN141" s="56">
        <f>IF(BN2=Projections!$D$94,Projections!BK94,0)</f>
        <v/>
      </c>
      <c r="BO141" s="56">
        <f>IF(BO2=Projections!$D$94,Projections!BL94,0)</f>
        <v/>
      </c>
      <c r="BP141" s="56">
        <f>IF(BP2=Projections!$D$94,Projections!BM94,0)</f>
        <v/>
      </c>
      <c r="BQ141" s="56">
        <f>IF(BQ2=Projections!$D$94,Projections!BN94,0)</f>
        <v/>
      </c>
      <c r="BR141" s="56">
        <f>IF(BR2=Projections!$D$94,Projections!BO94,0)</f>
        <v/>
      </c>
      <c r="BS141" s="56">
        <f>IF(BS2=Projections!$D$94,Projections!BP94,0)</f>
        <v/>
      </c>
      <c r="BT141" s="56">
        <f>IF(BT2=Projections!$D$94,Projections!BQ94,0)</f>
        <v/>
      </c>
      <c r="BU141" s="56">
        <f>IF(BU2=Projections!$D$94,Projections!BR94,0)</f>
        <v/>
      </c>
      <c r="BV141" s="56">
        <f>IF(BV2=Projections!$D$94,Projections!BS94,0)</f>
        <v/>
      </c>
      <c r="BW141" s="56">
        <f>IF(BW2=Projections!$D$94,Projections!BT94,0)</f>
        <v/>
      </c>
      <c r="BX141" s="56">
        <f>IF(BX2=Projections!$D$94,Projections!BU94,0)</f>
        <v/>
      </c>
      <c r="BY141" s="56">
        <f>IF(BY2=Projections!$D$94,Projections!BV94,0)</f>
        <v/>
      </c>
      <c r="BZ141" s="56">
        <f>IF(BZ2=Projections!$D$94,Projections!BW94,0)</f>
        <v/>
      </c>
      <c r="CA141" s="56">
        <f>IF(CA2=Projections!$D$94,Projections!BX94,0)</f>
        <v/>
      </c>
      <c r="CB141" s="56">
        <f>IF(CB2=Projections!$D$94,Projections!BY94,0)</f>
        <v/>
      </c>
      <c r="CC141" s="56">
        <f>IF(CC2=Projections!$D$94,Projections!BZ94,0)</f>
        <v/>
      </c>
      <c r="CD141" s="56">
        <f>IF(CD2=Projections!$D$94,Projections!CA94,0)</f>
        <v/>
      </c>
      <c r="CE141" s="56">
        <f>IF(CE2=Projections!$D$94,Projections!CB94,0)</f>
        <v/>
      </c>
      <c r="CF141" s="56">
        <f>IF(CF2=Projections!$D$94,Projections!CC94,0)</f>
        <v/>
      </c>
      <c r="CG141" s="56">
        <f>IF(CG2=Projections!$D$94,Projections!CD94,0)</f>
        <v/>
      </c>
      <c r="CH141" s="56">
        <f>IF(CH2=Projections!$D$94,Projections!CE94,0)</f>
        <v/>
      </c>
      <c r="CI141" s="56">
        <f>IF(CI2=Projections!$D$94,Projections!CF94,0)</f>
        <v/>
      </c>
      <c r="CJ141" s="56">
        <f>IF(CJ2=Projections!$D$94,Projections!CG94,0)</f>
        <v/>
      </c>
      <c r="CK141" s="56">
        <f>IF(CK2=Projections!$D$94,Projections!CH94,0)</f>
        <v/>
      </c>
      <c r="CL141" s="56">
        <f>IF(CL2=Projections!$D$94,Projections!CI94,0)</f>
        <v/>
      </c>
      <c r="CM141" s="56">
        <f>IF(CM2=Projections!$D$94,Projections!CJ94,0)</f>
        <v/>
      </c>
      <c r="CN141" s="56">
        <f>IF(CN2=Projections!$D$94,Projections!CK94,0)</f>
        <v/>
      </c>
      <c r="CO141" s="56">
        <f>IF(CO2=Projections!$D$94,Projections!CL94,0)</f>
        <v/>
      </c>
      <c r="CP141" s="56">
        <f>IF(CP2=Projections!$D$94,Projections!CM94,0)</f>
        <v/>
      </c>
      <c r="CQ141" s="56">
        <f>IF(CQ2=Projections!$D$94,Projections!CN94,0)</f>
        <v/>
      </c>
      <c r="CR141" s="56">
        <f>IF(CR2=Projections!$D$94,Projections!CO94,0)</f>
        <v/>
      </c>
      <c r="CS141" s="56">
        <f>IF(CS2=Projections!$D$94,Projections!CP94,0)</f>
        <v/>
      </c>
      <c r="CT141" s="56">
        <f>IF(CT2=Projections!$D$94,Projections!CQ94,0)</f>
        <v/>
      </c>
      <c r="CU141" s="56">
        <f>IF(CU2=Projections!$D$94,Projections!CR94,0)</f>
        <v/>
      </c>
      <c r="CV141" s="56">
        <f>IF(CV2=Projections!$D$94,Projections!CS94,0)</f>
        <v/>
      </c>
      <c r="CW141" s="56">
        <f>IF(CW2=Projections!$D$94,Projections!CT94,0)</f>
        <v/>
      </c>
      <c r="CX141" s="56">
        <f>IF(CX2=Projections!$D$94,Projections!CU94,0)</f>
        <v/>
      </c>
    </row>
    <row r="142" outlineLevel="1" ht="15.75" customHeight="1" s="255">
      <c r="A142" s="56">
        <f>Projections!A95</f>
        <v/>
      </c>
      <c r="B142" s="56" t="n"/>
      <c r="C142" s="56" t="n"/>
      <c r="D142" s="56" t="n"/>
      <c r="E142" s="56">
        <f>IF(E2&gt;=Projections!$D$95,Projections!$B$95,0)</f>
        <v/>
      </c>
      <c r="F142" s="56">
        <f>IF(F2&gt;=Projections!$D$95,Projections!$B$95,0)</f>
        <v/>
      </c>
      <c r="G142" s="56">
        <f>IF(G2&gt;=Projections!$D$95,Projections!$B$95,0)</f>
        <v/>
      </c>
      <c r="H142" s="56">
        <f>IF(H2&gt;=Projections!$D$95,Projections!$B$95,0)</f>
        <v/>
      </c>
      <c r="I142" s="56">
        <f>IF(I2&gt;=Projections!$D$95,Projections!$B$95,0)</f>
        <v/>
      </c>
      <c r="J142" s="56">
        <f>IF(J2&gt;=Projections!$D$95,Projections!$B$95,0)</f>
        <v/>
      </c>
      <c r="K142" s="56">
        <f>IF(K2&gt;=Projections!$D$95,Projections!$B$95,0)</f>
        <v/>
      </c>
      <c r="L142" s="56">
        <f>IF(L2&gt;=Projections!$D$95,Projections!$B$95,0)</f>
        <v/>
      </c>
      <c r="M142" s="56">
        <f>IF(M2&gt;=Projections!$D$95,Projections!$B$95,0)</f>
        <v/>
      </c>
      <c r="N142" s="56">
        <f>IF(N2&gt;=Projections!$D$95,Projections!$B$95,0)</f>
        <v/>
      </c>
      <c r="O142" s="56">
        <f>IF(O2&gt;=Projections!$D$95,Projections!$B$95,0)</f>
        <v/>
      </c>
      <c r="P142" s="56">
        <f>IF(P2&gt;=Projections!$D$95,Projections!$B$95,0)</f>
        <v/>
      </c>
      <c r="Q142" s="56">
        <f>IF(Q2&gt;=Projections!$D$95,Projections!$B$95,0)</f>
        <v/>
      </c>
      <c r="R142" s="56">
        <f>IF(R2&gt;=Projections!$D$95,Projections!$B$95,0)</f>
        <v/>
      </c>
      <c r="S142" s="56">
        <f>IF(S2&gt;=Projections!$D$95,Projections!$B$95,0)</f>
        <v/>
      </c>
      <c r="T142" s="56">
        <f>IF(T2&gt;=Projections!$D$95,Projections!$B$95,0)</f>
        <v/>
      </c>
      <c r="U142" s="56">
        <f>IF(U2&gt;=Projections!$D$95,Projections!$B$95,0)</f>
        <v/>
      </c>
      <c r="V142" s="56">
        <f>IF(V2&gt;=Projections!$D$95,Projections!$B$95,0)</f>
        <v/>
      </c>
      <c r="W142" s="56">
        <f>IF(W2&gt;=Projections!$D$95,Projections!$B$95,0)</f>
        <v/>
      </c>
      <c r="X142" s="56">
        <f>IF(X2&gt;=Projections!$D$95,Projections!$B$95,0)</f>
        <v/>
      </c>
      <c r="Y142" s="56">
        <f>IF(Y2&gt;=Projections!$D$95,Projections!$B$95,0)</f>
        <v/>
      </c>
      <c r="Z142" s="56">
        <f>IF(Z2&gt;=Projections!$D$95,Projections!$B$95,0)</f>
        <v/>
      </c>
      <c r="AA142" s="56">
        <f>IF(AA2&gt;=Projections!$D$95,Projections!$B$95,0)</f>
        <v/>
      </c>
      <c r="AB142" s="56">
        <f>IF(AB2&gt;=Projections!$D$95,Projections!$B$95,0)</f>
        <v/>
      </c>
      <c r="AC142" s="56">
        <f>IF(AC2&gt;=Projections!$D$95,Projections!$B$95,0)</f>
        <v/>
      </c>
      <c r="AD142" s="56">
        <f>IF(AD2&gt;=Projections!$D$95,Projections!$B$95,0)</f>
        <v/>
      </c>
      <c r="AE142" s="56">
        <f>IF(AE2&gt;=Projections!$D$95,Projections!$B$95,0)</f>
        <v/>
      </c>
      <c r="AF142" s="56">
        <f>IF(AF2&gt;=Projections!$D$95,Projections!$B$95,0)</f>
        <v/>
      </c>
      <c r="AG142" s="56">
        <f>IF(AG2&gt;=Projections!$D$95,Projections!$B$95,0)</f>
        <v/>
      </c>
      <c r="AH142" s="56">
        <f>IF(AH2&gt;=Projections!$D$95,Projections!$B$95,0)</f>
        <v/>
      </c>
      <c r="AI142" s="56">
        <f>IF(AI2&gt;=Projections!$D$95,Projections!$B$95,0)</f>
        <v/>
      </c>
      <c r="AJ142" s="56">
        <f>IF(AJ2&gt;=Projections!$D$95,Projections!$B$95,0)</f>
        <v/>
      </c>
      <c r="AK142" s="56">
        <f>IF(AK2&gt;=Projections!$D$95,Projections!$B$95,0)</f>
        <v/>
      </c>
      <c r="AL142" s="56">
        <f>IF(AL2&gt;=Projections!$D$95,Projections!$B$95,0)</f>
        <v/>
      </c>
      <c r="AM142" s="56">
        <f>IF(AM2&gt;=Projections!$D$95,Projections!$B$95,0)</f>
        <v/>
      </c>
      <c r="AN142" s="56">
        <f>IF(AN2&gt;=Projections!$D$95,Projections!$B$95,0)</f>
        <v/>
      </c>
      <c r="AO142" s="56">
        <f>IF(AO2&gt;=Projections!$D$95,Projections!$B$95,0)</f>
        <v/>
      </c>
      <c r="AP142" s="56">
        <f>IF(AP2&gt;=Projections!$D$95,Projections!$B$95,0)</f>
        <v/>
      </c>
      <c r="AQ142" s="56">
        <f>IF(AQ2&gt;=Projections!$D$95,Projections!$B$95,0)</f>
        <v/>
      </c>
      <c r="AR142" s="56">
        <f>IF(AR2&gt;=Projections!$D$95,Projections!$B$95,0)</f>
        <v/>
      </c>
      <c r="AS142" s="56">
        <f>IF(AS2&gt;=Projections!$D$95,Projections!$B$95,0)</f>
        <v/>
      </c>
      <c r="AT142" s="56">
        <f>IF(AT2&gt;=Projections!$D$95,Projections!$B$95,0)</f>
        <v/>
      </c>
      <c r="AU142" s="56">
        <f>IF(AU2&gt;=Projections!$D$95,Projections!$B$95,0)</f>
        <v/>
      </c>
      <c r="AV142" s="56">
        <f>IF(AV2&gt;=Projections!$D$95,Projections!$B$95,0)</f>
        <v/>
      </c>
      <c r="AW142" s="56">
        <f>IF(AW2&gt;=Projections!$D$95,Projections!$B$95,0)</f>
        <v/>
      </c>
      <c r="AX142" s="56">
        <f>IF(AX2&gt;=Projections!$D$95,Projections!$B$95,0)</f>
        <v/>
      </c>
      <c r="AY142" s="56">
        <f>IF(AY2&gt;=Projections!$D$95,Projections!$B$95,0)</f>
        <v/>
      </c>
      <c r="AZ142" s="56">
        <f>IF(AZ2&gt;=Projections!$D$95,Projections!$B$95,0)</f>
        <v/>
      </c>
      <c r="BA142" s="56">
        <f>IF(BA2&gt;=Projections!$D$95,Projections!$B$95,0)</f>
        <v/>
      </c>
      <c r="BB142" s="56">
        <f>IF(BB2&gt;=Projections!$D$95,Projections!$B$95,0)</f>
        <v/>
      </c>
      <c r="BC142" s="56">
        <f>IF(BC2&gt;=Projections!$D$95,Projections!$B$95,0)</f>
        <v/>
      </c>
      <c r="BD142" s="56">
        <f>IF(BD2&gt;=Projections!$D$95,Projections!$B$95,0)</f>
        <v/>
      </c>
      <c r="BE142" s="56">
        <f>IF(BE2&gt;=Projections!$D$95,Projections!$B$95,0)</f>
        <v/>
      </c>
      <c r="BF142" s="56">
        <f>IF(BF2&gt;=Projections!$D$95,Projections!$B$95,0)</f>
        <v/>
      </c>
      <c r="BG142" s="56">
        <f>IF(BG2&gt;=Projections!$D$95,Projections!$B$95,0)</f>
        <v/>
      </c>
      <c r="BH142" s="56">
        <f>IF(BH2&gt;=Projections!$D$95,Projections!$B$95,0)</f>
        <v/>
      </c>
      <c r="BI142" s="56">
        <f>IF(BI2&gt;=Projections!$D$95,Projections!$B$95,0)</f>
        <v/>
      </c>
      <c r="BJ142" s="56">
        <f>IF(BJ2&gt;=Projections!$D$95,Projections!$B$95,0)</f>
        <v/>
      </c>
      <c r="BK142" s="56">
        <f>IF(BK2&gt;=Projections!$D$95,Projections!$B$95,0)</f>
        <v/>
      </c>
      <c r="BL142" s="56">
        <f>IF(BL2&gt;=Projections!$D$95,Projections!$B$95,0)</f>
        <v/>
      </c>
      <c r="BM142" s="56">
        <f>IF(BM2&gt;=Projections!$D$95,Projections!$B$95,0)</f>
        <v/>
      </c>
      <c r="BN142" s="56">
        <f>IF(BN2&gt;=Projections!$D$95,Projections!$B$95,0)</f>
        <v/>
      </c>
      <c r="BO142" s="56">
        <f>IF(BO2&gt;=Projections!$D$95,Projections!$B$95,0)</f>
        <v/>
      </c>
      <c r="BP142" s="56">
        <f>IF(BP2&gt;=Projections!$D$95,Projections!$B$95,0)</f>
        <v/>
      </c>
      <c r="BQ142" s="56">
        <f>IF(BQ2&gt;=Projections!$D$95,Projections!$B$95,0)</f>
        <v/>
      </c>
      <c r="BR142" s="56">
        <f>IF(BR2&gt;=Projections!$D$95,Projections!$B$95,0)</f>
        <v/>
      </c>
      <c r="BS142" s="56">
        <f>IF(BS2&gt;=Projections!$D$95,Projections!$B$95,0)</f>
        <v/>
      </c>
      <c r="BT142" s="56">
        <f>IF(BT2&gt;=Projections!$D$95,Projections!$B$95,0)</f>
        <v/>
      </c>
      <c r="BU142" s="56">
        <f>IF(BU2&gt;=Projections!$D$95,Projections!$B$95,0)</f>
        <v/>
      </c>
      <c r="BV142" s="56">
        <f>IF(BV2&gt;=Projections!$D$95,Projections!$B$95,0)</f>
        <v/>
      </c>
      <c r="BW142" s="56">
        <f>IF(BW2&gt;=Projections!$D$95,Projections!$B$95,0)</f>
        <v/>
      </c>
      <c r="BX142" s="56">
        <f>IF(BX2&gt;=Projections!$D$95,Projections!$B$95,0)</f>
        <v/>
      </c>
      <c r="BY142" s="56">
        <f>IF(BY2&gt;=Projections!$D$95,Projections!$B$95,0)</f>
        <v/>
      </c>
      <c r="BZ142" s="56">
        <f>IF(BZ2&gt;=Projections!$D$95,Projections!$B$95,0)</f>
        <v/>
      </c>
      <c r="CA142" s="56">
        <f>IF(CA2&gt;=Projections!$D$95,Projections!$B$95,0)</f>
        <v/>
      </c>
      <c r="CB142" s="56">
        <f>IF(CB2&gt;=Projections!$D$95,Projections!$B$95,0)</f>
        <v/>
      </c>
      <c r="CC142" s="56">
        <f>IF(CC2&gt;=Projections!$D$95,Projections!$B$95,0)</f>
        <v/>
      </c>
      <c r="CD142" s="56">
        <f>IF(CD2&gt;=Projections!$D$95,Projections!$B$95,0)</f>
        <v/>
      </c>
      <c r="CE142" s="56">
        <f>IF(CE2&gt;=Projections!$D$95,Projections!$B$95,0)</f>
        <v/>
      </c>
      <c r="CF142" s="56">
        <f>IF(CF2&gt;=Projections!$D$95,Projections!$B$95,0)</f>
        <v/>
      </c>
      <c r="CG142" s="56">
        <f>IF(CG2&gt;=Projections!$D$95,Projections!$B$95,0)</f>
        <v/>
      </c>
      <c r="CH142" s="56">
        <f>IF(CH2&gt;=Projections!$D$95,Projections!$B$95,0)</f>
        <v/>
      </c>
      <c r="CI142" s="56">
        <f>IF(CI2&gt;=Projections!$D$95,Projections!$B$95,0)</f>
        <v/>
      </c>
      <c r="CJ142" s="56">
        <f>IF(CJ2&gt;=Projections!$D$95,Projections!$B$95,0)</f>
        <v/>
      </c>
      <c r="CK142" s="56">
        <f>IF(CK2&gt;=Projections!$D$95,Projections!$B$95,0)</f>
        <v/>
      </c>
      <c r="CL142" s="56">
        <f>IF(CL2&gt;=Projections!$D$95,Projections!$B$95,0)</f>
        <v/>
      </c>
      <c r="CM142" s="56">
        <f>IF(CM2&gt;=Projections!$D$95,Projections!$B$95,0)</f>
        <v/>
      </c>
      <c r="CN142" s="56">
        <f>IF(CN2&gt;=Projections!$D$95,Projections!$B$95,0)</f>
        <v/>
      </c>
      <c r="CO142" s="56">
        <f>IF(CO2&gt;=Projections!$D$95,Projections!$B$95,0)</f>
        <v/>
      </c>
      <c r="CP142" s="56">
        <f>IF(CP2&gt;=Projections!$D$95,Projections!$B$95,0)</f>
        <v/>
      </c>
      <c r="CQ142" s="56">
        <f>IF(CQ2&gt;=Projections!$D$95,Projections!$B$95,0)</f>
        <v/>
      </c>
      <c r="CR142" s="56">
        <f>IF(CR2&gt;=Projections!$D$95,Projections!$B$95,0)</f>
        <v/>
      </c>
      <c r="CS142" s="56">
        <f>IF(CS2&gt;=Projections!$D$95,Projections!$B$95,0)</f>
        <v/>
      </c>
      <c r="CT142" s="56">
        <f>IF(CT2&gt;=Projections!$D$95,Projections!$B$95,0)</f>
        <v/>
      </c>
      <c r="CU142" s="56">
        <f>IF(CU2&gt;=Projections!$D$95,Projections!$B$95,0)</f>
        <v/>
      </c>
      <c r="CV142" s="56">
        <f>IF(CV2&gt;=Projections!$D$95,Projections!$B$95,0)</f>
        <v/>
      </c>
      <c r="CW142" s="56">
        <f>IF(CW2&gt;=Projections!$D$95,Projections!$B$95,0)</f>
        <v/>
      </c>
      <c r="CX142" s="56">
        <f>IF(CX2&gt;=Projections!$D$95,Projections!$B$95,0)</f>
        <v/>
      </c>
    </row>
    <row r="143" outlineLevel="1" ht="15.75" customHeight="1" s="255">
      <c r="A143" s="60">
        <f>Projections!A97</f>
        <v/>
      </c>
      <c r="B143" s="60" t="inlineStr">
        <is>
          <t>Operations</t>
        </is>
      </c>
      <c r="C143" s="60" t="n"/>
      <c r="D143" s="60" t="n"/>
      <c r="E143" s="60">
        <f>SUM(E144:E145)</f>
        <v/>
      </c>
      <c r="F143" s="60">
        <f>SUM(F144:F145)</f>
        <v/>
      </c>
      <c r="G143" s="60">
        <f>SUM(G144:G145)</f>
        <v/>
      </c>
      <c r="H143" s="60">
        <f>SUM(H144:H145)</f>
        <v/>
      </c>
      <c r="I143" s="60">
        <f>SUM(I144:I145)</f>
        <v/>
      </c>
      <c r="J143" s="60">
        <f>SUM(J144:J145)</f>
        <v/>
      </c>
      <c r="K143" s="60">
        <f>SUM(K144:K145)</f>
        <v/>
      </c>
      <c r="L143" s="60">
        <f>SUM(L144:L145)</f>
        <v/>
      </c>
      <c r="M143" s="60">
        <f>SUM(M144:M145)</f>
        <v/>
      </c>
      <c r="N143" s="60">
        <f>SUM(N144:N145)</f>
        <v/>
      </c>
      <c r="O143" s="60">
        <f>SUM(O144:O145)</f>
        <v/>
      </c>
      <c r="P143" s="60">
        <f>SUM(P144:P145)</f>
        <v/>
      </c>
      <c r="Q143" s="60">
        <f>SUM(Q144:Q145)</f>
        <v/>
      </c>
      <c r="R143" s="60">
        <f>SUM(R144:R145)</f>
        <v/>
      </c>
      <c r="S143" s="60">
        <f>SUM(S144:S145)</f>
        <v/>
      </c>
      <c r="T143" s="60">
        <f>SUM(T144:T145)</f>
        <v/>
      </c>
      <c r="U143" s="60">
        <f>SUM(U144:U145)</f>
        <v/>
      </c>
      <c r="V143" s="60">
        <f>SUM(V144:V145)</f>
        <v/>
      </c>
      <c r="W143" s="60">
        <f>SUM(W144:W145)</f>
        <v/>
      </c>
      <c r="X143" s="60">
        <f>SUM(X144:X145)</f>
        <v/>
      </c>
      <c r="Y143" s="60">
        <f>SUM(Y144:Y145)</f>
        <v/>
      </c>
      <c r="Z143" s="60">
        <f>SUM(Z144:Z145)</f>
        <v/>
      </c>
      <c r="AA143" s="60">
        <f>SUM(AA144:AA145)</f>
        <v/>
      </c>
      <c r="AB143" s="60">
        <f>SUM(AB144:AB145)</f>
        <v/>
      </c>
      <c r="AC143" s="60">
        <f>SUM(AC144:AC145)</f>
        <v/>
      </c>
      <c r="AD143" s="60">
        <f>SUM(AD144:AD145)</f>
        <v/>
      </c>
      <c r="AE143" s="60">
        <f>SUM(AE144:AE145)</f>
        <v/>
      </c>
      <c r="AF143" s="60">
        <f>SUM(AF144:AF145)</f>
        <v/>
      </c>
      <c r="AG143" s="60">
        <f>SUM(AG144:AG145)</f>
        <v/>
      </c>
      <c r="AH143" s="60">
        <f>SUM(AH144:AH145)</f>
        <v/>
      </c>
      <c r="AI143" s="60">
        <f>SUM(AI144:AI145)</f>
        <v/>
      </c>
      <c r="AJ143" s="60">
        <f>SUM(AJ144:AJ145)</f>
        <v/>
      </c>
      <c r="AK143" s="60">
        <f>SUM(AK144:AK145)</f>
        <v/>
      </c>
      <c r="AL143" s="60">
        <f>SUM(AL144:AL145)</f>
        <v/>
      </c>
      <c r="AM143" s="60">
        <f>SUM(AM144:AM145)</f>
        <v/>
      </c>
      <c r="AN143" s="60">
        <f>SUM(AN144:AN145)</f>
        <v/>
      </c>
      <c r="AO143" s="60">
        <f>SUM(AO144:AO145)</f>
        <v/>
      </c>
      <c r="AP143" s="60">
        <f>SUM(AP144:AP145)</f>
        <v/>
      </c>
      <c r="AQ143" s="60">
        <f>SUM(AQ144:AQ145)</f>
        <v/>
      </c>
      <c r="AR143" s="60">
        <f>SUM(AR144:AR145)</f>
        <v/>
      </c>
      <c r="AS143" s="60">
        <f>SUM(AS144:AS145)</f>
        <v/>
      </c>
      <c r="AT143" s="60">
        <f>SUM(AT144:AT145)</f>
        <v/>
      </c>
      <c r="AU143" s="60">
        <f>SUM(AU144:AU145)</f>
        <v/>
      </c>
      <c r="AV143" s="60">
        <f>SUM(AV144:AV145)</f>
        <v/>
      </c>
      <c r="AW143" s="60">
        <f>SUM(AW144:AW145)</f>
        <v/>
      </c>
      <c r="AX143" s="60">
        <f>SUM(AX144:AX145)</f>
        <v/>
      </c>
      <c r="AY143" s="60">
        <f>SUM(AY144:AY145)</f>
        <v/>
      </c>
      <c r="AZ143" s="60">
        <f>SUM(AZ144:AZ145)</f>
        <v/>
      </c>
      <c r="BA143" s="60">
        <f>SUM(BA144:BA145)</f>
        <v/>
      </c>
      <c r="BB143" s="60">
        <f>SUM(BB144:BB145)</f>
        <v/>
      </c>
      <c r="BC143" s="60">
        <f>SUM(BC144:BC145)</f>
        <v/>
      </c>
      <c r="BD143" s="60">
        <f>SUM(BD144:BD145)</f>
        <v/>
      </c>
      <c r="BE143" s="60">
        <f>SUM(BE144:BE145)</f>
        <v/>
      </c>
      <c r="BF143" s="60">
        <f>SUM(BF144:BF145)</f>
        <v/>
      </c>
      <c r="BG143" s="60">
        <f>SUM(BG144:BG145)</f>
        <v/>
      </c>
      <c r="BH143" s="60">
        <f>SUM(BH144:BH145)</f>
        <v/>
      </c>
      <c r="BI143" s="60">
        <f>SUM(BI144:BI145)</f>
        <v/>
      </c>
      <c r="BJ143" s="60">
        <f>SUM(BJ144:BJ145)</f>
        <v/>
      </c>
      <c r="BK143" s="60">
        <f>SUM(BK144:BK145)</f>
        <v/>
      </c>
      <c r="BL143" s="60">
        <f>SUM(BL144:BL145)</f>
        <v/>
      </c>
      <c r="BM143" s="60">
        <f>SUM(BM144:BM145)</f>
        <v/>
      </c>
      <c r="BN143" s="60">
        <f>SUM(BN144:BN145)</f>
        <v/>
      </c>
      <c r="BO143" s="60">
        <f>SUM(BO144:BO145)</f>
        <v/>
      </c>
      <c r="BP143" s="60">
        <f>SUM(BP144:BP145)</f>
        <v/>
      </c>
      <c r="BQ143" s="60">
        <f>SUM(BQ144:BQ145)</f>
        <v/>
      </c>
      <c r="BR143" s="60">
        <f>SUM(BR144:BR145)</f>
        <v/>
      </c>
      <c r="BS143" s="60">
        <f>SUM(BS144:BS145)</f>
        <v/>
      </c>
      <c r="BT143" s="60">
        <f>SUM(BT144:BT145)</f>
        <v/>
      </c>
      <c r="BU143" s="60">
        <f>SUM(BU144:BU145)</f>
        <v/>
      </c>
      <c r="BV143" s="60">
        <f>SUM(BV144:BV145)</f>
        <v/>
      </c>
      <c r="BW143" s="60">
        <f>SUM(BW144:BW145)</f>
        <v/>
      </c>
      <c r="BX143" s="60">
        <f>SUM(BX144:BX145)</f>
        <v/>
      </c>
      <c r="BY143" s="60">
        <f>SUM(BY144:BY145)</f>
        <v/>
      </c>
      <c r="BZ143" s="60">
        <f>SUM(BZ144:BZ145)</f>
        <v/>
      </c>
      <c r="CA143" s="60">
        <f>SUM(CA144:CA145)</f>
        <v/>
      </c>
      <c r="CB143" s="60">
        <f>SUM(CB144:CB145)</f>
        <v/>
      </c>
      <c r="CC143" s="60">
        <f>SUM(CC144:CC145)</f>
        <v/>
      </c>
      <c r="CD143" s="60">
        <f>SUM(CD144:CD145)</f>
        <v/>
      </c>
      <c r="CE143" s="60">
        <f>SUM(CE144:CE145)</f>
        <v/>
      </c>
      <c r="CF143" s="60">
        <f>SUM(CF144:CF145)</f>
        <v/>
      </c>
      <c r="CG143" s="60">
        <f>SUM(CG144:CG145)</f>
        <v/>
      </c>
      <c r="CH143" s="60">
        <f>SUM(CH144:CH145)</f>
        <v/>
      </c>
      <c r="CI143" s="60">
        <f>SUM(CI144:CI145)</f>
        <v/>
      </c>
      <c r="CJ143" s="60">
        <f>SUM(CJ144:CJ145)</f>
        <v/>
      </c>
      <c r="CK143" s="60">
        <f>SUM(CK144:CK145)</f>
        <v/>
      </c>
      <c r="CL143" s="60">
        <f>SUM(CL144:CL145)</f>
        <v/>
      </c>
      <c r="CM143" s="60">
        <f>SUM(CM144:CM145)</f>
        <v/>
      </c>
      <c r="CN143" s="60">
        <f>SUM(CN144:CN145)</f>
        <v/>
      </c>
      <c r="CO143" s="60">
        <f>SUM(CO144:CO145)</f>
        <v/>
      </c>
      <c r="CP143" s="60">
        <f>SUM(CP144:CP145)</f>
        <v/>
      </c>
      <c r="CQ143" s="60">
        <f>SUM(CQ144:CQ145)</f>
        <v/>
      </c>
      <c r="CR143" s="60">
        <f>SUM(CR144:CR145)</f>
        <v/>
      </c>
      <c r="CS143" s="60">
        <f>SUM(CS144:CS145)</f>
        <v/>
      </c>
      <c r="CT143" s="60">
        <f>SUM(CT144:CT145)</f>
        <v/>
      </c>
      <c r="CU143" s="60">
        <f>SUM(CU144:CU145)</f>
        <v/>
      </c>
      <c r="CV143" s="60">
        <f>SUM(CV144:CV145)</f>
        <v/>
      </c>
      <c r="CW143" s="60">
        <f>SUM(CW144:CW145)</f>
        <v/>
      </c>
      <c r="CX143" s="60">
        <f>SUM(CX144:CX145)</f>
        <v/>
      </c>
    </row>
    <row r="144" outlineLevel="1" ht="15.75" customHeight="1" s="255">
      <c r="A144" s="56">
        <f>Projections!A98</f>
        <v/>
      </c>
      <c r="B144" s="56" t="n"/>
      <c r="C144" s="56" t="n"/>
      <c r="D144" s="56" t="n"/>
      <c r="E144" s="56">
        <f>IF(E2&gt;=Projections!$D$98,Projections!$B$98,0)</f>
        <v/>
      </c>
      <c r="F144" s="56">
        <f>IF(F2&gt;=Projections!$D$98,Projections!$B$98,0)</f>
        <v/>
      </c>
      <c r="G144" s="56">
        <f>IF(G2&gt;=Projections!$D$98,Projections!$B$98,0)</f>
        <v/>
      </c>
      <c r="H144" s="56">
        <f>IF(H2&gt;=Projections!$D$98,Projections!$B$98,0)</f>
        <v/>
      </c>
      <c r="I144" s="56">
        <f>IF(I2&gt;=Projections!$D$98,Projections!$B$98,0)</f>
        <v/>
      </c>
      <c r="J144" s="56">
        <f>IF(J2&gt;=Projections!$D$98,Projections!$B$98,0)</f>
        <v/>
      </c>
      <c r="K144" s="56">
        <f>IF(K2&gt;=Projections!$D$98,Projections!$B$98,0)</f>
        <v/>
      </c>
      <c r="L144" s="56">
        <f>IF(L2&gt;=Projections!$D$98,Projections!$B$98,0)</f>
        <v/>
      </c>
      <c r="M144" s="56">
        <f>IF(M2&gt;=Projections!$D$98,Projections!$B$98,0)</f>
        <v/>
      </c>
      <c r="N144" s="56">
        <f>IF(N2&gt;=Projections!$D$98,Projections!$B$98,0)</f>
        <v/>
      </c>
      <c r="O144" s="56">
        <f>IF(O2&gt;=Projections!$D$98,Projections!$B$98,0)</f>
        <v/>
      </c>
      <c r="P144" s="56">
        <f>IF(P2&gt;=Projections!$D$98,Projections!$B$98,0)</f>
        <v/>
      </c>
      <c r="Q144" s="56">
        <f>IF(Q2&gt;=Projections!$D$98,Projections!$B$98,0)</f>
        <v/>
      </c>
      <c r="R144" s="56">
        <f>IF(R2&gt;=Projections!$D$98,Projections!$B$98,0)</f>
        <v/>
      </c>
      <c r="S144" s="56">
        <f>IF(S2&gt;=Projections!$D$98,Projections!$B$98,0)</f>
        <v/>
      </c>
      <c r="T144" s="56">
        <f>IF(T2&gt;=Projections!$D$98,Projections!$B$98,0)</f>
        <v/>
      </c>
      <c r="U144" s="56">
        <f>IF(U2&gt;=Projections!$D$98,Projections!$B$98,0)</f>
        <v/>
      </c>
      <c r="V144" s="56">
        <f>IF(V2&gt;=Projections!$D$98,Projections!$B$98,0)</f>
        <v/>
      </c>
      <c r="W144" s="56">
        <f>IF(W2&gt;=Projections!$D$98,Projections!$B$98,0)</f>
        <v/>
      </c>
      <c r="X144" s="56">
        <f>IF(X2&gt;=Projections!$D$98,Projections!$B$98,0)</f>
        <v/>
      </c>
      <c r="Y144" s="56">
        <f>IF(Y2&gt;=Projections!$D$98,Projections!$B$98,0)</f>
        <v/>
      </c>
      <c r="Z144" s="56">
        <f>IF(Z2&gt;=Projections!$D$98,Projections!$B$98,0)</f>
        <v/>
      </c>
      <c r="AA144" s="56">
        <f>IF(AA2&gt;=Projections!$D$98,Projections!$B$98,0)</f>
        <v/>
      </c>
      <c r="AB144" s="56">
        <f>IF(AB2&gt;=Projections!$D$98,Projections!$B$98,0)</f>
        <v/>
      </c>
      <c r="AC144" s="56">
        <f>IF(AC2&gt;=Projections!$D$98,Projections!$B$98,0)</f>
        <v/>
      </c>
      <c r="AD144" s="56">
        <f>IF(AD2&gt;=Projections!$D$98,Projections!$B$98,0)</f>
        <v/>
      </c>
      <c r="AE144" s="56">
        <f>IF(AE2&gt;=Projections!$D$98,Projections!$B$98,0)</f>
        <v/>
      </c>
      <c r="AF144" s="56">
        <f>IF(AF2&gt;=Projections!$D$98,Projections!$B$98,0)</f>
        <v/>
      </c>
      <c r="AG144" s="56">
        <f>IF(AG2&gt;=Projections!$D$98,Projections!$B$98,0)</f>
        <v/>
      </c>
      <c r="AH144" s="56">
        <f>IF(AH2&gt;=Projections!$D$98,Projections!$B$98,0)</f>
        <v/>
      </c>
      <c r="AI144" s="56">
        <f>IF(AI2&gt;=Projections!$D$98,Projections!$B$98,0)</f>
        <v/>
      </c>
      <c r="AJ144" s="56">
        <f>IF(AJ2&gt;=Projections!$D$98,Projections!$B$98,0)</f>
        <v/>
      </c>
      <c r="AK144" s="56">
        <f>IF(AK2&gt;=Projections!$D$98,Projections!$B$98,0)</f>
        <v/>
      </c>
      <c r="AL144" s="56">
        <f>IF(AL2&gt;=Projections!$D$98,Projections!$B$98,0)</f>
        <v/>
      </c>
      <c r="AM144" s="56">
        <f>IF(AM2&gt;=Projections!$D$98,Projections!$B$98,0)</f>
        <v/>
      </c>
      <c r="AN144" s="56">
        <f>IF(AN2&gt;=Projections!$D$98,Projections!$B$98,0)</f>
        <v/>
      </c>
      <c r="AO144" s="56">
        <f>IF(AO2&gt;=Projections!$D$98,Projections!$B$98,0)</f>
        <v/>
      </c>
      <c r="AP144" s="56">
        <f>IF(AP2&gt;=Projections!$D$98,Projections!$B$98,0)</f>
        <v/>
      </c>
      <c r="AQ144" s="56">
        <f>IF(AQ2&gt;=Projections!$D$98,Projections!$B$98,0)</f>
        <v/>
      </c>
      <c r="AR144" s="56">
        <f>IF(AR2&gt;=Projections!$D$98,Projections!$B$98,0)</f>
        <v/>
      </c>
      <c r="AS144" s="56">
        <f>IF(AS2&gt;=Projections!$D$98,Projections!$B$98,0)</f>
        <v/>
      </c>
      <c r="AT144" s="56">
        <f>IF(AT2&gt;=Projections!$D$98,Projections!$B$98,0)</f>
        <v/>
      </c>
      <c r="AU144" s="56">
        <f>IF(AU2&gt;=Projections!$D$98,Projections!$B$98,0)</f>
        <v/>
      </c>
      <c r="AV144" s="56">
        <f>IF(AV2&gt;=Projections!$D$98,Projections!$B$98,0)</f>
        <v/>
      </c>
      <c r="AW144" s="56">
        <f>IF(AW2&gt;=Projections!$D$98,Projections!$B$98,0)</f>
        <v/>
      </c>
      <c r="AX144" s="56">
        <f>IF(AX2&gt;=Projections!$D$98,Projections!$B$98,0)</f>
        <v/>
      </c>
      <c r="AY144" s="56">
        <f>IF(AY2&gt;=Projections!$D$98,Projections!$B$98,0)</f>
        <v/>
      </c>
      <c r="AZ144" s="56">
        <f>IF(AZ2&gt;=Projections!$D$98,Projections!$B$98,0)</f>
        <v/>
      </c>
      <c r="BA144" s="56">
        <f>IF(BA2&gt;=Projections!$D$98,Projections!$B$98,0)</f>
        <v/>
      </c>
      <c r="BB144" s="56">
        <f>IF(BB2&gt;=Projections!$D$98,Projections!$B$98,0)</f>
        <v/>
      </c>
      <c r="BC144" s="56">
        <f>IF(BC2&gt;=Projections!$D$98,Projections!$B$98,0)</f>
        <v/>
      </c>
      <c r="BD144" s="56">
        <f>IF(BD2&gt;=Projections!$D$98,Projections!$B$98,0)</f>
        <v/>
      </c>
      <c r="BE144" s="56">
        <f>IF(BE2&gt;=Projections!$D$98,Projections!$B$98,0)</f>
        <v/>
      </c>
      <c r="BF144" s="56">
        <f>IF(BF2&gt;=Projections!$D$98,Projections!$B$98,0)</f>
        <v/>
      </c>
      <c r="BG144" s="56">
        <f>IF(BG2&gt;=Projections!$D$98,Projections!$B$98,0)</f>
        <v/>
      </c>
      <c r="BH144" s="56">
        <f>IF(BH2&gt;=Projections!$D$98,Projections!$B$98,0)</f>
        <v/>
      </c>
      <c r="BI144" s="56">
        <f>IF(BI2&gt;=Projections!$D$98,Projections!$B$98,0)</f>
        <v/>
      </c>
      <c r="BJ144" s="56">
        <f>IF(BJ2&gt;=Projections!$D$98,Projections!$B$98,0)</f>
        <v/>
      </c>
      <c r="BK144" s="56">
        <f>IF(BK2&gt;=Projections!$D$98,Projections!$B$98,0)</f>
        <v/>
      </c>
      <c r="BL144" s="56">
        <f>IF(BL2&gt;=Projections!$D$98,Projections!$B$98,0)</f>
        <v/>
      </c>
      <c r="BM144" s="56">
        <f>IF(BM2&gt;=Projections!$D$98,Projections!$B$98,0)</f>
        <v/>
      </c>
      <c r="BN144" s="56">
        <f>IF(BN2&gt;=Projections!$D$98,Projections!$B$98,0)</f>
        <v/>
      </c>
      <c r="BO144" s="56">
        <f>IF(BO2&gt;=Projections!$D$98,Projections!$B$98,0)</f>
        <v/>
      </c>
      <c r="BP144" s="56">
        <f>IF(BP2&gt;=Projections!$D$98,Projections!$B$98,0)</f>
        <v/>
      </c>
      <c r="BQ144" s="56">
        <f>IF(BQ2&gt;=Projections!$D$98,Projections!$B$98,0)</f>
        <v/>
      </c>
      <c r="BR144" s="56">
        <f>IF(BR2&gt;=Projections!$D$98,Projections!$B$98,0)</f>
        <v/>
      </c>
      <c r="BS144" s="56">
        <f>IF(BS2&gt;=Projections!$D$98,Projections!$B$98,0)</f>
        <v/>
      </c>
      <c r="BT144" s="56">
        <f>IF(BT2&gt;=Projections!$D$98,Projections!$B$98,0)</f>
        <v/>
      </c>
      <c r="BU144" s="56">
        <f>IF(BU2&gt;=Projections!$D$98,Projections!$B$98,0)</f>
        <v/>
      </c>
      <c r="BV144" s="56">
        <f>IF(BV2&gt;=Projections!$D$98,Projections!$B$98,0)</f>
        <v/>
      </c>
      <c r="BW144" s="56">
        <f>IF(BW2&gt;=Projections!$D$98,Projections!$B$98,0)</f>
        <v/>
      </c>
      <c r="BX144" s="56">
        <f>IF(BX2&gt;=Projections!$D$98,Projections!$B$98,0)</f>
        <v/>
      </c>
      <c r="BY144" s="56">
        <f>IF(BY2&gt;=Projections!$D$98,Projections!$B$98,0)</f>
        <v/>
      </c>
      <c r="BZ144" s="56">
        <f>IF(BZ2&gt;=Projections!$D$98,Projections!$B$98,0)</f>
        <v/>
      </c>
      <c r="CA144" s="56">
        <f>IF(CA2&gt;=Projections!$D$98,Projections!$B$98,0)</f>
        <v/>
      </c>
      <c r="CB144" s="56">
        <f>IF(CB2&gt;=Projections!$D$98,Projections!$B$98,0)</f>
        <v/>
      </c>
      <c r="CC144" s="56">
        <f>IF(CC2&gt;=Projections!$D$98,Projections!$B$98,0)</f>
        <v/>
      </c>
      <c r="CD144" s="56">
        <f>IF(CD2&gt;=Projections!$D$98,Projections!$B$98,0)</f>
        <v/>
      </c>
      <c r="CE144" s="56">
        <f>IF(CE2&gt;=Projections!$D$98,Projections!$B$98,0)</f>
        <v/>
      </c>
      <c r="CF144" s="56">
        <f>IF(CF2&gt;=Projections!$D$98,Projections!$B$98,0)</f>
        <v/>
      </c>
      <c r="CG144" s="56">
        <f>IF(CG2&gt;=Projections!$D$98,Projections!$B$98,0)</f>
        <v/>
      </c>
      <c r="CH144" s="56">
        <f>IF(CH2&gt;=Projections!$D$98,Projections!$B$98,0)</f>
        <v/>
      </c>
      <c r="CI144" s="56">
        <f>IF(CI2&gt;=Projections!$D$98,Projections!$B$98,0)</f>
        <v/>
      </c>
      <c r="CJ144" s="56">
        <f>IF(CJ2&gt;=Projections!$D$98,Projections!$B$98,0)</f>
        <v/>
      </c>
      <c r="CK144" s="56">
        <f>IF(CK2&gt;=Projections!$D$98,Projections!$B$98,0)</f>
        <v/>
      </c>
      <c r="CL144" s="56">
        <f>IF(CL2&gt;=Projections!$D$98,Projections!$B$98,0)</f>
        <v/>
      </c>
      <c r="CM144" s="56">
        <f>IF(CM2&gt;=Projections!$D$98,Projections!$B$98,0)</f>
        <v/>
      </c>
      <c r="CN144" s="56">
        <f>IF(CN2&gt;=Projections!$D$98,Projections!$B$98,0)</f>
        <v/>
      </c>
      <c r="CO144" s="56">
        <f>IF(CO2&gt;=Projections!$D$98,Projections!$B$98,0)</f>
        <v/>
      </c>
      <c r="CP144" s="56">
        <f>IF(CP2&gt;=Projections!$D$98,Projections!$B$98,0)</f>
        <v/>
      </c>
      <c r="CQ144" s="56">
        <f>IF(CQ2&gt;=Projections!$D$98,Projections!$B$98,0)</f>
        <v/>
      </c>
      <c r="CR144" s="56">
        <f>IF(CR2&gt;=Projections!$D$98,Projections!$B$98,0)</f>
        <v/>
      </c>
      <c r="CS144" s="56">
        <f>IF(CS2&gt;=Projections!$D$98,Projections!$B$98,0)</f>
        <v/>
      </c>
      <c r="CT144" s="56">
        <f>IF(CT2&gt;=Projections!$D$98,Projections!$B$98,0)</f>
        <v/>
      </c>
      <c r="CU144" s="56">
        <f>IF(CU2&gt;=Projections!$D$98,Projections!$B$98,0)</f>
        <v/>
      </c>
      <c r="CV144" s="56">
        <f>IF(CV2&gt;=Projections!$D$98,Projections!$B$98,0)</f>
        <v/>
      </c>
      <c r="CW144" s="56">
        <f>IF(CW2&gt;=Projections!$D$98,Projections!$B$98,0)</f>
        <v/>
      </c>
      <c r="CX144" s="56">
        <f>IF(CX2&gt;=Projections!$D$98,Projections!$B$98,0)</f>
        <v/>
      </c>
    </row>
    <row r="145" outlineLevel="1" ht="15.75" customHeight="1" s="255">
      <c r="A145" s="56">
        <f>Projections!A99</f>
        <v/>
      </c>
      <c r="B145" s="56" t="n"/>
      <c r="C145" s="56" t="n"/>
      <c r="D145" s="56" t="n"/>
      <c r="E145" s="56">
        <f>if(E2&gt;=Projections!$D$99,IF(MONTH(E2)=Settings!$B$9,Projections!$B$99,0),0)</f>
        <v/>
      </c>
      <c r="F145" s="56">
        <f>if(F2&gt;=Projections!$D$99,IF(MONTH(F2)=Settings!$B$9,Projections!$B$99,0),0)</f>
        <v/>
      </c>
      <c r="G145" s="56">
        <f>if(G2&gt;=Projections!$D$99,IF(MONTH(G2)=Settings!$B$9,Projections!$B$99,0),0)</f>
        <v/>
      </c>
      <c r="H145" s="56">
        <f>if(H2&gt;=Projections!$D$99,IF(MONTH(H2)=Settings!$B$9,Projections!$B$99,0),0)</f>
        <v/>
      </c>
      <c r="I145" s="56">
        <f>if(I2&gt;=Projections!$D$99,IF(MONTH(I2)=Settings!$B$9,Projections!$B$99,0),0)</f>
        <v/>
      </c>
      <c r="J145" s="56">
        <f>if(J2&gt;=Projections!$D$99,IF(MONTH(J2)=Settings!$B$9,Projections!$B$99,0),0)</f>
        <v/>
      </c>
      <c r="K145" s="56">
        <f>if(K2&gt;=Projections!$D$99,IF(MONTH(K2)=Settings!$B$9,Projections!$B$99,0),0)</f>
        <v/>
      </c>
      <c r="L145" s="56">
        <f>if(L2&gt;=Projections!$D$99,IF(MONTH(L2)=Settings!$B$9,Projections!$B$99,0),0)</f>
        <v/>
      </c>
      <c r="M145" s="56">
        <f>if(M2&gt;=Projections!$D$99,IF(MONTH(M2)=Settings!$B$9,Projections!$B$99,0),0)</f>
        <v/>
      </c>
      <c r="N145" s="56">
        <f>if(N2&gt;=Projections!$D$99,IF(MONTH(N2)=Settings!$B$9,Projections!$B$99,0),0)</f>
        <v/>
      </c>
      <c r="O145" s="56">
        <f>if(O2&gt;=Projections!$D$99,IF(MONTH(O2)=Settings!$B$9,Projections!$B$99,0),0)</f>
        <v/>
      </c>
      <c r="P145" s="56">
        <f>if(P2&gt;=Projections!$D$99,IF(MONTH(P2)=Settings!$B$9,Projections!$B$99,0),0)</f>
        <v/>
      </c>
      <c r="Q145" s="56">
        <f>if(Q2&gt;=Projections!$D$99,IF(MONTH(Q2)=Settings!$B$9,Projections!$B$99,0),0)</f>
        <v/>
      </c>
      <c r="R145" s="56">
        <f>if(R2&gt;=Projections!$D$99,IF(MONTH(R2)=Settings!$B$9,Projections!$B$99,0),0)</f>
        <v/>
      </c>
      <c r="S145" s="56">
        <f>if(S2&gt;=Projections!$D$99,IF(MONTH(S2)=Settings!$B$9,Projections!$B$99,0),0)</f>
        <v/>
      </c>
      <c r="T145" s="56">
        <f>if(T2&gt;=Projections!$D$99,IF(MONTH(T2)=Settings!$B$9,Projections!$B$99,0),0)</f>
        <v/>
      </c>
      <c r="U145" s="56">
        <f>if(U2&gt;=Projections!$D$99,IF(MONTH(U2)=Settings!$B$9,Projections!$B$99,0),0)</f>
        <v/>
      </c>
      <c r="V145" s="56">
        <f>if(V2&gt;=Projections!$D$99,IF(MONTH(V2)=Settings!$B$9,Projections!$B$99,0),0)</f>
        <v/>
      </c>
      <c r="W145" s="56">
        <f>if(W2&gt;=Projections!$D$99,IF(MONTH(W2)=Settings!$B$9,Projections!$B$99,0),0)</f>
        <v/>
      </c>
      <c r="X145" s="56">
        <f>if(X2&gt;=Projections!$D$99,IF(MONTH(X2)=Settings!$B$9,Projections!$B$99,0),0)</f>
        <v/>
      </c>
      <c r="Y145" s="56">
        <f>if(Y2&gt;=Projections!$D$99,IF(MONTH(Y2)=Settings!$B$9,Projections!$B$99,0),0)</f>
        <v/>
      </c>
      <c r="Z145" s="56">
        <f>if(Z2&gt;=Projections!$D$99,IF(MONTH(Z2)=Settings!$B$9,Projections!$B$99,0),0)</f>
        <v/>
      </c>
      <c r="AA145" s="56">
        <f>if(AA2&gt;=Projections!$D$99,IF(MONTH(AA2)=Settings!$B$9,Projections!$B$99,0),0)</f>
        <v/>
      </c>
      <c r="AB145" s="56">
        <f>if(AB2&gt;=Projections!$D$99,IF(MONTH(AB2)=Settings!$B$9,Projections!$B$99,0),0)</f>
        <v/>
      </c>
      <c r="AC145" s="56">
        <f>if(AC2&gt;=Projections!$D$99,IF(MONTH(AC2)=Settings!$B$9,Projections!$B$99,0),0)</f>
        <v/>
      </c>
      <c r="AD145" s="56">
        <f>if(AD2&gt;=Projections!$D$99,IF(MONTH(AD2)=Settings!$B$9,Projections!$B$99,0),0)</f>
        <v/>
      </c>
      <c r="AE145" s="56">
        <f>if(AE2&gt;=Projections!$D$99,IF(MONTH(AE2)=Settings!$B$9,Projections!$B$99,0),0)</f>
        <v/>
      </c>
      <c r="AF145" s="56">
        <f>if(AF2&gt;=Projections!$D$99,IF(MONTH(AF2)=Settings!$B$9,Projections!$B$99,0),0)</f>
        <v/>
      </c>
      <c r="AG145" s="56">
        <f>if(AG2&gt;=Projections!$D$99,IF(MONTH(AG2)=Settings!$B$9,Projections!$B$99,0),0)</f>
        <v/>
      </c>
      <c r="AH145" s="56">
        <f>if(AH2&gt;=Projections!$D$99,IF(MONTH(AH2)=Settings!$B$9,Projections!$B$99,0),0)</f>
        <v/>
      </c>
      <c r="AI145" s="56">
        <f>if(AI2&gt;=Projections!$D$99,IF(MONTH(AI2)=Settings!$B$9,Projections!$B$99,0),0)</f>
        <v/>
      </c>
      <c r="AJ145" s="56">
        <f>if(AJ2&gt;=Projections!$D$99,IF(MONTH(AJ2)=Settings!$B$9,Projections!$B$99,0),0)</f>
        <v/>
      </c>
      <c r="AK145" s="56">
        <f>if(AK2&gt;=Projections!$D$99,IF(MONTH(AK2)=Settings!$B$9,Projections!$B$99,0),0)</f>
        <v/>
      </c>
      <c r="AL145" s="56">
        <f>if(AL2&gt;=Projections!$D$99,IF(MONTH(AL2)=Settings!$B$9,Projections!$B$99,0),0)</f>
        <v/>
      </c>
      <c r="AM145" s="56">
        <f>if(AM2&gt;=Projections!$D$99,IF(MONTH(AM2)=Settings!$B$9,Projections!$B$99,0),0)</f>
        <v/>
      </c>
      <c r="AN145" s="56">
        <f>if(AN2&gt;=Projections!$D$99,IF(MONTH(AN2)=Settings!$B$9,Projections!$B$99,0),0)</f>
        <v/>
      </c>
      <c r="AO145" s="56">
        <f>if(AO2&gt;=Projections!$D$99,IF(MONTH(AO2)=Settings!$B$9,Projections!$B$99,0),0)</f>
        <v/>
      </c>
      <c r="AP145" s="56">
        <f>if(AP2&gt;=Projections!$D$99,IF(MONTH(AP2)=Settings!$B$9,Projections!$B$99,0),0)</f>
        <v/>
      </c>
      <c r="AQ145" s="56">
        <f>if(AQ2&gt;=Projections!$D$99,IF(MONTH(AQ2)=Settings!$B$9,Projections!$B$99,0),0)</f>
        <v/>
      </c>
      <c r="AR145" s="56">
        <f>if(AR2&gt;=Projections!$D$99,IF(MONTH(AR2)=Settings!$B$9,Projections!$B$99,0),0)</f>
        <v/>
      </c>
      <c r="AS145" s="56">
        <f>if(AS2&gt;=Projections!$D$99,IF(MONTH(AS2)=Settings!$B$9,Projections!$B$99,0),0)</f>
        <v/>
      </c>
      <c r="AT145" s="56">
        <f>if(AT2&gt;=Projections!$D$99,IF(MONTH(AT2)=Settings!$B$9,Projections!$B$99,0),0)</f>
        <v/>
      </c>
      <c r="AU145" s="56">
        <f>if(AU2&gt;=Projections!$D$99,IF(MONTH(AU2)=Settings!$B$9,Projections!$B$99,0),0)</f>
        <v/>
      </c>
      <c r="AV145" s="56">
        <f>if(AV2&gt;=Projections!$D$99,IF(MONTH(AV2)=Settings!$B$9,Projections!$B$99,0),0)</f>
        <v/>
      </c>
      <c r="AW145" s="56">
        <f>if(AW2&gt;=Projections!$D$99,IF(MONTH(AW2)=Settings!$B$9,Projections!$B$99,0),0)</f>
        <v/>
      </c>
      <c r="AX145" s="56">
        <f>if(AX2&gt;=Projections!$D$99,IF(MONTH(AX2)=Settings!$B$9,Projections!$B$99,0),0)</f>
        <v/>
      </c>
      <c r="AY145" s="56">
        <f>if(AY2&gt;=Projections!$D$99,IF(MONTH(AY2)=Settings!$B$9,Projections!$B$99,0),0)</f>
        <v/>
      </c>
      <c r="AZ145" s="56">
        <f>if(AZ2&gt;=Projections!$D$99,IF(MONTH(AZ2)=Settings!$B$9,Projections!$B$99,0),0)</f>
        <v/>
      </c>
      <c r="BA145" s="56">
        <f>if(BA2&gt;=Projections!$D$99,IF(MONTH(BA2)=Settings!$B$9,Projections!$B$99,0),0)</f>
        <v/>
      </c>
      <c r="BB145" s="56">
        <f>if(BB2&gt;=Projections!$D$99,IF(MONTH(BB2)=Settings!$B$9,Projections!$B$99,0),0)</f>
        <v/>
      </c>
      <c r="BC145" s="56">
        <f>if(BC2&gt;=Projections!$D$99,IF(MONTH(BC2)=Settings!$B$9,Projections!$B$99,0),0)</f>
        <v/>
      </c>
      <c r="BD145" s="56">
        <f>if(BD2&gt;=Projections!$D$99,IF(MONTH(BD2)=Settings!$B$9,Projections!$B$99,0),0)</f>
        <v/>
      </c>
      <c r="BE145" s="56">
        <f>if(BE2&gt;=Projections!$D$99,IF(MONTH(BE2)=Settings!$B$9,Projections!$B$99,0),0)</f>
        <v/>
      </c>
      <c r="BF145" s="56">
        <f>if(BF2&gt;=Projections!$D$99,IF(MONTH(BF2)=Settings!$B$9,Projections!$B$99,0),0)</f>
        <v/>
      </c>
      <c r="BG145" s="56">
        <f>if(BG2&gt;=Projections!$D$99,IF(MONTH(BG2)=Settings!$B$9,Projections!$B$99,0),0)</f>
        <v/>
      </c>
      <c r="BH145" s="56">
        <f>if(BH2&gt;=Projections!$D$99,IF(MONTH(BH2)=Settings!$B$9,Projections!$B$99,0),0)</f>
        <v/>
      </c>
      <c r="BI145" s="56">
        <f>if(BI2&gt;=Projections!$D$99,IF(MONTH(BI2)=Settings!$B$9,Projections!$B$99,0),0)</f>
        <v/>
      </c>
      <c r="BJ145" s="56">
        <f>if(BJ2&gt;=Projections!$D$99,IF(MONTH(BJ2)=Settings!$B$9,Projections!$B$99,0),0)</f>
        <v/>
      </c>
      <c r="BK145" s="56">
        <f>if(BK2&gt;=Projections!$D$99,IF(MONTH(BK2)=Settings!$B$9,Projections!$B$99,0),0)</f>
        <v/>
      </c>
      <c r="BL145" s="56">
        <f>if(BL2&gt;=Projections!$D$99,IF(MONTH(BL2)=Settings!$B$9,Projections!$B$99,0),0)</f>
        <v/>
      </c>
      <c r="BM145" s="56">
        <f>if(BM2&gt;=Projections!$D$99,IF(MONTH(BM2)=Settings!$B$9,Projections!$B$99,0),0)</f>
        <v/>
      </c>
      <c r="BN145" s="56">
        <f>if(BN2&gt;=Projections!$D$99,IF(MONTH(BN2)=Settings!$B$9,Projections!$B$99,0),0)</f>
        <v/>
      </c>
      <c r="BO145" s="56">
        <f>if(BO2&gt;=Projections!$D$99,IF(MONTH(BO2)=Settings!$B$9,Projections!$B$99,0),0)</f>
        <v/>
      </c>
      <c r="BP145" s="56">
        <f>if(BP2&gt;=Projections!$D$99,IF(MONTH(BP2)=Settings!$B$9,Projections!$B$99,0),0)</f>
        <v/>
      </c>
      <c r="BQ145" s="56">
        <f>if(BQ2&gt;=Projections!$D$99,IF(MONTH(BQ2)=Settings!$B$9,Projections!$B$99,0),0)</f>
        <v/>
      </c>
      <c r="BR145" s="56">
        <f>if(BR2&gt;=Projections!$D$99,IF(MONTH(BR2)=Settings!$B$9,Projections!$B$99,0),0)</f>
        <v/>
      </c>
      <c r="BS145" s="56">
        <f>if(BS2&gt;=Projections!$D$99,IF(MONTH(BS2)=Settings!$B$9,Projections!$B$99,0),0)</f>
        <v/>
      </c>
      <c r="BT145" s="56">
        <f>if(BT2&gt;=Projections!$D$99,IF(MONTH(BT2)=Settings!$B$9,Projections!$B$99,0),0)</f>
        <v/>
      </c>
      <c r="BU145" s="56">
        <f>if(BU2&gt;=Projections!$D$99,IF(MONTH(BU2)=Settings!$B$9,Projections!$B$99,0),0)</f>
        <v/>
      </c>
      <c r="BV145" s="56">
        <f>if(BV2&gt;=Projections!$D$99,IF(MONTH(BV2)=Settings!$B$9,Projections!$B$99,0),0)</f>
        <v/>
      </c>
      <c r="BW145" s="56">
        <f>if(BW2&gt;=Projections!$D$99,IF(MONTH(BW2)=Settings!$B$9,Projections!$B$99,0),0)</f>
        <v/>
      </c>
      <c r="BX145" s="56">
        <f>if(BX2&gt;=Projections!$D$99,IF(MONTH(BX2)=Settings!$B$9,Projections!$B$99,0),0)</f>
        <v/>
      </c>
      <c r="BY145" s="56">
        <f>if(BY2&gt;=Projections!$D$99,IF(MONTH(BY2)=Settings!$B$9,Projections!$B$99,0),0)</f>
        <v/>
      </c>
      <c r="BZ145" s="56">
        <f>if(BZ2&gt;=Projections!$D$99,IF(MONTH(BZ2)=Settings!$B$9,Projections!$B$99,0),0)</f>
        <v/>
      </c>
      <c r="CA145" s="56">
        <f>if(CA2&gt;=Projections!$D$99,IF(MONTH(CA2)=Settings!$B$9,Projections!$B$99,0),0)</f>
        <v/>
      </c>
      <c r="CB145" s="56">
        <f>if(CB2&gt;=Projections!$D$99,IF(MONTH(CB2)=Settings!$B$9,Projections!$B$99,0),0)</f>
        <v/>
      </c>
      <c r="CC145" s="56">
        <f>if(CC2&gt;=Projections!$D$99,IF(MONTH(CC2)=Settings!$B$9,Projections!$B$99,0),0)</f>
        <v/>
      </c>
      <c r="CD145" s="56">
        <f>if(CD2&gt;=Projections!$D$99,IF(MONTH(CD2)=Settings!$B$9,Projections!$B$99,0),0)</f>
        <v/>
      </c>
      <c r="CE145" s="56">
        <f>if(CE2&gt;=Projections!$D$99,IF(MONTH(CE2)=Settings!$B$9,Projections!$B$99,0),0)</f>
        <v/>
      </c>
      <c r="CF145" s="56">
        <f>if(CF2&gt;=Projections!$D$99,IF(MONTH(CF2)=Settings!$B$9,Projections!$B$99,0),0)</f>
        <v/>
      </c>
      <c r="CG145" s="56">
        <f>if(CG2&gt;=Projections!$D$99,IF(MONTH(CG2)=Settings!$B$9,Projections!$B$99,0),0)</f>
        <v/>
      </c>
      <c r="CH145" s="56">
        <f>if(CH2&gt;=Projections!$D$99,IF(MONTH(CH2)=Settings!$B$9,Projections!$B$99,0),0)</f>
        <v/>
      </c>
      <c r="CI145" s="56">
        <f>if(CI2&gt;=Projections!$D$99,IF(MONTH(CI2)=Settings!$B$9,Projections!$B$99,0),0)</f>
        <v/>
      </c>
      <c r="CJ145" s="56">
        <f>if(CJ2&gt;=Projections!$D$99,IF(MONTH(CJ2)=Settings!$B$9,Projections!$B$99,0),0)</f>
        <v/>
      </c>
      <c r="CK145" s="56">
        <f>if(CK2&gt;=Projections!$D$99,IF(MONTH(CK2)=Settings!$B$9,Projections!$B$99,0),0)</f>
        <v/>
      </c>
      <c r="CL145" s="56">
        <f>if(CL2&gt;=Projections!$D$99,IF(MONTH(CL2)=Settings!$B$9,Projections!$B$99,0),0)</f>
        <v/>
      </c>
      <c r="CM145" s="56">
        <f>if(CM2&gt;=Projections!$D$99,IF(MONTH(CM2)=Settings!$B$9,Projections!$B$99,0),0)</f>
        <v/>
      </c>
      <c r="CN145" s="56">
        <f>if(CN2&gt;=Projections!$D$99,IF(MONTH(CN2)=Settings!$B$9,Projections!$B$99,0),0)</f>
        <v/>
      </c>
      <c r="CO145" s="56">
        <f>if(CO2&gt;=Projections!$D$99,IF(MONTH(CO2)=Settings!$B$9,Projections!$B$99,0),0)</f>
        <v/>
      </c>
      <c r="CP145" s="56">
        <f>if(CP2&gt;=Projections!$D$99,IF(MONTH(CP2)=Settings!$B$9,Projections!$B$99,0),0)</f>
        <v/>
      </c>
      <c r="CQ145" s="56">
        <f>if(CQ2&gt;=Projections!$D$99,IF(MONTH(CQ2)=Settings!$B$9,Projections!$B$99,0),0)</f>
        <v/>
      </c>
      <c r="CR145" s="56">
        <f>if(CR2&gt;=Projections!$D$99,IF(MONTH(CR2)=Settings!$B$9,Projections!$B$99,0),0)</f>
        <v/>
      </c>
      <c r="CS145" s="56">
        <f>if(CS2&gt;=Projections!$D$99,IF(MONTH(CS2)=Settings!$B$9,Projections!$B$99,0),0)</f>
        <v/>
      </c>
      <c r="CT145" s="56">
        <f>if(CT2&gt;=Projections!$D$99,IF(MONTH(CT2)=Settings!$B$9,Projections!$B$99,0),0)</f>
        <v/>
      </c>
      <c r="CU145" s="56">
        <f>if(CU2&gt;=Projections!$D$99,IF(MONTH(CU2)=Settings!$B$9,Projections!$B$99,0),0)</f>
        <v/>
      </c>
      <c r="CV145" s="56">
        <f>if(CV2&gt;=Projections!$D$99,IF(MONTH(CV2)=Settings!$B$9,Projections!$B$99,0),0)</f>
        <v/>
      </c>
      <c r="CW145" s="56">
        <f>if(CW2&gt;=Projections!$D$99,IF(MONTH(CW2)=Settings!$B$9,Projections!$B$99,0),0)</f>
        <v/>
      </c>
      <c r="CX145" s="56">
        <f>if(CX2&gt;=Projections!$D$99,IF(MONTH(CX2)=Settings!$B$9,Projections!$B$99,0),0)</f>
        <v/>
      </c>
    </row>
    <row r="146" outlineLevel="1" ht="15.75" customHeight="1" s="255">
      <c r="A146" s="60">
        <f>Projections!A101</f>
        <v/>
      </c>
      <c r="B146" s="56" t="n"/>
      <c r="C146" s="56" t="n"/>
      <c r="D146" s="56" t="n"/>
      <c r="E146" s="60">
        <f>SUM(E147:E149)</f>
        <v/>
      </c>
      <c r="F146" s="60">
        <f>SUM(F147:F149)</f>
        <v/>
      </c>
      <c r="G146" s="60">
        <f>SUM(G147:G149)</f>
        <v/>
      </c>
      <c r="H146" s="60">
        <f>SUM(H147:H149)</f>
        <v/>
      </c>
      <c r="I146" s="60">
        <f>SUM(I147:I149)</f>
        <v/>
      </c>
      <c r="J146" s="60">
        <f>SUM(J147:J149)</f>
        <v/>
      </c>
      <c r="K146" s="60">
        <f>SUM(K147:K149)</f>
        <v/>
      </c>
      <c r="L146" s="60">
        <f>SUM(L147:L149)</f>
        <v/>
      </c>
      <c r="M146" s="60">
        <f>SUM(M147:M149)</f>
        <v/>
      </c>
      <c r="N146" s="60">
        <f>SUM(N147:N149)</f>
        <v/>
      </c>
      <c r="O146" s="60">
        <f>SUM(O147:O149)</f>
        <v/>
      </c>
      <c r="P146" s="60">
        <f>SUM(P147:P149)</f>
        <v/>
      </c>
      <c r="Q146" s="60">
        <f>SUM(Q147:Q149)</f>
        <v/>
      </c>
      <c r="R146" s="60">
        <f>SUM(R147:R149)</f>
        <v/>
      </c>
      <c r="S146" s="60">
        <f>SUM(S147:S149)</f>
        <v/>
      </c>
      <c r="T146" s="60">
        <f>SUM(T147:T149)</f>
        <v/>
      </c>
      <c r="U146" s="60">
        <f>SUM(U147:U149)</f>
        <v/>
      </c>
      <c r="V146" s="60">
        <f>SUM(V147:V149)</f>
        <v/>
      </c>
      <c r="W146" s="60">
        <f>SUM(W147:W149)</f>
        <v/>
      </c>
      <c r="X146" s="60">
        <f>SUM(X147:X149)</f>
        <v/>
      </c>
      <c r="Y146" s="60">
        <f>SUM(Y147:Y149)</f>
        <v/>
      </c>
      <c r="Z146" s="60">
        <f>SUM(Z147:Z149)</f>
        <v/>
      </c>
      <c r="AA146" s="60">
        <f>SUM(AA147:AA149)</f>
        <v/>
      </c>
      <c r="AB146" s="60">
        <f>SUM(AB147:AB149)</f>
        <v/>
      </c>
      <c r="AC146" s="60">
        <f>SUM(AC147:AC149)</f>
        <v/>
      </c>
      <c r="AD146" s="60">
        <f>SUM(AD147:AD149)</f>
        <v/>
      </c>
      <c r="AE146" s="60">
        <f>SUM(AE147:AE149)</f>
        <v/>
      </c>
      <c r="AF146" s="60">
        <f>SUM(AF147:AF149)</f>
        <v/>
      </c>
      <c r="AG146" s="60">
        <f>SUM(AG147:AG149)</f>
        <v/>
      </c>
      <c r="AH146" s="60">
        <f>SUM(AH147:AH149)</f>
        <v/>
      </c>
      <c r="AI146" s="60">
        <f>SUM(AI147:AI149)</f>
        <v/>
      </c>
      <c r="AJ146" s="60">
        <f>SUM(AJ147:AJ149)</f>
        <v/>
      </c>
      <c r="AK146" s="60">
        <f>SUM(AK147:AK149)</f>
        <v/>
      </c>
      <c r="AL146" s="60">
        <f>SUM(AL147:AL149)</f>
        <v/>
      </c>
      <c r="AM146" s="60">
        <f>SUM(AM147:AM149)</f>
        <v/>
      </c>
      <c r="AN146" s="60">
        <f>SUM(AN147:AN149)</f>
        <v/>
      </c>
      <c r="AO146" s="60">
        <f>SUM(AO147:AO149)</f>
        <v/>
      </c>
      <c r="AP146" s="60">
        <f>SUM(AP147:AP149)</f>
        <v/>
      </c>
      <c r="AQ146" s="60">
        <f>SUM(AQ147:AQ149)</f>
        <v/>
      </c>
      <c r="AR146" s="60">
        <f>SUM(AR147:AR149)</f>
        <v/>
      </c>
      <c r="AS146" s="60">
        <f>SUM(AS147:AS149)</f>
        <v/>
      </c>
      <c r="AT146" s="60">
        <f>SUM(AT147:AT149)</f>
        <v/>
      </c>
      <c r="AU146" s="60">
        <f>SUM(AU147:AU149)</f>
        <v/>
      </c>
      <c r="AV146" s="60">
        <f>SUM(AV147:AV149)</f>
        <v/>
      </c>
      <c r="AW146" s="60">
        <f>SUM(AW147:AW149)</f>
        <v/>
      </c>
      <c r="AX146" s="60">
        <f>SUM(AX147:AX149)</f>
        <v/>
      </c>
      <c r="AY146" s="60">
        <f>SUM(AY147:AY149)</f>
        <v/>
      </c>
      <c r="AZ146" s="60">
        <f>SUM(AZ147:AZ149)</f>
        <v/>
      </c>
      <c r="BA146" s="60">
        <f>SUM(BA147:BA149)</f>
        <v/>
      </c>
      <c r="BB146" s="60">
        <f>SUM(BB147:BB149)</f>
        <v/>
      </c>
      <c r="BC146" s="60">
        <f>SUM(BC147:BC149)</f>
        <v/>
      </c>
      <c r="BD146" s="60">
        <f>SUM(BD147:BD149)</f>
        <v/>
      </c>
      <c r="BE146" s="60">
        <f>SUM(BE147:BE149)</f>
        <v/>
      </c>
      <c r="BF146" s="60">
        <f>SUM(BF147:BF149)</f>
        <v/>
      </c>
      <c r="BG146" s="60">
        <f>SUM(BG147:BG149)</f>
        <v/>
      </c>
      <c r="BH146" s="60">
        <f>SUM(BH147:BH149)</f>
        <v/>
      </c>
      <c r="BI146" s="60">
        <f>SUM(BI147:BI149)</f>
        <v/>
      </c>
      <c r="BJ146" s="60">
        <f>SUM(BJ147:BJ149)</f>
        <v/>
      </c>
      <c r="BK146" s="60">
        <f>SUM(BK147:BK149)</f>
        <v/>
      </c>
      <c r="BL146" s="60">
        <f>SUM(BL147:BL149)</f>
        <v/>
      </c>
      <c r="BM146" s="60">
        <f>SUM(BM147:BM149)</f>
        <v/>
      </c>
      <c r="BN146" s="60">
        <f>SUM(BN147:BN149)</f>
        <v/>
      </c>
      <c r="BO146" s="60">
        <f>SUM(BO147:BO149)</f>
        <v/>
      </c>
      <c r="BP146" s="60">
        <f>SUM(BP147:BP149)</f>
        <v/>
      </c>
      <c r="BQ146" s="60">
        <f>SUM(BQ147:BQ149)</f>
        <v/>
      </c>
      <c r="BR146" s="60">
        <f>SUM(BR147:BR149)</f>
        <v/>
      </c>
      <c r="BS146" s="60">
        <f>SUM(BS147:BS149)</f>
        <v/>
      </c>
      <c r="BT146" s="60">
        <f>SUM(BT147:BT149)</f>
        <v/>
      </c>
      <c r="BU146" s="60">
        <f>SUM(BU147:BU149)</f>
        <v/>
      </c>
      <c r="BV146" s="60">
        <f>SUM(BV147:BV149)</f>
        <v/>
      </c>
      <c r="BW146" s="60">
        <f>SUM(BW147:BW149)</f>
        <v/>
      </c>
      <c r="BX146" s="60">
        <f>SUM(BX147:BX149)</f>
        <v/>
      </c>
      <c r="BY146" s="60">
        <f>SUM(BY147:BY149)</f>
        <v/>
      </c>
      <c r="BZ146" s="60">
        <f>SUM(BZ147:BZ149)</f>
        <v/>
      </c>
      <c r="CA146" s="60">
        <f>SUM(CA147:CA149)</f>
        <v/>
      </c>
      <c r="CB146" s="60">
        <f>SUM(CB147:CB149)</f>
        <v/>
      </c>
      <c r="CC146" s="60">
        <f>SUM(CC147:CC149)</f>
        <v/>
      </c>
      <c r="CD146" s="60">
        <f>SUM(CD147:CD149)</f>
        <v/>
      </c>
      <c r="CE146" s="60">
        <f>SUM(CE147:CE149)</f>
        <v/>
      </c>
      <c r="CF146" s="60">
        <f>SUM(CF147:CF149)</f>
        <v/>
      </c>
      <c r="CG146" s="60">
        <f>SUM(CG147:CG149)</f>
        <v/>
      </c>
      <c r="CH146" s="60">
        <f>SUM(CH147:CH149)</f>
        <v/>
      </c>
      <c r="CI146" s="60">
        <f>SUM(CI147:CI149)</f>
        <v/>
      </c>
      <c r="CJ146" s="60">
        <f>SUM(CJ147:CJ149)</f>
        <v/>
      </c>
      <c r="CK146" s="60">
        <f>SUM(CK147:CK149)</f>
        <v/>
      </c>
      <c r="CL146" s="60">
        <f>SUM(CL147:CL149)</f>
        <v/>
      </c>
      <c r="CM146" s="60">
        <f>SUM(CM147:CM149)</f>
        <v/>
      </c>
      <c r="CN146" s="60">
        <f>SUM(CN147:CN149)</f>
        <v/>
      </c>
      <c r="CO146" s="60">
        <f>SUM(CO147:CO149)</f>
        <v/>
      </c>
      <c r="CP146" s="60">
        <f>SUM(CP147:CP149)</f>
        <v/>
      </c>
      <c r="CQ146" s="60">
        <f>SUM(CQ147:CQ149)</f>
        <v/>
      </c>
      <c r="CR146" s="60">
        <f>SUM(CR147:CR149)</f>
        <v/>
      </c>
      <c r="CS146" s="60">
        <f>SUM(CS147:CS149)</f>
        <v/>
      </c>
      <c r="CT146" s="60">
        <f>SUM(CT147:CT149)</f>
        <v/>
      </c>
      <c r="CU146" s="60">
        <f>SUM(CU147:CU149)</f>
        <v/>
      </c>
      <c r="CV146" s="60">
        <f>SUM(CV147:CV149)</f>
        <v/>
      </c>
      <c r="CW146" s="60">
        <f>SUM(CW147:CW149)</f>
        <v/>
      </c>
      <c r="CX146" s="60">
        <f>SUM(CX147:CX149)</f>
        <v/>
      </c>
    </row>
    <row r="147" outlineLevel="1" ht="15.75" customHeight="1" s="255">
      <c r="A147" s="56">
        <f>Projections!A102</f>
        <v/>
      </c>
      <c r="B147" s="56" t="n"/>
      <c r="C147" s="56" t="n"/>
      <c r="D147" s="56" t="n"/>
      <c r="E147" s="56">
        <f>IF(E$2&gt;=Projections!$D102,Projections!$B102,0)</f>
        <v/>
      </c>
      <c r="F147" s="56">
        <f>IF(F$2&gt;=Projections!$D102,Projections!$B102,0)</f>
        <v/>
      </c>
      <c r="G147" s="56">
        <f>IF(G$2&gt;=Projections!$D102,Projections!$B102,0)</f>
        <v/>
      </c>
      <c r="H147" s="56">
        <f>IF(H$2&gt;=Projections!$D102,Projections!$B102,0)</f>
        <v/>
      </c>
      <c r="I147" s="56">
        <f>IF(I$2&gt;=Projections!$D102,Projections!$B102,0)</f>
        <v/>
      </c>
      <c r="J147" s="56">
        <f>IF(J$2&gt;=Projections!$D102,Projections!$B102,0)</f>
        <v/>
      </c>
      <c r="K147" s="56">
        <f>IF(K$2&gt;=Projections!$D102,Projections!$B102,0)</f>
        <v/>
      </c>
      <c r="L147" s="56">
        <f>IF(L$2&gt;=Projections!$D102,Projections!$B102,0)</f>
        <v/>
      </c>
      <c r="M147" s="56">
        <f>IF(M$2&gt;=Projections!$D102,Projections!$B102,0)</f>
        <v/>
      </c>
      <c r="N147" s="56">
        <f>IF(N$2&gt;=Projections!$D102,Projections!$B102,0)</f>
        <v/>
      </c>
      <c r="O147" s="56">
        <f>IF(O$2&gt;=Projections!$D102,Projections!$B102,0)</f>
        <v/>
      </c>
      <c r="P147" s="56">
        <f>IF(P$2&gt;=Projections!$D102,Projections!$B102,0)</f>
        <v/>
      </c>
      <c r="Q147" s="56">
        <f>IF(Q$2&gt;=Projections!$D102,Projections!$B102,0)</f>
        <v/>
      </c>
      <c r="R147" s="56">
        <f>IF(R$2&gt;=Projections!$D102,Projections!$B102,0)</f>
        <v/>
      </c>
      <c r="S147" s="56">
        <f>IF(S$2&gt;=Projections!$D102,Projections!$B102,0)</f>
        <v/>
      </c>
      <c r="T147" s="56">
        <f>IF(T$2&gt;=Projections!$D102,Projections!$B102,0)</f>
        <v/>
      </c>
      <c r="U147" s="56">
        <f>IF(U$2&gt;=Projections!$D102,Projections!$B102,0)</f>
        <v/>
      </c>
      <c r="V147" s="56">
        <f>IF(V$2&gt;=Projections!$D102,Projections!$B102,0)</f>
        <v/>
      </c>
      <c r="W147" s="56">
        <f>IF(W$2&gt;=Projections!$D102,Projections!$B102,0)</f>
        <v/>
      </c>
      <c r="X147" s="56">
        <f>IF(X$2&gt;=Projections!$D102,Projections!$B102,0)</f>
        <v/>
      </c>
      <c r="Y147" s="56">
        <f>IF(Y$2&gt;=Projections!$D102,Projections!$B102,0)</f>
        <v/>
      </c>
      <c r="Z147" s="56">
        <f>IF(Z$2&gt;=Projections!$D102,Projections!$B102,0)</f>
        <v/>
      </c>
      <c r="AA147" s="56">
        <f>IF(AA$2&gt;=Projections!$D102,Projections!$B102,0)</f>
        <v/>
      </c>
      <c r="AB147" s="56">
        <f>IF(AB$2&gt;=Projections!$D102,Projections!$B102,0)</f>
        <v/>
      </c>
      <c r="AC147" s="56">
        <f>IF(AC$2&gt;=Projections!$D102,Projections!$B102,0)</f>
        <v/>
      </c>
      <c r="AD147" s="56">
        <f>IF(AD$2&gt;=Projections!$D102,Projections!$B102,0)</f>
        <v/>
      </c>
      <c r="AE147" s="56">
        <f>IF(AE$2&gt;=Projections!$D102,Projections!$B102,0)</f>
        <v/>
      </c>
      <c r="AF147" s="56">
        <f>IF(AF$2&gt;=Projections!$D102,Projections!$B102,0)</f>
        <v/>
      </c>
      <c r="AG147" s="56">
        <f>IF(AG$2&gt;=Projections!$D102,Projections!$B102,0)</f>
        <v/>
      </c>
      <c r="AH147" s="56">
        <f>IF(AH$2&gt;=Projections!$D102,Projections!$B102,0)</f>
        <v/>
      </c>
      <c r="AI147" s="56">
        <f>IF(AI$2&gt;=Projections!$D102,Projections!$B102,0)</f>
        <v/>
      </c>
      <c r="AJ147" s="56">
        <f>IF(AJ$2&gt;=Projections!$D102,Projections!$B102,0)</f>
        <v/>
      </c>
      <c r="AK147" s="56">
        <f>IF(AK$2&gt;=Projections!$D102,Projections!$B102,0)</f>
        <v/>
      </c>
      <c r="AL147" s="56">
        <f>IF(AL$2&gt;=Projections!$D102,Projections!$B102,0)</f>
        <v/>
      </c>
      <c r="AM147" s="56">
        <f>IF(AM$2&gt;=Projections!$D102,Projections!$B102,0)</f>
        <v/>
      </c>
      <c r="AN147" s="56">
        <f>IF(AN$2&gt;=Projections!$D102,Projections!$B102,0)</f>
        <v/>
      </c>
      <c r="AO147" s="56">
        <f>IF(AO$2&gt;=Projections!$D102,Projections!$B102,0)</f>
        <v/>
      </c>
      <c r="AP147" s="56">
        <f>IF(AP$2&gt;=Projections!$D102,Projections!$B102,0)</f>
        <v/>
      </c>
      <c r="AQ147" s="56">
        <f>IF(AQ$2&gt;=Projections!$D102,Projections!$B102,0)</f>
        <v/>
      </c>
      <c r="AR147" s="56">
        <f>IF(AR$2&gt;=Projections!$D102,Projections!$B102,0)</f>
        <v/>
      </c>
      <c r="AS147" s="56">
        <f>IF(AS$2&gt;=Projections!$D102,Projections!$B102,0)</f>
        <v/>
      </c>
      <c r="AT147" s="56">
        <f>IF(AT$2&gt;=Projections!$D102,Projections!$B102,0)</f>
        <v/>
      </c>
      <c r="AU147" s="56">
        <f>IF(AU$2&gt;=Projections!$D102,Projections!$B102,0)</f>
        <v/>
      </c>
      <c r="AV147" s="56">
        <f>IF(AV$2&gt;=Projections!$D102,Projections!$B102,0)</f>
        <v/>
      </c>
      <c r="AW147" s="56">
        <f>IF(AW$2&gt;=Projections!$D102,Projections!$B102,0)</f>
        <v/>
      </c>
      <c r="AX147" s="56">
        <f>IF(AX$2&gt;=Projections!$D102,Projections!$B102,0)</f>
        <v/>
      </c>
      <c r="AY147" s="56">
        <f>IF(AY$2&gt;=Projections!$D102,Projections!$B102,0)</f>
        <v/>
      </c>
      <c r="AZ147" s="56">
        <f>IF(AZ$2&gt;=Projections!$D102,Projections!$B102,0)</f>
        <v/>
      </c>
      <c r="BA147" s="56">
        <f>IF(BA$2&gt;=Projections!$D102,Projections!$B102,0)</f>
        <v/>
      </c>
      <c r="BB147" s="56">
        <f>IF(BB$2&gt;=Projections!$D102,Projections!$B102,0)</f>
        <v/>
      </c>
      <c r="BC147" s="56">
        <f>IF(BC$2&gt;=Projections!$D102,Projections!$B102,0)</f>
        <v/>
      </c>
      <c r="BD147" s="56">
        <f>IF(BD$2&gt;=Projections!$D102,Projections!$B102,0)</f>
        <v/>
      </c>
      <c r="BE147" s="56">
        <f>IF(BE$2&gt;=Projections!$D102,Projections!$B102,0)</f>
        <v/>
      </c>
      <c r="BF147" s="56">
        <f>IF(BF$2&gt;=Projections!$D102,Projections!$B102,0)</f>
        <v/>
      </c>
      <c r="BG147" s="56">
        <f>IF(BG$2&gt;=Projections!$D102,Projections!$B102,0)</f>
        <v/>
      </c>
      <c r="BH147" s="56">
        <f>IF(BH$2&gt;=Projections!$D102,Projections!$B102,0)</f>
        <v/>
      </c>
      <c r="BI147" s="56">
        <f>IF(BI$2&gt;=Projections!$D102,Projections!$B102,0)</f>
        <v/>
      </c>
      <c r="BJ147" s="56">
        <f>IF(BJ$2&gt;=Projections!$D102,Projections!$B102,0)</f>
        <v/>
      </c>
      <c r="BK147" s="56">
        <f>IF(BK$2&gt;=Projections!$D102,Projections!$B102,0)</f>
        <v/>
      </c>
      <c r="BL147" s="56">
        <f>IF(BL$2&gt;=Projections!$D102,Projections!$B102,0)</f>
        <v/>
      </c>
      <c r="BM147" s="56">
        <f>IF(BM$2&gt;=Projections!$D102,Projections!$B102,0)</f>
        <v/>
      </c>
      <c r="BN147" s="56">
        <f>IF(BN$2&gt;=Projections!$D102,Projections!$B102,0)</f>
        <v/>
      </c>
      <c r="BO147" s="56">
        <f>IF(BO$2&gt;=Projections!$D102,Projections!$B102,0)</f>
        <v/>
      </c>
      <c r="BP147" s="56">
        <f>IF(BP$2&gt;=Projections!$D102,Projections!$B102,0)</f>
        <v/>
      </c>
      <c r="BQ147" s="56">
        <f>IF(BQ$2&gt;=Projections!$D102,Projections!$B102,0)</f>
        <v/>
      </c>
      <c r="BR147" s="56">
        <f>IF(BR$2&gt;=Projections!$D102,Projections!$B102,0)</f>
        <v/>
      </c>
      <c r="BS147" s="56">
        <f>IF(BS$2&gt;=Projections!$D102,Projections!$B102,0)</f>
        <v/>
      </c>
      <c r="BT147" s="56">
        <f>IF(BT$2&gt;=Projections!$D102,Projections!$B102,0)</f>
        <v/>
      </c>
      <c r="BU147" s="56">
        <f>IF(BU$2&gt;=Projections!$D102,Projections!$B102,0)</f>
        <v/>
      </c>
      <c r="BV147" s="56">
        <f>IF(BV$2&gt;=Projections!$D102,Projections!$B102,0)</f>
        <v/>
      </c>
      <c r="BW147" s="56">
        <f>IF(BW$2&gt;=Projections!$D102,Projections!$B102,0)</f>
        <v/>
      </c>
      <c r="BX147" s="56">
        <f>IF(BX$2&gt;=Projections!$D102,Projections!$B102,0)</f>
        <v/>
      </c>
      <c r="BY147" s="56">
        <f>IF(BY$2&gt;=Projections!$D102,Projections!$B102,0)</f>
        <v/>
      </c>
      <c r="BZ147" s="56">
        <f>IF(BZ$2&gt;=Projections!$D102,Projections!$B102,0)</f>
        <v/>
      </c>
      <c r="CA147" s="56">
        <f>IF(CA$2&gt;=Projections!$D102,Projections!$B102,0)</f>
        <v/>
      </c>
      <c r="CB147" s="56">
        <f>IF(CB$2&gt;=Projections!$D102,Projections!$B102,0)</f>
        <v/>
      </c>
      <c r="CC147" s="56">
        <f>IF(CC$2&gt;=Projections!$D102,Projections!$B102,0)</f>
        <v/>
      </c>
      <c r="CD147" s="56">
        <f>IF(CD$2&gt;=Projections!$D102,Projections!$B102,0)</f>
        <v/>
      </c>
      <c r="CE147" s="56">
        <f>IF(CE$2&gt;=Projections!$D102,Projections!$B102,0)</f>
        <v/>
      </c>
      <c r="CF147" s="56">
        <f>IF(CF$2&gt;=Projections!$D102,Projections!$B102,0)</f>
        <v/>
      </c>
      <c r="CG147" s="56">
        <f>IF(CG$2&gt;=Projections!$D102,Projections!$B102,0)</f>
        <v/>
      </c>
      <c r="CH147" s="56">
        <f>IF(CH$2&gt;=Projections!$D102,Projections!$B102,0)</f>
        <v/>
      </c>
      <c r="CI147" s="56">
        <f>IF(CI$2&gt;=Projections!$D102,Projections!$B102,0)</f>
        <v/>
      </c>
      <c r="CJ147" s="56">
        <f>IF(CJ$2&gt;=Projections!$D102,Projections!$B102,0)</f>
        <v/>
      </c>
      <c r="CK147" s="56">
        <f>IF(CK$2&gt;=Projections!$D102,Projections!$B102,0)</f>
        <v/>
      </c>
      <c r="CL147" s="56">
        <f>IF(CL$2&gt;=Projections!$D102,Projections!$B102,0)</f>
        <v/>
      </c>
      <c r="CM147" s="56">
        <f>IF(CM$2&gt;=Projections!$D102,Projections!$B102,0)</f>
        <v/>
      </c>
      <c r="CN147" s="56">
        <f>IF(CN$2&gt;=Projections!$D102,Projections!$B102,0)</f>
        <v/>
      </c>
      <c r="CO147" s="56">
        <f>IF(CO$2&gt;=Projections!$D102,Projections!$B102,0)</f>
        <v/>
      </c>
      <c r="CP147" s="56">
        <f>IF(CP$2&gt;=Projections!$D102,Projections!$B102,0)</f>
        <v/>
      </c>
      <c r="CQ147" s="56">
        <f>IF(CQ$2&gt;=Projections!$D102,Projections!$B102,0)</f>
        <v/>
      </c>
      <c r="CR147" s="56">
        <f>IF(CR$2&gt;=Projections!$D102,Projections!$B102,0)</f>
        <v/>
      </c>
      <c r="CS147" s="56">
        <f>IF(CS$2&gt;=Projections!$D102,Projections!$B102,0)</f>
        <v/>
      </c>
      <c r="CT147" s="56">
        <f>IF(CT$2&gt;=Projections!$D102,Projections!$B102,0)</f>
        <v/>
      </c>
      <c r="CU147" s="56">
        <f>IF(CU$2&gt;=Projections!$D102,Projections!$B102,0)</f>
        <v/>
      </c>
      <c r="CV147" s="56">
        <f>IF(CV$2&gt;=Projections!$D102,Projections!$B102,0)</f>
        <v/>
      </c>
      <c r="CW147" s="56">
        <f>IF(CW$2&gt;=Projections!$D102,Projections!$B102,0)</f>
        <v/>
      </c>
      <c r="CX147" s="56">
        <f>IF(CX$2&gt;=Projections!$D102,Projections!$B102,0)</f>
        <v/>
      </c>
    </row>
    <row r="148" outlineLevel="1" ht="15.75" customHeight="1" s="255">
      <c r="A148" s="56">
        <f>Projections!A103</f>
        <v/>
      </c>
      <c r="B148" s="56" t="n"/>
      <c r="C148" s="56" t="n"/>
      <c r="D148" s="56" t="n"/>
      <c r="E148" s="56">
        <f>IF(E$2&gt;=Projections!$D103,Projections!$B103,0)</f>
        <v/>
      </c>
      <c r="F148" s="56">
        <f>IF(F$2&gt;=Projections!$D103,Projections!$B103,0)</f>
        <v/>
      </c>
      <c r="G148" s="56">
        <f>IF(G$2&gt;=Projections!$D103,Projections!$B103,0)</f>
        <v/>
      </c>
      <c r="H148" s="56">
        <f>IF(H$2&gt;=Projections!$D103,Projections!$B103,0)</f>
        <v/>
      </c>
      <c r="I148" s="56">
        <f>IF(I$2&gt;=Projections!$D103,Projections!$B103,0)</f>
        <v/>
      </c>
      <c r="J148" s="56">
        <f>IF(J$2&gt;=Projections!$D103,Projections!$B103,0)</f>
        <v/>
      </c>
      <c r="K148" s="56">
        <f>IF(K$2&gt;=Projections!$D103,Projections!$B103,0)</f>
        <v/>
      </c>
      <c r="L148" s="56">
        <f>IF(L$2&gt;=Projections!$D103,Projections!$B103,0)</f>
        <v/>
      </c>
      <c r="M148" s="56">
        <f>IF(M$2&gt;=Projections!$D103,Projections!$B103,0)</f>
        <v/>
      </c>
      <c r="N148" s="56">
        <f>IF(N$2&gt;=Projections!$D103,Projections!$B103,0)</f>
        <v/>
      </c>
      <c r="O148" s="56">
        <f>IF(O$2&gt;=Projections!$D103,Projections!$B103,0)</f>
        <v/>
      </c>
      <c r="P148" s="56">
        <f>IF(P$2&gt;=Projections!$D103,Projections!$B103,0)</f>
        <v/>
      </c>
      <c r="Q148" s="56">
        <f>IF(Q$2&gt;=Projections!$D103,Projections!$B103,0)</f>
        <v/>
      </c>
      <c r="R148" s="56">
        <f>IF(R$2&gt;=Projections!$D103,Projections!$B103,0)</f>
        <v/>
      </c>
      <c r="S148" s="56">
        <f>IF(S$2&gt;=Projections!$D103,Projections!$B103,0)</f>
        <v/>
      </c>
      <c r="T148" s="56">
        <f>IF(T$2&gt;=Projections!$D103,Projections!$B103,0)</f>
        <v/>
      </c>
      <c r="U148" s="56">
        <f>IF(U$2&gt;=Projections!$D103,Projections!$B103,0)</f>
        <v/>
      </c>
      <c r="V148" s="56">
        <f>IF(V$2&gt;=Projections!$D103,Projections!$B103,0)</f>
        <v/>
      </c>
      <c r="W148" s="56">
        <f>IF(W$2&gt;=Projections!$D103,Projections!$B103,0)</f>
        <v/>
      </c>
      <c r="X148" s="56">
        <f>IF(X$2&gt;=Projections!$D103,Projections!$B103,0)</f>
        <v/>
      </c>
      <c r="Y148" s="56">
        <f>IF(Y$2&gt;=Projections!$D103,Projections!$B103,0)</f>
        <v/>
      </c>
      <c r="Z148" s="56">
        <f>IF(Z$2&gt;=Projections!$D103,Projections!$B103,0)</f>
        <v/>
      </c>
      <c r="AA148" s="56">
        <f>IF(AA$2&gt;=Projections!$D103,Projections!$B103,0)</f>
        <v/>
      </c>
      <c r="AB148" s="56">
        <f>IF(AB$2&gt;=Projections!$D103,Projections!$B103,0)</f>
        <v/>
      </c>
      <c r="AC148" s="56">
        <f>IF(AC$2&gt;=Projections!$D103,Projections!$B103,0)</f>
        <v/>
      </c>
      <c r="AD148" s="56">
        <f>IF(AD$2&gt;=Projections!$D103,Projections!$B103,0)</f>
        <v/>
      </c>
      <c r="AE148" s="56">
        <f>IF(AE$2&gt;=Projections!$D103,Projections!$B103,0)</f>
        <v/>
      </c>
      <c r="AF148" s="56">
        <f>IF(AF$2&gt;=Projections!$D103,Projections!$B103,0)</f>
        <v/>
      </c>
      <c r="AG148" s="56">
        <f>IF(AG$2&gt;=Projections!$D103,Projections!$B103,0)</f>
        <v/>
      </c>
      <c r="AH148" s="56">
        <f>IF(AH$2&gt;=Projections!$D103,Projections!$B103,0)</f>
        <v/>
      </c>
      <c r="AI148" s="56">
        <f>IF(AI$2&gt;=Projections!$D103,Projections!$B103,0)</f>
        <v/>
      </c>
      <c r="AJ148" s="56">
        <f>IF(AJ$2&gt;=Projections!$D103,Projections!$B103,0)</f>
        <v/>
      </c>
      <c r="AK148" s="56">
        <f>IF(AK$2&gt;=Projections!$D103,Projections!$B103,0)</f>
        <v/>
      </c>
      <c r="AL148" s="56">
        <f>IF(AL$2&gt;=Projections!$D103,Projections!$B103,0)</f>
        <v/>
      </c>
      <c r="AM148" s="56">
        <f>IF(AM$2&gt;=Projections!$D103,Projections!$B103,0)</f>
        <v/>
      </c>
      <c r="AN148" s="56">
        <f>IF(AN$2&gt;=Projections!$D103,Projections!$B103,0)</f>
        <v/>
      </c>
      <c r="AO148" s="56">
        <f>IF(AO$2&gt;=Projections!$D103,Projections!$B103,0)</f>
        <v/>
      </c>
      <c r="AP148" s="56">
        <f>IF(AP$2&gt;=Projections!$D103,Projections!$B103,0)</f>
        <v/>
      </c>
      <c r="AQ148" s="56">
        <f>IF(AQ$2&gt;=Projections!$D103,Projections!$B103,0)</f>
        <v/>
      </c>
      <c r="AR148" s="56">
        <f>IF(AR$2&gt;=Projections!$D103,Projections!$B103,0)</f>
        <v/>
      </c>
      <c r="AS148" s="56">
        <f>IF(AS$2&gt;=Projections!$D103,Projections!$B103,0)</f>
        <v/>
      </c>
      <c r="AT148" s="56">
        <f>IF(AT$2&gt;=Projections!$D103,Projections!$B103,0)</f>
        <v/>
      </c>
      <c r="AU148" s="56">
        <f>IF(AU$2&gt;=Projections!$D103,Projections!$B103,0)</f>
        <v/>
      </c>
      <c r="AV148" s="56">
        <f>IF(AV$2&gt;=Projections!$D103,Projections!$B103,0)</f>
        <v/>
      </c>
      <c r="AW148" s="56">
        <f>IF(AW$2&gt;=Projections!$D103,Projections!$B103,0)</f>
        <v/>
      </c>
      <c r="AX148" s="56">
        <f>IF(AX$2&gt;=Projections!$D103,Projections!$B103,0)</f>
        <v/>
      </c>
      <c r="AY148" s="56">
        <f>IF(AY$2&gt;=Projections!$D103,Projections!$B103,0)</f>
        <v/>
      </c>
      <c r="AZ148" s="56">
        <f>IF(AZ$2&gt;=Projections!$D103,Projections!$B103,0)</f>
        <v/>
      </c>
      <c r="BA148" s="56">
        <f>IF(BA$2&gt;=Projections!$D103,Projections!$B103,0)</f>
        <v/>
      </c>
      <c r="BB148" s="56">
        <f>IF(BB$2&gt;=Projections!$D103,Projections!$B103,0)</f>
        <v/>
      </c>
      <c r="BC148" s="56">
        <f>IF(BC$2&gt;=Projections!$D103,Projections!$B103,0)</f>
        <v/>
      </c>
      <c r="BD148" s="56">
        <f>IF(BD$2&gt;=Projections!$D103,Projections!$B103,0)</f>
        <v/>
      </c>
      <c r="BE148" s="56">
        <f>IF(BE$2&gt;=Projections!$D103,Projections!$B103,0)</f>
        <v/>
      </c>
      <c r="BF148" s="56">
        <f>IF(BF$2&gt;=Projections!$D103,Projections!$B103,0)</f>
        <v/>
      </c>
      <c r="BG148" s="56">
        <f>IF(BG$2&gt;=Projections!$D103,Projections!$B103,0)</f>
        <v/>
      </c>
      <c r="BH148" s="56">
        <f>IF(BH$2&gt;=Projections!$D103,Projections!$B103,0)</f>
        <v/>
      </c>
      <c r="BI148" s="56">
        <f>IF(BI$2&gt;=Projections!$D103,Projections!$B103,0)</f>
        <v/>
      </c>
      <c r="BJ148" s="56">
        <f>IF(BJ$2&gt;=Projections!$D103,Projections!$B103,0)</f>
        <v/>
      </c>
      <c r="BK148" s="56">
        <f>IF(BK$2&gt;=Projections!$D103,Projections!$B103,0)</f>
        <v/>
      </c>
      <c r="BL148" s="56">
        <f>IF(BL$2&gt;=Projections!$D103,Projections!$B103,0)</f>
        <v/>
      </c>
      <c r="BM148" s="56">
        <f>IF(BM$2&gt;=Projections!$D103,Projections!$B103,0)</f>
        <v/>
      </c>
      <c r="BN148" s="56">
        <f>IF(BN$2&gt;=Projections!$D103,Projections!$B103,0)</f>
        <v/>
      </c>
      <c r="BO148" s="56">
        <f>IF(BO$2&gt;=Projections!$D103,Projections!$B103,0)</f>
        <v/>
      </c>
      <c r="BP148" s="56">
        <f>IF(BP$2&gt;=Projections!$D103,Projections!$B103,0)</f>
        <v/>
      </c>
      <c r="BQ148" s="56">
        <f>IF(BQ$2&gt;=Projections!$D103,Projections!$B103,0)</f>
        <v/>
      </c>
      <c r="BR148" s="56">
        <f>IF(BR$2&gt;=Projections!$D103,Projections!$B103,0)</f>
        <v/>
      </c>
      <c r="BS148" s="56">
        <f>IF(BS$2&gt;=Projections!$D103,Projections!$B103,0)</f>
        <v/>
      </c>
      <c r="BT148" s="56">
        <f>IF(BT$2&gt;=Projections!$D103,Projections!$B103,0)</f>
        <v/>
      </c>
      <c r="BU148" s="56">
        <f>IF(BU$2&gt;=Projections!$D103,Projections!$B103,0)</f>
        <v/>
      </c>
      <c r="BV148" s="56">
        <f>IF(BV$2&gt;=Projections!$D103,Projections!$B103,0)</f>
        <v/>
      </c>
      <c r="BW148" s="56">
        <f>IF(BW$2&gt;=Projections!$D103,Projections!$B103,0)</f>
        <v/>
      </c>
      <c r="BX148" s="56">
        <f>IF(BX$2&gt;=Projections!$D103,Projections!$B103,0)</f>
        <v/>
      </c>
      <c r="BY148" s="56">
        <f>IF(BY$2&gt;=Projections!$D103,Projections!$B103,0)</f>
        <v/>
      </c>
      <c r="BZ148" s="56">
        <f>IF(BZ$2&gt;=Projections!$D103,Projections!$B103,0)</f>
        <v/>
      </c>
      <c r="CA148" s="56">
        <f>IF(CA$2&gt;=Projections!$D103,Projections!$B103,0)</f>
        <v/>
      </c>
      <c r="CB148" s="56">
        <f>IF(CB$2&gt;=Projections!$D103,Projections!$B103,0)</f>
        <v/>
      </c>
      <c r="CC148" s="56">
        <f>IF(CC$2&gt;=Projections!$D103,Projections!$B103,0)</f>
        <v/>
      </c>
      <c r="CD148" s="56">
        <f>IF(CD$2&gt;=Projections!$D103,Projections!$B103,0)</f>
        <v/>
      </c>
      <c r="CE148" s="56">
        <f>IF(CE$2&gt;=Projections!$D103,Projections!$B103,0)</f>
        <v/>
      </c>
      <c r="CF148" s="56">
        <f>IF(CF$2&gt;=Projections!$D103,Projections!$B103,0)</f>
        <v/>
      </c>
      <c r="CG148" s="56">
        <f>IF(CG$2&gt;=Projections!$D103,Projections!$B103,0)</f>
        <v/>
      </c>
      <c r="CH148" s="56">
        <f>IF(CH$2&gt;=Projections!$D103,Projections!$B103,0)</f>
        <v/>
      </c>
      <c r="CI148" s="56">
        <f>IF(CI$2&gt;=Projections!$D103,Projections!$B103,0)</f>
        <v/>
      </c>
      <c r="CJ148" s="56">
        <f>IF(CJ$2&gt;=Projections!$D103,Projections!$B103,0)</f>
        <v/>
      </c>
      <c r="CK148" s="56">
        <f>IF(CK$2&gt;=Projections!$D103,Projections!$B103,0)</f>
        <v/>
      </c>
      <c r="CL148" s="56">
        <f>IF(CL$2&gt;=Projections!$D103,Projections!$B103,0)</f>
        <v/>
      </c>
      <c r="CM148" s="56">
        <f>IF(CM$2&gt;=Projections!$D103,Projections!$B103,0)</f>
        <v/>
      </c>
      <c r="CN148" s="56">
        <f>IF(CN$2&gt;=Projections!$D103,Projections!$B103,0)</f>
        <v/>
      </c>
      <c r="CO148" s="56">
        <f>IF(CO$2&gt;=Projections!$D103,Projections!$B103,0)</f>
        <v/>
      </c>
      <c r="CP148" s="56">
        <f>IF(CP$2&gt;=Projections!$D103,Projections!$B103,0)</f>
        <v/>
      </c>
      <c r="CQ148" s="56">
        <f>IF(CQ$2&gt;=Projections!$D103,Projections!$B103,0)</f>
        <v/>
      </c>
      <c r="CR148" s="56">
        <f>IF(CR$2&gt;=Projections!$D103,Projections!$B103,0)</f>
        <v/>
      </c>
      <c r="CS148" s="56">
        <f>IF(CS$2&gt;=Projections!$D103,Projections!$B103,0)</f>
        <v/>
      </c>
      <c r="CT148" s="56">
        <f>IF(CT$2&gt;=Projections!$D103,Projections!$B103,0)</f>
        <v/>
      </c>
      <c r="CU148" s="56">
        <f>IF(CU$2&gt;=Projections!$D103,Projections!$B103,0)</f>
        <v/>
      </c>
      <c r="CV148" s="56">
        <f>IF(CV$2&gt;=Projections!$D103,Projections!$B103,0)</f>
        <v/>
      </c>
      <c r="CW148" s="56">
        <f>IF(CW$2&gt;=Projections!$D103,Projections!$B103,0)</f>
        <v/>
      </c>
      <c r="CX148" s="56">
        <f>IF(CX$2&gt;=Projections!$D103,Projections!$B103,0)</f>
        <v/>
      </c>
    </row>
    <row r="149" outlineLevel="1" ht="15.75" customHeight="1" s="255">
      <c r="A149" s="56">
        <f>Projections!A104</f>
        <v/>
      </c>
      <c r="B149" s="56" t="n"/>
      <c r="C149" s="56" t="n"/>
      <c r="D149" s="56" t="n"/>
      <c r="E149" s="56">
        <f>IF(E$2&gt;=Projections!$D104,Projections!$B104,0)</f>
        <v/>
      </c>
      <c r="F149" s="56">
        <f>IF(F$2&gt;=Projections!$D104,Projections!$B104,0)</f>
        <v/>
      </c>
      <c r="G149" s="56">
        <f>IF(G$2&gt;=Projections!$D104,Projections!$B104,0)</f>
        <v/>
      </c>
      <c r="H149" s="56">
        <f>IF(H$2&gt;=Projections!$D104,Projections!$B104,0)</f>
        <v/>
      </c>
      <c r="I149" s="56">
        <f>IF(I$2&gt;=Projections!$D104,Projections!$B104,0)</f>
        <v/>
      </c>
      <c r="J149" s="56">
        <f>IF(J$2&gt;=Projections!$D104,Projections!$B104,0)</f>
        <v/>
      </c>
      <c r="K149" s="56">
        <f>IF(K$2&gt;=Projections!$D104,Projections!$B104,0)</f>
        <v/>
      </c>
      <c r="L149" s="56">
        <f>IF(L$2&gt;=Projections!$D104,Projections!$B104,0)</f>
        <v/>
      </c>
      <c r="M149" s="56">
        <f>IF(M$2&gt;=Projections!$D104,Projections!$B104,0)</f>
        <v/>
      </c>
      <c r="N149" s="56">
        <f>IF(N$2&gt;=Projections!$D104,Projections!$B104,0)</f>
        <v/>
      </c>
      <c r="O149" s="56">
        <f>IF(O$2&gt;=Projections!$D104,Projections!$B104,0)</f>
        <v/>
      </c>
      <c r="P149" s="56">
        <f>IF(P$2&gt;=Projections!$D104,Projections!$B104,0)</f>
        <v/>
      </c>
      <c r="Q149" s="56">
        <f>IF(Q$2&gt;=Projections!$D104,Projections!$B104,0)</f>
        <v/>
      </c>
      <c r="R149" s="56">
        <f>IF(R$2&gt;=Projections!$D104,Projections!$B104,0)</f>
        <v/>
      </c>
      <c r="S149" s="56">
        <f>IF(S$2&gt;=Projections!$D104,Projections!$B104,0)</f>
        <v/>
      </c>
      <c r="T149" s="56">
        <f>IF(T$2&gt;=Projections!$D104,Projections!$B104,0)</f>
        <v/>
      </c>
      <c r="U149" s="56">
        <f>IF(U$2&gt;=Projections!$D104,Projections!$B104,0)</f>
        <v/>
      </c>
      <c r="V149" s="56">
        <f>IF(V$2&gt;=Projections!$D104,Projections!$B104,0)</f>
        <v/>
      </c>
      <c r="W149" s="56">
        <f>IF(W$2&gt;=Projections!$D104,Projections!$B104,0)</f>
        <v/>
      </c>
      <c r="X149" s="56">
        <f>IF(X$2&gt;=Projections!$D104,Projections!$B104,0)</f>
        <v/>
      </c>
      <c r="Y149" s="56">
        <f>IF(Y$2&gt;=Projections!$D104,Projections!$B104,0)</f>
        <v/>
      </c>
      <c r="Z149" s="56">
        <f>IF(Z$2&gt;=Projections!$D104,Projections!$B104,0)</f>
        <v/>
      </c>
      <c r="AA149" s="56">
        <f>IF(AA$2&gt;=Projections!$D104,Projections!$B104,0)</f>
        <v/>
      </c>
      <c r="AB149" s="56">
        <f>IF(AB$2&gt;=Projections!$D104,Projections!$B104,0)</f>
        <v/>
      </c>
      <c r="AC149" s="56">
        <f>IF(AC$2&gt;=Projections!$D104,Projections!$B104,0)</f>
        <v/>
      </c>
      <c r="AD149" s="56">
        <f>IF(AD$2&gt;=Projections!$D104,Projections!$B104,0)</f>
        <v/>
      </c>
      <c r="AE149" s="56">
        <f>IF(AE$2&gt;=Projections!$D104,Projections!$B104,0)</f>
        <v/>
      </c>
      <c r="AF149" s="56">
        <f>IF(AF$2&gt;=Projections!$D104,Projections!$B104,0)</f>
        <v/>
      </c>
      <c r="AG149" s="56">
        <f>IF(AG$2&gt;=Projections!$D104,Projections!$B104,0)</f>
        <v/>
      </c>
      <c r="AH149" s="56">
        <f>IF(AH$2&gt;=Projections!$D104,Projections!$B104,0)</f>
        <v/>
      </c>
      <c r="AI149" s="56">
        <f>IF(AI$2&gt;=Projections!$D104,Projections!$B104,0)</f>
        <v/>
      </c>
      <c r="AJ149" s="56">
        <f>IF(AJ$2&gt;=Projections!$D104,Projections!$B104,0)</f>
        <v/>
      </c>
      <c r="AK149" s="56">
        <f>IF(AK$2&gt;=Projections!$D104,Projections!$B104,0)</f>
        <v/>
      </c>
      <c r="AL149" s="56">
        <f>IF(AL$2&gt;=Projections!$D104,Projections!$B104,0)</f>
        <v/>
      </c>
      <c r="AM149" s="56">
        <f>IF(AM$2&gt;=Projections!$D104,Projections!$B104,0)</f>
        <v/>
      </c>
      <c r="AN149" s="56">
        <f>IF(AN$2&gt;=Projections!$D104,Projections!$B104,0)</f>
        <v/>
      </c>
      <c r="AO149" s="56">
        <f>IF(AO$2&gt;=Projections!$D104,Projections!$B104,0)</f>
        <v/>
      </c>
      <c r="AP149" s="56">
        <f>IF(AP$2&gt;=Projections!$D104,Projections!$B104,0)</f>
        <v/>
      </c>
      <c r="AQ149" s="56">
        <f>IF(AQ$2&gt;=Projections!$D104,Projections!$B104,0)</f>
        <v/>
      </c>
      <c r="AR149" s="56">
        <f>IF(AR$2&gt;=Projections!$D104,Projections!$B104,0)</f>
        <v/>
      </c>
      <c r="AS149" s="56">
        <f>IF(AS$2&gt;=Projections!$D104,Projections!$B104,0)</f>
        <v/>
      </c>
      <c r="AT149" s="56">
        <f>IF(AT$2&gt;=Projections!$D104,Projections!$B104,0)</f>
        <v/>
      </c>
      <c r="AU149" s="56">
        <f>IF(AU$2&gt;=Projections!$D104,Projections!$B104,0)</f>
        <v/>
      </c>
      <c r="AV149" s="56">
        <f>IF(AV$2&gt;=Projections!$D104,Projections!$B104,0)</f>
        <v/>
      </c>
      <c r="AW149" s="56">
        <f>IF(AW$2&gt;=Projections!$D104,Projections!$B104,0)</f>
        <v/>
      </c>
      <c r="AX149" s="56">
        <f>IF(AX$2&gt;=Projections!$D104,Projections!$B104,0)</f>
        <v/>
      </c>
      <c r="AY149" s="56">
        <f>IF(AY$2&gt;=Projections!$D104,Projections!$B104,0)</f>
        <v/>
      </c>
      <c r="AZ149" s="56">
        <f>IF(AZ$2&gt;=Projections!$D104,Projections!$B104,0)</f>
        <v/>
      </c>
      <c r="BA149" s="56">
        <f>IF(BA$2&gt;=Projections!$D104,Projections!$B104,0)</f>
        <v/>
      </c>
      <c r="BB149" s="56">
        <f>IF(BB$2&gt;=Projections!$D104,Projections!$B104,0)</f>
        <v/>
      </c>
      <c r="BC149" s="56">
        <f>IF(BC$2&gt;=Projections!$D104,Projections!$B104,0)</f>
        <v/>
      </c>
      <c r="BD149" s="56">
        <f>IF(BD$2&gt;=Projections!$D104,Projections!$B104,0)</f>
        <v/>
      </c>
      <c r="BE149" s="56">
        <f>IF(BE$2&gt;=Projections!$D104,Projections!$B104,0)</f>
        <v/>
      </c>
      <c r="BF149" s="56">
        <f>IF(BF$2&gt;=Projections!$D104,Projections!$B104,0)</f>
        <v/>
      </c>
      <c r="BG149" s="56">
        <f>IF(BG$2&gt;=Projections!$D104,Projections!$B104,0)</f>
        <v/>
      </c>
      <c r="BH149" s="56">
        <f>IF(BH$2&gt;=Projections!$D104,Projections!$B104,0)</f>
        <v/>
      </c>
      <c r="BI149" s="56">
        <f>IF(BI$2&gt;=Projections!$D104,Projections!$B104,0)</f>
        <v/>
      </c>
      <c r="BJ149" s="56">
        <f>IF(BJ$2&gt;=Projections!$D104,Projections!$B104,0)</f>
        <v/>
      </c>
      <c r="BK149" s="56">
        <f>IF(BK$2&gt;=Projections!$D104,Projections!$B104,0)</f>
        <v/>
      </c>
      <c r="BL149" s="56">
        <f>IF(BL$2&gt;=Projections!$D104,Projections!$B104,0)</f>
        <v/>
      </c>
      <c r="BM149" s="56">
        <f>IF(BM$2&gt;=Projections!$D104,Projections!$B104,0)</f>
        <v/>
      </c>
      <c r="BN149" s="56">
        <f>IF(BN$2&gt;=Projections!$D104,Projections!$B104,0)</f>
        <v/>
      </c>
      <c r="BO149" s="56">
        <f>IF(BO$2&gt;=Projections!$D104,Projections!$B104,0)</f>
        <v/>
      </c>
      <c r="BP149" s="56">
        <f>IF(BP$2&gt;=Projections!$D104,Projections!$B104,0)</f>
        <v/>
      </c>
      <c r="BQ149" s="56">
        <f>IF(BQ$2&gt;=Projections!$D104,Projections!$B104,0)</f>
        <v/>
      </c>
      <c r="BR149" s="56">
        <f>IF(BR$2&gt;=Projections!$D104,Projections!$B104,0)</f>
        <v/>
      </c>
      <c r="BS149" s="56">
        <f>IF(BS$2&gt;=Projections!$D104,Projections!$B104,0)</f>
        <v/>
      </c>
      <c r="BT149" s="56">
        <f>IF(BT$2&gt;=Projections!$D104,Projections!$B104,0)</f>
        <v/>
      </c>
      <c r="BU149" s="56">
        <f>IF(BU$2&gt;=Projections!$D104,Projections!$B104,0)</f>
        <v/>
      </c>
      <c r="BV149" s="56">
        <f>IF(BV$2&gt;=Projections!$D104,Projections!$B104,0)</f>
        <v/>
      </c>
      <c r="BW149" s="56">
        <f>IF(BW$2&gt;=Projections!$D104,Projections!$B104,0)</f>
        <v/>
      </c>
      <c r="BX149" s="56">
        <f>IF(BX$2&gt;=Projections!$D104,Projections!$B104,0)</f>
        <v/>
      </c>
      <c r="BY149" s="56">
        <f>IF(BY$2&gt;=Projections!$D104,Projections!$B104,0)</f>
        <v/>
      </c>
      <c r="BZ149" s="56">
        <f>IF(BZ$2&gt;=Projections!$D104,Projections!$B104,0)</f>
        <v/>
      </c>
      <c r="CA149" s="56">
        <f>IF(CA$2&gt;=Projections!$D104,Projections!$B104,0)</f>
        <v/>
      </c>
      <c r="CB149" s="56">
        <f>IF(CB$2&gt;=Projections!$D104,Projections!$B104,0)</f>
        <v/>
      </c>
      <c r="CC149" s="56">
        <f>IF(CC$2&gt;=Projections!$D104,Projections!$B104,0)</f>
        <v/>
      </c>
      <c r="CD149" s="56">
        <f>IF(CD$2&gt;=Projections!$D104,Projections!$B104,0)</f>
        <v/>
      </c>
      <c r="CE149" s="56">
        <f>IF(CE$2&gt;=Projections!$D104,Projections!$B104,0)</f>
        <v/>
      </c>
      <c r="CF149" s="56">
        <f>IF(CF$2&gt;=Projections!$D104,Projections!$B104,0)</f>
        <v/>
      </c>
      <c r="CG149" s="56">
        <f>IF(CG$2&gt;=Projections!$D104,Projections!$B104,0)</f>
        <v/>
      </c>
      <c r="CH149" s="56">
        <f>IF(CH$2&gt;=Projections!$D104,Projections!$B104,0)</f>
        <v/>
      </c>
      <c r="CI149" s="56">
        <f>IF(CI$2&gt;=Projections!$D104,Projections!$B104,0)</f>
        <v/>
      </c>
      <c r="CJ149" s="56">
        <f>IF(CJ$2&gt;=Projections!$D104,Projections!$B104,0)</f>
        <v/>
      </c>
      <c r="CK149" s="56">
        <f>IF(CK$2&gt;=Projections!$D104,Projections!$B104,0)</f>
        <v/>
      </c>
      <c r="CL149" s="56">
        <f>IF(CL$2&gt;=Projections!$D104,Projections!$B104,0)</f>
        <v/>
      </c>
      <c r="CM149" s="56">
        <f>IF(CM$2&gt;=Projections!$D104,Projections!$B104,0)</f>
        <v/>
      </c>
      <c r="CN149" s="56">
        <f>IF(CN$2&gt;=Projections!$D104,Projections!$B104,0)</f>
        <v/>
      </c>
      <c r="CO149" s="56">
        <f>IF(CO$2&gt;=Projections!$D104,Projections!$B104,0)</f>
        <v/>
      </c>
      <c r="CP149" s="56">
        <f>IF(CP$2&gt;=Projections!$D104,Projections!$B104,0)</f>
        <v/>
      </c>
      <c r="CQ149" s="56">
        <f>IF(CQ$2&gt;=Projections!$D104,Projections!$B104,0)</f>
        <v/>
      </c>
      <c r="CR149" s="56">
        <f>IF(CR$2&gt;=Projections!$D104,Projections!$B104,0)</f>
        <v/>
      </c>
      <c r="CS149" s="56">
        <f>IF(CS$2&gt;=Projections!$D104,Projections!$B104,0)</f>
        <v/>
      </c>
      <c r="CT149" s="56">
        <f>IF(CT$2&gt;=Projections!$D104,Projections!$B104,0)</f>
        <v/>
      </c>
      <c r="CU149" s="56">
        <f>IF(CU$2&gt;=Projections!$D104,Projections!$B104,0)</f>
        <v/>
      </c>
      <c r="CV149" s="56">
        <f>IF(CV$2&gt;=Projections!$D104,Projections!$B104,0)</f>
        <v/>
      </c>
      <c r="CW149" s="56">
        <f>IF(CW$2&gt;=Projections!$D104,Projections!$B104,0)</f>
        <v/>
      </c>
      <c r="CX149" s="56">
        <f>IF(CX$2&gt;=Projections!$D104,Projections!$B104,0)</f>
        <v/>
      </c>
    </row>
    <row r="150" ht="15.75" customHeight="1" s="25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  <c r="CW150" s="56" t="n"/>
      <c r="CX150" s="56" t="n"/>
    </row>
    <row r="151" ht="15.75" customHeight="1" s="255">
      <c r="A151" s="146">
        <f>Projections!A107</f>
        <v/>
      </c>
      <c r="B151" s="60" t="inlineStr">
        <is>
          <t>Operations</t>
        </is>
      </c>
      <c r="C151" s="149" t="n"/>
      <c r="D151" s="149" t="n"/>
      <c r="E151" s="147">
        <f>SUM(E152:E156)</f>
        <v/>
      </c>
      <c r="F151" s="147">
        <f>SUM(F152:F156)</f>
        <v/>
      </c>
      <c r="G151" s="147">
        <f>SUM(G152:G156)</f>
        <v/>
      </c>
      <c r="H151" s="147">
        <f>SUM(H152:H156)</f>
        <v/>
      </c>
      <c r="I151" s="147">
        <f>SUM(I152:I156)</f>
        <v/>
      </c>
      <c r="J151" s="147">
        <f>SUM(J152:J156)</f>
        <v/>
      </c>
      <c r="K151" s="147">
        <f>SUM(K152:K156)</f>
        <v/>
      </c>
      <c r="L151" s="147">
        <f>SUM(L152:L156)</f>
        <v/>
      </c>
      <c r="M151" s="147">
        <f>SUM(M152:M156)</f>
        <v/>
      </c>
      <c r="N151" s="147">
        <f>SUM(N152:N156)</f>
        <v/>
      </c>
      <c r="O151" s="147">
        <f>SUM(O152:O156)</f>
        <v/>
      </c>
      <c r="P151" s="147">
        <f>SUM(P152:P156)</f>
        <v/>
      </c>
      <c r="Q151" s="147">
        <f>SUM(Q152:Q156)</f>
        <v/>
      </c>
      <c r="R151" s="147">
        <f>SUM(R152:R156)</f>
        <v/>
      </c>
      <c r="S151" s="147">
        <f>SUM(S152:S156)</f>
        <v/>
      </c>
      <c r="T151" s="147">
        <f>SUM(T152:T156)</f>
        <v/>
      </c>
      <c r="U151" s="147">
        <f>SUM(U152:U156)</f>
        <v/>
      </c>
      <c r="V151" s="147">
        <f>SUM(V152:V156)</f>
        <v/>
      </c>
      <c r="W151" s="147">
        <f>SUM(W152:W156)</f>
        <v/>
      </c>
      <c r="X151" s="147">
        <f>SUM(X152:X156)</f>
        <v/>
      </c>
      <c r="Y151" s="147">
        <f>SUM(Y152:Y156)</f>
        <v/>
      </c>
      <c r="Z151" s="147">
        <f>SUM(Z152:Z156)</f>
        <v/>
      </c>
      <c r="AA151" s="147">
        <f>SUM(AA152:AA156)</f>
        <v/>
      </c>
      <c r="AB151" s="147">
        <f>SUM(AB152:AB156)</f>
        <v/>
      </c>
      <c r="AC151" s="147">
        <f>SUM(AC152:AC156)</f>
        <v/>
      </c>
      <c r="AD151" s="147">
        <f>SUM(AD152:AD156)</f>
        <v/>
      </c>
      <c r="AE151" s="147">
        <f>SUM(AE152:AE156)</f>
        <v/>
      </c>
      <c r="AF151" s="147">
        <f>SUM(AF152:AF156)</f>
        <v/>
      </c>
      <c r="AG151" s="147">
        <f>SUM(AG152:AG156)</f>
        <v/>
      </c>
      <c r="AH151" s="147">
        <f>SUM(AH152:AH156)</f>
        <v/>
      </c>
      <c r="AI151" s="147">
        <f>SUM(AI152:AI156)</f>
        <v/>
      </c>
      <c r="AJ151" s="147">
        <f>SUM(AJ152:AJ156)</f>
        <v/>
      </c>
      <c r="AK151" s="147">
        <f>SUM(AK152:AK156)</f>
        <v/>
      </c>
      <c r="AL151" s="147">
        <f>SUM(AL152:AL156)</f>
        <v/>
      </c>
      <c r="AM151" s="147">
        <f>SUM(AM152:AM156)</f>
        <v/>
      </c>
      <c r="AN151" s="147">
        <f>SUM(AN152:AN156)</f>
        <v/>
      </c>
      <c r="AO151" s="147">
        <f>SUM(AO152:AO156)</f>
        <v/>
      </c>
      <c r="AP151" s="147">
        <f>SUM(AP152:AP156)</f>
        <v/>
      </c>
      <c r="AQ151" s="147">
        <f>SUM(AQ152:AQ156)</f>
        <v/>
      </c>
      <c r="AR151" s="147">
        <f>SUM(AR152:AR156)</f>
        <v/>
      </c>
      <c r="AS151" s="147">
        <f>SUM(AS152:AS156)</f>
        <v/>
      </c>
      <c r="AT151" s="147">
        <f>SUM(AT152:AT156)</f>
        <v/>
      </c>
      <c r="AU151" s="147">
        <f>SUM(AU152:AU156)</f>
        <v/>
      </c>
      <c r="AV151" s="147">
        <f>SUM(AV152:AV156)</f>
        <v/>
      </c>
      <c r="AW151" s="147">
        <f>SUM(AW152:AW156)</f>
        <v/>
      </c>
      <c r="AX151" s="147">
        <f>SUM(AX152:AX156)</f>
        <v/>
      </c>
      <c r="AY151" s="147">
        <f>SUM(AY152:AY156)</f>
        <v/>
      </c>
      <c r="AZ151" s="147">
        <f>SUM(AZ152:AZ156)</f>
        <v/>
      </c>
      <c r="BA151" s="147">
        <f>SUM(BA152:BA156)</f>
        <v/>
      </c>
      <c r="BB151" s="147">
        <f>SUM(BB152:BB156)</f>
        <v/>
      </c>
      <c r="BC151" s="147">
        <f>SUM(BC152:BC156)</f>
        <v/>
      </c>
      <c r="BD151" s="147">
        <f>SUM(BD152:BD156)</f>
        <v/>
      </c>
      <c r="BE151" s="147">
        <f>SUM(BE152:BE156)</f>
        <v/>
      </c>
      <c r="BF151" s="147">
        <f>SUM(BF152:BF156)</f>
        <v/>
      </c>
      <c r="BG151" s="147">
        <f>SUM(BG152:BG156)</f>
        <v/>
      </c>
      <c r="BH151" s="147">
        <f>SUM(BH152:BH156)</f>
        <v/>
      </c>
      <c r="BI151" s="147">
        <f>SUM(BI152:BI156)</f>
        <v/>
      </c>
      <c r="BJ151" s="147">
        <f>SUM(BJ152:BJ156)</f>
        <v/>
      </c>
      <c r="BK151" s="147">
        <f>SUM(BK152:BK156)</f>
        <v/>
      </c>
      <c r="BL151" s="147">
        <f>SUM(BL152:BL156)</f>
        <v/>
      </c>
      <c r="BM151" s="147">
        <f>SUM(BM152:BM156)</f>
        <v/>
      </c>
      <c r="BN151" s="147">
        <f>SUM(BN152:BN156)</f>
        <v/>
      </c>
      <c r="BO151" s="147">
        <f>SUM(BO152:BO156)</f>
        <v/>
      </c>
      <c r="BP151" s="147">
        <f>SUM(BP152:BP156)</f>
        <v/>
      </c>
      <c r="BQ151" s="147">
        <f>SUM(BQ152:BQ156)</f>
        <v/>
      </c>
      <c r="BR151" s="147">
        <f>SUM(BR152:BR156)</f>
        <v/>
      </c>
      <c r="BS151" s="147">
        <f>SUM(BS152:BS156)</f>
        <v/>
      </c>
      <c r="BT151" s="147">
        <f>SUM(BT152:BT156)</f>
        <v/>
      </c>
      <c r="BU151" s="147">
        <f>SUM(BU152:BU156)</f>
        <v/>
      </c>
      <c r="BV151" s="147">
        <f>SUM(BV152:BV156)</f>
        <v/>
      </c>
      <c r="BW151" s="147">
        <f>SUM(BW152:BW156)</f>
        <v/>
      </c>
      <c r="BX151" s="147">
        <f>SUM(BX152:BX156)</f>
        <v/>
      </c>
      <c r="BY151" s="147">
        <f>SUM(BY152:BY156)</f>
        <v/>
      </c>
      <c r="BZ151" s="147">
        <f>SUM(BZ152:BZ156)</f>
        <v/>
      </c>
      <c r="CA151" s="147">
        <f>SUM(CA152:CA156)</f>
        <v/>
      </c>
      <c r="CB151" s="147">
        <f>SUM(CB152:CB156)</f>
        <v/>
      </c>
      <c r="CC151" s="147">
        <f>SUM(CC152:CC156)</f>
        <v/>
      </c>
      <c r="CD151" s="147">
        <f>SUM(CD152:CD156)</f>
        <v/>
      </c>
      <c r="CE151" s="147">
        <f>SUM(CE152:CE156)</f>
        <v/>
      </c>
      <c r="CF151" s="147">
        <f>SUM(CF152:CF156)</f>
        <v/>
      </c>
      <c r="CG151" s="147">
        <f>SUM(CG152:CG156)</f>
        <v/>
      </c>
      <c r="CH151" s="147">
        <f>SUM(CH152:CH156)</f>
        <v/>
      </c>
      <c r="CI151" s="147">
        <f>SUM(CI152:CI156)</f>
        <v/>
      </c>
      <c r="CJ151" s="147">
        <f>SUM(CJ152:CJ156)</f>
        <v/>
      </c>
      <c r="CK151" s="147">
        <f>SUM(CK152:CK156)</f>
        <v/>
      </c>
      <c r="CL151" s="147">
        <f>SUM(CL152:CL156)</f>
        <v/>
      </c>
      <c r="CM151" s="147">
        <f>SUM(CM152:CM156)</f>
        <v/>
      </c>
      <c r="CN151" s="147">
        <f>SUM(CN152:CN156)</f>
        <v/>
      </c>
      <c r="CO151" s="147">
        <f>SUM(CO152:CO156)</f>
        <v/>
      </c>
      <c r="CP151" s="147">
        <f>SUM(CP152:CP156)</f>
        <v/>
      </c>
      <c r="CQ151" s="147">
        <f>SUM(CQ152:CQ156)</f>
        <v/>
      </c>
      <c r="CR151" s="147">
        <f>SUM(CR152:CR156)</f>
        <v/>
      </c>
      <c r="CS151" s="147">
        <f>SUM(CS152:CS156)</f>
        <v/>
      </c>
      <c r="CT151" s="147">
        <f>SUM(CT152:CT156)</f>
        <v/>
      </c>
      <c r="CU151" s="147">
        <f>SUM(CU152:CU156)</f>
        <v/>
      </c>
      <c r="CV151" s="147">
        <f>SUM(CV152:CV156)</f>
        <v/>
      </c>
      <c r="CW151" s="147">
        <f>SUM(CW152:CW156)</f>
        <v/>
      </c>
      <c r="CX151" s="147">
        <f>SUM(CX152:CX156)</f>
        <v/>
      </c>
    </row>
    <row r="152" outlineLevel="1" ht="15.75" customHeight="1" s="255">
      <c r="A152" s="56">
        <f>Projections!A108</f>
        <v/>
      </c>
      <c r="B152" s="56" t="n"/>
      <c r="C152" s="56" t="n"/>
      <c r="D152" s="56" t="n"/>
      <c r="E152" s="56">
        <f>IF(E$2&gt;=Projections!$D108,Projections!$B108,0)</f>
        <v/>
      </c>
      <c r="F152" s="56">
        <f>IF(F$2&gt;=Projections!$D108,Projections!$B108,0)</f>
        <v/>
      </c>
      <c r="G152" s="56">
        <f>IF(G$2&gt;=Projections!$D108,Projections!$B108,0)</f>
        <v/>
      </c>
      <c r="H152" s="56">
        <f>IF(H$2&gt;=Projections!$D108,Projections!$B108,0)</f>
        <v/>
      </c>
      <c r="I152" s="56">
        <f>IF(I$2&gt;=Projections!$D108,Projections!$B108,0)</f>
        <v/>
      </c>
      <c r="J152" s="56">
        <f>IF(J$2&gt;=Projections!$D108,Projections!$B108,0)</f>
        <v/>
      </c>
      <c r="K152" s="56">
        <f>IF(K$2&gt;=Projections!$D108,Projections!$B108,0)</f>
        <v/>
      </c>
      <c r="L152" s="56">
        <f>IF(L$2&gt;=Projections!$D108,Projections!$B108,0)</f>
        <v/>
      </c>
      <c r="M152" s="56">
        <f>IF(M$2&gt;=Projections!$D108,Projections!$B108,0)</f>
        <v/>
      </c>
      <c r="N152" s="56">
        <f>IF(N$2&gt;=Projections!$D108,Projections!$B108,0)</f>
        <v/>
      </c>
      <c r="O152" s="56">
        <f>IF(O$2&gt;=Projections!$D108,Projections!$B108,0)</f>
        <v/>
      </c>
      <c r="P152" s="56">
        <f>IF(P$2&gt;=Projections!$D108,Projections!$B108,0)</f>
        <v/>
      </c>
      <c r="Q152" s="56">
        <f>IF(Q$2&gt;=Projections!$D108,Projections!$B108,0)</f>
        <v/>
      </c>
      <c r="R152" s="56">
        <f>IF(R$2&gt;=Projections!$D108,Projections!$B108,0)</f>
        <v/>
      </c>
      <c r="S152" s="56">
        <f>IF(S$2&gt;=Projections!$D108,Projections!$B108,0)</f>
        <v/>
      </c>
      <c r="T152" s="56">
        <f>IF(T$2&gt;=Projections!$D108,Projections!$B108,0)</f>
        <v/>
      </c>
      <c r="U152" s="56">
        <f>IF(U$2&gt;=Projections!$D108,Projections!$B108,0)</f>
        <v/>
      </c>
      <c r="V152" s="56">
        <f>IF(V$2&gt;=Projections!$D108,Projections!$B108,0)</f>
        <v/>
      </c>
      <c r="W152" s="56">
        <f>IF(W$2&gt;=Projections!$D108,Projections!$B108,0)</f>
        <v/>
      </c>
      <c r="X152" s="56">
        <f>IF(X$2&gt;=Projections!$D108,Projections!$B108,0)</f>
        <v/>
      </c>
      <c r="Y152" s="56">
        <f>IF(Y$2&gt;=Projections!$D108,Projections!$B108,0)</f>
        <v/>
      </c>
      <c r="Z152" s="56">
        <f>IF(Z$2&gt;=Projections!$D108,Projections!$B108,0)</f>
        <v/>
      </c>
      <c r="AA152" s="56">
        <f>IF(AA$2&gt;=Projections!$D108,Projections!$B108,0)</f>
        <v/>
      </c>
      <c r="AB152" s="56">
        <f>IF(AB$2&gt;=Projections!$D108,Projections!$B108,0)</f>
        <v/>
      </c>
      <c r="AC152" s="56">
        <f>IF(AC$2&gt;=Projections!$D108,Projections!$B108,0)</f>
        <v/>
      </c>
      <c r="AD152" s="56">
        <f>IF(AD$2&gt;=Projections!$D108,Projections!$B108,0)</f>
        <v/>
      </c>
      <c r="AE152" s="56">
        <f>IF(AE$2&gt;=Projections!$D108,Projections!$B108,0)</f>
        <v/>
      </c>
      <c r="AF152" s="56">
        <f>IF(AF$2&gt;=Projections!$D108,Projections!$B108,0)</f>
        <v/>
      </c>
      <c r="AG152" s="56">
        <f>IF(AG$2&gt;=Projections!$D108,Projections!$B108,0)</f>
        <v/>
      </c>
      <c r="AH152" s="56">
        <f>IF(AH$2&gt;=Projections!$D108,Projections!$B108,0)</f>
        <v/>
      </c>
      <c r="AI152" s="56">
        <f>IF(AI$2&gt;=Projections!$D108,Projections!$B108,0)</f>
        <v/>
      </c>
      <c r="AJ152" s="56">
        <f>IF(AJ$2&gt;=Projections!$D108,Projections!$B108,0)</f>
        <v/>
      </c>
      <c r="AK152" s="56">
        <f>IF(AK$2&gt;=Projections!$D108,Projections!$B108,0)</f>
        <v/>
      </c>
      <c r="AL152" s="56">
        <f>IF(AL$2&gt;=Projections!$D108,Projections!$B108,0)</f>
        <v/>
      </c>
      <c r="AM152" s="56">
        <f>IF(AM$2&gt;=Projections!$D108,Projections!$B108,0)</f>
        <v/>
      </c>
      <c r="AN152" s="56">
        <f>IF(AN$2&gt;=Projections!$D108,Projections!$B108,0)</f>
        <v/>
      </c>
      <c r="AO152" s="56">
        <f>IF(AO$2&gt;=Projections!$D108,Projections!$B108,0)</f>
        <v/>
      </c>
      <c r="AP152" s="56">
        <f>IF(AP$2&gt;=Projections!$D108,Projections!$B108,0)</f>
        <v/>
      </c>
      <c r="AQ152" s="56">
        <f>IF(AQ$2&gt;=Projections!$D108,Projections!$B108,0)</f>
        <v/>
      </c>
      <c r="AR152" s="56">
        <f>IF(AR$2&gt;=Projections!$D108,Projections!$B108,0)</f>
        <v/>
      </c>
      <c r="AS152" s="56">
        <f>IF(AS$2&gt;=Projections!$D108,Projections!$B108,0)</f>
        <v/>
      </c>
      <c r="AT152" s="56">
        <f>IF(AT$2&gt;=Projections!$D108,Projections!$B108,0)</f>
        <v/>
      </c>
      <c r="AU152" s="56">
        <f>IF(AU$2&gt;=Projections!$D108,Projections!$B108,0)</f>
        <v/>
      </c>
      <c r="AV152" s="56">
        <f>IF(AV$2&gt;=Projections!$D108,Projections!$B108,0)</f>
        <v/>
      </c>
      <c r="AW152" s="56">
        <f>IF(AW$2&gt;=Projections!$D108,Projections!$B108,0)</f>
        <v/>
      </c>
      <c r="AX152" s="56">
        <f>IF(AX$2&gt;=Projections!$D108,Projections!$B108,0)</f>
        <v/>
      </c>
      <c r="AY152" s="56">
        <f>IF(AY$2&gt;=Projections!$D108,Projections!$B108,0)</f>
        <v/>
      </c>
      <c r="AZ152" s="56">
        <f>IF(AZ$2&gt;=Projections!$D108,Projections!$B108,0)</f>
        <v/>
      </c>
      <c r="BA152" s="56">
        <f>IF(BA$2&gt;=Projections!$D108,Projections!$B108,0)</f>
        <v/>
      </c>
      <c r="BB152" s="56">
        <f>IF(BB$2&gt;=Projections!$D108,Projections!$B108,0)</f>
        <v/>
      </c>
      <c r="BC152" s="56">
        <f>IF(BC$2&gt;=Projections!$D108,Projections!$B108,0)</f>
        <v/>
      </c>
      <c r="BD152" s="56">
        <f>IF(BD$2&gt;=Projections!$D108,Projections!$B108,0)</f>
        <v/>
      </c>
      <c r="BE152" s="56">
        <f>IF(BE$2&gt;=Projections!$D108,Projections!$B108,0)</f>
        <v/>
      </c>
      <c r="BF152" s="56">
        <f>IF(BF$2&gt;=Projections!$D108,Projections!$B108,0)</f>
        <v/>
      </c>
      <c r="BG152" s="56">
        <f>IF(BG$2&gt;=Projections!$D108,Projections!$B108,0)</f>
        <v/>
      </c>
      <c r="BH152" s="56">
        <f>IF(BH$2&gt;=Projections!$D108,Projections!$B108,0)</f>
        <v/>
      </c>
      <c r="BI152" s="56">
        <f>IF(BI$2&gt;=Projections!$D108,Projections!$B108,0)</f>
        <v/>
      </c>
      <c r="BJ152" s="56">
        <f>IF(BJ$2&gt;=Projections!$D108,Projections!$B108,0)</f>
        <v/>
      </c>
      <c r="BK152" s="56">
        <f>IF(BK$2&gt;=Projections!$D108,Projections!$B108,0)</f>
        <v/>
      </c>
      <c r="BL152" s="56">
        <f>IF(BL$2&gt;=Projections!$D108,Projections!$B108,0)</f>
        <v/>
      </c>
      <c r="BM152" s="56">
        <f>IF(BM$2&gt;=Projections!$D108,Projections!$B108,0)</f>
        <v/>
      </c>
      <c r="BN152" s="56">
        <f>IF(BN$2&gt;=Projections!$D108,Projections!$B108,0)</f>
        <v/>
      </c>
      <c r="BO152" s="56">
        <f>IF(BO$2&gt;=Projections!$D108,Projections!$B108,0)</f>
        <v/>
      </c>
      <c r="BP152" s="56">
        <f>IF(BP$2&gt;=Projections!$D108,Projections!$B108,0)</f>
        <v/>
      </c>
      <c r="BQ152" s="56">
        <f>IF(BQ$2&gt;=Projections!$D108,Projections!$B108,0)</f>
        <v/>
      </c>
      <c r="BR152" s="56">
        <f>IF(BR$2&gt;=Projections!$D108,Projections!$B108,0)</f>
        <v/>
      </c>
      <c r="BS152" s="56">
        <f>IF(BS$2&gt;=Projections!$D108,Projections!$B108,0)</f>
        <v/>
      </c>
      <c r="BT152" s="56">
        <f>IF(BT$2&gt;=Projections!$D108,Projections!$B108,0)</f>
        <v/>
      </c>
      <c r="BU152" s="56">
        <f>IF(BU$2&gt;=Projections!$D108,Projections!$B108,0)</f>
        <v/>
      </c>
      <c r="BV152" s="56">
        <f>IF(BV$2&gt;=Projections!$D108,Projections!$B108,0)</f>
        <v/>
      </c>
      <c r="BW152" s="56">
        <f>IF(BW$2&gt;=Projections!$D108,Projections!$B108,0)</f>
        <v/>
      </c>
      <c r="BX152" s="56">
        <f>IF(BX$2&gt;=Projections!$D108,Projections!$B108,0)</f>
        <v/>
      </c>
      <c r="BY152" s="56">
        <f>IF(BY$2&gt;=Projections!$D108,Projections!$B108,0)</f>
        <v/>
      </c>
      <c r="BZ152" s="56">
        <f>IF(BZ$2&gt;=Projections!$D108,Projections!$B108,0)</f>
        <v/>
      </c>
      <c r="CA152" s="56">
        <f>IF(CA$2&gt;=Projections!$D108,Projections!$B108,0)</f>
        <v/>
      </c>
      <c r="CB152" s="56">
        <f>IF(CB$2&gt;=Projections!$D108,Projections!$B108,0)</f>
        <v/>
      </c>
      <c r="CC152" s="56">
        <f>IF(CC$2&gt;=Projections!$D108,Projections!$B108,0)</f>
        <v/>
      </c>
      <c r="CD152" s="56">
        <f>IF(CD$2&gt;=Projections!$D108,Projections!$B108,0)</f>
        <v/>
      </c>
      <c r="CE152" s="56">
        <f>IF(CE$2&gt;=Projections!$D108,Projections!$B108,0)</f>
        <v/>
      </c>
      <c r="CF152" s="56">
        <f>IF(CF$2&gt;=Projections!$D108,Projections!$B108,0)</f>
        <v/>
      </c>
      <c r="CG152" s="56">
        <f>IF(CG$2&gt;=Projections!$D108,Projections!$B108,0)</f>
        <v/>
      </c>
      <c r="CH152" s="56">
        <f>IF(CH$2&gt;=Projections!$D108,Projections!$B108,0)</f>
        <v/>
      </c>
      <c r="CI152" s="56">
        <f>IF(CI$2&gt;=Projections!$D108,Projections!$B108,0)</f>
        <v/>
      </c>
      <c r="CJ152" s="56">
        <f>IF(CJ$2&gt;=Projections!$D108,Projections!$B108,0)</f>
        <v/>
      </c>
      <c r="CK152" s="56">
        <f>IF(CK$2&gt;=Projections!$D108,Projections!$B108,0)</f>
        <v/>
      </c>
      <c r="CL152" s="56">
        <f>IF(CL$2&gt;=Projections!$D108,Projections!$B108,0)</f>
        <v/>
      </c>
      <c r="CM152" s="56">
        <f>IF(CM$2&gt;=Projections!$D108,Projections!$B108,0)</f>
        <v/>
      </c>
      <c r="CN152" s="56">
        <f>IF(CN$2&gt;=Projections!$D108,Projections!$B108,0)</f>
        <v/>
      </c>
      <c r="CO152" s="56">
        <f>IF(CO$2&gt;=Projections!$D108,Projections!$B108,0)</f>
        <v/>
      </c>
      <c r="CP152" s="56">
        <f>IF(CP$2&gt;=Projections!$D108,Projections!$B108,0)</f>
        <v/>
      </c>
      <c r="CQ152" s="56">
        <f>IF(CQ$2&gt;=Projections!$D108,Projections!$B108,0)</f>
        <v/>
      </c>
      <c r="CR152" s="56">
        <f>IF(CR$2&gt;=Projections!$D108,Projections!$B108,0)</f>
        <v/>
      </c>
      <c r="CS152" s="56">
        <f>IF(CS$2&gt;=Projections!$D108,Projections!$B108,0)</f>
        <v/>
      </c>
      <c r="CT152" s="56">
        <f>IF(CT$2&gt;=Projections!$D108,Projections!$B108,0)</f>
        <v/>
      </c>
      <c r="CU152" s="56">
        <f>IF(CU$2&gt;=Projections!$D108,Projections!$B108,0)</f>
        <v/>
      </c>
      <c r="CV152" s="56">
        <f>IF(CV$2&gt;=Projections!$D108,Projections!$B108,0)</f>
        <v/>
      </c>
      <c r="CW152" s="56">
        <f>IF(CW$2&gt;=Projections!$D108,Projections!$B108,0)</f>
        <v/>
      </c>
      <c r="CX152" s="56">
        <f>IF(CX$2&gt;=Projections!$D108,Projections!$B108,0)</f>
        <v/>
      </c>
    </row>
    <row r="153" outlineLevel="1" ht="15.75" customHeight="1" s="255">
      <c r="A153" s="56">
        <f>Projections!A109</f>
        <v/>
      </c>
      <c r="B153" s="56" t="n"/>
      <c r="C153" s="56" t="n"/>
      <c r="D153" s="56" t="n"/>
      <c r="E153" s="56">
        <f>IF(E$2&gt;=Projections!$D109,Projections!$B109,0)</f>
        <v/>
      </c>
      <c r="F153" s="56">
        <f>IF(F$2&gt;=Projections!$D109,Projections!$B109,0)</f>
        <v/>
      </c>
      <c r="G153" s="56">
        <f>IF(G$2&gt;=Projections!$D109,Projections!$B109,0)</f>
        <v/>
      </c>
      <c r="H153" s="56">
        <f>IF(H$2&gt;=Projections!$D109,Projections!$B109,0)</f>
        <v/>
      </c>
      <c r="I153" s="56">
        <f>IF(I$2&gt;=Projections!$D109,Projections!$B109,0)</f>
        <v/>
      </c>
      <c r="J153" s="56">
        <f>IF(J$2&gt;=Projections!$D109,Projections!$B109,0)</f>
        <v/>
      </c>
      <c r="K153" s="56">
        <f>IF(K$2&gt;=Projections!$D109,Projections!$B109,0)</f>
        <v/>
      </c>
      <c r="L153" s="56">
        <f>IF(L$2&gt;=Projections!$D109,Projections!$B109,0)</f>
        <v/>
      </c>
      <c r="M153" s="56">
        <f>IF(M$2&gt;=Projections!$D109,Projections!$B109,0)</f>
        <v/>
      </c>
      <c r="N153" s="56">
        <f>IF(N$2&gt;=Projections!$D109,Projections!$B109,0)</f>
        <v/>
      </c>
      <c r="O153" s="56">
        <f>IF(O$2&gt;=Projections!$D109,Projections!$B109,0)</f>
        <v/>
      </c>
      <c r="P153" s="56">
        <f>IF(P$2&gt;=Projections!$D109,Projections!$B109,0)</f>
        <v/>
      </c>
      <c r="Q153" s="56">
        <f>IF(Q$2&gt;=Projections!$D109,Projections!$B109,0)</f>
        <v/>
      </c>
      <c r="R153" s="56">
        <f>IF(R$2&gt;=Projections!$D109,Projections!$B109,0)</f>
        <v/>
      </c>
      <c r="S153" s="56">
        <f>IF(S$2&gt;=Projections!$D109,Projections!$B109,0)</f>
        <v/>
      </c>
      <c r="T153" s="56">
        <f>IF(T$2&gt;=Projections!$D109,Projections!$B109,0)</f>
        <v/>
      </c>
      <c r="U153" s="56">
        <f>IF(U$2&gt;=Projections!$D109,Projections!$B109,0)</f>
        <v/>
      </c>
      <c r="V153" s="56">
        <f>IF(V$2&gt;=Projections!$D109,Projections!$B109,0)</f>
        <v/>
      </c>
      <c r="W153" s="56">
        <f>IF(W$2&gt;=Projections!$D109,Projections!$B109,0)</f>
        <v/>
      </c>
      <c r="X153" s="56">
        <f>IF(X$2&gt;=Projections!$D109,Projections!$B109,0)</f>
        <v/>
      </c>
      <c r="Y153" s="56">
        <f>IF(Y$2&gt;=Projections!$D109,Projections!$B109,0)</f>
        <v/>
      </c>
      <c r="Z153" s="56">
        <f>IF(Z$2&gt;=Projections!$D109,Projections!$B109,0)</f>
        <v/>
      </c>
      <c r="AA153" s="56">
        <f>IF(AA$2&gt;=Projections!$D109,Projections!$B109,0)</f>
        <v/>
      </c>
      <c r="AB153" s="56">
        <f>IF(AB$2&gt;=Projections!$D109,Projections!$B109,0)</f>
        <v/>
      </c>
      <c r="AC153" s="56">
        <f>IF(AC$2&gt;=Projections!$D109,Projections!$B109,0)</f>
        <v/>
      </c>
      <c r="AD153" s="56">
        <f>IF(AD$2&gt;=Projections!$D109,Projections!$B109,0)</f>
        <v/>
      </c>
      <c r="AE153" s="56">
        <f>IF(AE$2&gt;=Projections!$D109,Projections!$B109,0)</f>
        <v/>
      </c>
      <c r="AF153" s="56">
        <f>IF(AF$2&gt;=Projections!$D109,Projections!$B109,0)</f>
        <v/>
      </c>
      <c r="AG153" s="56">
        <f>IF(AG$2&gt;=Projections!$D109,Projections!$B109,0)</f>
        <v/>
      </c>
      <c r="AH153" s="56">
        <f>IF(AH$2&gt;=Projections!$D109,Projections!$B109,0)</f>
        <v/>
      </c>
      <c r="AI153" s="56">
        <f>IF(AI$2&gt;=Projections!$D109,Projections!$B109,0)</f>
        <v/>
      </c>
      <c r="AJ153" s="56">
        <f>IF(AJ$2&gt;=Projections!$D109,Projections!$B109,0)</f>
        <v/>
      </c>
      <c r="AK153" s="56">
        <f>IF(AK$2&gt;=Projections!$D109,Projections!$B109,0)</f>
        <v/>
      </c>
      <c r="AL153" s="56">
        <f>IF(AL$2&gt;=Projections!$D109,Projections!$B109,0)</f>
        <v/>
      </c>
      <c r="AM153" s="56">
        <f>IF(AM$2&gt;=Projections!$D109,Projections!$B109,0)</f>
        <v/>
      </c>
      <c r="AN153" s="56">
        <f>IF(AN$2&gt;=Projections!$D109,Projections!$B109,0)</f>
        <v/>
      </c>
      <c r="AO153" s="56">
        <f>IF(AO$2&gt;=Projections!$D109,Projections!$B109,0)</f>
        <v/>
      </c>
      <c r="AP153" s="56">
        <f>IF(AP$2&gt;=Projections!$D109,Projections!$B109,0)</f>
        <v/>
      </c>
      <c r="AQ153" s="56">
        <f>IF(AQ$2&gt;=Projections!$D109,Projections!$B109,0)</f>
        <v/>
      </c>
      <c r="AR153" s="56">
        <f>IF(AR$2&gt;=Projections!$D109,Projections!$B109,0)</f>
        <v/>
      </c>
      <c r="AS153" s="56">
        <f>IF(AS$2&gt;=Projections!$D109,Projections!$B109,0)</f>
        <v/>
      </c>
      <c r="AT153" s="56">
        <f>IF(AT$2&gt;=Projections!$D109,Projections!$B109,0)</f>
        <v/>
      </c>
      <c r="AU153" s="56">
        <f>IF(AU$2&gt;=Projections!$D109,Projections!$B109,0)</f>
        <v/>
      </c>
      <c r="AV153" s="56">
        <f>IF(AV$2&gt;=Projections!$D109,Projections!$B109,0)</f>
        <v/>
      </c>
      <c r="AW153" s="56">
        <f>IF(AW$2&gt;=Projections!$D109,Projections!$B109,0)</f>
        <v/>
      </c>
      <c r="AX153" s="56">
        <f>IF(AX$2&gt;=Projections!$D109,Projections!$B109,0)</f>
        <v/>
      </c>
      <c r="AY153" s="56">
        <f>IF(AY$2&gt;=Projections!$D109,Projections!$B109,0)</f>
        <v/>
      </c>
      <c r="AZ153" s="56">
        <f>IF(AZ$2&gt;=Projections!$D109,Projections!$B109,0)</f>
        <v/>
      </c>
      <c r="BA153" s="56">
        <f>IF(BA$2&gt;=Projections!$D109,Projections!$B109,0)</f>
        <v/>
      </c>
      <c r="BB153" s="56">
        <f>IF(BB$2&gt;=Projections!$D109,Projections!$B109,0)</f>
        <v/>
      </c>
      <c r="BC153" s="56">
        <f>IF(BC$2&gt;=Projections!$D109,Projections!$B109,0)</f>
        <v/>
      </c>
      <c r="BD153" s="56">
        <f>IF(BD$2&gt;=Projections!$D109,Projections!$B109,0)</f>
        <v/>
      </c>
      <c r="BE153" s="56">
        <f>IF(BE$2&gt;=Projections!$D109,Projections!$B109,0)</f>
        <v/>
      </c>
      <c r="BF153" s="56">
        <f>IF(BF$2&gt;=Projections!$D109,Projections!$B109,0)</f>
        <v/>
      </c>
      <c r="BG153" s="56">
        <f>IF(BG$2&gt;=Projections!$D109,Projections!$B109,0)</f>
        <v/>
      </c>
      <c r="BH153" s="56">
        <f>IF(BH$2&gt;=Projections!$D109,Projections!$B109,0)</f>
        <v/>
      </c>
      <c r="BI153" s="56">
        <f>IF(BI$2&gt;=Projections!$D109,Projections!$B109,0)</f>
        <v/>
      </c>
      <c r="BJ153" s="56">
        <f>IF(BJ$2&gt;=Projections!$D109,Projections!$B109,0)</f>
        <v/>
      </c>
      <c r="BK153" s="56">
        <f>IF(BK$2&gt;=Projections!$D109,Projections!$B109,0)</f>
        <v/>
      </c>
      <c r="BL153" s="56">
        <f>IF(BL$2&gt;=Projections!$D109,Projections!$B109,0)</f>
        <v/>
      </c>
      <c r="BM153" s="56">
        <f>IF(BM$2&gt;=Projections!$D109,Projections!$B109,0)</f>
        <v/>
      </c>
      <c r="BN153" s="56">
        <f>IF(BN$2&gt;=Projections!$D109,Projections!$B109,0)</f>
        <v/>
      </c>
      <c r="BO153" s="56">
        <f>IF(BO$2&gt;=Projections!$D109,Projections!$B109,0)</f>
        <v/>
      </c>
      <c r="BP153" s="56">
        <f>IF(BP$2&gt;=Projections!$D109,Projections!$B109,0)</f>
        <v/>
      </c>
      <c r="BQ153" s="56">
        <f>IF(BQ$2&gt;=Projections!$D109,Projections!$B109,0)</f>
        <v/>
      </c>
      <c r="BR153" s="56">
        <f>IF(BR$2&gt;=Projections!$D109,Projections!$B109,0)</f>
        <v/>
      </c>
      <c r="BS153" s="56">
        <f>IF(BS$2&gt;=Projections!$D109,Projections!$B109,0)</f>
        <v/>
      </c>
      <c r="BT153" s="56">
        <f>IF(BT$2&gt;=Projections!$D109,Projections!$B109,0)</f>
        <v/>
      </c>
      <c r="BU153" s="56">
        <f>IF(BU$2&gt;=Projections!$D109,Projections!$B109,0)</f>
        <v/>
      </c>
      <c r="BV153" s="56">
        <f>IF(BV$2&gt;=Projections!$D109,Projections!$B109,0)</f>
        <v/>
      </c>
      <c r="BW153" s="56">
        <f>IF(BW$2&gt;=Projections!$D109,Projections!$B109,0)</f>
        <v/>
      </c>
      <c r="BX153" s="56">
        <f>IF(BX$2&gt;=Projections!$D109,Projections!$B109,0)</f>
        <v/>
      </c>
      <c r="BY153" s="56">
        <f>IF(BY$2&gt;=Projections!$D109,Projections!$B109,0)</f>
        <v/>
      </c>
      <c r="BZ153" s="56">
        <f>IF(BZ$2&gt;=Projections!$D109,Projections!$B109,0)</f>
        <v/>
      </c>
      <c r="CA153" s="56">
        <f>IF(CA$2&gt;=Projections!$D109,Projections!$B109,0)</f>
        <v/>
      </c>
      <c r="CB153" s="56">
        <f>IF(CB$2&gt;=Projections!$D109,Projections!$B109,0)</f>
        <v/>
      </c>
      <c r="CC153" s="56">
        <f>IF(CC$2&gt;=Projections!$D109,Projections!$B109,0)</f>
        <v/>
      </c>
      <c r="CD153" s="56">
        <f>IF(CD$2&gt;=Projections!$D109,Projections!$B109,0)</f>
        <v/>
      </c>
      <c r="CE153" s="56">
        <f>IF(CE$2&gt;=Projections!$D109,Projections!$B109,0)</f>
        <v/>
      </c>
      <c r="CF153" s="56">
        <f>IF(CF$2&gt;=Projections!$D109,Projections!$B109,0)</f>
        <v/>
      </c>
      <c r="CG153" s="56">
        <f>IF(CG$2&gt;=Projections!$D109,Projections!$B109,0)</f>
        <v/>
      </c>
      <c r="CH153" s="56">
        <f>IF(CH$2&gt;=Projections!$D109,Projections!$B109,0)</f>
        <v/>
      </c>
      <c r="CI153" s="56">
        <f>IF(CI$2&gt;=Projections!$D109,Projections!$B109,0)</f>
        <v/>
      </c>
      <c r="CJ153" s="56">
        <f>IF(CJ$2&gt;=Projections!$D109,Projections!$B109,0)</f>
        <v/>
      </c>
      <c r="CK153" s="56">
        <f>IF(CK$2&gt;=Projections!$D109,Projections!$B109,0)</f>
        <v/>
      </c>
      <c r="CL153" s="56">
        <f>IF(CL$2&gt;=Projections!$D109,Projections!$B109,0)</f>
        <v/>
      </c>
      <c r="CM153" s="56">
        <f>IF(CM$2&gt;=Projections!$D109,Projections!$B109,0)</f>
        <v/>
      </c>
      <c r="CN153" s="56">
        <f>IF(CN$2&gt;=Projections!$D109,Projections!$B109,0)</f>
        <v/>
      </c>
      <c r="CO153" s="56">
        <f>IF(CO$2&gt;=Projections!$D109,Projections!$B109,0)</f>
        <v/>
      </c>
      <c r="CP153" s="56">
        <f>IF(CP$2&gt;=Projections!$D109,Projections!$B109,0)</f>
        <v/>
      </c>
      <c r="CQ153" s="56">
        <f>IF(CQ$2&gt;=Projections!$D109,Projections!$B109,0)</f>
        <v/>
      </c>
      <c r="CR153" s="56">
        <f>IF(CR$2&gt;=Projections!$D109,Projections!$B109,0)</f>
        <v/>
      </c>
      <c r="CS153" s="56">
        <f>IF(CS$2&gt;=Projections!$D109,Projections!$B109,0)</f>
        <v/>
      </c>
      <c r="CT153" s="56">
        <f>IF(CT$2&gt;=Projections!$D109,Projections!$B109,0)</f>
        <v/>
      </c>
      <c r="CU153" s="56">
        <f>IF(CU$2&gt;=Projections!$D109,Projections!$B109,0)</f>
        <v/>
      </c>
      <c r="CV153" s="56">
        <f>IF(CV$2&gt;=Projections!$D109,Projections!$B109,0)</f>
        <v/>
      </c>
      <c r="CW153" s="56">
        <f>IF(CW$2&gt;=Projections!$D109,Projections!$B109,0)</f>
        <v/>
      </c>
      <c r="CX153" s="56">
        <f>IF(CX$2&gt;=Projections!$D109,Projections!$B109,0)</f>
        <v/>
      </c>
    </row>
    <row r="154" outlineLevel="1" ht="15.75" customHeight="1" s="255">
      <c r="A154" s="56">
        <f>Projections!A110</f>
        <v/>
      </c>
      <c r="B154" s="56" t="n"/>
      <c r="C154" s="56" t="n"/>
      <c r="D154" s="56" t="n"/>
      <c r="E154" s="56">
        <f>IF(E$2&gt;=Projections!$D110,Projections!$B110,0)</f>
        <v/>
      </c>
      <c r="F154" s="56">
        <f>IF(F$2&gt;=Projections!$D110,Projections!$B110,0)</f>
        <v/>
      </c>
      <c r="G154" s="56">
        <f>IF(G$2&gt;=Projections!$D110,Projections!$B110,0)</f>
        <v/>
      </c>
      <c r="H154" s="56">
        <f>IF(H$2&gt;=Projections!$D110,Projections!$B110,0)</f>
        <v/>
      </c>
      <c r="I154" s="56">
        <f>IF(I$2&gt;=Projections!$D110,Projections!$B110,0)</f>
        <v/>
      </c>
      <c r="J154" s="56">
        <f>IF(J$2&gt;=Projections!$D110,Projections!$B110,0)</f>
        <v/>
      </c>
      <c r="K154" s="56">
        <f>IF(K$2&gt;=Projections!$D110,Projections!$B110,0)</f>
        <v/>
      </c>
      <c r="L154" s="56">
        <f>IF(L$2&gt;=Projections!$D110,Projections!$B110,0)</f>
        <v/>
      </c>
      <c r="M154" s="56">
        <f>IF(M$2&gt;=Projections!$D110,Projections!$B110,0)</f>
        <v/>
      </c>
      <c r="N154" s="56">
        <f>IF(N$2&gt;=Projections!$D110,Projections!$B110,0)</f>
        <v/>
      </c>
      <c r="O154" s="56">
        <f>IF(O$2&gt;=Projections!$D110,Projections!$B110,0)</f>
        <v/>
      </c>
      <c r="P154" s="56">
        <f>IF(P$2&gt;=Projections!$D110,Projections!$B110,0)</f>
        <v/>
      </c>
      <c r="Q154" s="56">
        <f>IF(Q$2&gt;=Projections!$D110,Projections!$B110,0)</f>
        <v/>
      </c>
      <c r="R154" s="56">
        <f>IF(R$2&gt;=Projections!$D110,Projections!$B110,0)</f>
        <v/>
      </c>
      <c r="S154" s="56">
        <f>IF(S$2&gt;=Projections!$D110,Projections!$B110,0)</f>
        <v/>
      </c>
      <c r="T154" s="56">
        <f>IF(T$2&gt;=Projections!$D110,Projections!$B110,0)</f>
        <v/>
      </c>
      <c r="U154" s="56">
        <f>IF(U$2&gt;=Projections!$D110,Projections!$B110,0)</f>
        <v/>
      </c>
      <c r="V154" s="56">
        <f>IF(V$2&gt;=Projections!$D110,Projections!$B110,0)</f>
        <v/>
      </c>
      <c r="W154" s="56">
        <f>IF(W$2&gt;=Projections!$D110,Projections!$B110,0)</f>
        <v/>
      </c>
      <c r="X154" s="56">
        <f>IF(X$2&gt;=Projections!$D110,Projections!$B110,0)</f>
        <v/>
      </c>
      <c r="Y154" s="56">
        <f>IF(Y$2&gt;=Projections!$D110,Projections!$B110,0)</f>
        <v/>
      </c>
      <c r="Z154" s="56">
        <f>IF(Z$2&gt;=Projections!$D110,Projections!$B110,0)</f>
        <v/>
      </c>
      <c r="AA154" s="56">
        <f>IF(AA$2&gt;=Projections!$D110,Projections!$B110,0)</f>
        <v/>
      </c>
      <c r="AB154" s="56">
        <f>IF(AB$2&gt;=Projections!$D110,Projections!$B110,0)</f>
        <v/>
      </c>
      <c r="AC154" s="56">
        <f>IF(AC$2&gt;=Projections!$D110,Projections!$B110,0)</f>
        <v/>
      </c>
      <c r="AD154" s="56">
        <f>IF(AD$2&gt;=Projections!$D110,Projections!$B110,0)</f>
        <v/>
      </c>
      <c r="AE154" s="56">
        <f>IF(AE$2&gt;=Projections!$D110,Projections!$B110,0)</f>
        <v/>
      </c>
      <c r="AF154" s="56">
        <f>IF(AF$2&gt;=Projections!$D110,Projections!$B110,0)</f>
        <v/>
      </c>
      <c r="AG154" s="56">
        <f>IF(AG$2&gt;=Projections!$D110,Projections!$B110,0)</f>
        <v/>
      </c>
      <c r="AH154" s="56">
        <f>IF(AH$2&gt;=Projections!$D110,Projections!$B110,0)</f>
        <v/>
      </c>
      <c r="AI154" s="56">
        <f>IF(AI$2&gt;=Projections!$D110,Projections!$B110,0)</f>
        <v/>
      </c>
      <c r="AJ154" s="56">
        <f>IF(AJ$2&gt;=Projections!$D110,Projections!$B110,0)</f>
        <v/>
      </c>
      <c r="AK154" s="56">
        <f>IF(AK$2&gt;=Projections!$D110,Projections!$B110,0)</f>
        <v/>
      </c>
      <c r="AL154" s="56">
        <f>IF(AL$2&gt;=Projections!$D110,Projections!$B110,0)</f>
        <v/>
      </c>
      <c r="AM154" s="56">
        <f>IF(AM$2&gt;=Projections!$D110,Projections!$B110,0)</f>
        <v/>
      </c>
      <c r="AN154" s="56">
        <f>IF(AN$2&gt;=Projections!$D110,Projections!$B110,0)</f>
        <v/>
      </c>
      <c r="AO154" s="56">
        <f>IF(AO$2&gt;=Projections!$D110,Projections!$B110,0)</f>
        <v/>
      </c>
      <c r="AP154" s="56">
        <f>IF(AP$2&gt;=Projections!$D110,Projections!$B110,0)</f>
        <v/>
      </c>
      <c r="AQ154" s="56">
        <f>IF(AQ$2&gt;=Projections!$D110,Projections!$B110,0)</f>
        <v/>
      </c>
      <c r="AR154" s="56">
        <f>IF(AR$2&gt;=Projections!$D110,Projections!$B110,0)</f>
        <v/>
      </c>
      <c r="AS154" s="56">
        <f>IF(AS$2&gt;=Projections!$D110,Projections!$B110,0)</f>
        <v/>
      </c>
      <c r="AT154" s="56">
        <f>IF(AT$2&gt;=Projections!$D110,Projections!$B110,0)</f>
        <v/>
      </c>
      <c r="AU154" s="56">
        <f>IF(AU$2&gt;=Projections!$D110,Projections!$B110,0)</f>
        <v/>
      </c>
      <c r="AV154" s="56">
        <f>IF(AV$2&gt;=Projections!$D110,Projections!$B110,0)</f>
        <v/>
      </c>
      <c r="AW154" s="56">
        <f>IF(AW$2&gt;=Projections!$D110,Projections!$B110,0)</f>
        <v/>
      </c>
      <c r="AX154" s="56">
        <f>IF(AX$2&gt;=Projections!$D110,Projections!$B110,0)</f>
        <v/>
      </c>
      <c r="AY154" s="56">
        <f>IF(AY$2&gt;=Projections!$D110,Projections!$B110,0)</f>
        <v/>
      </c>
      <c r="AZ154" s="56">
        <f>IF(AZ$2&gt;=Projections!$D110,Projections!$B110,0)</f>
        <v/>
      </c>
      <c r="BA154" s="56">
        <f>IF(BA$2&gt;=Projections!$D110,Projections!$B110,0)</f>
        <v/>
      </c>
      <c r="BB154" s="56">
        <f>IF(BB$2&gt;=Projections!$D110,Projections!$B110,0)</f>
        <v/>
      </c>
      <c r="BC154" s="56">
        <f>IF(BC$2&gt;=Projections!$D110,Projections!$B110,0)</f>
        <v/>
      </c>
      <c r="BD154" s="56">
        <f>IF(BD$2&gt;=Projections!$D110,Projections!$B110,0)</f>
        <v/>
      </c>
      <c r="BE154" s="56">
        <f>IF(BE$2&gt;=Projections!$D110,Projections!$B110,0)</f>
        <v/>
      </c>
      <c r="BF154" s="56">
        <f>IF(BF$2&gt;=Projections!$D110,Projections!$B110,0)</f>
        <v/>
      </c>
      <c r="BG154" s="56">
        <f>IF(BG$2&gt;=Projections!$D110,Projections!$B110,0)</f>
        <v/>
      </c>
      <c r="BH154" s="56">
        <f>IF(BH$2&gt;=Projections!$D110,Projections!$B110,0)</f>
        <v/>
      </c>
      <c r="BI154" s="56">
        <f>IF(BI$2&gt;=Projections!$D110,Projections!$B110,0)</f>
        <v/>
      </c>
      <c r="BJ154" s="56">
        <f>IF(BJ$2&gt;=Projections!$D110,Projections!$B110,0)</f>
        <v/>
      </c>
      <c r="BK154" s="56">
        <f>IF(BK$2&gt;=Projections!$D110,Projections!$B110,0)</f>
        <v/>
      </c>
      <c r="BL154" s="56">
        <f>IF(BL$2&gt;=Projections!$D110,Projections!$B110,0)</f>
        <v/>
      </c>
      <c r="BM154" s="56">
        <f>IF(BM$2&gt;=Projections!$D110,Projections!$B110,0)</f>
        <v/>
      </c>
      <c r="BN154" s="56">
        <f>IF(BN$2&gt;=Projections!$D110,Projections!$B110,0)</f>
        <v/>
      </c>
      <c r="BO154" s="56">
        <f>IF(BO$2&gt;=Projections!$D110,Projections!$B110,0)</f>
        <v/>
      </c>
      <c r="BP154" s="56">
        <f>IF(BP$2&gt;=Projections!$D110,Projections!$B110,0)</f>
        <v/>
      </c>
      <c r="BQ154" s="56">
        <f>IF(BQ$2&gt;=Projections!$D110,Projections!$B110,0)</f>
        <v/>
      </c>
      <c r="BR154" s="56">
        <f>IF(BR$2&gt;=Projections!$D110,Projections!$B110,0)</f>
        <v/>
      </c>
      <c r="BS154" s="56">
        <f>IF(BS$2&gt;=Projections!$D110,Projections!$B110,0)</f>
        <v/>
      </c>
      <c r="BT154" s="56">
        <f>IF(BT$2&gt;=Projections!$D110,Projections!$B110,0)</f>
        <v/>
      </c>
      <c r="BU154" s="56">
        <f>IF(BU$2&gt;=Projections!$D110,Projections!$B110,0)</f>
        <v/>
      </c>
      <c r="BV154" s="56">
        <f>IF(BV$2&gt;=Projections!$D110,Projections!$B110,0)</f>
        <v/>
      </c>
      <c r="BW154" s="56">
        <f>IF(BW$2&gt;=Projections!$D110,Projections!$B110,0)</f>
        <v/>
      </c>
      <c r="BX154" s="56">
        <f>IF(BX$2&gt;=Projections!$D110,Projections!$B110,0)</f>
        <v/>
      </c>
      <c r="BY154" s="56">
        <f>IF(BY$2&gt;=Projections!$D110,Projections!$B110,0)</f>
        <v/>
      </c>
      <c r="BZ154" s="56">
        <f>IF(BZ$2&gt;=Projections!$D110,Projections!$B110,0)</f>
        <v/>
      </c>
      <c r="CA154" s="56">
        <f>IF(CA$2&gt;=Projections!$D110,Projections!$B110,0)</f>
        <v/>
      </c>
      <c r="CB154" s="56">
        <f>IF(CB$2&gt;=Projections!$D110,Projections!$B110,0)</f>
        <v/>
      </c>
      <c r="CC154" s="56">
        <f>IF(CC$2&gt;=Projections!$D110,Projections!$B110,0)</f>
        <v/>
      </c>
      <c r="CD154" s="56">
        <f>IF(CD$2&gt;=Projections!$D110,Projections!$B110,0)</f>
        <v/>
      </c>
      <c r="CE154" s="56">
        <f>IF(CE$2&gt;=Projections!$D110,Projections!$B110,0)</f>
        <v/>
      </c>
      <c r="CF154" s="56">
        <f>IF(CF$2&gt;=Projections!$D110,Projections!$B110,0)</f>
        <v/>
      </c>
      <c r="CG154" s="56">
        <f>IF(CG$2&gt;=Projections!$D110,Projections!$B110,0)</f>
        <v/>
      </c>
      <c r="CH154" s="56">
        <f>IF(CH$2&gt;=Projections!$D110,Projections!$B110,0)</f>
        <v/>
      </c>
      <c r="CI154" s="56">
        <f>IF(CI$2&gt;=Projections!$D110,Projections!$B110,0)</f>
        <v/>
      </c>
      <c r="CJ154" s="56">
        <f>IF(CJ$2&gt;=Projections!$D110,Projections!$B110,0)</f>
        <v/>
      </c>
      <c r="CK154" s="56">
        <f>IF(CK$2&gt;=Projections!$D110,Projections!$B110,0)</f>
        <v/>
      </c>
      <c r="CL154" s="56">
        <f>IF(CL$2&gt;=Projections!$D110,Projections!$B110,0)</f>
        <v/>
      </c>
      <c r="CM154" s="56">
        <f>IF(CM$2&gt;=Projections!$D110,Projections!$B110,0)</f>
        <v/>
      </c>
      <c r="CN154" s="56">
        <f>IF(CN$2&gt;=Projections!$D110,Projections!$B110,0)</f>
        <v/>
      </c>
      <c r="CO154" s="56">
        <f>IF(CO$2&gt;=Projections!$D110,Projections!$B110,0)</f>
        <v/>
      </c>
      <c r="CP154" s="56">
        <f>IF(CP$2&gt;=Projections!$D110,Projections!$B110,0)</f>
        <v/>
      </c>
      <c r="CQ154" s="56">
        <f>IF(CQ$2&gt;=Projections!$D110,Projections!$B110,0)</f>
        <v/>
      </c>
      <c r="CR154" s="56">
        <f>IF(CR$2&gt;=Projections!$D110,Projections!$B110,0)</f>
        <v/>
      </c>
      <c r="CS154" s="56">
        <f>IF(CS$2&gt;=Projections!$D110,Projections!$B110,0)</f>
        <v/>
      </c>
      <c r="CT154" s="56">
        <f>IF(CT$2&gt;=Projections!$D110,Projections!$B110,0)</f>
        <v/>
      </c>
      <c r="CU154" s="56">
        <f>IF(CU$2&gt;=Projections!$D110,Projections!$B110,0)</f>
        <v/>
      </c>
      <c r="CV154" s="56">
        <f>IF(CV$2&gt;=Projections!$D110,Projections!$B110,0)</f>
        <v/>
      </c>
      <c r="CW154" s="56">
        <f>IF(CW$2&gt;=Projections!$D110,Projections!$B110,0)</f>
        <v/>
      </c>
      <c r="CX154" s="56">
        <f>IF(CX$2&gt;=Projections!$D110,Projections!$B110,0)</f>
        <v/>
      </c>
    </row>
    <row r="155" outlineLevel="1" ht="15.75" customHeight="1" s="255">
      <c r="A155" s="56">
        <f>Projections!A111</f>
        <v/>
      </c>
      <c r="B155" s="56" t="n"/>
      <c r="C155" s="56" t="n"/>
      <c r="D155" s="56" t="n"/>
      <c r="E155" s="56">
        <f>IF(E$2&gt;=Projections!$D111,Projections!$B111,0)</f>
        <v/>
      </c>
      <c r="F155" s="56">
        <f>IF(F$2&gt;=Projections!$D111,Projections!$B111,0)</f>
        <v/>
      </c>
      <c r="G155" s="56">
        <f>IF(G$2&gt;=Projections!$D111,Projections!$B111,0)</f>
        <v/>
      </c>
      <c r="H155" s="56">
        <f>IF(H$2&gt;=Projections!$D111,Projections!$B111,0)</f>
        <v/>
      </c>
      <c r="I155" s="56">
        <f>IF(I$2&gt;=Projections!$D111,Projections!$B111,0)</f>
        <v/>
      </c>
      <c r="J155" s="56">
        <f>IF(J$2&gt;=Projections!$D111,Projections!$B111,0)</f>
        <v/>
      </c>
      <c r="K155" s="56">
        <f>IF(K$2&gt;=Projections!$D111,Projections!$B111,0)</f>
        <v/>
      </c>
      <c r="L155" s="56">
        <f>IF(L$2&gt;=Projections!$D111,Projections!$B111,0)</f>
        <v/>
      </c>
      <c r="M155" s="56">
        <f>IF(M$2&gt;=Projections!$D111,Projections!$B111,0)</f>
        <v/>
      </c>
      <c r="N155" s="56">
        <f>IF(N$2&gt;=Projections!$D111,Projections!$B111,0)</f>
        <v/>
      </c>
      <c r="O155" s="56">
        <f>IF(O$2&gt;=Projections!$D111,Projections!$B111,0)</f>
        <v/>
      </c>
      <c r="P155" s="56">
        <f>IF(P$2&gt;=Projections!$D111,Projections!$B111,0)</f>
        <v/>
      </c>
      <c r="Q155" s="56">
        <f>IF(Q$2&gt;=Projections!$D111,Projections!$B111,0)</f>
        <v/>
      </c>
      <c r="R155" s="56">
        <f>IF(R$2&gt;=Projections!$D111,Projections!$B111,0)</f>
        <v/>
      </c>
      <c r="S155" s="56">
        <f>IF(S$2&gt;=Projections!$D111,Projections!$B111,0)</f>
        <v/>
      </c>
      <c r="T155" s="56">
        <f>IF(T$2&gt;=Projections!$D111,Projections!$B111,0)</f>
        <v/>
      </c>
      <c r="U155" s="56">
        <f>IF(U$2&gt;=Projections!$D111,Projections!$B111,0)</f>
        <v/>
      </c>
      <c r="V155" s="56">
        <f>IF(V$2&gt;=Projections!$D111,Projections!$B111,0)</f>
        <v/>
      </c>
      <c r="W155" s="56">
        <f>IF(W$2&gt;=Projections!$D111,Projections!$B111,0)</f>
        <v/>
      </c>
      <c r="X155" s="56">
        <f>IF(X$2&gt;=Projections!$D111,Projections!$B111,0)</f>
        <v/>
      </c>
      <c r="Y155" s="56">
        <f>IF(Y$2&gt;=Projections!$D111,Projections!$B111,0)</f>
        <v/>
      </c>
      <c r="Z155" s="56">
        <f>IF(Z$2&gt;=Projections!$D111,Projections!$B111,0)</f>
        <v/>
      </c>
      <c r="AA155" s="56">
        <f>IF(AA$2&gt;=Projections!$D111,Projections!$B111,0)</f>
        <v/>
      </c>
      <c r="AB155" s="56">
        <f>IF(AB$2&gt;=Projections!$D111,Projections!$B111,0)</f>
        <v/>
      </c>
      <c r="AC155" s="56">
        <f>IF(AC$2&gt;=Projections!$D111,Projections!$B111,0)</f>
        <v/>
      </c>
      <c r="AD155" s="56">
        <f>IF(AD$2&gt;=Projections!$D111,Projections!$B111,0)</f>
        <v/>
      </c>
      <c r="AE155" s="56">
        <f>IF(AE$2&gt;=Projections!$D111,Projections!$B111,0)</f>
        <v/>
      </c>
      <c r="AF155" s="56">
        <f>IF(AF$2&gt;=Projections!$D111,Projections!$B111,0)</f>
        <v/>
      </c>
      <c r="AG155" s="56">
        <f>IF(AG$2&gt;=Projections!$D111,Projections!$B111,0)</f>
        <v/>
      </c>
      <c r="AH155" s="56">
        <f>IF(AH$2&gt;=Projections!$D111,Projections!$B111,0)</f>
        <v/>
      </c>
      <c r="AI155" s="56">
        <f>IF(AI$2&gt;=Projections!$D111,Projections!$B111,0)</f>
        <v/>
      </c>
      <c r="AJ155" s="56">
        <f>IF(AJ$2&gt;=Projections!$D111,Projections!$B111,0)</f>
        <v/>
      </c>
      <c r="AK155" s="56">
        <f>IF(AK$2&gt;=Projections!$D111,Projections!$B111,0)</f>
        <v/>
      </c>
      <c r="AL155" s="56">
        <f>IF(AL$2&gt;=Projections!$D111,Projections!$B111,0)</f>
        <v/>
      </c>
      <c r="AM155" s="56">
        <f>IF(AM$2&gt;=Projections!$D111,Projections!$B111,0)</f>
        <v/>
      </c>
      <c r="AN155" s="56">
        <f>IF(AN$2&gt;=Projections!$D111,Projections!$B111,0)</f>
        <v/>
      </c>
      <c r="AO155" s="56">
        <f>IF(AO$2&gt;=Projections!$D111,Projections!$B111,0)</f>
        <v/>
      </c>
      <c r="AP155" s="56">
        <f>IF(AP$2&gt;=Projections!$D111,Projections!$B111,0)</f>
        <v/>
      </c>
      <c r="AQ155" s="56">
        <f>IF(AQ$2&gt;=Projections!$D111,Projections!$B111,0)</f>
        <v/>
      </c>
      <c r="AR155" s="56">
        <f>IF(AR$2&gt;=Projections!$D111,Projections!$B111,0)</f>
        <v/>
      </c>
      <c r="AS155" s="56">
        <f>IF(AS$2&gt;=Projections!$D111,Projections!$B111,0)</f>
        <v/>
      </c>
      <c r="AT155" s="56">
        <f>IF(AT$2&gt;=Projections!$D111,Projections!$B111,0)</f>
        <v/>
      </c>
      <c r="AU155" s="56">
        <f>IF(AU$2&gt;=Projections!$D111,Projections!$B111,0)</f>
        <v/>
      </c>
      <c r="AV155" s="56">
        <f>IF(AV$2&gt;=Projections!$D111,Projections!$B111,0)</f>
        <v/>
      </c>
      <c r="AW155" s="56">
        <f>IF(AW$2&gt;=Projections!$D111,Projections!$B111,0)</f>
        <v/>
      </c>
      <c r="AX155" s="56">
        <f>IF(AX$2&gt;=Projections!$D111,Projections!$B111,0)</f>
        <v/>
      </c>
      <c r="AY155" s="56">
        <f>IF(AY$2&gt;=Projections!$D111,Projections!$B111,0)</f>
        <v/>
      </c>
      <c r="AZ155" s="56">
        <f>IF(AZ$2&gt;=Projections!$D111,Projections!$B111,0)</f>
        <v/>
      </c>
      <c r="BA155" s="56">
        <f>IF(BA$2&gt;=Projections!$D111,Projections!$B111,0)</f>
        <v/>
      </c>
      <c r="BB155" s="56">
        <f>IF(BB$2&gt;=Projections!$D111,Projections!$B111,0)</f>
        <v/>
      </c>
      <c r="BC155" s="56">
        <f>IF(BC$2&gt;=Projections!$D111,Projections!$B111,0)</f>
        <v/>
      </c>
      <c r="BD155" s="56">
        <f>IF(BD$2&gt;=Projections!$D111,Projections!$B111,0)</f>
        <v/>
      </c>
      <c r="BE155" s="56">
        <f>IF(BE$2&gt;=Projections!$D111,Projections!$B111,0)</f>
        <v/>
      </c>
      <c r="BF155" s="56">
        <f>IF(BF$2&gt;=Projections!$D111,Projections!$B111,0)</f>
        <v/>
      </c>
      <c r="BG155" s="56">
        <f>IF(BG$2&gt;=Projections!$D111,Projections!$B111,0)</f>
        <v/>
      </c>
      <c r="BH155" s="56">
        <f>IF(BH$2&gt;=Projections!$D111,Projections!$B111,0)</f>
        <v/>
      </c>
      <c r="BI155" s="56">
        <f>IF(BI$2&gt;=Projections!$D111,Projections!$B111,0)</f>
        <v/>
      </c>
      <c r="BJ155" s="56">
        <f>IF(BJ$2&gt;=Projections!$D111,Projections!$B111,0)</f>
        <v/>
      </c>
      <c r="BK155" s="56">
        <f>IF(BK$2&gt;=Projections!$D111,Projections!$B111,0)</f>
        <v/>
      </c>
      <c r="BL155" s="56">
        <f>IF(BL$2&gt;=Projections!$D111,Projections!$B111,0)</f>
        <v/>
      </c>
      <c r="BM155" s="56">
        <f>IF(BM$2&gt;=Projections!$D111,Projections!$B111,0)</f>
        <v/>
      </c>
      <c r="BN155" s="56">
        <f>IF(BN$2&gt;=Projections!$D111,Projections!$B111,0)</f>
        <v/>
      </c>
      <c r="BO155" s="56">
        <f>IF(BO$2&gt;=Projections!$D111,Projections!$B111,0)</f>
        <v/>
      </c>
      <c r="BP155" s="56">
        <f>IF(BP$2&gt;=Projections!$D111,Projections!$B111,0)</f>
        <v/>
      </c>
      <c r="BQ155" s="56">
        <f>IF(BQ$2&gt;=Projections!$D111,Projections!$B111,0)</f>
        <v/>
      </c>
      <c r="BR155" s="56">
        <f>IF(BR$2&gt;=Projections!$D111,Projections!$B111,0)</f>
        <v/>
      </c>
      <c r="BS155" s="56">
        <f>IF(BS$2&gt;=Projections!$D111,Projections!$B111,0)</f>
        <v/>
      </c>
      <c r="BT155" s="56">
        <f>IF(BT$2&gt;=Projections!$D111,Projections!$B111,0)</f>
        <v/>
      </c>
      <c r="BU155" s="56">
        <f>IF(BU$2&gt;=Projections!$D111,Projections!$B111,0)</f>
        <v/>
      </c>
      <c r="BV155" s="56">
        <f>IF(BV$2&gt;=Projections!$D111,Projections!$B111,0)</f>
        <v/>
      </c>
      <c r="BW155" s="56">
        <f>IF(BW$2&gt;=Projections!$D111,Projections!$B111,0)</f>
        <v/>
      </c>
      <c r="BX155" s="56">
        <f>IF(BX$2&gt;=Projections!$D111,Projections!$B111,0)</f>
        <v/>
      </c>
      <c r="BY155" s="56">
        <f>IF(BY$2&gt;=Projections!$D111,Projections!$B111,0)</f>
        <v/>
      </c>
      <c r="BZ155" s="56">
        <f>IF(BZ$2&gt;=Projections!$D111,Projections!$B111,0)</f>
        <v/>
      </c>
      <c r="CA155" s="56">
        <f>IF(CA$2&gt;=Projections!$D111,Projections!$B111,0)</f>
        <v/>
      </c>
      <c r="CB155" s="56">
        <f>IF(CB$2&gt;=Projections!$D111,Projections!$B111,0)</f>
        <v/>
      </c>
      <c r="CC155" s="56">
        <f>IF(CC$2&gt;=Projections!$D111,Projections!$B111,0)</f>
        <v/>
      </c>
      <c r="CD155" s="56">
        <f>IF(CD$2&gt;=Projections!$D111,Projections!$B111,0)</f>
        <v/>
      </c>
      <c r="CE155" s="56">
        <f>IF(CE$2&gt;=Projections!$D111,Projections!$B111,0)</f>
        <v/>
      </c>
      <c r="CF155" s="56">
        <f>IF(CF$2&gt;=Projections!$D111,Projections!$B111,0)</f>
        <v/>
      </c>
      <c r="CG155" s="56">
        <f>IF(CG$2&gt;=Projections!$D111,Projections!$B111,0)</f>
        <v/>
      </c>
      <c r="CH155" s="56">
        <f>IF(CH$2&gt;=Projections!$D111,Projections!$B111,0)</f>
        <v/>
      </c>
      <c r="CI155" s="56">
        <f>IF(CI$2&gt;=Projections!$D111,Projections!$B111,0)</f>
        <v/>
      </c>
      <c r="CJ155" s="56">
        <f>IF(CJ$2&gt;=Projections!$D111,Projections!$B111,0)</f>
        <v/>
      </c>
      <c r="CK155" s="56">
        <f>IF(CK$2&gt;=Projections!$D111,Projections!$B111,0)</f>
        <v/>
      </c>
      <c r="CL155" s="56">
        <f>IF(CL$2&gt;=Projections!$D111,Projections!$B111,0)</f>
        <v/>
      </c>
      <c r="CM155" s="56">
        <f>IF(CM$2&gt;=Projections!$D111,Projections!$B111,0)</f>
        <v/>
      </c>
      <c r="CN155" s="56">
        <f>IF(CN$2&gt;=Projections!$D111,Projections!$B111,0)</f>
        <v/>
      </c>
      <c r="CO155" s="56">
        <f>IF(CO$2&gt;=Projections!$D111,Projections!$B111,0)</f>
        <v/>
      </c>
      <c r="CP155" s="56">
        <f>IF(CP$2&gt;=Projections!$D111,Projections!$B111,0)</f>
        <v/>
      </c>
      <c r="CQ155" s="56">
        <f>IF(CQ$2&gt;=Projections!$D111,Projections!$B111,0)</f>
        <v/>
      </c>
      <c r="CR155" s="56">
        <f>IF(CR$2&gt;=Projections!$D111,Projections!$B111,0)</f>
        <v/>
      </c>
      <c r="CS155" s="56">
        <f>IF(CS$2&gt;=Projections!$D111,Projections!$B111,0)</f>
        <v/>
      </c>
      <c r="CT155" s="56">
        <f>IF(CT$2&gt;=Projections!$D111,Projections!$B111,0)</f>
        <v/>
      </c>
      <c r="CU155" s="56">
        <f>IF(CU$2&gt;=Projections!$D111,Projections!$B111,0)</f>
        <v/>
      </c>
      <c r="CV155" s="56">
        <f>IF(CV$2&gt;=Projections!$D111,Projections!$B111,0)</f>
        <v/>
      </c>
      <c r="CW155" s="56">
        <f>IF(CW$2&gt;=Projections!$D111,Projections!$B111,0)</f>
        <v/>
      </c>
      <c r="CX155" s="56">
        <f>IF(CX$2&gt;=Projections!$D111,Projections!$B111,0)</f>
        <v/>
      </c>
    </row>
    <row r="156" outlineLevel="1" ht="15.75" customHeight="1" s="255">
      <c r="A156" s="56">
        <f>Projections!A112</f>
        <v/>
      </c>
      <c r="B156" s="56" t="n"/>
      <c r="C156" s="56" t="n"/>
      <c r="D156" s="56" t="n"/>
      <c r="E156" s="56">
        <f>IF(E$2&gt;=Projections!$D112,Projections!$B112,0)</f>
        <v/>
      </c>
      <c r="F156" s="56">
        <f>IF(F$2&gt;=Projections!$D112,Projections!$B112,0)</f>
        <v/>
      </c>
      <c r="G156" s="56">
        <f>IF(G$2&gt;=Projections!$D112,Projections!$B112,0)</f>
        <v/>
      </c>
      <c r="H156" s="56">
        <f>IF(H$2&gt;=Projections!$D112,Projections!$B112,0)</f>
        <v/>
      </c>
      <c r="I156" s="56">
        <f>IF(I$2&gt;=Projections!$D112,Projections!$B112,0)</f>
        <v/>
      </c>
      <c r="J156" s="56">
        <f>IF(J$2&gt;=Projections!$D112,Projections!$B112,0)</f>
        <v/>
      </c>
      <c r="K156" s="56">
        <f>IF(K$2&gt;=Projections!$D112,Projections!$B112,0)</f>
        <v/>
      </c>
      <c r="L156" s="56">
        <f>IF(L$2&gt;=Projections!$D112,Projections!$B112,0)</f>
        <v/>
      </c>
      <c r="M156" s="56">
        <f>IF(M$2&gt;=Projections!$D112,Projections!$B112,0)</f>
        <v/>
      </c>
      <c r="N156" s="56">
        <f>IF(N$2&gt;=Projections!$D112,Projections!$B112,0)</f>
        <v/>
      </c>
      <c r="O156" s="56">
        <f>IF(O$2&gt;=Projections!$D112,Projections!$B112,0)</f>
        <v/>
      </c>
      <c r="P156" s="56">
        <f>IF(P$2&gt;=Projections!$D112,Projections!$B112,0)</f>
        <v/>
      </c>
      <c r="Q156" s="56">
        <f>IF(Q$2&gt;=Projections!$D112,Projections!$B112,0)</f>
        <v/>
      </c>
      <c r="R156" s="56">
        <f>IF(R$2&gt;=Projections!$D112,Projections!$B112,0)</f>
        <v/>
      </c>
      <c r="S156" s="56">
        <f>IF(S$2&gt;=Projections!$D112,Projections!$B112,0)</f>
        <v/>
      </c>
      <c r="T156" s="56">
        <f>IF(T$2&gt;=Projections!$D112,Projections!$B112,0)</f>
        <v/>
      </c>
      <c r="U156" s="56">
        <f>IF(U$2&gt;=Projections!$D112,Projections!$B112,0)</f>
        <v/>
      </c>
      <c r="V156" s="56">
        <f>IF(V$2&gt;=Projections!$D112,Projections!$B112,0)</f>
        <v/>
      </c>
      <c r="W156" s="56">
        <f>IF(W$2&gt;=Projections!$D112,Projections!$B112,0)</f>
        <v/>
      </c>
      <c r="X156" s="56">
        <f>IF(X$2&gt;=Projections!$D112,Projections!$B112,0)</f>
        <v/>
      </c>
      <c r="Y156" s="56">
        <f>IF(Y$2&gt;=Projections!$D112,Projections!$B112,0)</f>
        <v/>
      </c>
      <c r="Z156" s="56">
        <f>IF(Z$2&gt;=Projections!$D112,Projections!$B112,0)</f>
        <v/>
      </c>
      <c r="AA156" s="56">
        <f>IF(AA$2&gt;=Projections!$D112,Projections!$B112,0)</f>
        <v/>
      </c>
      <c r="AB156" s="56">
        <f>IF(AB$2&gt;=Projections!$D112,Projections!$B112,0)</f>
        <v/>
      </c>
      <c r="AC156" s="56">
        <f>IF(AC$2&gt;=Projections!$D112,Projections!$B112,0)</f>
        <v/>
      </c>
      <c r="AD156" s="56">
        <f>IF(AD$2&gt;=Projections!$D112,Projections!$B112,0)</f>
        <v/>
      </c>
      <c r="AE156" s="56">
        <f>IF(AE$2&gt;=Projections!$D112,Projections!$B112,0)</f>
        <v/>
      </c>
      <c r="AF156" s="56">
        <f>IF(AF$2&gt;=Projections!$D112,Projections!$B112,0)</f>
        <v/>
      </c>
      <c r="AG156" s="56">
        <f>IF(AG$2&gt;=Projections!$D112,Projections!$B112,0)</f>
        <v/>
      </c>
      <c r="AH156" s="56">
        <f>IF(AH$2&gt;=Projections!$D112,Projections!$B112,0)</f>
        <v/>
      </c>
      <c r="AI156" s="56">
        <f>IF(AI$2&gt;=Projections!$D112,Projections!$B112,0)</f>
        <v/>
      </c>
      <c r="AJ156" s="56">
        <f>IF(AJ$2&gt;=Projections!$D112,Projections!$B112,0)</f>
        <v/>
      </c>
      <c r="AK156" s="56">
        <f>IF(AK$2&gt;=Projections!$D112,Projections!$B112,0)</f>
        <v/>
      </c>
      <c r="AL156" s="56">
        <f>IF(AL$2&gt;=Projections!$D112,Projections!$B112,0)</f>
        <v/>
      </c>
      <c r="AM156" s="56">
        <f>IF(AM$2&gt;=Projections!$D112,Projections!$B112,0)</f>
        <v/>
      </c>
      <c r="AN156" s="56">
        <f>IF(AN$2&gt;=Projections!$D112,Projections!$B112,0)</f>
        <v/>
      </c>
      <c r="AO156" s="56">
        <f>IF(AO$2&gt;=Projections!$D112,Projections!$B112,0)</f>
        <v/>
      </c>
      <c r="AP156" s="56">
        <f>IF(AP$2&gt;=Projections!$D112,Projections!$B112,0)</f>
        <v/>
      </c>
      <c r="AQ156" s="56">
        <f>IF(AQ$2&gt;=Projections!$D112,Projections!$B112,0)</f>
        <v/>
      </c>
      <c r="AR156" s="56">
        <f>IF(AR$2&gt;=Projections!$D112,Projections!$B112,0)</f>
        <v/>
      </c>
      <c r="AS156" s="56">
        <f>IF(AS$2&gt;=Projections!$D112,Projections!$B112,0)</f>
        <v/>
      </c>
      <c r="AT156" s="56">
        <f>IF(AT$2&gt;=Projections!$D112,Projections!$B112,0)</f>
        <v/>
      </c>
      <c r="AU156" s="56">
        <f>IF(AU$2&gt;=Projections!$D112,Projections!$B112,0)</f>
        <v/>
      </c>
      <c r="AV156" s="56">
        <f>IF(AV$2&gt;=Projections!$D112,Projections!$B112,0)</f>
        <v/>
      </c>
      <c r="AW156" s="56">
        <f>IF(AW$2&gt;=Projections!$D112,Projections!$B112,0)</f>
        <v/>
      </c>
      <c r="AX156" s="56">
        <f>IF(AX$2&gt;=Projections!$D112,Projections!$B112,0)</f>
        <v/>
      </c>
      <c r="AY156" s="56">
        <f>IF(AY$2&gt;=Projections!$D112,Projections!$B112,0)</f>
        <v/>
      </c>
      <c r="AZ156" s="56">
        <f>IF(AZ$2&gt;=Projections!$D112,Projections!$B112,0)</f>
        <v/>
      </c>
      <c r="BA156" s="56">
        <f>IF(BA$2&gt;=Projections!$D112,Projections!$B112,0)</f>
        <v/>
      </c>
      <c r="BB156" s="56">
        <f>IF(BB$2&gt;=Projections!$D112,Projections!$B112,0)</f>
        <v/>
      </c>
      <c r="BC156" s="56">
        <f>IF(BC$2&gt;=Projections!$D112,Projections!$B112,0)</f>
        <v/>
      </c>
      <c r="BD156" s="56">
        <f>IF(BD$2&gt;=Projections!$D112,Projections!$B112,0)</f>
        <v/>
      </c>
      <c r="BE156" s="56">
        <f>IF(BE$2&gt;=Projections!$D112,Projections!$B112,0)</f>
        <v/>
      </c>
      <c r="BF156" s="56">
        <f>IF(BF$2&gt;=Projections!$D112,Projections!$B112,0)</f>
        <v/>
      </c>
      <c r="BG156" s="56">
        <f>IF(BG$2&gt;=Projections!$D112,Projections!$B112,0)</f>
        <v/>
      </c>
      <c r="BH156" s="56">
        <f>IF(BH$2&gt;=Projections!$D112,Projections!$B112,0)</f>
        <v/>
      </c>
      <c r="BI156" s="56">
        <f>IF(BI$2&gt;=Projections!$D112,Projections!$B112,0)</f>
        <v/>
      </c>
      <c r="BJ156" s="56">
        <f>IF(BJ$2&gt;=Projections!$D112,Projections!$B112,0)</f>
        <v/>
      </c>
      <c r="BK156" s="56">
        <f>IF(BK$2&gt;=Projections!$D112,Projections!$B112,0)</f>
        <v/>
      </c>
      <c r="BL156" s="56">
        <f>IF(BL$2&gt;=Projections!$D112,Projections!$B112,0)</f>
        <v/>
      </c>
      <c r="BM156" s="56">
        <f>IF(BM$2&gt;=Projections!$D112,Projections!$B112,0)</f>
        <v/>
      </c>
      <c r="BN156" s="56">
        <f>IF(BN$2&gt;=Projections!$D112,Projections!$B112,0)</f>
        <v/>
      </c>
      <c r="BO156" s="56">
        <f>IF(BO$2&gt;=Projections!$D112,Projections!$B112,0)</f>
        <v/>
      </c>
      <c r="BP156" s="56">
        <f>IF(BP$2&gt;=Projections!$D112,Projections!$B112,0)</f>
        <v/>
      </c>
      <c r="BQ156" s="56">
        <f>IF(BQ$2&gt;=Projections!$D112,Projections!$B112,0)</f>
        <v/>
      </c>
      <c r="BR156" s="56">
        <f>IF(BR$2&gt;=Projections!$D112,Projections!$B112,0)</f>
        <v/>
      </c>
      <c r="BS156" s="56">
        <f>IF(BS$2&gt;=Projections!$D112,Projections!$B112,0)</f>
        <v/>
      </c>
      <c r="BT156" s="56">
        <f>IF(BT$2&gt;=Projections!$D112,Projections!$B112,0)</f>
        <v/>
      </c>
      <c r="BU156" s="56">
        <f>IF(BU$2&gt;=Projections!$D112,Projections!$B112,0)</f>
        <v/>
      </c>
      <c r="BV156" s="56">
        <f>IF(BV$2&gt;=Projections!$D112,Projections!$B112,0)</f>
        <v/>
      </c>
      <c r="BW156" s="56">
        <f>IF(BW$2&gt;=Projections!$D112,Projections!$B112,0)</f>
        <v/>
      </c>
      <c r="BX156" s="56">
        <f>IF(BX$2&gt;=Projections!$D112,Projections!$B112,0)</f>
        <v/>
      </c>
      <c r="BY156" s="56">
        <f>IF(BY$2&gt;=Projections!$D112,Projections!$B112,0)</f>
        <v/>
      </c>
      <c r="BZ156" s="56">
        <f>IF(BZ$2&gt;=Projections!$D112,Projections!$B112,0)</f>
        <v/>
      </c>
      <c r="CA156" s="56">
        <f>IF(CA$2&gt;=Projections!$D112,Projections!$B112,0)</f>
        <v/>
      </c>
      <c r="CB156" s="56">
        <f>IF(CB$2&gt;=Projections!$D112,Projections!$B112,0)</f>
        <v/>
      </c>
      <c r="CC156" s="56">
        <f>IF(CC$2&gt;=Projections!$D112,Projections!$B112,0)</f>
        <v/>
      </c>
      <c r="CD156" s="56">
        <f>IF(CD$2&gt;=Projections!$D112,Projections!$B112,0)</f>
        <v/>
      </c>
      <c r="CE156" s="56">
        <f>IF(CE$2&gt;=Projections!$D112,Projections!$B112,0)</f>
        <v/>
      </c>
      <c r="CF156" s="56">
        <f>IF(CF$2&gt;=Projections!$D112,Projections!$B112,0)</f>
        <v/>
      </c>
      <c r="CG156" s="56">
        <f>IF(CG$2&gt;=Projections!$D112,Projections!$B112,0)</f>
        <v/>
      </c>
      <c r="CH156" s="56">
        <f>IF(CH$2&gt;=Projections!$D112,Projections!$B112,0)</f>
        <v/>
      </c>
      <c r="CI156" s="56">
        <f>IF(CI$2&gt;=Projections!$D112,Projections!$B112,0)</f>
        <v/>
      </c>
      <c r="CJ156" s="56">
        <f>IF(CJ$2&gt;=Projections!$D112,Projections!$B112,0)</f>
        <v/>
      </c>
      <c r="CK156" s="56">
        <f>IF(CK$2&gt;=Projections!$D112,Projections!$B112,0)</f>
        <v/>
      </c>
      <c r="CL156" s="56">
        <f>IF(CL$2&gt;=Projections!$D112,Projections!$B112,0)</f>
        <v/>
      </c>
      <c r="CM156" s="56">
        <f>IF(CM$2&gt;=Projections!$D112,Projections!$B112,0)</f>
        <v/>
      </c>
      <c r="CN156" s="56">
        <f>IF(CN$2&gt;=Projections!$D112,Projections!$B112,0)</f>
        <v/>
      </c>
      <c r="CO156" s="56">
        <f>IF(CO$2&gt;=Projections!$D112,Projections!$B112,0)</f>
        <v/>
      </c>
      <c r="CP156" s="56">
        <f>IF(CP$2&gt;=Projections!$D112,Projections!$B112,0)</f>
        <v/>
      </c>
      <c r="CQ156" s="56">
        <f>IF(CQ$2&gt;=Projections!$D112,Projections!$B112,0)</f>
        <v/>
      </c>
      <c r="CR156" s="56">
        <f>IF(CR$2&gt;=Projections!$D112,Projections!$B112,0)</f>
        <v/>
      </c>
      <c r="CS156" s="56">
        <f>IF(CS$2&gt;=Projections!$D112,Projections!$B112,0)</f>
        <v/>
      </c>
      <c r="CT156" s="56">
        <f>IF(CT$2&gt;=Projections!$D112,Projections!$B112,0)</f>
        <v/>
      </c>
      <c r="CU156" s="56">
        <f>IF(CU$2&gt;=Projections!$D112,Projections!$B112,0)</f>
        <v/>
      </c>
      <c r="CV156" s="56">
        <f>IF(CV$2&gt;=Projections!$D112,Projections!$B112,0)</f>
        <v/>
      </c>
      <c r="CW156" s="56">
        <f>IF(CW$2&gt;=Projections!$D112,Projections!$B112,0)</f>
        <v/>
      </c>
      <c r="CX156" s="56">
        <f>IF(CX$2&gt;=Projections!$D112,Projections!$B112,0)</f>
        <v/>
      </c>
    </row>
    <row r="157" ht="15.75" customHeight="1" s="25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  <c r="CW157" s="56" t="n"/>
      <c r="CX157" s="56" t="n"/>
    </row>
    <row r="158" ht="23.25" customHeight="1" s="255">
      <c r="A158" s="142">
        <f>Projections!A114</f>
        <v/>
      </c>
      <c r="B158" s="141" t="n"/>
      <c r="C158" s="141" t="n"/>
      <c r="D158" s="144" t="n"/>
      <c r="E158" s="141" t="n"/>
      <c r="F158" s="141" t="n"/>
      <c r="G158" s="141" t="n"/>
      <c r="H158" s="141" t="n"/>
      <c r="I158" s="142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2" t="n"/>
      <c r="AD158" s="141" t="n"/>
      <c r="AE158" s="141" t="n"/>
      <c r="AF158" s="141" t="n"/>
      <c r="AG158" s="141" t="n"/>
      <c r="AH158" s="141" t="n"/>
      <c r="AI158" s="142" t="n"/>
      <c r="AJ158" s="141" t="n"/>
      <c r="AK158" s="141" t="n"/>
      <c r="AL158" s="141" t="n"/>
      <c r="AM158" s="141" t="n"/>
      <c r="AN158" s="141" t="n"/>
      <c r="AO158" s="141" t="n"/>
      <c r="AP158" s="141" t="n"/>
      <c r="AQ158" s="141" t="n"/>
      <c r="AR158" s="141" t="n"/>
      <c r="AS158" s="141" t="n"/>
      <c r="AT158" s="141" t="n"/>
      <c r="AU158" s="141" t="n"/>
      <c r="AV158" s="141" t="n"/>
      <c r="AW158" s="141" t="n"/>
      <c r="AX158" s="141" t="n"/>
      <c r="AY158" s="141" t="n"/>
      <c r="AZ158" s="141" t="n"/>
      <c r="BA158" s="141" t="n"/>
      <c r="BB158" s="141" t="n"/>
      <c r="BC158" s="142" t="n"/>
      <c r="BD158" s="141" t="n"/>
      <c r="BE158" s="141" t="n"/>
      <c r="BF158" s="141" t="n"/>
      <c r="BG158" s="141" t="n"/>
      <c r="BH158" s="141" t="n"/>
      <c r="BI158" s="142" t="n"/>
      <c r="BJ158" s="141" t="n"/>
      <c r="BK158" s="141" t="n"/>
      <c r="BL158" s="141" t="n"/>
      <c r="BM158" s="141" t="n"/>
      <c r="BN158" s="141" t="n"/>
      <c r="BO158" s="141" t="n"/>
      <c r="BP158" s="141" t="n"/>
      <c r="BQ158" s="141" t="n"/>
      <c r="BR158" s="141" t="n"/>
      <c r="BS158" s="141" t="n"/>
      <c r="BT158" s="141" t="n"/>
      <c r="BU158" s="141" t="n"/>
      <c r="BV158" s="141" t="n"/>
      <c r="BW158" s="141" t="n"/>
      <c r="BX158" s="141" t="n"/>
      <c r="BY158" s="141" t="n"/>
      <c r="BZ158" s="141" t="n"/>
      <c r="CA158" s="141" t="n"/>
      <c r="CB158" s="141" t="n"/>
      <c r="CC158" s="150" t="n"/>
      <c r="CD158" s="150" t="n"/>
      <c r="CE158" s="150" t="n"/>
      <c r="CF158" s="150" t="n"/>
      <c r="CG158" s="150" t="n"/>
      <c r="CH158" s="150" t="n"/>
      <c r="CI158" s="150" t="n"/>
      <c r="CJ158" s="150" t="n"/>
      <c r="CK158" s="150" t="n"/>
      <c r="CL158" s="150" t="n"/>
      <c r="CM158" s="150" t="n"/>
      <c r="CN158" s="150" t="n"/>
      <c r="CO158" s="150" t="n"/>
      <c r="CP158" s="150" t="n"/>
      <c r="CQ158" s="150" t="n"/>
      <c r="CR158" s="150" t="n"/>
      <c r="CS158" s="150" t="n"/>
      <c r="CT158" s="150" t="n"/>
      <c r="CU158" s="150" t="n"/>
      <c r="CV158" s="150" t="n"/>
      <c r="CW158" s="150" t="n"/>
      <c r="CX158" s="150" t="n"/>
    </row>
    <row r="159" ht="15.75" customHeight="1" s="25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  <c r="CW159" s="56" t="n"/>
      <c r="CX159" s="56" t="n"/>
    </row>
    <row r="160" ht="15.75" customHeight="1" s="255">
      <c r="A160" s="145" t="inlineStr">
        <is>
          <t>CAPITAL EXPENDITURES</t>
        </is>
      </c>
      <c r="B160" s="60" t="inlineStr">
        <is>
          <t>Capital Expenditures</t>
        </is>
      </c>
      <c r="C160" s="56" t="n"/>
      <c r="D160" s="56" t="n"/>
      <c r="E160" s="60">
        <f>SUM(E161:E166)</f>
        <v/>
      </c>
      <c r="F160" s="60">
        <f>SUM(F161:F166)</f>
        <v/>
      </c>
      <c r="G160" s="60">
        <f>SUM(G161:G166)</f>
        <v/>
      </c>
      <c r="H160" s="60">
        <f>SUM(H161:H166)</f>
        <v/>
      </c>
      <c r="I160" s="60">
        <f>SUM(I161:I166)</f>
        <v/>
      </c>
      <c r="J160" s="60">
        <f>SUM(J161:J166)</f>
        <v/>
      </c>
      <c r="K160" s="60">
        <f>SUM(K161:K166)</f>
        <v/>
      </c>
      <c r="L160" s="60">
        <f>SUM(L161:L166)</f>
        <v/>
      </c>
      <c r="M160" s="60">
        <f>SUM(M161:M166)</f>
        <v/>
      </c>
      <c r="N160" s="60">
        <f>SUM(N161:N166)</f>
        <v/>
      </c>
      <c r="O160" s="60">
        <f>SUM(O161:O166)</f>
        <v/>
      </c>
      <c r="P160" s="60">
        <f>SUM(P161:P166)</f>
        <v/>
      </c>
      <c r="Q160" s="60">
        <f>SUM(Q161:Q166)</f>
        <v/>
      </c>
      <c r="R160" s="60">
        <f>SUM(R161:R166)</f>
        <v/>
      </c>
      <c r="S160" s="60">
        <f>SUM(S161:S166)</f>
        <v/>
      </c>
      <c r="T160" s="60">
        <f>SUM(T161:T166)</f>
        <v/>
      </c>
      <c r="U160" s="60">
        <f>SUM(U161:U166)</f>
        <v/>
      </c>
      <c r="V160" s="60">
        <f>SUM(V161:V166)</f>
        <v/>
      </c>
      <c r="W160" s="60">
        <f>SUM(W161:W166)</f>
        <v/>
      </c>
      <c r="X160" s="60">
        <f>SUM(X161:X166)</f>
        <v/>
      </c>
      <c r="Y160" s="60">
        <f>SUM(Y161:Y166)</f>
        <v/>
      </c>
      <c r="Z160" s="60">
        <f>SUM(Z161:Z166)</f>
        <v/>
      </c>
      <c r="AA160" s="60">
        <f>SUM(AA161:AA166)</f>
        <v/>
      </c>
      <c r="AB160" s="60">
        <f>SUM(AB161:AB166)</f>
        <v/>
      </c>
      <c r="AC160" s="60">
        <f>SUM(AC161:AC166)</f>
        <v/>
      </c>
      <c r="AD160" s="60">
        <f>SUM(AD161:AD166)</f>
        <v/>
      </c>
      <c r="AE160" s="60">
        <f>SUM(AE161:AE166)</f>
        <v/>
      </c>
      <c r="AF160" s="60">
        <f>SUM(AF161:AF166)</f>
        <v/>
      </c>
      <c r="AG160" s="60">
        <f>SUM(AG161:AG166)</f>
        <v/>
      </c>
      <c r="AH160" s="60">
        <f>SUM(AH161:AH166)</f>
        <v/>
      </c>
      <c r="AI160" s="60">
        <f>SUM(AI161:AI166)</f>
        <v/>
      </c>
      <c r="AJ160" s="60">
        <f>SUM(AJ161:AJ166)</f>
        <v/>
      </c>
      <c r="AK160" s="60">
        <f>SUM(AK161:AK166)</f>
        <v/>
      </c>
      <c r="AL160" s="60">
        <f>SUM(AL161:AL166)</f>
        <v/>
      </c>
      <c r="AM160" s="60">
        <f>SUM(AM161:AM166)</f>
        <v/>
      </c>
      <c r="AN160" s="60">
        <f>SUM(AN161:AN166)</f>
        <v/>
      </c>
      <c r="AO160" s="60">
        <f>SUM(AO161:AO166)</f>
        <v/>
      </c>
      <c r="AP160" s="60">
        <f>SUM(AP161:AP166)</f>
        <v/>
      </c>
      <c r="AQ160" s="60">
        <f>SUM(AQ161:AQ166)</f>
        <v/>
      </c>
      <c r="AR160" s="60">
        <f>SUM(AR161:AR166)</f>
        <v/>
      </c>
      <c r="AS160" s="60">
        <f>SUM(AS161:AS166)</f>
        <v/>
      </c>
      <c r="AT160" s="60">
        <f>SUM(AT161:AT166)</f>
        <v/>
      </c>
      <c r="AU160" s="60">
        <f>SUM(AU161:AU166)</f>
        <v/>
      </c>
      <c r="AV160" s="60">
        <f>SUM(AV161:AV166)</f>
        <v/>
      </c>
      <c r="AW160" s="60">
        <f>SUM(AW161:AW166)</f>
        <v/>
      </c>
      <c r="AX160" s="60">
        <f>SUM(AX161:AX166)</f>
        <v/>
      </c>
      <c r="AY160" s="60">
        <f>SUM(AY161:AY166)</f>
        <v/>
      </c>
      <c r="AZ160" s="60">
        <f>SUM(AZ161:AZ166)</f>
        <v/>
      </c>
      <c r="BA160" s="60">
        <f>SUM(BA161:BA166)</f>
        <v/>
      </c>
      <c r="BB160" s="60">
        <f>SUM(BB161:BB166)</f>
        <v/>
      </c>
      <c r="BC160" s="60">
        <f>SUM(BC161:BC166)</f>
        <v/>
      </c>
      <c r="BD160" s="60">
        <f>SUM(BD161:BD166)</f>
        <v/>
      </c>
      <c r="BE160" s="60">
        <f>SUM(BE161:BE166)</f>
        <v/>
      </c>
      <c r="BF160" s="60">
        <f>SUM(BF161:BF166)</f>
        <v/>
      </c>
      <c r="BG160" s="60">
        <f>SUM(BG161:BG166)</f>
        <v/>
      </c>
      <c r="BH160" s="60">
        <f>SUM(BH161:BH166)</f>
        <v/>
      </c>
      <c r="BI160" s="60">
        <f>SUM(BI161:BI166)</f>
        <v/>
      </c>
      <c r="BJ160" s="60">
        <f>SUM(BJ161:BJ166)</f>
        <v/>
      </c>
      <c r="BK160" s="60">
        <f>SUM(BK161:BK166)</f>
        <v/>
      </c>
      <c r="BL160" s="60">
        <f>SUM(BL161:BL166)</f>
        <v/>
      </c>
      <c r="BM160" s="60">
        <f>SUM(BM161:BM166)</f>
        <v/>
      </c>
      <c r="BN160" s="60">
        <f>SUM(BN161:BN166)</f>
        <v/>
      </c>
      <c r="BO160" s="60">
        <f>SUM(BO161:BO166)</f>
        <v/>
      </c>
      <c r="BP160" s="60">
        <f>SUM(BP161:BP166)</f>
        <v/>
      </c>
      <c r="BQ160" s="60">
        <f>SUM(BQ161:BQ166)</f>
        <v/>
      </c>
      <c r="BR160" s="60">
        <f>SUM(BR161:BR166)</f>
        <v/>
      </c>
      <c r="BS160" s="60">
        <f>SUM(BS161:BS166)</f>
        <v/>
      </c>
      <c r="BT160" s="60">
        <f>SUM(BT161:BT166)</f>
        <v/>
      </c>
      <c r="BU160" s="60">
        <f>SUM(BU161:BU166)</f>
        <v/>
      </c>
      <c r="BV160" s="60">
        <f>SUM(BV161:BV166)</f>
        <v/>
      </c>
      <c r="BW160" s="60">
        <f>SUM(BW161:BW166)</f>
        <v/>
      </c>
      <c r="BX160" s="60">
        <f>SUM(BX161:BX166)</f>
        <v/>
      </c>
      <c r="BY160" s="60">
        <f>SUM(BY161:BY166)</f>
        <v/>
      </c>
      <c r="BZ160" s="60">
        <f>SUM(BZ161:BZ166)</f>
        <v/>
      </c>
      <c r="CA160" s="60">
        <f>SUM(CA161:CA166)</f>
        <v/>
      </c>
      <c r="CB160" s="60">
        <f>SUM(CB161:CB166)</f>
        <v/>
      </c>
      <c r="CC160" s="60">
        <f>SUM(CC161:CC166)</f>
        <v/>
      </c>
      <c r="CD160" s="60">
        <f>SUM(CD161:CD166)</f>
        <v/>
      </c>
      <c r="CE160" s="60">
        <f>SUM(CE161:CE166)</f>
        <v/>
      </c>
      <c r="CF160" s="60">
        <f>SUM(CF161:CF166)</f>
        <v/>
      </c>
      <c r="CG160" s="60">
        <f>SUM(CG161:CG166)</f>
        <v/>
      </c>
      <c r="CH160" s="60">
        <f>SUM(CH161:CH166)</f>
        <v/>
      </c>
      <c r="CI160" s="60">
        <f>SUM(CI161:CI166)</f>
        <v/>
      </c>
      <c r="CJ160" s="60">
        <f>SUM(CJ161:CJ166)</f>
        <v/>
      </c>
      <c r="CK160" s="60">
        <f>SUM(CK161:CK166)</f>
        <v/>
      </c>
      <c r="CL160" s="60">
        <f>SUM(CL161:CL166)</f>
        <v/>
      </c>
      <c r="CM160" s="60">
        <f>SUM(CM161:CM166)</f>
        <v/>
      </c>
      <c r="CN160" s="60">
        <f>SUM(CN161:CN166)</f>
        <v/>
      </c>
      <c r="CO160" s="60">
        <f>SUM(CO161:CO166)</f>
        <v/>
      </c>
      <c r="CP160" s="60">
        <f>SUM(CP161:CP166)</f>
        <v/>
      </c>
      <c r="CQ160" s="60">
        <f>SUM(CQ161:CQ166)</f>
        <v/>
      </c>
      <c r="CR160" s="60">
        <f>SUM(CR161:CR166)</f>
        <v/>
      </c>
      <c r="CS160" s="60">
        <f>SUM(CS161:CS166)</f>
        <v/>
      </c>
      <c r="CT160" s="60">
        <f>SUM(CT161:CT166)</f>
        <v/>
      </c>
      <c r="CU160" s="60">
        <f>SUM(CU161:CU166)</f>
        <v/>
      </c>
      <c r="CV160" s="60">
        <f>SUM(CV161:CV166)</f>
        <v/>
      </c>
      <c r="CW160" s="60">
        <f>SUM(CW161:CW166)</f>
        <v/>
      </c>
      <c r="CX160" s="60">
        <f>SUM(CX161:CX166)</f>
        <v/>
      </c>
    </row>
    <row r="161" outlineLevel="1" ht="15.75" customHeight="1" s="255">
      <c r="A161" s="134" t="inlineStr">
        <is>
          <t>Computers</t>
        </is>
      </c>
      <c r="B161" s="56" t="n"/>
      <c r="C161" s="56" t="n"/>
      <c r="D161" s="56" t="n"/>
      <c r="E161" s="56">
        <f>COUNTIF(Payroll!$I$6:$I$56,E2)*Projections!$B$117</f>
        <v/>
      </c>
      <c r="F161" s="56">
        <f>COUNTIF(Payroll!$I$6:$I$56,F2)*Projections!$B$117</f>
        <v/>
      </c>
      <c r="G161" s="56">
        <f>COUNTIF(Payroll!$I$6:$I$56,G2)*Projections!$B$117</f>
        <v/>
      </c>
      <c r="H161" s="56">
        <f>COUNTIF(Payroll!$I$6:$I$56,H2)*Projections!$B$117</f>
        <v/>
      </c>
      <c r="I161" s="56">
        <f>COUNTIF(Payroll!$I$6:$I$56,I2)*Projections!$B$117</f>
        <v/>
      </c>
      <c r="J161" s="56">
        <f>COUNTIF(Payroll!$I$6:$I$56,J2)*Projections!$B$117</f>
        <v/>
      </c>
      <c r="K161" s="56">
        <f>COUNTIF(Payroll!$I$6:$I$56,K2)*Projections!$B$117</f>
        <v/>
      </c>
      <c r="L161" s="56">
        <f>COUNTIF(Payroll!$I$6:$I$56,L2)*Projections!$B$117</f>
        <v/>
      </c>
      <c r="M161" s="56">
        <f>COUNTIF(Payroll!$I$6:$I$56,M2)*Projections!$B$117</f>
        <v/>
      </c>
      <c r="N161" s="56">
        <f>COUNTIF(Payroll!$I$6:$I$56,N2)*Projections!$B$117</f>
        <v/>
      </c>
      <c r="O161" s="56">
        <f>COUNTIF(Payroll!$I$6:$I$56,O2)*Projections!$B$117</f>
        <v/>
      </c>
      <c r="P161" s="56">
        <f>COUNTIF(Payroll!$I$6:$I$56,P2)*Projections!$B$117</f>
        <v/>
      </c>
      <c r="Q161" s="56">
        <f>COUNTIF(Payroll!$I$6:$I$56,Q2)*Projections!$B$117</f>
        <v/>
      </c>
      <c r="R161" s="56">
        <f>COUNTIF(Payroll!$I$6:$I$56,R2)*Projections!$B$117</f>
        <v/>
      </c>
      <c r="S161" s="56">
        <f>COUNTIF(Payroll!$I$6:$I$56,S2)*Projections!$B$117</f>
        <v/>
      </c>
      <c r="T161" s="56">
        <f>COUNTIF(Payroll!$I$6:$I$56,T2)*Projections!$B$117</f>
        <v/>
      </c>
      <c r="U161" s="56">
        <f>COUNTIF(Payroll!$I$6:$I$56,U2)*Projections!$B$117</f>
        <v/>
      </c>
      <c r="V161" s="56">
        <f>COUNTIF(Payroll!$I$6:$I$56,V2)*Projections!$B$117</f>
        <v/>
      </c>
      <c r="W161" s="56">
        <f>COUNTIF(Payroll!$I$6:$I$56,W2)*Projections!$B$117</f>
        <v/>
      </c>
      <c r="X161" s="56">
        <f>COUNTIF(Payroll!$I$6:$I$56,X2)*Projections!$B$117</f>
        <v/>
      </c>
      <c r="Y161" s="56">
        <f>COUNTIF(Payroll!$I$6:$I$56,Y2)*Projections!$B$117</f>
        <v/>
      </c>
      <c r="Z161" s="56">
        <f>COUNTIF(Payroll!$I$6:$I$56,Z2)*Projections!$B$117</f>
        <v/>
      </c>
      <c r="AA161" s="56">
        <f>COUNTIF(Payroll!$I$6:$I$56,AA2)*Projections!$B$117</f>
        <v/>
      </c>
      <c r="AB161" s="56">
        <f>COUNTIF(Payroll!$I$6:$I$56,AB2)*Projections!$B$117</f>
        <v/>
      </c>
      <c r="AC161" s="56">
        <f>COUNTIF(Payroll!$I$6:$I$56,AC2)*Projections!$B$117</f>
        <v/>
      </c>
      <c r="AD161" s="56">
        <f>COUNTIF(Payroll!$I$6:$I$56,AD2)*Projections!$B$117</f>
        <v/>
      </c>
      <c r="AE161" s="56">
        <f>COUNTIF(Payroll!$I$6:$I$56,AE2)*Projections!$B$117</f>
        <v/>
      </c>
      <c r="AF161" s="56">
        <f>COUNTIF(Payroll!$I$6:$I$56,AF2)*Projections!$B$117</f>
        <v/>
      </c>
      <c r="AG161" s="56">
        <f>COUNTIF(Payroll!$I$6:$I$56,AG2)*Projections!$B$117</f>
        <v/>
      </c>
      <c r="AH161" s="56">
        <f>COUNTIF(Payroll!$I$6:$I$56,AH2)*Projections!$B$117</f>
        <v/>
      </c>
      <c r="AI161" s="56">
        <f>COUNTIF(Payroll!$I$6:$I$56,AI2)*Projections!$B$117</f>
        <v/>
      </c>
      <c r="AJ161" s="56">
        <f>COUNTIF(Payroll!$I$6:$I$56,AJ2)*Projections!$B$117</f>
        <v/>
      </c>
      <c r="AK161" s="56">
        <f>COUNTIF(Payroll!$I$6:$I$56,AK2)*Projections!$B$117</f>
        <v/>
      </c>
      <c r="AL161" s="56">
        <f>COUNTIF(Payroll!$I$6:$I$56,AL2)*Projections!$B$117</f>
        <v/>
      </c>
      <c r="AM161" s="56">
        <f>COUNTIF(Payroll!$I$6:$I$56,AM2)*Projections!$B$117</f>
        <v/>
      </c>
      <c r="AN161" s="56">
        <f>COUNTIF(Payroll!$I$6:$I$56,AN2)*Projections!$B$117</f>
        <v/>
      </c>
      <c r="AO161" s="56">
        <f>COUNTIF(Payroll!$I$6:$I$56,AO2)*Projections!$B$117</f>
        <v/>
      </c>
      <c r="AP161" s="56">
        <f>COUNTIF(Payroll!$I$6:$I$56,AP2)*Projections!$B$117</f>
        <v/>
      </c>
      <c r="AQ161" s="56">
        <f>COUNTIF(Payroll!$I$6:$I$56,AQ2)*Projections!$B$117</f>
        <v/>
      </c>
      <c r="AR161" s="56">
        <f>COUNTIF(Payroll!$I$6:$I$56,AR2)*Projections!$B$117</f>
        <v/>
      </c>
      <c r="AS161" s="56">
        <f>COUNTIF(Payroll!$I$6:$I$56,AS2)*Projections!$B$117</f>
        <v/>
      </c>
      <c r="AT161" s="56">
        <f>COUNTIF(Payroll!$I$6:$I$56,AT2)*Projections!$B$117</f>
        <v/>
      </c>
      <c r="AU161" s="56">
        <f>COUNTIF(Payroll!$I$6:$I$56,AU2)*Projections!$B$117</f>
        <v/>
      </c>
      <c r="AV161" s="56">
        <f>COUNTIF(Payroll!$I$6:$I$56,AV2)*Projections!$B$117</f>
        <v/>
      </c>
      <c r="AW161" s="56">
        <f>COUNTIF(Payroll!$I$6:$I$56,AW2)*Projections!$B$117</f>
        <v/>
      </c>
      <c r="AX161" s="56">
        <f>COUNTIF(Payroll!$I$6:$I$56,AX2)*Projections!$B$117</f>
        <v/>
      </c>
      <c r="AY161" s="56">
        <f>COUNTIF(Payroll!$I$6:$I$56,AY2)*Projections!$B$117</f>
        <v/>
      </c>
      <c r="AZ161" s="56">
        <f>COUNTIF(Payroll!$I$6:$I$56,AZ2)*Projections!$B$117</f>
        <v/>
      </c>
      <c r="BA161" s="56">
        <f>COUNTIF(Payroll!$I$6:$I$56,BA2)*Projections!$B$117</f>
        <v/>
      </c>
      <c r="BB161" s="56">
        <f>COUNTIF(Payroll!$I$6:$I$56,BB2)*Projections!$B$117</f>
        <v/>
      </c>
      <c r="BC161" s="56">
        <f>COUNTIF(Payroll!$I$6:$I$56,BC2)*Projections!$B$117</f>
        <v/>
      </c>
      <c r="BD161" s="56">
        <f>COUNTIF(Payroll!$I$6:$I$56,BD2)*Projections!$B$117</f>
        <v/>
      </c>
      <c r="BE161" s="56">
        <f>COUNTIF(Payroll!$I$6:$I$56,BE2)*Projections!$B$117</f>
        <v/>
      </c>
      <c r="BF161" s="56">
        <f>COUNTIF(Payroll!$I$6:$I$56,BF2)*Projections!$B$117</f>
        <v/>
      </c>
      <c r="BG161" s="56">
        <f>COUNTIF(Payroll!$I$6:$I$56,BG2)*Projections!$B$117</f>
        <v/>
      </c>
      <c r="BH161" s="56">
        <f>COUNTIF(Payroll!$I$6:$I$56,BH2)*Projections!$B$117</f>
        <v/>
      </c>
      <c r="BI161" s="56">
        <f>COUNTIF(Payroll!$I$6:$I$56,BI2)*Projections!$B$117</f>
        <v/>
      </c>
      <c r="BJ161" s="56">
        <f>COUNTIF(Payroll!$I$6:$I$56,BJ2)*Projections!$B$117</f>
        <v/>
      </c>
      <c r="BK161" s="56">
        <f>COUNTIF(Payroll!$I$6:$I$56,BK2)*Projections!$B$117</f>
        <v/>
      </c>
      <c r="BL161" s="56">
        <f>COUNTIF(Payroll!$I$6:$I$56,BL2)*Projections!$B$117</f>
        <v/>
      </c>
      <c r="BM161" s="56">
        <f>COUNTIF(Payroll!$I$6:$I$56,BM2)*Projections!$B$117</f>
        <v/>
      </c>
      <c r="BN161" s="56">
        <f>COUNTIF(Payroll!$I$6:$I$56,BN2)*Projections!$B$117</f>
        <v/>
      </c>
      <c r="BO161" s="56">
        <f>COUNTIF(Payroll!$I$6:$I$56,BO2)*Projections!$B$117</f>
        <v/>
      </c>
      <c r="BP161" s="56">
        <f>COUNTIF(Payroll!$I$6:$I$56,BP2)*Projections!$B$117</f>
        <v/>
      </c>
      <c r="BQ161" s="56">
        <f>COUNTIF(Payroll!$I$6:$I$56,BQ2)*Projections!$B$117</f>
        <v/>
      </c>
      <c r="BR161" s="56">
        <f>COUNTIF(Payroll!$I$6:$I$56,BR2)*Projections!$B$117</f>
        <v/>
      </c>
      <c r="BS161" s="56">
        <f>COUNTIF(Payroll!$I$6:$I$56,BS2)*Projections!$B$117</f>
        <v/>
      </c>
      <c r="BT161" s="56">
        <f>COUNTIF(Payroll!$I$6:$I$56,BT2)*Projections!$B$117</f>
        <v/>
      </c>
      <c r="BU161" s="56">
        <f>COUNTIF(Payroll!$I$6:$I$56,BU2)*Projections!$B$117</f>
        <v/>
      </c>
      <c r="BV161" s="56">
        <f>COUNTIF(Payroll!$I$6:$I$56,BV2)*Projections!$B$117</f>
        <v/>
      </c>
      <c r="BW161" s="56">
        <f>COUNTIF(Payroll!$I$6:$I$56,BW2)*Projections!$B$117</f>
        <v/>
      </c>
      <c r="BX161" s="56">
        <f>COUNTIF(Payroll!$I$6:$I$56,BX2)*Projections!$B$117</f>
        <v/>
      </c>
      <c r="BY161" s="56">
        <f>COUNTIF(Payroll!$I$6:$I$56,BY2)*Projections!$B$117</f>
        <v/>
      </c>
      <c r="BZ161" s="56">
        <f>COUNTIF(Payroll!$I$6:$I$56,BZ2)*Projections!$B$117</f>
        <v/>
      </c>
      <c r="CA161" s="56">
        <f>COUNTIF(Payroll!$I$6:$I$56,CA2)*Projections!$B$117</f>
        <v/>
      </c>
      <c r="CB161" s="56">
        <f>COUNTIF(Payroll!$I$6:$I$56,CB2)*Projections!$B$117</f>
        <v/>
      </c>
      <c r="CC161" s="56">
        <f>COUNTIF(Payroll!$I$6:$I$56,CC2)*Projections!$B$117</f>
        <v/>
      </c>
      <c r="CD161" s="56">
        <f>COUNTIF(Payroll!$I$6:$I$56,CD2)*Projections!$B$117</f>
        <v/>
      </c>
      <c r="CE161" s="56">
        <f>COUNTIF(Payroll!$I$6:$I$56,CE2)*Projections!$B$117</f>
        <v/>
      </c>
      <c r="CF161" s="56">
        <f>COUNTIF(Payroll!$I$6:$I$56,CF2)*Projections!$B$117</f>
        <v/>
      </c>
      <c r="CG161" s="56">
        <f>COUNTIF(Payroll!$I$6:$I$56,CG2)*Projections!$B$117</f>
        <v/>
      </c>
      <c r="CH161" s="56">
        <f>COUNTIF(Payroll!$I$6:$I$56,CH2)*Projections!$B$117</f>
        <v/>
      </c>
      <c r="CI161" s="56">
        <f>COUNTIF(Payroll!$I$6:$I$56,CI2)*Projections!$B$117</f>
        <v/>
      </c>
      <c r="CJ161" s="56">
        <f>COUNTIF(Payroll!$I$6:$I$56,CJ2)*Projections!$B$117</f>
        <v/>
      </c>
      <c r="CK161" s="56">
        <f>COUNTIF(Payroll!$I$6:$I$56,CK2)*Projections!$B$117</f>
        <v/>
      </c>
      <c r="CL161" s="56">
        <f>COUNTIF(Payroll!$I$6:$I$56,CL2)*Projections!$B$117</f>
        <v/>
      </c>
      <c r="CM161" s="56">
        <f>COUNTIF(Payroll!$I$6:$I$56,CM2)*Projections!$B$117</f>
        <v/>
      </c>
      <c r="CN161" s="56">
        <f>COUNTIF(Payroll!$I$6:$I$56,CN2)*Projections!$B$117</f>
        <v/>
      </c>
      <c r="CO161" s="56">
        <f>COUNTIF(Payroll!$I$6:$I$56,CO2)*Projections!$B$117</f>
        <v/>
      </c>
      <c r="CP161" s="56">
        <f>COUNTIF(Payroll!$I$6:$I$56,CP2)*Projections!$B$117</f>
        <v/>
      </c>
      <c r="CQ161" s="56">
        <f>COUNTIF(Payroll!$I$6:$I$56,CQ2)*Projections!$B$117</f>
        <v/>
      </c>
      <c r="CR161" s="56">
        <f>COUNTIF(Payroll!$I$6:$I$56,CR2)*Projections!$B$117</f>
        <v/>
      </c>
      <c r="CS161" s="56">
        <f>COUNTIF(Payroll!$I$6:$I$56,CS2)*Projections!$B$117</f>
        <v/>
      </c>
      <c r="CT161" s="56">
        <f>COUNTIF(Payroll!$I$6:$I$56,CT2)*Projections!$B$117</f>
        <v/>
      </c>
      <c r="CU161" s="56">
        <f>COUNTIF(Payroll!$I$6:$I$56,CU2)*Projections!$B$117</f>
        <v/>
      </c>
      <c r="CV161" s="56">
        <f>COUNTIF(Payroll!$I$6:$I$56,CV2)*Projections!$B$117</f>
        <v/>
      </c>
      <c r="CW161" s="56">
        <f>COUNTIF(Payroll!$I$6:$I$56,CW2)*Projections!$B$117</f>
        <v/>
      </c>
      <c r="CX161" s="56">
        <f>COUNTIF(Payroll!$I$6:$I$56,CX2)*Projections!$B$117</f>
        <v/>
      </c>
    </row>
    <row r="162" outlineLevel="1" ht="15.75" customHeight="1" s="255">
      <c r="A162" s="56">
        <f>Projections!A120</f>
        <v/>
      </c>
      <c r="B162" s="56" t="n"/>
      <c r="C162" s="56" t="n"/>
      <c r="D162" s="56" t="n"/>
      <c r="E162" s="56">
        <f>IF(E2=Projections!$E$120,Projections!$B$120,0)</f>
        <v/>
      </c>
      <c r="F162" s="56">
        <f>IF(F2=Projections!$E$120,Projections!$B$120,0)</f>
        <v/>
      </c>
      <c r="G162" s="56">
        <f>IF(G2=Projections!$E$120,Projections!$B$120,0)</f>
        <v/>
      </c>
      <c r="H162" s="56">
        <f>IF(H2=Projections!$E$120,Projections!$B$120,0)</f>
        <v/>
      </c>
      <c r="I162" s="56">
        <f>IF(I2=Projections!$E$120,Projections!$B$120,0)</f>
        <v/>
      </c>
      <c r="J162" s="56">
        <f>IF(J2=Projections!$E$120,Projections!$B$120,0)</f>
        <v/>
      </c>
      <c r="K162" s="56">
        <f>IF(K2=Projections!$E$120,Projections!$B$120,0)</f>
        <v/>
      </c>
      <c r="L162" s="56">
        <f>IF(L2=Projections!$E$120,Projections!$B$120,0)</f>
        <v/>
      </c>
      <c r="M162" s="56">
        <f>IF(M2=Projections!$E$120,Projections!$B$120,0)</f>
        <v/>
      </c>
      <c r="N162" s="56">
        <f>IF(N2=Projections!$E$120,Projections!$B$120,0)</f>
        <v/>
      </c>
      <c r="O162" s="56">
        <f>IF(O2=Projections!$E$120,Projections!$B$120,0)</f>
        <v/>
      </c>
      <c r="P162" s="56">
        <f>IF(P2=Projections!$E$120,Projections!$B$120,0)</f>
        <v/>
      </c>
      <c r="Q162" s="56">
        <f>IF(Q2=Projections!$E$120,Projections!$B$120,0)</f>
        <v/>
      </c>
      <c r="R162" s="56">
        <f>IF(R2=Projections!$E$120,Projections!$B$120,0)</f>
        <v/>
      </c>
      <c r="S162" s="56">
        <f>IF(S2=Projections!$E$120,Projections!$B$120,0)</f>
        <v/>
      </c>
      <c r="T162" s="56">
        <f>IF(T2=Projections!$E$120,Projections!$B$120,0)</f>
        <v/>
      </c>
      <c r="U162" s="56">
        <f>IF(U2=Projections!$E$120,Projections!$B$120,0)</f>
        <v/>
      </c>
      <c r="V162" s="56">
        <f>IF(V2=Projections!$E$120,Projections!$B$120,0)</f>
        <v/>
      </c>
      <c r="W162" s="56">
        <f>IF(W2=Projections!$E$120,Projections!$B$120,0)</f>
        <v/>
      </c>
      <c r="X162" s="56">
        <f>IF(X2=Projections!$E$120,Projections!$B$120,0)</f>
        <v/>
      </c>
      <c r="Y162" s="56">
        <f>IF(Y2=Projections!$E$120,Projections!$B$120,0)</f>
        <v/>
      </c>
      <c r="Z162" s="56">
        <f>IF(Z2=Projections!$E$120,Projections!$B$120,0)</f>
        <v/>
      </c>
      <c r="AA162" s="56">
        <f>IF(AA2=Projections!$E$120,Projections!$B$120,0)</f>
        <v/>
      </c>
      <c r="AB162" s="56">
        <f>IF(AB2=Projections!$E$120,Projections!$B$120,0)</f>
        <v/>
      </c>
      <c r="AC162" s="56">
        <f>IF(AC2=Projections!$E$120,Projections!$B$120,0)</f>
        <v/>
      </c>
      <c r="AD162" s="56">
        <f>IF(AD2=Projections!$E$120,Projections!$B$120,0)</f>
        <v/>
      </c>
      <c r="AE162" s="56">
        <f>IF(AE2=Projections!$E$120,Projections!$B$120,0)</f>
        <v/>
      </c>
      <c r="AF162" s="56">
        <f>IF(AF2=Projections!$E$120,Projections!$B$120,0)</f>
        <v/>
      </c>
      <c r="AG162" s="56">
        <f>IF(AG2=Projections!$E$120,Projections!$B$120,0)</f>
        <v/>
      </c>
      <c r="AH162" s="56">
        <f>IF(AH2=Projections!$E$120,Projections!$B$120,0)</f>
        <v/>
      </c>
      <c r="AI162" s="56">
        <f>IF(AI2=Projections!$E$120,Projections!$B$120,0)</f>
        <v/>
      </c>
      <c r="AJ162" s="56">
        <f>IF(AJ2=Projections!$E$120,Projections!$B$120,0)</f>
        <v/>
      </c>
      <c r="AK162" s="56">
        <f>IF(AK2=Projections!$E$120,Projections!$B$120,0)</f>
        <v/>
      </c>
      <c r="AL162" s="56">
        <f>IF(AL2=Projections!$E$120,Projections!$B$120,0)</f>
        <v/>
      </c>
      <c r="AM162" s="56">
        <f>IF(AM2=Projections!$E$120,Projections!$B$120,0)</f>
        <v/>
      </c>
      <c r="AN162" s="56">
        <f>IF(AN2=Projections!$E$120,Projections!$B$120,0)</f>
        <v/>
      </c>
      <c r="AO162" s="56">
        <f>IF(AO2=Projections!$E$120,Projections!$B$120,0)</f>
        <v/>
      </c>
      <c r="AP162" s="56">
        <f>IF(AP2=Projections!$E$120,Projections!$B$120,0)</f>
        <v/>
      </c>
      <c r="AQ162" s="56">
        <f>IF(AQ2=Projections!$E$120,Projections!$B$120,0)</f>
        <v/>
      </c>
      <c r="AR162" s="56">
        <f>IF(AR2=Projections!$E$120,Projections!$B$120,0)</f>
        <v/>
      </c>
      <c r="AS162" s="56">
        <f>IF(AS2=Projections!$E$120,Projections!$B$120,0)</f>
        <v/>
      </c>
      <c r="AT162" s="56">
        <f>IF(AT2=Projections!$E$120,Projections!$B$120,0)</f>
        <v/>
      </c>
      <c r="AU162" s="56">
        <f>IF(AU2=Projections!$E$120,Projections!$B$120,0)</f>
        <v/>
      </c>
      <c r="AV162" s="56">
        <f>IF(AV2=Projections!$E$120,Projections!$B$120,0)</f>
        <v/>
      </c>
      <c r="AW162" s="56">
        <f>IF(AW2=Projections!$E$120,Projections!$B$120,0)</f>
        <v/>
      </c>
      <c r="AX162" s="56">
        <f>IF(AX2=Projections!$E$120,Projections!$B$120,0)</f>
        <v/>
      </c>
      <c r="AY162" s="56">
        <f>IF(AY2=Projections!$E$120,Projections!$B$120,0)</f>
        <v/>
      </c>
      <c r="AZ162" s="56">
        <f>IF(AZ2=Projections!$E$120,Projections!$B$120,0)</f>
        <v/>
      </c>
      <c r="BA162" s="56">
        <f>IF(BA2=Projections!$E$120,Projections!$B$120,0)</f>
        <v/>
      </c>
      <c r="BB162" s="56">
        <f>IF(BB2=Projections!$E$120,Projections!$B$120,0)</f>
        <v/>
      </c>
      <c r="BC162" s="56">
        <f>IF(BC2=Projections!$E$120,Projections!$B$120,0)</f>
        <v/>
      </c>
      <c r="BD162" s="56">
        <f>IF(BD2=Projections!$E$120,Projections!$B$120,0)</f>
        <v/>
      </c>
      <c r="BE162" s="56">
        <f>IF(BE2=Projections!$E$120,Projections!$B$120,0)</f>
        <v/>
      </c>
      <c r="BF162" s="56">
        <f>IF(BF2=Projections!$E$120,Projections!$B$120,0)</f>
        <v/>
      </c>
      <c r="BG162" s="56">
        <f>IF(BG2=Projections!$E$120,Projections!$B$120,0)</f>
        <v/>
      </c>
      <c r="BH162" s="56">
        <f>IF(BH2=Projections!$E$120,Projections!$B$120,0)</f>
        <v/>
      </c>
      <c r="BI162" s="56">
        <f>IF(BI2=Projections!$E$120,Projections!$B$120,0)</f>
        <v/>
      </c>
      <c r="BJ162" s="56">
        <f>IF(BJ2=Projections!$E$120,Projections!$B$120,0)</f>
        <v/>
      </c>
      <c r="BK162" s="56">
        <f>IF(BK2=Projections!$E$120,Projections!$B$120,0)</f>
        <v/>
      </c>
      <c r="BL162" s="56">
        <f>IF(BL2=Projections!$E$120,Projections!$B$120,0)</f>
        <v/>
      </c>
      <c r="BM162" s="56">
        <f>IF(BM2=Projections!$E$120,Projections!$B$120,0)</f>
        <v/>
      </c>
      <c r="BN162" s="56">
        <f>IF(BN2=Projections!$E$120,Projections!$B$120,0)</f>
        <v/>
      </c>
      <c r="BO162" s="56">
        <f>IF(BO2=Projections!$E$120,Projections!$B$120,0)</f>
        <v/>
      </c>
      <c r="BP162" s="56">
        <f>IF(BP2=Projections!$E$120,Projections!$B$120,0)</f>
        <v/>
      </c>
      <c r="BQ162" s="56">
        <f>IF(BQ2=Projections!$E$120,Projections!$B$120,0)</f>
        <v/>
      </c>
      <c r="BR162" s="56">
        <f>IF(BR2=Projections!$E$120,Projections!$B$120,0)</f>
        <v/>
      </c>
      <c r="BS162" s="56">
        <f>IF(BS2=Projections!$E$120,Projections!$B$120,0)</f>
        <v/>
      </c>
      <c r="BT162" s="56">
        <f>IF(BT2=Projections!$E$120,Projections!$B$120,0)</f>
        <v/>
      </c>
      <c r="BU162" s="56">
        <f>IF(BU2=Projections!$E$120,Projections!$B$120,0)</f>
        <v/>
      </c>
      <c r="BV162" s="56">
        <f>IF(BV2=Projections!$E$120,Projections!$B$120,0)</f>
        <v/>
      </c>
      <c r="BW162" s="56">
        <f>IF(BW2=Projections!$E$120,Projections!$B$120,0)</f>
        <v/>
      </c>
      <c r="BX162" s="56">
        <f>IF(BX2=Projections!$E$120,Projections!$B$120,0)</f>
        <v/>
      </c>
      <c r="BY162" s="56">
        <f>IF(BY2=Projections!$E$120,Projections!$B$120,0)</f>
        <v/>
      </c>
      <c r="BZ162" s="56">
        <f>IF(BZ2=Projections!$E$120,Projections!$B$120,0)</f>
        <v/>
      </c>
      <c r="CA162" s="56">
        <f>IF(CA2=Projections!$E$120,Projections!$B$120,0)</f>
        <v/>
      </c>
      <c r="CB162" s="56">
        <f>IF(CB2=Projections!$E$120,Projections!$B$120,0)</f>
        <v/>
      </c>
      <c r="CC162" s="56">
        <f>IF(CC2=Projections!$E$120,Projections!$B$120,0)</f>
        <v/>
      </c>
      <c r="CD162" s="56">
        <f>IF(CD2=Projections!$E$120,Projections!$B$120,0)</f>
        <v/>
      </c>
      <c r="CE162" s="56">
        <f>IF(CE2=Projections!$E$120,Projections!$B$120,0)</f>
        <v/>
      </c>
      <c r="CF162" s="56">
        <f>IF(CF2=Projections!$E$120,Projections!$B$120,0)</f>
        <v/>
      </c>
      <c r="CG162" s="56">
        <f>IF(CG2=Projections!$E$120,Projections!$B$120,0)</f>
        <v/>
      </c>
      <c r="CH162" s="56">
        <f>IF(CH2=Projections!$E$120,Projections!$B$120,0)</f>
        <v/>
      </c>
      <c r="CI162" s="56">
        <f>IF(CI2=Projections!$E$120,Projections!$B$120,0)</f>
        <v/>
      </c>
      <c r="CJ162" s="56">
        <f>IF(CJ2=Projections!$E$120,Projections!$B$120,0)</f>
        <v/>
      </c>
      <c r="CK162" s="56">
        <f>IF(CK2=Projections!$E$120,Projections!$B$120,0)</f>
        <v/>
      </c>
      <c r="CL162" s="56">
        <f>IF(CL2=Projections!$E$120,Projections!$B$120,0)</f>
        <v/>
      </c>
      <c r="CM162" s="56">
        <f>IF(CM2=Projections!$E$120,Projections!$B$120,0)</f>
        <v/>
      </c>
      <c r="CN162" s="56">
        <f>IF(CN2=Projections!$E$120,Projections!$B$120,0)</f>
        <v/>
      </c>
      <c r="CO162" s="56">
        <f>IF(CO2=Projections!$E$120,Projections!$B$120,0)</f>
        <v/>
      </c>
      <c r="CP162" s="56">
        <f>IF(CP2=Projections!$E$120,Projections!$B$120,0)</f>
        <v/>
      </c>
      <c r="CQ162" s="56">
        <f>IF(CQ2=Projections!$E$120,Projections!$B$120,0)</f>
        <v/>
      </c>
      <c r="CR162" s="56">
        <f>IF(CR2=Projections!$E$120,Projections!$B$120,0)</f>
        <v/>
      </c>
      <c r="CS162" s="56">
        <f>IF(CS2=Projections!$E$120,Projections!$B$120,0)</f>
        <v/>
      </c>
      <c r="CT162" s="56">
        <f>IF(CT2=Projections!$E$120,Projections!$B$120,0)</f>
        <v/>
      </c>
      <c r="CU162" s="56">
        <f>IF(CU2=Projections!$E$120,Projections!$B$120,0)</f>
        <v/>
      </c>
      <c r="CV162" s="56">
        <f>IF(CV2=Projections!$E$120,Projections!$B$120,0)</f>
        <v/>
      </c>
      <c r="CW162" s="56">
        <f>IF(CW2=Projections!$E$120,Projections!$B$120,0)</f>
        <v/>
      </c>
      <c r="CX162" s="56">
        <f>IF(CX2=Projections!$E$120,Projections!$B$120,0)</f>
        <v/>
      </c>
    </row>
    <row r="163" outlineLevel="1" ht="15.75" customHeight="1" s="255">
      <c r="A163" s="56">
        <f>Projections!A121</f>
        <v/>
      </c>
      <c r="B163" s="56" t="n"/>
      <c r="C163" s="56" t="n"/>
      <c r="D163" s="56" t="n"/>
      <c r="E163" s="56">
        <f>IF(E2=Projections!$E$121,Projections!$B$121,0)</f>
        <v/>
      </c>
      <c r="F163" s="56">
        <f>IF(F2=Projections!$E$121,Projections!$B$121,0)</f>
        <v/>
      </c>
      <c r="G163" s="56">
        <f>IF(G2=Projections!$E$121,Projections!$B$121,0)</f>
        <v/>
      </c>
      <c r="H163" s="56">
        <f>IF(H2=Projections!$E$121,Projections!$B$121,0)</f>
        <v/>
      </c>
      <c r="I163" s="56">
        <f>IF(I2=Projections!$E$121,Projections!$B$121,0)</f>
        <v/>
      </c>
      <c r="J163" s="56">
        <f>IF(J2=Projections!$E$121,Projections!$B$121,0)</f>
        <v/>
      </c>
      <c r="K163" s="56">
        <f>IF(K2=Projections!$E$121,Projections!$B$121,0)</f>
        <v/>
      </c>
      <c r="L163" s="56">
        <f>IF(L2=Projections!$E$121,Projections!$B$121,0)</f>
        <v/>
      </c>
      <c r="M163" s="56">
        <f>IF(M2=Projections!$E$121,Projections!$B$121,0)</f>
        <v/>
      </c>
      <c r="N163" s="56">
        <f>IF(N2=Projections!$E$121,Projections!$B$121,0)</f>
        <v/>
      </c>
      <c r="O163" s="56">
        <f>IF(O2=Projections!$E$121,Projections!$B$121,0)</f>
        <v/>
      </c>
      <c r="P163" s="56">
        <f>IF(P2=Projections!$E$121,Projections!$B$121,0)</f>
        <v/>
      </c>
      <c r="Q163" s="56">
        <f>IF(Q2=Projections!$E$121,Projections!$B$121,0)</f>
        <v/>
      </c>
      <c r="R163" s="56">
        <f>IF(R2=Projections!$E$121,Projections!$B$121,0)</f>
        <v/>
      </c>
      <c r="S163" s="56">
        <f>IF(S2=Projections!$E$121,Projections!$B$121,0)</f>
        <v/>
      </c>
      <c r="T163" s="56">
        <f>IF(T2=Projections!$E$121,Projections!$B$121,0)</f>
        <v/>
      </c>
      <c r="U163" s="56">
        <f>IF(U2=Projections!$E$121,Projections!$B$121,0)</f>
        <v/>
      </c>
      <c r="V163" s="56">
        <f>IF(V2=Projections!$E$121,Projections!$B$121,0)</f>
        <v/>
      </c>
      <c r="W163" s="56">
        <f>IF(W2=Projections!$E$121,Projections!$B$121,0)</f>
        <v/>
      </c>
      <c r="X163" s="56">
        <f>IF(X2=Projections!$E$121,Projections!$B$121,0)</f>
        <v/>
      </c>
      <c r="Y163" s="56">
        <f>IF(Y2=Projections!$E$121,Projections!$B$121,0)</f>
        <v/>
      </c>
      <c r="Z163" s="56">
        <f>IF(Z2=Projections!$E$121,Projections!$B$121,0)</f>
        <v/>
      </c>
      <c r="AA163" s="56">
        <f>IF(AA2=Projections!$E$121,Projections!$B$121,0)</f>
        <v/>
      </c>
      <c r="AB163" s="56">
        <f>IF(AB2=Projections!$E$121,Projections!$B$121,0)</f>
        <v/>
      </c>
      <c r="AC163" s="56">
        <f>IF(AC2=Projections!$E$121,Projections!$B$121,0)</f>
        <v/>
      </c>
      <c r="AD163" s="56">
        <f>IF(AD2=Projections!$E$121,Projections!$B$121,0)</f>
        <v/>
      </c>
      <c r="AE163" s="56">
        <f>IF(AE2=Projections!$E$121,Projections!$B$121,0)</f>
        <v/>
      </c>
      <c r="AF163" s="56">
        <f>IF(AF2=Projections!$E$121,Projections!$B$121,0)</f>
        <v/>
      </c>
      <c r="AG163" s="56">
        <f>IF(AG2=Projections!$E$121,Projections!$B$121,0)</f>
        <v/>
      </c>
      <c r="AH163" s="56">
        <f>IF(AH2=Projections!$E$121,Projections!$B$121,0)</f>
        <v/>
      </c>
      <c r="AI163" s="56">
        <f>IF(AI2=Projections!$E$121,Projections!$B$121,0)</f>
        <v/>
      </c>
      <c r="AJ163" s="56">
        <f>IF(AJ2=Projections!$E$121,Projections!$B$121,0)</f>
        <v/>
      </c>
      <c r="AK163" s="56">
        <f>IF(AK2=Projections!$E$121,Projections!$B$121,0)</f>
        <v/>
      </c>
      <c r="AL163" s="56">
        <f>IF(AL2=Projections!$E$121,Projections!$B$121,0)</f>
        <v/>
      </c>
      <c r="AM163" s="56">
        <f>IF(AM2=Projections!$E$121,Projections!$B$121,0)</f>
        <v/>
      </c>
      <c r="AN163" s="56">
        <f>IF(AN2=Projections!$E$121,Projections!$B$121,0)</f>
        <v/>
      </c>
      <c r="AO163" s="56">
        <f>IF(AO2=Projections!$E$121,Projections!$B$121,0)</f>
        <v/>
      </c>
      <c r="AP163" s="56">
        <f>IF(AP2=Projections!$E$121,Projections!$B$121,0)</f>
        <v/>
      </c>
      <c r="AQ163" s="56">
        <f>IF(AQ2=Projections!$E$121,Projections!$B$121,0)</f>
        <v/>
      </c>
      <c r="AR163" s="56">
        <f>IF(AR2=Projections!$E$121,Projections!$B$121,0)</f>
        <v/>
      </c>
      <c r="AS163" s="56">
        <f>IF(AS2=Projections!$E$121,Projections!$B$121,0)</f>
        <v/>
      </c>
      <c r="AT163" s="56">
        <f>IF(AT2=Projections!$E$121,Projections!$B$121,0)</f>
        <v/>
      </c>
      <c r="AU163" s="56">
        <f>IF(AU2=Projections!$E$121,Projections!$B$121,0)</f>
        <v/>
      </c>
      <c r="AV163" s="56">
        <f>IF(AV2=Projections!$E$121,Projections!$B$121,0)</f>
        <v/>
      </c>
      <c r="AW163" s="56">
        <f>IF(AW2=Projections!$E$121,Projections!$B$121,0)</f>
        <v/>
      </c>
      <c r="AX163" s="56">
        <f>IF(AX2=Projections!$E$121,Projections!$B$121,0)</f>
        <v/>
      </c>
      <c r="AY163" s="56">
        <f>IF(AY2=Projections!$E$121,Projections!$B$121,0)</f>
        <v/>
      </c>
      <c r="AZ163" s="56">
        <f>IF(AZ2=Projections!$E$121,Projections!$B$121,0)</f>
        <v/>
      </c>
      <c r="BA163" s="56">
        <f>IF(BA2=Projections!$E$121,Projections!$B$121,0)</f>
        <v/>
      </c>
      <c r="BB163" s="56">
        <f>IF(BB2=Projections!$E$121,Projections!$B$121,0)</f>
        <v/>
      </c>
      <c r="BC163" s="56">
        <f>IF(BC2=Projections!$E$121,Projections!$B$121,0)</f>
        <v/>
      </c>
      <c r="BD163" s="56">
        <f>IF(BD2=Projections!$E$121,Projections!$B$121,0)</f>
        <v/>
      </c>
      <c r="BE163" s="56">
        <f>IF(BE2=Projections!$E$121,Projections!$B$121,0)</f>
        <v/>
      </c>
      <c r="BF163" s="56">
        <f>IF(BF2=Projections!$E$121,Projections!$B$121,0)</f>
        <v/>
      </c>
      <c r="BG163" s="56">
        <f>IF(BG2=Projections!$E$121,Projections!$B$121,0)</f>
        <v/>
      </c>
      <c r="BH163" s="56">
        <f>IF(BH2=Projections!$E$121,Projections!$B$121,0)</f>
        <v/>
      </c>
      <c r="BI163" s="56">
        <f>IF(BI2=Projections!$E$121,Projections!$B$121,0)</f>
        <v/>
      </c>
      <c r="BJ163" s="56">
        <f>IF(BJ2=Projections!$E$121,Projections!$B$121,0)</f>
        <v/>
      </c>
      <c r="BK163" s="56">
        <f>IF(BK2=Projections!$E$121,Projections!$B$121,0)</f>
        <v/>
      </c>
      <c r="BL163" s="56">
        <f>IF(BL2=Projections!$E$121,Projections!$B$121,0)</f>
        <v/>
      </c>
      <c r="BM163" s="56">
        <f>IF(BM2=Projections!$E$121,Projections!$B$121,0)</f>
        <v/>
      </c>
      <c r="BN163" s="56">
        <f>IF(BN2=Projections!$E$121,Projections!$B$121,0)</f>
        <v/>
      </c>
      <c r="BO163" s="56">
        <f>IF(BO2=Projections!$E$121,Projections!$B$121,0)</f>
        <v/>
      </c>
      <c r="BP163" s="56">
        <f>IF(BP2=Projections!$E$121,Projections!$B$121,0)</f>
        <v/>
      </c>
      <c r="BQ163" s="56">
        <f>IF(BQ2=Projections!$E$121,Projections!$B$121,0)</f>
        <v/>
      </c>
      <c r="BR163" s="56">
        <f>IF(BR2=Projections!$E$121,Projections!$B$121,0)</f>
        <v/>
      </c>
      <c r="BS163" s="56">
        <f>IF(BS2=Projections!$E$121,Projections!$B$121,0)</f>
        <v/>
      </c>
      <c r="BT163" s="56">
        <f>IF(BT2=Projections!$E$121,Projections!$B$121,0)</f>
        <v/>
      </c>
      <c r="BU163" s="56">
        <f>IF(BU2=Projections!$E$121,Projections!$B$121,0)</f>
        <v/>
      </c>
      <c r="BV163" s="56">
        <f>IF(BV2=Projections!$E$121,Projections!$B$121,0)</f>
        <v/>
      </c>
      <c r="BW163" s="56">
        <f>IF(BW2=Projections!$E$121,Projections!$B$121,0)</f>
        <v/>
      </c>
      <c r="BX163" s="56">
        <f>IF(BX2=Projections!$E$121,Projections!$B$121,0)</f>
        <v/>
      </c>
      <c r="BY163" s="56">
        <f>IF(BY2=Projections!$E$121,Projections!$B$121,0)</f>
        <v/>
      </c>
      <c r="BZ163" s="56">
        <f>IF(BZ2=Projections!$E$121,Projections!$B$121,0)</f>
        <v/>
      </c>
      <c r="CA163" s="56">
        <f>IF(CA2=Projections!$E$121,Projections!$B$121,0)</f>
        <v/>
      </c>
      <c r="CB163" s="56">
        <f>IF(CB2=Projections!$E$121,Projections!$B$121,0)</f>
        <v/>
      </c>
      <c r="CC163" s="56">
        <f>IF(CC2=Projections!$E$121,Projections!$B$121,0)</f>
        <v/>
      </c>
      <c r="CD163" s="56">
        <f>IF(CD2=Projections!$E$121,Projections!$B$121,0)</f>
        <v/>
      </c>
      <c r="CE163" s="56">
        <f>IF(CE2=Projections!$E$121,Projections!$B$121,0)</f>
        <v/>
      </c>
      <c r="CF163" s="56">
        <f>IF(CF2=Projections!$E$121,Projections!$B$121,0)</f>
        <v/>
      </c>
      <c r="CG163" s="56">
        <f>IF(CG2=Projections!$E$121,Projections!$B$121,0)</f>
        <v/>
      </c>
      <c r="CH163" s="56">
        <f>IF(CH2=Projections!$E$121,Projections!$B$121,0)</f>
        <v/>
      </c>
      <c r="CI163" s="56">
        <f>IF(CI2=Projections!$E$121,Projections!$B$121,0)</f>
        <v/>
      </c>
      <c r="CJ163" s="56">
        <f>IF(CJ2=Projections!$E$121,Projections!$B$121,0)</f>
        <v/>
      </c>
      <c r="CK163" s="56">
        <f>IF(CK2=Projections!$E$121,Projections!$B$121,0)</f>
        <v/>
      </c>
      <c r="CL163" s="56">
        <f>IF(CL2=Projections!$E$121,Projections!$B$121,0)</f>
        <v/>
      </c>
      <c r="CM163" s="56">
        <f>IF(CM2=Projections!$E$121,Projections!$B$121,0)</f>
        <v/>
      </c>
      <c r="CN163" s="56">
        <f>IF(CN2=Projections!$E$121,Projections!$B$121,0)</f>
        <v/>
      </c>
      <c r="CO163" s="56">
        <f>IF(CO2=Projections!$E$121,Projections!$B$121,0)</f>
        <v/>
      </c>
      <c r="CP163" s="56">
        <f>IF(CP2=Projections!$E$121,Projections!$B$121,0)</f>
        <v/>
      </c>
      <c r="CQ163" s="56">
        <f>IF(CQ2=Projections!$E$121,Projections!$B$121,0)</f>
        <v/>
      </c>
      <c r="CR163" s="56">
        <f>IF(CR2=Projections!$E$121,Projections!$B$121,0)</f>
        <v/>
      </c>
      <c r="CS163" s="56">
        <f>IF(CS2=Projections!$E$121,Projections!$B$121,0)</f>
        <v/>
      </c>
      <c r="CT163" s="56">
        <f>IF(CT2=Projections!$E$121,Projections!$B$121,0)</f>
        <v/>
      </c>
      <c r="CU163" s="56">
        <f>IF(CU2=Projections!$E$121,Projections!$B$121,0)</f>
        <v/>
      </c>
      <c r="CV163" s="56">
        <f>IF(CV2=Projections!$E$121,Projections!$B$121,0)</f>
        <v/>
      </c>
      <c r="CW163" s="56">
        <f>IF(CW2=Projections!$E$121,Projections!$B$121,0)</f>
        <v/>
      </c>
      <c r="CX163" s="56">
        <f>IF(CX2=Projections!$E$121,Projections!$B$121,0)</f>
        <v/>
      </c>
    </row>
    <row r="164" outlineLevel="1" ht="15.75" customHeight="1" s="255">
      <c r="A164" s="56">
        <f>Projections!A122</f>
        <v/>
      </c>
      <c r="B164" s="56" t="n"/>
      <c r="C164" s="56" t="n"/>
      <c r="D164" s="56" t="n"/>
      <c r="E164" s="56">
        <f>IF(E2=Projections!$E$122,Projections!$B$122,0)</f>
        <v/>
      </c>
      <c r="F164" s="56">
        <f>IF(F2=Projections!$E$122,Projections!$B$122,0)</f>
        <v/>
      </c>
      <c r="G164" s="56">
        <f>IF(G2=Projections!$E$122,Projections!$B$122,0)</f>
        <v/>
      </c>
      <c r="H164" s="56">
        <f>IF(H2=Projections!$E$122,Projections!$B$122,0)</f>
        <v/>
      </c>
      <c r="I164" s="56">
        <f>IF(I2=Projections!$E$122,Projections!$B$122,0)</f>
        <v/>
      </c>
      <c r="J164" s="56">
        <f>IF(J2=Projections!$E$122,Projections!$B$122,0)</f>
        <v/>
      </c>
      <c r="K164" s="56">
        <f>IF(K2=Projections!$E$122,Projections!$B$122,0)</f>
        <v/>
      </c>
      <c r="L164" s="56">
        <f>IF(L2=Projections!$E$122,Projections!$B$122,0)</f>
        <v/>
      </c>
      <c r="M164" s="56">
        <f>IF(M2=Projections!$E$122,Projections!$B$122,0)</f>
        <v/>
      </c>
      <c r="N164" s="56">
        <f>IF(N2=Projections!$E$122,Projections!$B$122,0)</f>
        <v/>
      </c>
      <c r="O164" s="56">
        <f>IF(O2=Projections!$E$122,Projections!$B$122,0)</f>
        <v/>
      </c>
      <c r="P164" s="56">
        <f>IF(P2=Projections!$E$122,Projections!$B$122,0)</f>
        <v/>
      </c>
      <c r="Q164" s="56">
        <f>IF(Q2=Projections!$E$122,Projections!$B$122,0)</f>
        <v/>
      </c>
      <c r="R164" s="56">
        <f>IF(R2=Projections!$E$122,Projections!$B$122,0)</f>
        <v/>
      </c>
      <c r="S164" s="56">
        <f>IF(S2=Projections!$E$122,Projections!$B$122,0)</f>
        <v/>
      </c>
      <c r="T164" s="56">
        <f>IF(T2=Projections!$E$122,Projections!$B$122,0)</f>
        <v/>
      </c>
      <c r="U164" s="56">
        <f>IF(U2=Projections!$E$122,Projections!$B$122,0)</f>
        <v/>
      </c>
      <c r="V164" s="56">
        <f>IF(V2=Projections!$E$122,Projections!$B$122,0)</f>
        <v/>
      </c>
      <c r="W164" s="56">
        <f>IF(W2=Projections!$E$122,Projections!$B$122,0)</f>
        <v/>
      </c>
      <c r="X164" s="56">
        <f>IF(X2=Projections!$E$122,Projections!$B$122,0)</f>
        <v/>
      </c>
      <c r="Y164" s="56">
        <f>IF(Y2=Projections!$E$122,Projections!$B$122,0)</f>
        <v/>
      </c>
      <c r="Z164" s="56">
        <f>IF(Z2=Projections!$E$122,Projections!$B$122,0)</f>
        <v/>
      </c>
      <c r="AA164" s="56">
        <f>IF(AA2=Projections!$E$122,Projections!$B$122,0)</f>
        <v/>
      </c>
      <c r="AB164" s="56">
        <f>IF(AB2=Projections!$E$122,Projections!$B$122,0)</f>
        <v/>
      </c>
      <c r="AC164" s="56">
        <f>IF(AC2=Projections!$E$122,Projections!$B$122,0)</f>
        <v/>
      </c>
      <c r="AD164" s="56">
        <f>IF(AD2=Projections!$E$122,Projections!$B$122,0)</f>
        <v/>
      </c>
      <c r="AE164" s="56">
        <f>IF(AE2=Projections!$E$122,Projections!$B$122,0)</f>
        <v/>
      </c>
      <c r="AF164" s="56">
        <f>IF(AF2=Projections!$E$122,Projections!$B$122,0)</f>
        <v/>
      </c>
      <c r="AG164" s="56">
        <f>IF(AG2=Projections!$E$122,Projections!$B$122,0)</f>
        <v/>
      </c>
      <c r="AH164" s="56">
        <f>IF(AH2=Projections!$E$122,Projections!$B$122,0)</f>
        <v/>
      </c>
      <c r="AI164" s="56">
        <f>IF(AI2=Projections!$E$122,Projections!$B$122,0)</f>
        <v/>
      </c>
      <c r="AJ164" s="56">
        <f>IF(AJ2=Projections!$E$122,Projections!$B$122,0)</f>
        <v/>
      </c>
      <c r="AK164" s="56">
        <f>IF(AK2=Projections!$E$122,Projections!$B$122,0)</f>
        <v/>
      </c>
      <c r="AL164" s="56">
        <f>IF(AL2=Projections!$E$122,Projections!$B$122,0)</f>
        <v/>
      </c>
      <c r="AM164" s="56">
        <f>IF(AM2=Projections!$E$122,Projections!$B$122,0)</f>
        <v/>
      </c>
      <c r="AN164" s="56">
        <f>IF(AN2=Projections!$E$122,Projections!$B$122,0)</f>
        <v/>
      </c>
      <c r="AO164" s="56">
        <f>IF(AO2=Projections!$E$122,Projections!$B$122,0)</f>
        <v/>
      </c>
      <c r="AP164" s="56">
        <f>IF(AP2=Projections!$E$122,Projections!$B$122,0)</f>
        <v/>
      </c>
      <c r="AQ164" s="56">
        <f>IF(AQ2=Projections!$E$122,Projections!$B$122,0)</f>
        <v/>
      </c>
      <c r="AR164" s="56">
        <f>IF(AR2=Projections!$E$122,Projections!$B$122,0)</f>
        <v/>
      </c>
      <c r="AS164" s="56">
        <f>IF(AS2=Projections!$E$122,Projections!$B$122,0)</f>
        <v/>
      </c>
      <c r="AT164" s="56">
        <f>IF(AT2=Projections!$E$122,Projections!$B$122,0)</f>
        <v/>
      </c>
      <c r="AU164" s="56">
        <f>IF(AU2=Projections!$E$122,Projections!$B$122,0)</f>
        <v/>
      </c>
      <c r="AV164" s="56">
        <f>IF(AV2=Projections!$E$122,Projections!$B$122,0)</f>
        <v/>
      </c>
      <c r="AW164" s="56">
        <f>IF(AW2=Projections!$E$122,Projections!$B$122,0)</f>
        <v/>
      </c>
      <c r="AX164" s="56">
        <f>IF(AX2=Projections!$E$122,Projections!$B$122,0)</f>
        <v/>
      </c>
      <c r="AY164" s="56">
        <f>IF(AY2=Projections!$E$122,Projections!$B$122,0)</f>
        <v/>
      </c>
      <c r="AZ164" s="56">
        <f>IF(AZ2=Projections!$E$122,Projections!$B$122,0)</f>
        <v/>
      </c>
      <c r="BA164" s="56">
        <f>IF(BA2=Projections!$E$122,Projections!$B$122,0)</f>
        <v/>
      </c>
      <c r="BB164" s="56">
        <f>IF(BB2=Projections!$E$122,Projections!$B$122,0)</f>
        <v/>
      </c>
      <c r="BC164" s="56">
        <f>IF(BC2=Projections!$E$122,Projections!$B$122,0)</f>
        <v/>
      </c>
      <c r="BD164" s="56">
        <f>IF(BD2=Projections!$E$122,Projections!$B$122,0)</f>
        <v/>
      </c>
      <c r="BE164" s="56">
        <f>IF(BE2=Projections!$E$122,Projections!$B$122,0)</f>
        <v/>
      </c>
      <c r="BF164" s="56">
        <f>IF(BF2=Projections!$E$122,Projections!$B$122,0)</f>
        <v/>
      </c>
      <c r="BG164" s="56">
        <f>IF(BG2=Projections!$E$122,Projections!$B$122,0)</f>
        <v/>
      </c>
      <c r="BH164" s="56">
        <f>IF(BH2=Projections!$E$122,Projections!$B$122,0)</f>
        <v/>
      </c>
      <c r="BI164" s="56">
        <f>IF(BI2=Projections!$E$122,Projections!$B$122,0)</f>
        <v/>
      </c>
      <c r="BJ164" s="56">
        <f>IF(BJ2=Projections!$E$122,Projections!$B$122,0)</f>
        <v/>
      </c>
      <c r="BK164" s="56">
        <f>IF(BK2=Projections!$E$122,Projections!$B$122,0)</f>
        <v/>
      </c>
      <c r="BL164" s="56">
        <f>IF(BL2=Projections!$E$122,Projections!$B$122,0)</f>
        <v/>
      </c>
      <c r="BM164" s="56">
        <f>IF(BM2=Projections!$E$122,Projections!$B$122,0)</f>
        <v/>
      </c>
      <c r="BN164" s="56">
        <f>IF(BN2=Projections!$E$122,Projections!$B$122,0)</f>
        <v/>
      </c>
      <c r="BO164" s="56">
        <f>IF(BO2=Projections!$E$122,Projections!$B$122,0)</f>
        <v/>
      </c>
      <c r="BP164" s="56">
        <f>IF(BP2=Projections!$E$122,Projections!$B$122,0)</f>
        <v/>
      </c>
      <c r="BQ164" s="56">
        <f>IF(BQ2=Projections!$E$122,Projections!$B$122,0)</f>
        <v/>
      </c>
      <c r="BR164" s="56">
        <f>IF(BR2=Projections!$E$122,Projections!$B$122,0)</f>
        <v/>
      </c>
      <c r="BS164" s="56">
        <f>IF(BS2=Projections!$E$122,Projections!$B$122,0)</f>
        <v/>
      </c>
      <c r="BT164" s="56">
        <f>IF(BT2=Projections!$E$122,Projections!$B$122,0)</f>
        <v/>
      </c>
      <c r="BU164" s="56">
        <f>IF(BU2=Projections!$E$122,Projections!$B$122,0)</f>
        <v/>
      </c>
      <c r="BV164" s="56">
        <f>IF(BV2=Projections!$E$122,Projections!$B$122,0)</f>
        <v/>
      </c>
      <c r="BW164" s="56">
        <f>IF(BW2=Projections!$E$122,Projections!$B$122,0)</f>
        <v/>
      </c>
      <c r="BX164" s="56">
        <f>IF(BX2=Projections!$E$122,Projections!$B$122,0)</f>
        <v/>
      </c>
      <c r="BY164" s="56">
        <f>IF(BY2=Projections!$E$122,Projections!$B$122,0)</f>
        <v/>
      </c>
      <c r="BZ164" s="56">
        <f>IF(BZ2=Projections!$E$122,Projections!$B$122,0)</f>
        <v/>
      </c>
      <c r="CA164" s="56">
        <f>IF(CA2=Projections!$E$122,Projections!$B$122,0)</f>
        <v/>
      </c>
      <c r="CB164" s="56">
        <f>IF(CB2=Projections!$E$122,Projections!$B$122,0)</f>
        <v/>
      </c>
      <c r="CC164" s="56">
        <f>IF(CC2=Projections!$E$122,Projections!$B$122,0)</f>
        <v/>
      </c>
      <c r="CD164" s="56">
        <f>IF(CD2=Projections!$E$122,Projections!$B$122,0)</f>
        <v/>
      </c>
      <c r="CE164" s="56">
        <f>IF(CE2=Projections!$E$122,Projections!$B$122,0)</f>
        <v/>
      </c>
      <c r="CF164" s="56">
        <f>IF(CF2=Projections!$E$122,Projections!$B$122,0)</f>
        <v/>
      </c>
      <c r="CG164" s="56">
        <f>IF(CG2=Projections!$E$122,Projections!$B$122,0)</f>
        <v/>
      </c>
      <c r="CH164" s="56">
        <f>IF(CH2=Projections!$E$122,Projections!$B$122,0)</f>
        <v/>
      </c>
      <c r="CI164" s="56">
        <f>IF(CI2=Projections!$E$122,Projections!$B$122,0)</f>
        <v/>
      </c>
      <c r="CJ164" s="56">
        <f>IF(CJ2=Projections!$E$122,Projections!$B$122,0)</f>
        <v/>
      </c>
      <c r="CK164" s="56">
        <f>IF(CK2=Projections!$E$122,Projections!$B$122,0)</f>
        <v/>
      </c>
      <c r="CL164" s="56">
        <f>IF(CL2=Projections!$E$122,Projections!$B$122,0)</f>
        <v/>
      </c>
      <c r="CM164" s="56">
        <f>IF(CM2=Projections!$E$122,Projections!$B$122,0)</f>
        <v/>
      </c>
      <c r="CN164" s="56">
        <f>IF(CN2=Projections!$E$122,Projections!$B$122,0)</f>
        <v/>
      </c>
      <c r="CO164" s="56">
        <f>IF(CO2=Projections!$E$122,Projections!$B$122,0)</f>
        <v/>
      </c>
      <c r="CP164" s="56">
        <f>IF(CP2=Projections!$E$122,Projections!$B$122,0)</f>
        <v/>
      </c>
      <c r="CQ164" s="56">
        <f>IF(CQ2=Projections!$E$122,Projections!$B$122,0)</f>
        <v/>
      </c>
      <c r="CR164" s="56">
        <f>IF(CR2=Projections!$E$122,Projections!$B$122,0)</f>
        <v/>
      </c>
      <c r="CS164" s="56">
        <f>IF(CS2=Projections!$E$122,Projections!$B$122,0)</f>
        <v/>
      </c>
      <c r="CT164" s="56">
        <f>IF(CT2=Projections!$E$122,Projections!$B$122,0)</f>
        <v/>
      </c>
      <c r="CU164" s="56">
        <f>IF(CU2=Projections!$E$122,Projections!$B$122,0)</f>
        <v/>
      </c>
      <c r="CV164" s="56">
        <f>IF(CV2=Projections!$E$122,Projections!$B$122,0)</f>
        <v/>
      </c>
      <c r="CW164" s="56">
        <f>IF(CW2=Projections!$E$122,Projections!$B$122,0)</f>
        <v/>
      </c>
      <c r="CX164" s="56">
        <f>IF(CX2=Projections!$E$122,Projections!$B$122,0)</f>
        <v/>
      </c>
    </row>
    <row r="165" outlineLevel="1" ht="15.75" customHeight="1" s="255">
      <c r="A165" s="56">
        <f>Projections!A123</f>
        <v/>
      </c>
      <c r="B165" s="56" t="n"/>
      <c r="C165" s="56" t="n"/>
      <c r="D165" s="56" t="n"/>
      <c r="E165" s="56">
        <f>IF(E2=Projections!$E$123,Projections!$B$123,0)</f>
        <v/>
      </c>
      <c r="F165" s="56">
        <f>IF(F2=Projections!$E$123,Projections!$B$123,0)</f>
        <v/>
      </c>
      <c r="G165" s="56">
        <f>IF(G2=Projections!$E$123,Projections!$B$123,0)</f>
        <v/>
      </c>
      <c r="H165" s="56">
        <f>IF(H2=Projections!$E$123,Projections!$B$123,0)</f>
        <v/>
      </c>
      <c r="I165" s="56">
        <f>IF(I2=Projections!$E$123,Projections!$B$123,0)</f>
        <v/>
      </c>
      <c r="J165" s="56">
        <f>IF(J2=Projections!$E$123,Projections!$B$123,0)</f>
        <v/>
      </c>
      <c r="K165" s="56">
        <f>IF(K2=Projections!$E$123,Projections!$B$123,0)</f>
        <v/>
      </c>
      <c r="L165" s="56">
        <f>IF(L2=Projections!$E$123,Projections!$B$123,0)</f>
        <v/>
      </c>
      <c r="M165" s="56">
        <f>IF(M2=Projections!$E$123,Projections!$B$123,0)</f>
        <v/>
      </c>
      <c r="N165" s="56">
        <f>IF(N2=Projections!$E$123,Projections!$B$123,0)</f>
        <v/>
      </c>
      <c r="O165" s="56">
        <f>IF(O2=Projections!$E$123,Projections!$B$123,0)</f>
        <v/>
      </c>
      <c r="P165" s="56">
        <f>IF(P2=Projections!$E$123,Projections!$B$123,0)</f>
        <v/>
      </c>
      <c r="Q165" s="56">
        <f>IF(Q2=Projections!$E$123,Projections!$B$123,0)</f>
        <v/>
      </c>
      <c r="R165" s="56">
        <f>IF(R2=Projections!$E$123,Projections!$B$123,0)</f>
        <v/>
      </c>
      <c r="S165" s="56">
        <f>IF(S2=Projections!$E$123,Projections!$B$123,0)</f>
        <v/>
      </c>
      <c r="T165" s="56">
        <f>IF(T2=Projections!$E$123,Projections!$B$123,0)</f>
        <v/>
      </c>
      <c r="U165" s="56">
        <f>IF(U2=Projections!$E$123,Projections!$B$123,0)</f>
        <v/>
      </c>
      <c r="V165" s="56">
        <f>IF(V2=Projections!$E$123,Projections!$B$123,0)</f>
        <v/>
      </c>
      <c r="W165" s="56">
        <f>IF(W2=Projections!$E$123,Projections!$B$123,0)</f>
        <v/>
      </c>
      <c r="X165" s="56">
        <f>IF(X2=Projections!$E$123,Projections!$B$123,0)</f>
        <v/>
      </c>
      <c r="Y165" s="56">
        <f>IF(Y2=Projections!$E$123,Projections!$B$123,0)</f>
        <v/>
      </c>
      <c r="Z165" s="56">
        <f>IF(Z2=Projections!$E$123,Projections!$B$123,0)</f>
        <v/>
      </c>
      <c r="AA165" s="56">
        <f>IF(AA2=Projections!$E$123,Projections!$B$123,0)</f>
        <v/>
      </c>
      <c r="AB165" s="56">
        <f>IF(AB2=Projections!$E$123,Projections!$B$123,0)</f>
        <v/>
      </c>
      <c r="AC165" s="56">
        <f>IF(AC2=Projections!$E$123,Projections!$B$123,0)</f>
        <v/>
      </c>
      <c r="AD165" s="56">
        <f>IF(AD2=Projections!$E$123,Projections!$B$123,0)</f>
        <v/>
      </c>
      <c r="AE165" s="56">
        <f>IF(AE2=Projections!$E$123,Projections!$B$123,0)</f>
        <v/>
      </c>
      <c r="AF165" s="56">
        <f>IF(AF2=Projections!$E$123,Projections!$B$123,0)</f>
        <v/>
      </c>
      <c r="AG165" s="56">
        <f>IF(AG2=Projections!$E$123,Projections!$B$123,0)</f>
        <v/>
      </c>
      <c r="AH165" s="56">
        <f>IF(AH2=Projections!$E$123,Projections!$B$123,0)</f>
        <v/>
      </c>
      <c r="AI165" s="56">
        <f>IF(AI2=Projections!$E$123,Projections!$B$123,0)</f>
        <v/>
      </c>
      <c r="AJ165" s="56">
        <f>IF(AJ2=Projections!$E$123,Projections!$B$123,0)</f>
        <v/>
      </c>
      <c r="AK165" s="56">
        <f>IF(AK2=Projections!$E$123,Projections!$B$123,0)</f>
        <v/>
      </c>
      <c r="AL165" s="56">
        <f>IF(AL2=Projections!$E$123,Projections!$B$123,0)</f>
        <v/>
      </c>
      <c r="AM165" s="56">
        <f>IF(AM2=Projections!$E$123,Projections!$B$123,0)</f>
        <v/>
      </c>
      <c r="AN165" s="56">
        <f>IF(AN2=Projections!$E$123,Projections!$B$123,0)</f>
        <v/>
      </c>
      <c r="AO165" s="56">
        <f>IF(AO2=Projections!$E$123,Projections!$B$123,0)</f>
        <v/>
      </c>
      <c r="AP165" s="56">
        <f>IF(AP2=Projections!$E$123,Projections!$B$123,0)</f>
        <v/>
      </c>
      <c r="AQ165" s="56">
        <f>IF(AQ2=Projections!$E$123,Projections!$B$123,0)</f>
        <v/>
      </c>
      <c r="AR165" s="56">
        <f>IF(AR2=Projections!$E$123,Projections!$B$123,0)</f>
        <v/>
      </c>
      <c r="AS165" s="56">
        <f>IF(AS2=Projections!$E$123,Projections!$B$123,0)</f>
        <v/>
      </c>
      <c r="AT165" s="56">
        <f>IF(AT2=Projections!$E$123,Projections!$B$123,0)</f>
        <v/>
      </c>
      <c r="AU165" s="56">
        <f>IF(AU2=Projections!$E$123,Projections!$B$123,0)</f>
        <v/>
      </c>
      <c r="AV165" s="56">
        <f>IF(AV2=Projections!$E$123,Projections!$B$123,0)</f>
        <v/>
      </c>
      <c r="AW165" s="56">
        <f>IF(AW2=Projections!$E$123,Projections!$B$123,0)</f>
        <v/>
      </c>
      <c r="AX165" s="56">
        <f>IF(AX2=Projections!$E$123,Projections!$B$123,0)</f>
        <v/>
      </c>
      <c r="AY165" s="56">
        <f>IF(AY2=Projections!$E$123,Projections!$B$123,0)</f>
        <v/>
      </c>
      <c r="AZ165" s="56">
        <f>IF(AZ2=Projections!$E$123,Projections!$B$123,0)</f>
        <v/>
      </c>
      <c r="BA165" s="56">
        <f>IF(BA2=Projections!$E$123,Projections!$B$123,0)</f>
        <v/>
      </c>
      <c r="BB165" s="56">
        <f>IF(BB2=Projections!$E$123,Projections!$B$123,0)</f>
        <v/>
      </c>
      <c r="BC165" s="56">
        <f>IF(BC2=Projections!$E$123,Projections!$B$123,0)</f>
        <v/>
      </c>
      <c r="BD165" s="56">
        <f>IF(BD2=Projections!$E$123,Projections!$B$123,0)</f>
        <v/>
      </c>
      <c r="BE165" s="56">
        <f>IF(BE2=Projections!$E$123,Projections!$B$123,0)</f>
        <v/>
      </c>
      <c r="BF165" s="56">
        <f>IF(BF2=Projections!$E$123,Projections!$B$123,0)</f>
        <v/>
      </c>
      <c r="BG165" s="56">
        <f>IF(BG2=Projections!$E$123,Projections!$B$123,0)</f>
        <v/>
      </c>
      <c r="BH165" s="56">
        <f>IF(BH2=Projections!$E$123,Projections!$B$123,0)</f>
        <v/>
      </c>
      <c r="BI165" s="56">
        <f>IF(BI2=Projections!$E$123,Projections!$B$123,0)</f>
        <v/>
      </c>
      <c r="BJ165" s="56">
        <f>IF(BJ2=Projections!$E$123,Projections!$B$123,0)</f>
        <v/>
      </c>
      <c r="BK165" s="56">
        <f>IF(BK2=Projections!$E$123,Projections!$B$123,0)</f>
        <v/>
      </c>
      <c r="BL165" s="56">
        <f>IF(BL2=Projections!$E$123,Projections!$B$123,0)</f>
        <v/>
      </c>
      <c r="BM165" s="56">
        <f>IF(BM2=Projections!$E$123,Projections!$B$123,0)</f>
        <v/>
      </c>
      <c r="BN165" s="56">
        <f>IF(BN2=Projections!$E$123,Projections!$B$123,0)</f>
        <v/>
      </c>
      <c r="BO165" s="56">
        <f>IF(BO2=Projections!$E$123,Projections!$B$123,0)</f>
        <v/>
      </c>
      <c r="BP165" s="56">
        <f>IF(BP2=Projections!$E$123,Projections!$B$123,0)</f>
        <v/>
      </c>
      <c r="BQ165" s="56">
        <f>IF(BQ2=Projections!$E$123,Projections!$B$123,0)</f>
        <v/>
      </c>
      <c r="BR165" s="56">
        <f>IF(BR2=Projections!$E$123,Projections!$B$123,0)</f>
        <v/>
      </c>
      <c r="BS165" s="56">
        <f>IF(BS2=Projections!$E$123,Projections!$B$123,0)</f>
        <v/>
      </c>
      <c r="BT165" s="56">
        <f>IF(BT2=Projections!$E$123,Projections!$B$123,0)</f>
        <v/>
      </c>
      <c r="BU165" s="56">
        <f>IF(BU2=Projections!$E$123,Projections!$B$123,0)</f>
        <v/>
      </c>
      <c r="BV165" s="56">
        <f>IF(BV2=Projections!$E$123,Projections!$B$123,0)</f>
        <v/>
      </c>
      <c r="BW165" s="56">
        <f>IF(BW2=Projections!$E$123,Projections!$B$123,0)</f>
        <v/>
      </c>
      <c r="BX165" s="56">
        <f>IF(BX2=Projections!$E$123,Projections!$B$123,0)</f>
        <v/>
      </c>
      <c r="BY165" s="56">
        <f>IF(BY2=Projections!$E$123,Projections!$B$123,0)</f>
        <v/>
      </c>
      <c r="BZ165" s="56">
        <f>IF(BZ2=Projections!$E$123,Projections!$B$123,0)</f>
        <v/>
      </c>
      <c r="CA165" s="56">
        <f>IF(CA2=Projections!$E$123,Projections!$B$123,0)</f>
        <v/>
      </c>
      <c r="CB165" s="56">
        <f>IF(CB2=Projections!$E$123,Projections!$B$123,0)</f>
        <v/>
      </c>
      <c r="CC165" s="56">
        <f>IF(CC2=Projections!$E$123,Projections!$B$123,0)</f>
        <v/>
      </c>
      <c r="CD165" s="56">
        <f>IF(CD2=Projections!$E$123,Projections!$B$123,0)</f>
        <v/>
      </c>
      <c r="CE165" s="56">
        <f>IF(CE2=Projections!$E$123,Projections!$B$123,0)</f>
        <v/>
      </c>
      <c r="CF165" s="56">
        <f>IF(CF2=Projections!$E$123,Projections!$B$123,0)</f>
        <v/>
      </c>
      <c r="CG165" s="56">
        <f>IF(CG2=Projections!$E$123,Projections!$B$123,0)</f>
        <v/>
      </c>
      <c r="CH165" s="56">
        <f>IF(CH2=Projections!$E$123,Projections!$B$123,0)</f>
        <v/>
      </c>
      <c r="CI165" s="56">
        <f>IF(CI2=Projections!$E$123,Projections!$B$123,0)</f>
        <v/>
      </c>
      <c r="CJ165" s="56">
        <f>IF(CJ2=Projections!$E$123,Projections!$B$123,0)</f>
        <v/>
      </c>
      <c r="CK165" s="56">
        <f>IF(CK2=Projections!$E$123,Projections!$B$123,0)</f>
        <v/>
      </c>
      <c r="CL165" s="56">
        <f>IF(CL2=Projections!$E$123,Projections!$B$123,0)</f>
        <v/>
      </c>
      <c r="CM165" s="56">
        <f>IF(CM2=Projections!$E$123,Projections!$B$123,0)</f>
        <v/>
      </c>
      <c r="CN165" s="56">
        <f>IF(CN2=Projections!$E$123,Projections!$B$123,0)</f>
        <v/>
      </c>
      <c r="CO165" s="56">
        <f>IF(CO2=Projections!$E$123,Projections!$B$123,0)</f>
        <v/>
      </c>
      <c r="CP165" s="56">
        <f>IF(CP2=Projections!$E$123,Projections!$B$123,0)</f>
        <v/>
      </c>
      <c r="CQ165" s="56">
        <f>IF(CQ2=Projections!$E$123,Projections!$B$123,0)</f>
        <v/>
      </c>
      <c r="CR165" s="56">
        <f>IF(CR2=Projections!$E$123,Projections!$B$123,0)</f>
        <v/>
      </c>
      <c r="CS165" s="56">
        <f>IF(CS2=Projections!$E$123,Projections!$B$123,0)</f>
        <v/>
      </c>
      <c r="CT165" s="56">
        <f>IF(CT2=Projections!$E$123,Projections!$B$123,0)</f>
        <v/>
      </c>
      <c r="CU165" s="56">
        <f>IF(CU2=Projections!$E$123,Projections!$B$123,0)</f>
        <v/>
      </c>
      <c r="CV165" s="56">
        <f>IF(CV2=Projections!$E$123,Projections!$B$123,0)</f>
        <v/>
      </c>
      <c r="CW165" s="56">
        <f>IF(CW2=Projections!$E$123,Projections!$B$123,0)</f>
        <v/>
      </c>
      <c r="CX165" s="56">
        <f>IF(CX2=Projections!$E$123,Projections!$B$123,0)</f>
        <v/>
      </c>
    </row>
    <row r="166" outlineLevel="1" ht="15.75" customHeight="1" s="255">
      <c r="A166" s="56">
        <f>Projections!A124</f>
        <v/>
      </c>
      <c r="B166" s="56" t="n"/>
      <c r="C166" s="56" t="n"/>
      <c r="D166" s="56" t="n"/>
      <c r="E166" s="56">
        <f>IF(E2=Projections!$E$124,Projections!$B$124,0)</f>
        <v/>
      </c>
      <c r="F166" s="56">
        <f>IF(F2=Projections!$E$124,Projections!$B$124,0)</f>
        <v/>
      </c>
      <c r="G166" s="56">
        <f>IF(G2=Projections!$E$124,Projections!$B$124,0)</f>
        <v/>
      </c>
      <c r="H166" s="56">
        <f>IF(H2=Projections!$E$124,Projections!$B$124,0)</f>
        <v/>
      </c>
      <c r="I166" s="56">
        <f>IF(I2=Projections!$E$124,Projections!$B$124,0)</f>
        <v/>
      </c>
      <c r="J166" s="56">
        <f>IF(J2=Projections!$E$124,Projections!$B$124,0)</f>
        <v/>
      </c>
      <c r="K166" s="56">
        <f>IF(K2=Projections!$E$124,Projections!$B$124,0)</f>
        <v/>
      </c>
      <c r="L166" s="56">
        <f>IF(L2=Projections!$E$124,Projections!$B$124,0)</f>
        <v/>
      </c>
      <c r="M166" s="56">
        <f>IF(M2=Projections!$E$124,Projections!$B$124,0)</f>
        <v/>
      </c>
      <c r="N166" s="56">
        <f>IF(N2=Projections!$E$124,Projections!$B$124,0)</f>
        <v/>
      </c>
      <c r="O166" s="56">
        <f>IF(O2=Projections!$E$124,Projections!$B$124,0)</f>
        <v/>
      </c>
      <c r="P166" s="56">
        <f>IF(P2=Projections!$E$124,Projections!$B$124,0)</f>
        <v/>
      </c>
      <c r="Q166" s="56">
        <f>IF(Q2=Projections!$E$124,Projections!$B$124,0)</f>
        <v/>
      </c>
      <c r="R166" s="56">
        <f>IF(R2=Projections!$E$124,Projections!$B$124,0)</f>
        <v/>
      </c>
      <c r="S166" s="56">
        <f>IF(S2=Projections!$E$124,Projections!$B$124,0)</f>
        <v/>
      </c>
      <c r="T166" s="56">
        <f>IF(T2=Projections!$E$124,Projections!$B$124,0)</f>
        <v/>
      </c>
      <c r="U166" s="56">
        <f>IF(U2=Projections!$E$124,Projections!$B$124,0)</f>
        <v/>
      </c>
      <c r="V166" s="56">
        <f>IF(V2=Projections!$E$124,Projections!$B$124,0)</f>
        <v/>
      </c>
      <c r="W166" s="56">
        <f>IF(W2=Projections!$E$124,Projections!$B$124,0)</f>
        <v/>
      </c>
      <c r="X166" s="56">
        <f>IF(X2=Projections!$E$124,Projections!$B$124,0)</f>
        <v/>
      </c>
      <c r="Y166" s="56">
        <f>IF(Y2=Projections!$E$124,Projections!$B$124,0)</f>
        <v/>
      </c>
      <c r="Z166" s="56">
        <f>IF(Z2=Projections!$E$124,Projections!$B$124,0)</f>
        <v/>
      </c>
      <c r="AA166" s="56">
        <f>IF(AA2=Projections!$E$124,Projections!$B$124,0)</f>
        <v/>
      </c>
      <c r="AB166" s="56">
        <f>IF(AB2=Projections!$E$124,Projections!$B$124,0)</f>
        <v/>
      </c>
      <c r="AC166" s="56">
        <f>IF(AC2=Projections!$E$124,Projections!$B$124,0)</f>
        <v/>
      </c>
      <c r="AD166" s="56">
        <f>IF(AD2=Projections!$E$124,Projections!$B$124,0)</f>
        <v/>
      </c>
      <c r="AE166" s="56">
        <f>IF(AE2=Projections!$E$124,Projections!$B$124,0)</f>
        <v/>
      </c>
      <c r="AF166" s="56">
        <f>IF(AF2=Projections!$E$124,Projections!$B$124,0)</f>
        <v/>
      </c>
      <c r="AG166" s="56">
        <f>IF(AG2=Projections!$E$124,Projections!$B$124,0)</f>
        <v/>
      </c>
      <c r="AH166" s="56">
        <f>IF(AH2=Projections!$E$124,Projections!$B$124,0)</f>
        <v/>
      </c>
      <c r="AI166" s="56">
        <f>IF(AI2=Projections!$E$124,Projections!$B$124,0)</f>
        <v/>
      </c>
      <c r="AJ166" s="56">
        <f>IF(AJ2=Projections!$E$124,Projections!$B$124,0)</f>
        <v/>
      </c>
      <c r="AK166" s="56">
        <f>IF(AK2=Projections!$E$124,Projections!$B$124,0)</f>
        <v/>
      </c>
      <c r="AL166" s="56">
        <f>IF(AL2=Projections!$E$124,Projections!$B$124,0)</f>
        <v/>
      </c>
      <c r="AM166" s="56">
        <f>IF(AM2=Projections!$E$124,Projections!$B$124,0)</f>
        <v/>
      </c>
      <c r="AN166" s="56">
        <f>IF(AN2=Projections!$E$124,Projections!$B$124,0)</f>
        <v/>
      </c>
      <c r="AO166" s="56">
        <f>IF(AO2=Projections!$E$124,Projections!$B$124,0)</f>
        <v/>
      </c>
      <c r="AP166" s="56">
        <f>IF(AP2=Projections!$E$124,Projections!$B$124,0)</f>
        <v/>
      </c>
      <c r="AQ166" s="56">
        <f>IF(AQ2=Projections!$E$124,Projections!$B$124,0)</f>
        <v/>
      </c>
      <c r="AR166" s="56">
        <f>IF(AR2=Projections!$E$124,Projections!$B$124,0)</f>
        <v/>
      </c>
      <c r="AS166" s="56">
        <f>IF(AS2=Projections!$E$124,Projections!$B$124,0)</f>
        <v/>
      </c>
      <c r="AT166" s="56">
        <f>IF(AT2=Projections!$E$124,Projections!$B$124,0)</f>
        <v/>
      </c>
      <c r="AU166" s="56">
        <f>IF(AU2=Projections!$E$124,Projections!$B$124,0)</f>
        <v/>
      </c>
      <c r="AV166" s="56">
        <f>IF(AV2=Projections!$E$124,Projections!$B$124,0)</f>
        <v/>
      </c>
      <c r="AW166" s="56">
        <f>IF(AW2=Projections!$E$124,Projections!$B$124,0)</f>
        <v/>
      </c>
      <c r="AX166" s="56">
        <f>IF(AX2=Projections!$E$124,Projections!$B$124,0)</f>
        <v/>
      </c>
      <c r="AY166" s="56">
        <f>IF(AY2=Projections!$E$124,Projections!$B$124,0)</f>
        <v/>
      </c>
      <c r="AZ166" s="56">
        <f>IF(AZ2=Projections!$E$124,Projections!$B$124,0)</f>
        <v/>
      </c>
      <c r="BA166" s="56">
        <f>IF(BA2=Projections!$E$124,Projections!$B$124,0)</f>
        <v/>
      </c>
      <c r="BB166" s="56">
        <f>IF(BB2=Projections!$E$124,Projections!$B$124,0)</f>
        <v/>
      </c>
      <c r="BC166" s="56">
        <f>IF(BC2=Projections!$E$124,Projections!$B$124,0)</f>
        <v/>
      </c>
      <c r="BD166" s="56">
        <f>IF(BD2=Projections!$E$124,Projections!$B$124,0)</f>
        <v/>
      </c>
      <c r="BE166" s="56">
        <f>IF(BE2=Projections!$E$124,Projections!$B$124,0)</f>
        <v/>
      </c>
      <c r="BF166" s="56">
        <f>IF(BF2=Projections!$E$124,Projections!$B$124,0)</f>
        <v/>
      </c>
      <c r="BG166" s="56">
        <f>IF(BG2=Projections!$E$124,Projections!$B$124,0)</f>
        <v/>
      </c>
      <c r="BH166" s="56">
        <f>IF(BH2=Projections!$E$124,Projections!$B$124,0)</f>
        <v/>
      </c>
      <c r="BI166" s="56">
        <f>IF(BI2=Projections!$E$124,Projections!$B$124,0)</f>
        <v/>
      </c>
      <c r="BJ166" s="56">
        <f>IF(BJ2=Projections!$E$124,Projections!$B$124,0)</f>
        <v/>
      </c>
      <c r="BK166" s="56">
        <f>IF(BK2=Projections!$E$124,Projections!$B$124,0)</f>
        <v/>
      </c>
      <c r="BL166" s="56">
        <f>IF(BL2=Projections!$E$124,Projections!$B$124,0)</f>
        <v/>
      </c>
      <c r="BM166" s="56">
        <f>IF(BM2=Projections!$E$124,Projections!$B$124,0)</f>
        <v/>
      </c>
      <c r="BN166" s="56">
        <f>IF(BN2=Projections!$E$124,Projections!$B$124,0)</f>
        <v/>
      </c>
      <c r="BO166" s="56">
        <f>IF(BO2=Projections!$E$124,Projections!$B$124,0)</f>
        <v/>
      </c>
      <c r="BP166" s="56">
        <f>IF(BP2=Projections!$E$124,Projections!$B$124,0)</f>
        <v/>
      </c>
      <c r="BQ166" s="56">
        <f>IF(BQ2=Projections!$E$124,Projections!$B$124,0)</f>
        <v/>
      </c>
      <c r="BR166" s="56">
        <f>IF(BR2=Projections!$E$124,Projections!$B$124,0)</f>
        <v/>
      </c>
      <c r="BS166" s="56">
        <f>IF(BS2=Projections!$E$124,Projections!$B$124,0)</f>
        <v/>
      </c>
      <c r="BT166" s="56">
        <f>IF(BT2=Projections!$E$124,Projections!$B$124,0)</f>
        <v/>
      </c>
      <c r="BU166" s="56">
        <f>IF(BU2=Projections!$E$124,Projections!$B$124,0)</f>
        <v/>
      </c>
      <c r="BV166" s="56">
        <f>IF(BV2=Projections!$E$124,Projections!$B$124,0)</f>
        <v/>
      </c>
      <c r="BW166" s="56">
        <f>IF(BW2=Projections!$E$124,Projections!$B$124,0)</f>
        <v/>
      </c>
      <c r="BX166" s="56">
        <f>IF(BX2=Projections!$E$124,Projections!$B$124,0)</f>
        <v/>
      </c>
      <c r="BY166" s="56">
        <f>IF(BY2=Projections!$E$124,Projections!$B$124,0)</f>
        <v/>
      </c>
      <c r="BZ166" s="56">
        <f>IF(BZ2=Projections!$E$124,Projections!$B$124,0)</f>
        <v/>
      </c>
      <c r="CA166" s="56">
        <f>IF(CA2=Projections!$E$124,Projections!$B$124,0)</f>
        <v/>
      </c>
      <c r="CB166" s="56">
        <f>IF(CB2=Projections!$E$124,Projections!$B$124,0)</f>
        <v/>
      </c>
      <c r="CC166" s="56">
        <f>IF(CC2=Projections!$E$124,Projections!$B$124,0)</f>
        <v/>
      </c>
      <c r="CD166" s="56">
        <f>IF(CD2=Projections!$E$124,Projections!$B$124,0)</f>
        <v/>
      </c>
      <c r="CE166" s="56">
        <f>IF(CE2=Projections!$E$124,Projections!$B$124,0)</f>
        <v/>
      </c>
      <c r="CF166" s="56">
        <f>IF(CF2=Projections!$E$124,Projections!$B$124,0)</f>
        <v/>
      </c>
      <c r="CG166" s="56">
        <f>IF(CG2=Projections!$E$124,Projections!$B$124,0)</f>
        <v/>
      </c>
      <c r="CH166" s="56">
        <f>IF(CH2=Projections!$E$124,Projections!$B$124,0)</f>
        <v/>
      </c>
      <c r="CI166" s="56">
        <f>IF(CI2=Projections!$E$124,Projections!$B$124,0)</f>
        <v/>
      </c>
      <c r="CJ166" s="56">
        <f>IF(CJ2=Projections!$E$124,Projections!$B$124,0)</f>
        <v/>
      </c>
      <c r="CK166" s="56">
        <f>IF(CK2=Projections!$E$124,Projections!$B$124,0)</f>
        <v/>
      </c>
      <c r="CL166" s="56">
        <f>IF(CL2=Projections!$E$124,Projections!$B$124,0)</f>
        <v/>
      </c>
      <c r="CM166" s="56">
        <f>IF(CM2=Projections!$E$124,Projections!$B$124,0)</f>
        <v/>
      </c>
      <c r="CN166" s="56">
        <f>IF(CN2=Projections!$E$124,Projections!$B$124,0)</f>
        <v/>
      </c>
      <c r="CO166" s="56">
        <f>IF(CO2=Projections!$E$124,Projections!$B$124,0)</f>
        <v/>
      </c>
      <c r="CP166" s="56">
        <f>IF(CP2=Projections!$E$124,Projections!$B$124,0)</f>
        <v/>
      </c>
      <c r="CQ166" s="56">
        <f>IF(CQ2=Projections!$E$124,Projections!$B$124,0)</f>
        <v/>
      </c>
      <c r="CR166" s="56">
        <f>IF(CR2=Projections!$E$124,Projections!$B$124,0)</f>
        <v/>
      </c>
      <c r="CS166" s="56">
        <f>IF(CS2=Projections!$E$124,Projections!$B$124,0)</f>
        <v/>
      </c>
      <c r="CT166" s="56">
        <f>IF(CT2=Projections!$E$124,Projections!$B$124,0)</f>
        <v/>
      </c>
      <c r="CU166" s="56">
        <f>IF(CU2=Projections!$E$124,Projections!$B$124,0)</f>
        <v/>
      </c>
      <c r="CV166" s="56">
        <f>IF(CV2=Projections!$E$124,Projections!$B$124,0)</f>
        <v/>
      </c>
      <c r="CW166" s="56">
        <f>IF(CW2=Projections!$E$124,Projections!$B$124,0)</f>
        <v/>
      </c>
      <c r="CX166" s="56">
        <f>IF(CX2=Projections!$E$124,Projections!$B$124,0)</f>
        <v/>
      </c>
    </row>
    <row r="167" outlineLevel="1" ht="15.75" customHeight="1" s="25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  <c r="CW167" s="56" t="n"/>
      <c r="CX167" s="56" t="n"/>
    </row>
    <row r="168" ht="15.75" customHeight="1" s="25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  <c r="CW168" s="56" t="n"/>
      <c r="CX168" s="56" t="n"/>
    </row>
    <row r="169" ht="15.75" customHeight="1" s="255">
      <c r="A169" s="146" t="inlineStr">
        <is>
          <t>DEPRECIATION &amp; AMORTIZATION</t>
        </is>
      </c>
      <c r="B169" s="56" t="n"/>
      <c r="C169" s="56" t="n"/>
      <c r="D169" s="56" t="n"/>
      <c r="E169" s="60">
        <f>SUM(E170:E175)</f>
        <v/>
      </c>
      <c r="F169" s="60">
        <f>SUM(F170:F175)</f>
        <v/>
      </c>
      <c r="G169" s="60">
        <f>SUM(G170:G175)</f>
        <v/>
      </c>
      <c r="H169" s="60">
        <f>SUM(H170:H175)</f>
        <v/>
      </c>
      <c r="I169" s="60">
        <f>SUM(I170:I175)</f>
        <v/>
      </c>
      <c r="J169" s="60">
        <f>SUM(J170:J175)</f>
        <v/>
      </c>
      <c r="K169" s="60">
        <f>SUM(K170:K175)</f>
        <v/>
      </c>
      <c r="L169" s="60">
        <f>SUM(L170:L175)</f>
        <v/>
      </c>
      <c r="M169" s="60">
        <f>SUM(M170:M175)</f>
        <v/>
      </c>
      <c r="N169" s="60">
        <f>SUM(N170:N175)</f>
        <v/>
      </c>
      <c r="O169" s="60">
        <f>SUM(O170:O175)</f>
        <v/>
      </c>
      <c r="P169" s="60">
        <f>SUM(P170:P175)</f>
        <v/>
      </c>
      <c r="Q169" s="60">
        <f>SUM(Q170:Q175)</f>
        <v/>
      </c>
      <c r="R169" s="60">
        <f>SUM(R170:R175)</f>
        <v/>
      </c>
      <c r="S169" s="60">
        <f>SUM(S170:S175)</f>
        <v/>
      </c>
      <c r="T169" s="60">
        <f>SUM(T170:T175)</f>
        <v/>
      </c>
      <c r="U169" s="60">
        <f>SUM(U170:U175)</f>
        <v/>
      </c>
      <c r="V169" s="60">
        <f>SUM(V170:V175)</f>
        <v/>
      </c>
      <c r="W169" s="60">
        <f>SUM(W170:W175)</f>
        <v/>
      </c>
      <c r="X169" s="60">
        <f>SUM(X170:X175)</f>
        <v/>
      </c>
      <c r="Y169" s="60">
        <f>SUM(Y170:Y175)</f>
        <v/>
      </c>
      <c r="Z169" s="60">
        <f>SUM(Z170:Z175)</f>
        <v/>
      </c>
      <c r="AA169" s="60">
        <f>SUM(AA170:AA175)</f>
        <v/>
      </c>
      <c r="AB169" s="60">
        <f>SUM(AB170:AB175)</f>
        <v/>
      </c>
      <c r="AC169" s="60">
        <f>SUM(AC170:AC175)</f>
        <v/>
      </c>
      <c r="AD169" s="60">
        <f>SUM(AD170:AD175)</f>
        <v/>
      </c>
      <c r="AE169" s="60">
        <f>SUM(AE170:AE175)</f>
        <v/>
      </c>
      <c r="AF169" s="60">
        <f>SUM(AF170:AF175)</f>
        <v/>
      </c>
      <c r="AG169" s="60">
        <f>SUM(AG170:AG175)</f>
        <v/>
      </c>
      <c r="AH169" s="60">
        <f>SUM(AH170:AH175)</f>
        <v/>
      </c>
      <c r="AI169" s="60">
        <f>SUM(AI170:AI175)</f>
        <v/>
      </c>
      <c r="AJ169" s="60">
        <f>SUM(AJ170:AJ175)</f>
        <v/>
      </c>
      <c r="AK169" s="60">
        <f>SUM(AK170:AK175)</f>
        <v/>
      </c>
      <c r="AL169" s="60">
        <f>SUM(AL170:AL175)</f>
        <v/>
      </c>
      <c r="AM169" s="60">
        <f>SUM(AM170:AM175)</f>
        <v/>
      </c>
      <c r="AN169" s="60">
        <f>SUM(AN170:AN175)</f>
        <v/>
      </c>
      <c r="AO169" s="60">
        <f>SUM(AO170:AO175)</f>
        <v/>
      </c>
      <c r="AP169" s="60">
        <f>SUM(AP170:AP175)</f>
        <v/>
      </c>
      <c r="AQ169" s="60">
        <f>SUM(AQ170:AQ175)</f>
        <v/>
      </c>
      <c r="AR169" s="60">
        <f>SUM(AR170:AR175)</f>
        <v/>
      </c>
      <c r="AS169" s="60">
        <f>SUM(AS170:AS175)</f>
        <v/>
      </c>
      <c r="AT169" s="60">
        <f>SUM(AT170:AT175)</f>
        <v/>
      </c>
      <c r="AU169" s="60">
        <f>SUM(AU170:AU175)</f>
        <v/>
      </c>
      <c r="AV169" s="60">
        <f>SUM(AV170:AV175)</f>
        <v/>
      </c>
      <c r="AW169" s="60">
        <f>SUM(AW170:AW175)</f>
        <v/>
      </c>
      <c r="AX169" s="60">
        <f>SUM(AX170:AX175)</f>
        <v/>
      </c>
      <c r="AY169" s="60">
        <f>SUM(AY170:AY175)</f>
        <v/>
      </c>
      <c r="AZ169" s="60">
        <f>SUM(AZ170:AZ175)</f>
        <v/>
      </c>
      <c r="BA169" s="60">
        <f>SUM(BA170:BA175)</f>
        <v/>
      </c>
      <c r="BB169" s="60">
        <f>SUM(BB170:BB175)</f>
        <v/>
      </c>
      <c r="BC169" s="60">
        <f>SUM(BC170:BC175)</f>
        <v/>
      </c>
      <c r="BD169" s="60">
        <f>SUM(BD170:BD175)</f>
        <v/>
      </c>
      <c r="BE169" s="60">
        <f>SUM(BE170:BE175)</f>
        <v/>
      </c>
      <c r="BF169" s="60">
        <f>SUM(BF170:BF175)</f>
        <v/>
      </c>
      <c r="BG169" s="60">
        <f>SUM(BG170:BG175)</f>
        <v/>
      </c>
      <c r="BH169" s="60">
        <f>SUM(BH170:BH175)</f>
        <v/>
      </c>
      <c r="BI169" s="60">
        <f>SUM(BI170:BI175)</f>
        <v/>
      </c>
      <c r="BJ169" s="60">
        <f>SUM(BJ170:BJ175)</f>
        <v/>
      </c>
      <c r="BK169" s="60">
        <f>SUM(BK170:BK175)</f>
        <v/>
      </c>
      <c r="BL169" s="60">
        <f>SUM(BL170:BL175)</f>
        <v/>
      </c>
      <c r="BM169" s="60">
        <f>SUM(BM170:BM175)</f>
        <v/>
      </c>
      <c r="BN169" s="60">
        <f>SUM(BN170:BN175)</f>
        <v/>
      </c>
      <c r="BO169" s="60">
        <f>SUM(BO170:BO175)</f>
        <v/>
      </c>
      <c r="BP169" s="60">
        <f>SUM(BP170:BP175)</f>
        <v/>
      </c>
      <c r="BQ169" s="60">
        <f>SUM(BQ170:BQ175)</f>
        <v/>
      </c>
      <c r="BR169" s="60">
        <f>SUM(BR170:BR175)</f>
        <v/>
      </c>
      <c r="BS169" s="60">
        <f>SUM(BS170:BS175)</f>
        <v/>
      </c>
      <c r="BT169" s="60">
        <f>SUM(BT170:BT175)</f>
        <v/>
      </c>
      <c r="BU169" s="60">
        <f>SUM(BU170:BU175)</f>
        <v/>
      </c>
      <c r="BV169" s="60">
        <f>SUM(BV170:BV175)</f>
        <v/>
      </c>
      <c r="BW169" s="60">
        <f>SUM(BW170:BW175)</f>
        <v/>
      </c>
      <c r="BX169" s="60">
        <f>SUM(BX170:BX175)</f>
        <v/>
      </c>
      <c r="BY169" s="60">
        <f>SUM(BY170:BY175)</f>
        <v/>
      </c>
      <c r="BZ169" s="60">
        <f>SUM(BZ170:BZ175)</f>
        <v/>
      </c>
      <c r="CA169" s="60">
        <f>SUM(CA170:CA175)</f>
        <v/>
      </c>
      <c r="CB169" s="60">
        <f>SUM(CB170:CB175)</f>
        <v/>
      </c>
      <c r="CC169" s="60">
        <f>SUM(CC170:CC175)</f>
        <v/>
      </c>
      <c r="CD169" s="60">
        <f>SUM(CD170:CD175)</f>
        <v/>
      </c>
      <c r="CE169" s="60">
        <f>SUM(CE170:CE175)</f>
        <v/>
      </c>
      <c r="CF169" s="60">
        <f>SUM(CF170:CF175)</f>
        <v/>
      </c>
      <c r="CG169" s="60">
        <f>SUM(CG170:CG175)</f>
        <v/>
      </c>
      <c r="CH169" s="60">
        <f>SUM(CH170:CH175)</f>
        <v/>
      </c>
      <c r="CI169" s="60">
        <f>SUM(CI170:CI175)</f>
        <v/>
      </c>
      <c r="CJ169" s="60">
        <f>SUM(CJ170:CJ175)</f>
        <v/>
      </c>
      <c r="CK169" s="60">
        <f>SUM(CK170:CK175)</f>
        <v/>
      </c>
      <c r="CL169" s="60">
        <f>SUM(CL170:CL175)</f>
        <v/>
      </c>
      <c r="CM169" s="60">
        <f>SUM(CM170:CM175)</f>
        <v/>
      </c>
      <c r="CN169" s="60">
        <f>SUM(CN170:CN175)</f>
        <v/>
      </c>
      <c r="CO169" s="60">
        <f>SUM(CO170:CO175)</f>
        <v/>
      </c>
      <c r="CP169" s="60">
        <f>SUM(CP170:CP175)</f>
        <v/>
      </c>
      <c r="CQ169" s="60">
        <f>SUM(CQ170:CQ175)</f>
        <v/>
      </c>
      <c r="CR169" s="60">
        <f>SUM(CR170:CR175)</f>
        <v/>
      </c>
      <c r="CS169" s="60">
        <f>SUM(CS170:CS175)</f>
        <v/>
      </c>
      <c r="CT169" s="60">
        <f>SUM(CT170:CT175)</f>
        <v/>
      </c>
      <c r="CU169" s="60">
        <f>SUM(CU170:CU175)</f>
        <v/>
      </c>
      <c r="CV169" s="60">
        <f>SUM(CV170:CV175)</f>
        <v/>
      </c>
      <c r="CW169" s="60">
        <f>SUM(CW170:CW175)</f>
        <v/>
      </c>
      <c r="CX169" s="60">
        <f>SUM(CX170:CX175)</f>
        <v/>
      </c>
    </row>
    <row r="170" outlineLevel="1" ht="15.75" customHeight="1" s="255">
      <c r="A170" s="56">
        <f>A161</f>
        <v/>
      </c>
      <c r="B170" s="56" t="n"/>
      <c r="C170" s="56" t="n"/>
      <c r="D170" s="56" t="n"/>
      <c r="E170" s="56">
        <f>iferror((COUNTIF(Payroll!$I:$I,"&lt;="&amp;E2)-COUNTIF(Payroll!$I:$I,"&lt;="&amp;EDATE(E2,-Projections!$C$117)))*(Projections!$B$117/Projections!$C$117),0)</f>
        <v/>
      </c>
      <c r="F170" s="56">
        <f>iferror((COUNTIF(Payroll!$I:$I,"&lt;="&amp;F2)-COUNTIF(Payroll!$I:$I,"&lt;="&amp;EDATE(F2,-Projections!$C$117)))*(Projections!$B$117/Projections!$C$117),0)</f>
        <v/>
      </c>
      <c r="G170" s="56">
        <f>iferror((COUNTIF(Payroll!$I:$I,"&lt;="&amp;G2)-COUNTIF(Payroll!$I:$I,"&lt;="&amp;EDATE(G2,-Projections!$C$117)))*(Projections!$B$117/Projections!$C$117),0)</f>
        <v/>
      </c>
      <c r="H170" s="56">
        <f>iferror((COUNTIF(Payroll!$I:$I,"&lt;="&amp;H2)-COUNTIF(Payroll!$I:$I,"&lt;="&amp;EDATE(H2,-Projections!$C$117)))*(Projections!$B$117/Projections!$C$117),0)</f>
        <v/>
      </c>
      <c r="I170" s="56">
        <f>iferror((COUNTIF(Payroll!$I:$I,"&lt;="&amp;I2)-COUNTIF(Payroll!$I:$I,"&lt;="&amp;EDATE(I2,-Projections!$C$117)))*(Projections!$B$117/Projections!$C$117),0)</f>
        <v/>
      </c>
      <c r="J170" s="56">
        <f>iferror((COUNTIF(Payroll!$I:$I,"&lt;="&amp;J2)-COUNTIF(Payroll!$I:$I,"&lt;="&amp;EDATE(J2,-Projections!$C$117)))*(Projections!$B$117/Projections!$C$117),0)</f>
        <v/>
      </c>
      <c r="K170" s="56">
        <f>iferror((COUNTIF(Payroll!$I:$I,"&lt;="&amp;K2)-COUNTIF(Payroll!$I:$I,"&lt;="&amp;EDATE(K2,-Projections!$C$117)))*(Projections!$B$117/Projections!$C$117),0)</f>
        <v/>
      </c>
      <c r="L170" s="56">
        <f>iferror((COUNTIF(Payroll!$I:$I,"&lt;="&amp;L2)-COUNTIF(Payroll!$I:$I,"&lt;="&amp;EDATE(L2,-Projections!$C$117)))*(Projections!$B$117/Projections!$C$117),0)</f>
        <v/>
      </c>
      <c r="M170" s="56">
        <f>iferror((COUNTIF(Payroll!$I:$I,"&lt;="&amp;M2)-COUNTIF(Payroll!$I:$I,"&lt;="&amp;EDATE(M2,-Projections!$C$117)))*(Projections!$B$117/Projections!$C$117),0)</f>
        <v/>
      </c>
      <c r="N170" s="56">
        <f>iferror((COUNTIF(Payroll!$I:$I,"&lt;="&amp;N2)-COUNTIF(Payroll!$I:$I,"&lt;="&amp;EDATE(N2,-Projections!$C$117)))*(Projections!$B$117/Projections!$C$117),0)</f>
        <v/>
      </c>
      <c r="O170" s="56">
        <f>iferror((COUNTIF(Payroll!$I:$I,"&lt;="&amp;O2)-COUNTIF(Payroll!$I:$I,"&lt;="&amp;EDATE(O2,-Projections!$C$117)))*(Projections!$B$117/Projections!$C$117),0)</f>
        <v/>
      </c>
      <c r="P170" s="56">
        <f>iferror((COUNTIF(Payroll!$I:$I,"&lt;="&amp;P2)-COUNTIF(Payroll!$I:$I,"&lt;="&amp;EDATE(P2,-Projections!$C$117)))*(Projections!$B$117/Projections!$C$117),0)</f>
        <v/>
      </c>
      <c r="Q170" s="56">
        <f>iferror((COUNTIF(Payroll!$I:$I,"&lt;="&amp;Q2)-COUNTIF(Payroll!$I:$I,"&lt;="&amp;EDATE(Q2,-Projections!$C$117)))*(Projections!$B$117/Projections!$C$117),0)</f>
        <v/>
      </c>
      <c r="R170" s="56">
        <f>iferror((COUNTIF(Payroll!$I:$I,"&lt;="&amp;R2)-COUNTIF(Payroll!$I:$I,"&lt;="&amp;EDATE(R2,-Projections!$C$117)))*(Projections!$B$117/Projections!$C$117),0)</f>
        <v/>
      </c>
      <c r="S170" s="56">
        <f>iferror((COUNTIF(Payroll!$I:$I,"&lt;="&amp;S2)-COUNTIF(Payroll!$I:$I,"&lt;="&amp;EDATE(S2,-Projections!$C$117)))*(Projections!$B$117/Projections!$C$117),0)</f>
        <v/>
      </c>
      <c r="T170" s="56">
        <f>iferror((COUNTIF(Payroll!$I:$I,"&lt;="&amp;T2)-COUNTIF(Payroll!$I:$I,"&lt;="&amp;EDATE(T2,-Projections!$C$117)))*(Projections!$B$117/Projections!$C$117),0)</f>
        <v/>
      </c>
      <c r="U170" s="56">
        <f>iferror((COUNTIF(Payroll!$I:$I,"&lt;="&amp;U2)-COUNTIF(Payroll!$I:$I,"&lt;="&amp;EDATE(U2,-Projections!$C$117)))*(Projections!$B$117/Projections!$C$117),0)</f>
        <v/>
      </c>
      <c r="V170" s="56">
        <f>iferror((COUNTIF(Payroll!$I:$I,"&lt;="&amp;V2)-COUNTIF(Payroll!$I:$I,"&lt;="&amp;EDATE(V2,-Projections!$C$117)))*(Projections!$B$117/Projections!$C$117),0)</f>
        <v/>
      </c>
      <c r="W170" s="56">
        <f>iferror((COUNTIF(Payroll!$I:$I,"&lt;="&amp;W2)-COUNTIF(Payroll!$I:$I,"&lt;="&amp;EDATE(W2,-Projections!$C$117)))*(Projections!$B$117/Projections!$C$117),0)</f>
        <v/>
      </c>
      <c r="X170" s="56">
        <f>iferror((COUNTIF(Payroll!$I:$I,"&lt;="&amp;X2)-COUNTIF(Payroll!$I:$I,"&lt;="&amp;EDATE(X2,-Projections!$C$117)))*(Projections!$B$117/Projections!$C$117),0)</f>
        <v/>
      </c>
      <c r="Y170" s="56">
        <f>iferror((COUNTIF(Payroll!$I:$I,"&lt;="&amp;Y2)-COUNTIF(Payroll!$I:$I,"&lt;="&amp;EDATE(Y2,-Projections!$C$117)))*(Projections!$B$117/Projections!$C$117),0)</f>
        <v/>
      </c>
      <c r="Z170" s="56">
        <f>iferror((COUNTIF(Payroll!$I:$I,"&lt;="&amp;Z2)-COUNTIF(Payroll!$I:$I,"&lt;="&amp;EDATE(Z2,-Projections!$C$117)))*(Projections!$B$117/Projections!$C$117),0)</f>
        <v/>
      </c>
      <c r="AA170" s="56">
        <f>iferror((COUNTIF(Payroll!$I:$I,"&lt;="&amp;AA2)-COUNTIF(Payroll!$I:$I,"&lt;="&amp;EDATE(AA2,-Projections!$C$117)))*(Projections!$B$117/Projections!$C$117),0)</f>
        <v/>
      </c>
      <c r="AB170" s="56">
        <f>iferror((COUNTIF(Payroll!$I:$I,"&lt;="&amp;AB2)-COUNTIF(Payroll!$I:$I,"&lt;="&amp;EDATE(AB2,-Projections!$C$117)))*(Projections!$B$117/Projections!$C$117),0)</f>
        <v/>
      </c>
      <c r="AC170" s="56">
        <f>iferror((COUNTIF(Payroll!$I:$I,"&lt;="&amp;AC2)-COUNTIF(Payroll!$I:$I,"&lt;="&amp;EDATE(AC2,-Projections!$C$117)))*(Projections!$B$117/Projections!$C$117),0)</f>
        <v/>
      </c>
      <c r="AD170" s="56">
        <f>iferror((COUNTIF(Payroll!$I:$I,"&lt;="&amp;AD2)-COUNTIF(Payroll!$I:$I,"&lt;="&amp;EDATE(AD2,-Projections!$C$117)))*(Projections!$B$117/Projections!$C$117),0)</f>
        <v/>
      </c>
      <c r="AE170" s="56">
        <f>iferror((COUNTIF(Payroll!$I:$I,"&lt;="&amp;AE2)-COUNTIF(Payroll!$I:$I,"&lt;="&amp;EDATE(AE2,-Projections!$C$117)))*(Projections!$B$117/Projections!$C$117),0)</f>
        <v/>
      </c>
      <c r="AF170" s="56">
        <f>iferror((COUNTIF(Payroll!$I:$I,"&lt;="&amp;AF2)-COUNTIF(Payroll!$I:$I,"&lt;="&amp;EDATE(AF2,-Projections!$C$117)))*(Projections!$B$117/Projections!$C$117),0)</f>
        <v/>
      </c>
      <c r="AG170" s="56">
        <f>iferror((COUNTIF(Payroll!$I:$I,"&lt;="&amp;AG2)-COUNTIF(Payroll!$I:$I,"&lt;="&amp;EDATE(AG2,-Projections!$C$117)))*(Projections!$B$117/Projections!$C$117),0)</f>
        <v/>
      </c>
      <c r="AH170" s="56">
        <f>iferror((COUNTIF(Payroll!$I:$I,"&lt;="&amp;AH2)-COUNTIF(Payroll!$I:$I,"&lt;="&amp;EDATE(AH2,-Projections!$C$117)))*(Projections!$B$117/Projections!$C$117),0)</f>
        <v/>
      </c>
      <c r="AI170" s="56">
        <f>iferror((COUNTIF(Payroll!$I:$I,"&lt;="&amp;AI2)-COUNTIF(Payroll!$I:$I,"&lt;="&amp;EDATE(AI2,-Projections!$C$117)))*(Projections!$B$117/Projections!$C$117),0)</f>
        <v/>
      </c>
      <c r="AJ170" s="56">
        <f>iferror((COUNTIF(Payroll!$I:$I,"&lt;="&amp;AJ2)-COUNTIF(Payroll!$I:$I,"&lt;="&amp;EDATE(AJ2,-Projections!$C$117)))*(Projections!$B$117/Projections!$C$117),0)</f>
        <v/>
      </c>
      <c r="AK170" s="56">
        <f>iferror((COUNTIF(Payroll!$I:$I,"&lt;="&amp;AK2)-COUNTIF(Payroll!$I:$I,"&lt;="&amp;EDATE(AK2,-Projections!$C$117)))*(Projections!$B$117/Projections!$C$117),0)</f>
        <v/>
      </c>
      <c r="AL170" s="56">
        <f>iferror((COUNTIF(Payroll!$I:$I,"&lt;="&amp;AL2)-COUNTIF(Payroll!$I:$I,"&lt;="&amp;EDATE(AL2,-Projections!$C$117)))*(Projections!$B$117/Projections!$C$117),0)</f>
        <v/>
      </c>
      <c r="AM170" s="56">
        <f>iferror((COUNTIF(Payroll!$I:$I,"&lt;="&amp;AM2)-COUNTIF(Payroll!$I:$I,"&lt;="&amp;EDATE(AM2,-Projections!$C$117)))*(Projections!$B$117/Projections!$C$117),0)</f>
        <v/>
      </c>
      <c r="AN170" s="56">
        <f>iferror((COUNTIF(Payroll!$I:$I,"&lt;="&amp;AN2)-COUNTIF(Payroll!$I:$I,"&lt;="&amp;EDATE(AN2,-Projections!$C$117)))*(Projections!$B$117/Projections!$C$117),0)</f>
        <v/>
      </c>
      <c r="AO170" s="56">
        <f>iferror((COUNTIF(Payroll!$I:$I,"&lt;="&amp;AO2)-COUNTIF(Payroll!$I:$I,"&lt;="&amp;EDATE(AO2,-Projections!$C$117)))*(Projections!$B$117/Projections!$C$117),0)</f>
        <v/>
      </c>
      <c r="AP170" s="56">
        <f>iferror((COUNTIF(Payroll!$I:$I,"&lt;="&amp;AP2)-COUNTIF(Payroll!$I:$I,"&lt;="&amp;EDATE(AP2,-Projections!$C$117)))*(Projections!$B$117/Projections!$C$117),0)</f>
        <v/>
      </c>
      <c r="AQ170" s="56">
        <f>iferror((COUNTIF(Payroll!$I:$I,"&lt;="&amp;AQ2)-COUNTIF(Payroll!$I:$I,"&lt;="&amp;EDATE(AQ2,-Projections!$C$117)))*(Projections!$B$117/Projections!$C$117),0)</f>
        <v/>
      </c>
      <c r="AR170" s="56">
        <f>iferror((COUNTIF(Payroll!$I:$I,"&lt;="&amp;AR2)-COUNTIF(Payroll!$I:$I,"&lt;="&amp;EDATE(AR2,-Projections!$C$117)))*(Projections!$B$117/Projections!$C$117),0)</f>
        <v/>
      </c>
      <c r="AS170" s="56">
        <f>iferror((COUNTIF(Payroll!$I:$I,"&lt;="&amp;AS2)-COUNTIF(Payroll!$I:$I,"&lt;="&amp;EDATE(AS2,-Projections!$C$117)))*(Projections!$B$117/Projections!$C$117),0)</f>
        <v/>
      </c>
      <c r="AT170" s="56">
        <f>iferror((COUNTIF(Payroll!$I:$I,"&lt;="&amp;AT2)-COUNTIF(Payroll!$I:$I,"&lt;="&amp;EDATE(AT2,-Projections!$C$117)))*(Projections!$B$117/Projections!$C$117),0)</f>
        <v/>
      </c>
      <c r="AU170" s="56">
        <f>iferror((COUNTIF(Payroll!$I:$I,"&lt;="&amp;AU2)-COUNTIF(Payroll!$I:$I,"&lt;="&amp;EDATE(AU2,-Projections!$C$117)))*(Projections!$B$117/Projections!$C$117),0)</f>
        <v/>
      </c>
      <c r="AV170" s="56">
        <f>iferror((COUNTIF(Payroll!$I:$I,"&lt;="&amp;AV2)-COUNTIF(Payroll!$I:$I,"&lt;="&amp;EDATE(AV2,-Projections!$C$117)))*(Projections!$B$117/Projections!$C$117),0)</f>
        <v/>
      </c>
      <c r="AW170" s="56">
        <f>iferror((COUNTIF(Payroll!$I:$I,"&lt;="&amp;AW2)-COUNTIF(Payroll!$I:$I,"&lt;="&amp;EDATE(AW2,-Projections!$C$117)))*(Projections!$B$117/Projections!$C$117),0)</f>
        <v/>
      </c>
      <c r="AX170" s="56">
        <f>iferror((COUNTIF(Payroll!$I:$I,"&lt;="&amp;AX2)-COUNTIF(Payroll!$I:$I,"&lt;="&amp;EDATE(AX2,-Projections!$C$117)))*(Projections!$B$117/Projections!$C$117),0)</f>
        <v/>
      </c>
      <c r="AY170" s="56">
        <f>iferror((COUNTIF(Payroll!$I:$I,"&lt;="&amp;AY2)-COUNTIF(Payroll!$I:$I,"&lt;="&amp;EDATE(AY2,-Projections!$C$117)))*(Projections!$B$117/Projections!$C$117),0)</f>
        <v/>
      </c>
      <c r="AZ170" s="56">
        <f>iferror((COUNTIF(Payroll!$I:$I,"&lt;="&amp;AZ2)-COUNTIF(Payroll!$I:$I,"&lt;="&amp;EDATE(AZ2,-Projections!$C$117)))*(Projections!$B$117/Projections!$C$117),0)</f>
        <v/>
      </c>
      <c r="BA170" s="56">
        <f>iferror((COUNTIF(Payroll!$I:$I,"&lt;="&amp;BA2)-COUNTIF(Payroll!$I:$I,"&lt;="&amp;EDATE(BA2,-Projections!$C$117)))*(Projections!$B$117/Projections!$C$117),0)</f>
        <v/>
      </c>
      <c r="BB170" s="56">
        <f>iferror((COUNTIF(Payroll!$I:$I,"&lt;="&amp;BB2)-COUNTIF(Payroll!$I:$I,"&lt;="&amp;EDATE(BB2,-Projections!$C$117)))*(Projections!$B$117/Projections!$C$117),0)</f>
        <v/>
      </c>
      <c r="BC170" s="56">
        <f>iferror((COUNTIF(Payroll!$I:$I,"&lt;="&amp;BC2)-COUNTIF(Payroll!$I:$I,"&lt;="&amp;EDATE(BC2,-Projections!$C$117)))*(Projections!$B$117/Projections!$C$117),0)</f>
        <v/>
      </c>
      <c r="BD170" s="56">
        <f>iferror((COUNTIF(Payroll!$I:$I,"&lt;="&amp;BD2)-COUNTIF(Payroll!$I:$I,"&lt;="&amp;EDATE(BD2,-Projections!$C$117)))*(Projections!$B$117/Projections!$C$117),0)</f>
        <v/>
      </c>
      <c r="BE170" s="56">
        <f>iferror((COUNTIF(Payroll!$I:$I,"&lt;="&amp;BE2)-COUNTIF(Payroll!$I:$I,"&lt;="&amp;EDATE(BE2,-Projections!$C$117)))*(Projections!$B$117/Projections!$C$117),0)</f>
        <v/>
      </c>
      <c r="BF170" s="56">
        <f>iferror((COUNTIF(Payroll!$I:$I,"&lt;="&amp;BF2)-COUNTIF(Payroll!$I:$I,"&lt;="&amp;EDATE(BF2,-Projections!$C$117)))*(Projections!$B$117/Projections!$C$117),0)</f>
        <v/>
      </c>
      <c r="BG170" s="56">
        <f>iferror((COUNTIF(Payroll!$I:$I,"&lt;="&amp;BG2)-COUNTIF(Payroll!$I:$I,"&lt;="&amp;EDATE(BG2,-Projections!$C$117)))*(Projections!$B$117/Projections!$C$117),0)</f>
        <v/>
      </c>
      <c r="BH170" s="56">
        <f>iferror((COUNTIF(Payroll!$I:$I,"&lt;="&amp;BH2)-COUNTIF(Payroll!$I:$I,"&lt;="&amp;EDATE(BH2,-Projections!$C$117)))*(Projections!$B$117/Projections!$C$117),0)</f>
        <v/>
      </c>
      <c r="BI170" s="56">
        <f>iferror((COUNTIF(Payroll!$I:$I,"&lt;="&amp;BI2)-COUNTIF(Payroll!$I:$I,"&lt;="&amp;EDATE(BI2,-Projections!$C$117)))*(Projections!$B$117/Projections!$C$117),0)</f>
        <v/>
      </c>
      <c r="BJ170" s="56">
        <f>iferror((COUNTIF(Payroll!$I:$I,"&lt;="&amp;BJ2)-COUNTIF(Payroll!$I:$I,"&lt;="&amp;EDATE(BJ2,-Projections!$C$117)))*(Projections!$B$117/Projections!$C$117),0)</f>
        <v/>
      </c>
      <c r="BK170" s="56">
        <f>iferror((COUNTIF(Payroll!$I:$I,"&lt;="&amp;BK2)-COUNTIF(Payroll!$I:$I,"&lt;="&amp;EDATE(BK2,-Projections!$C$117)))*(Projections!$B$117/Projections!$C$117),0)</f>
        <v/>
      </c>
      <c r="BL170" s="56">
        <f>iferror((COUNTIF(Payroll!$I:$I,"&lt;="&amp;BL2)-COUNTIF(Payroll!$I:$I,"&lt;="&amp;EDATE(BL2,-Projections!$C$117)))*(Projections!$B$117/Projections!$C$117),0)</f>
        <v/>
      </c>
      <c r="BM170" s="56">
        <f>iferror((COUNTIF(Payroll!$I:$I,"&lt;="&amp;BM2)-COUNTIF(Payroll!$I:$I,"&lt;="&amp;EDATE(BM2,-Projections!$C$117)))*(Projections!$B$117/Projections!$C$117),0)</f>
        <v/>
      </c>
      <c r="BN170" s="56">
        <f>iferror((COUNTIF(Payroll!$I:$I,"&lt;="&amp;BN2)-COUNTIF(Payroll!$I:$I,"&lt;="&amp;EDATE(BN2,-Projections!$C$117)))*(Projections!$B$117/Projections!$C$117),0)</f>
        <v/>
      </c>
      <c r="BO170" s="56">
        <f>iferror((COUNTIF(Payroll!$I:$I,"&lt;="&amp;BO2)-COUNTIF(Payroll!$I:$I,"&lt;="&amp;EDATE(BO2,-Projections!$C$117)))*(Projections!$B$117/Projections!$C$117),0)</f>
        <v/>
      </c>
      <c r="BP170" s="56">
        <f>iferror((COUNTIF(Payroll!$I:$I,"&lt;="&amp;BP2)-COUNTIF(Payroll!$I:$I,"&lt;="&amp;EDATE(BP2,-Projections!$C$117)))*(Projections!$B$117/Projections!$C$117),0)</f>
        <v/>
      </c>
      <c r="BQ170" s="56">
        <f>iferror((COUNTIF(Payroll!$I:$I,"&lt;="&amp;BQ2)-COUNTIF(Payroll!$I:$I,"&lt;="&amp;EDATE(BQ2,-Projections!$C$117)))*(Projections!$B$117/Projections!$C$117),0)</f>
        <v/>
      </c>
      <c r="BR170" s="56">
        <f>iferror((COUNTIF(Payroll!$I:$I,"&lt;="&amp;BR2)-COUNTIF(Payroll!$I:$I,"&lt;="&amp;EDATE(BR2,-Projections!$C$117)))*(Projections!$B$117/Projections!$C$117),0)</f>
        <v/>
      </c>
      <c r="BS170" s="56">
        <f>iferror((COUNTIF(Payroll!$I:$I,"&lt;="&amp;BS2)-COUNTIF(Payroll!$I:$I,"&lt;="&amp;EDATE(BS2,-Projections!$C$117)))*(Projections!$B$117/Projections!$C$117),0)</f>
        <v/>
      </c>
      <c r="BT170" s="56">
        <f>iferror((COUNTIF(Payroll!$I:$I,"&lt;="&amp;BT2)-COUNTIF(Payroll!$I:$I,"&lt;="&amp;EDATE(BT2,-Projections!$C$117)))*(Projections!$B$117/Projections!$C$117),0)</f>
        <v/>
      </c>
      <c r="BU170" s="56">
        <f>iferror((COUNTIF(Payroll!$I:$I,"&lt;="&amp;BU2)-COUNTIF(Payroll!$I:$I,"&lt;="&amp;EDATE(BU2,-Projections!$C$117)))*(Projections!$B$117/Projections!$C$117),0)</f>
        <v/>
      </c>
      <c r="BV170" s="56">
        <f>iferror((COUNTIF(Payroll!$I:$I,"&lt;="&amp;BV2)-COUNTIF(Payroll!$I:$I,"&lt;="&amp;EDATE(BV2,-Projections!$C$117)))*(Projections!$B$117/Projections!$C$117),0)</f>
        <v/>
      </c>
      <c r="BW170" s="56">
        <f>iferror((COUNTIF(Payroll!$I:$I,"&lt;="&amp;BW2)-COUNTIF(Payroll!$I:$I,"&lt;="&amp;EDATE(BW2,-Projections!$C$117)))*(Projections!$B$117/Projections!$C$117),0)</f>
        <v/>
      </c>
      <c r="BX170" s="56">
        <f>iferror((COUNTIF(Payroll!$I:$I,"&lt;="&amp;BX2)-COUNTIF(Payroll!$I:$I,"&lt;="&amp;EDATE(BX2,-Projections!$C$117)))*(Projections!$B$117/Projections!$C$117),0)</f>
        <v/>
      </c>
      <c r="BY170" s="56">
        <f>iferror((COUNTIF(Payroll!$I:$I,"&lt;="&amp;BY2)-COUNTIF(Payroll!$I:$I,"&lt;="&amp;EDATE(BY2,-Projections!$C$117)))*(Projections!$B$117/Projections!$C$117),0)</f>
        <v/>
      </c>
      <c r="BZ170" s="56">
        <f>iferror((COUNTIF(Payroll!$I:$I,"&lt;="&amp;BZ2)-COUNTIF(Payroll!$I:$I,"&lt;="&amp;EDATE(BZ2,-Projections!$C$117)))*(Projections!$B$117/Projections!$C$117),0)</f>
        <v/>
      </c>
      <c r="CA170" s="56">
        <f>iferror((COUNTIF(Payroll!$I:$I,"&lt;="&amp;CA2)-COUNTIF(Payroll!$I:$I,"&lt;="&amp;EDATE(CA2,-Projections!$C$117)))*(Projections!$B$117/Projections!$C$117),0)</f>
        <v/>
      </c>
      <c r="CB170" s="56">
        <f>iferror((COUNTIF(Payroll!$I:$I,"&lt;="&amp;CB2)-COUNTIF(Payroll!$I:$I,"&lt;="&amp;EDATE(CB2,-Projections!$C$117)))*(Projections!$B$117/Projections!$C$117),0)</f>
        <v/>
      </c>
      <c r="CC170" s="56">
        <f>iferror((COUNTIF(Payroll!$I:$I,"&lt;="&amp;CC2)-COUNTIF(Payroll!$I:$I,"&lt;="&amp;EDATE(CC2,-Projections!$C$117)))*(Projections!$B$117/Projections!$C$117),0)</f>
        <v/>
      </c>
      <c r="CD170" s="56">
        <f>iferror((COUNTIF(Payroll!$I:$I,"&lt;="&amp;CD2)-COUNTIF(Payroll!$I:$I,"&lt;="&amp;EDATE(CD2,-Projections!$C$117)))*(Projections!$B$117/Projections!$C$117),0)</f>
        <v/>
      </c>
      <c r="CE170" s="56">
        <f>iferror((COUNTIF(Payroll!$I:$I,"&lt;="&amp;CE2)-COUNTIF(Payroll!$I:$I,"&lt;="&amp;EDATE(CE2,-Projections!$C$117)))*(Projections!$B$117/Projections!$C$117),0)</f>
        <v/>
      </c>
      <c r="CF170" s="56">
        <f>iferror((COUNTIF(Payroll!$I:$I,"&lt;="&amp;CF2)-COUNTIF(Payroll!$I:$I,"&lt;="&amp;EDATE(CF2,-Projections!$C$117)))*(Projections!$B$117/Projections!$C$117),0)</f>
        <v/>
      </c>
      <c r="CG170" s="56">
        <f>iferror((COUNTIF(Payroll!$I:$I,"&lt;="&amp;CG2)-COUNTIF(Payroll!$I:$I,"&lt;="&amp;EDATE(CG2,-Projections!$C$117)))*(Projections!$B$117/Projections!$C$117),0)</f>
        <v/>
      </c>
      <c r="CH170" s="56">
        <f>iferror((COUNTIF(Payroll!$I:$I,"&lt;="&amp;CH2)-COUNTIF(Payroll!$I:$I,"&lt;="&amp;EDATE(CH2,-Projections!$C$117)))*(Projections!$B$117/Projections!$C$117),0)</f>
        <v/>
      </c>
      <c r="CI170" s="56">
        <f>iferror((COUNTIF(Payroll!$I:$I,"&lt;="&amp;CI2)-COUNTIF(Payroll!$I:$I,"&lt;="&amp;EDATE(CI2,-Projections!$C$117)))*(Projections!$B$117/Projections!$C$117),0)</f>
        <v/>
      </c>
      <c r="CJ170" s="56">
        <f>iferror((COUNTIF(Payroll!$I:$I,"&lt;="&amp;CJ2)-COUNTIF(Payroll!$I:$I,"&lt;="&amp;EDATE(CJ2,-Projections!$C$117)))*(Projections!$B$117/Projections!$C$117),0)</f>
        <v/>
      </c>
      <c r="CK170" s="56">
        <f>iferror((COUNTIF(Payroll!$I:$I,"&lt;="&amp;CK2)-COUNTIF(Payroll!$I:$I,"&lt;="&amp;EDATE(CK2,-Projections!$C$117)))*(Projections!$B$117/Projections!$C$117),0)</f>
        <v/>
      </c>
      <c r="CL170" s="56">
        <f>iferror((COUNTIF(Payroll!$I:$I,"&lt;="&amp;CL2)-COUNTIF(Payroll!$I:$I,"&lt;="&amp;EDATE(CL2,-Projections!$C$117)))*(Projections!$B$117/Projections!$C$117),0)</f>
        <v/>
      </c>
      <c r="CM170" s="56">
        <f>iferror((COUNTIF(Payroll!$I:$I,"&lt;="&amp;CM2)-COUNTIF(Payroll!$I:$I,"&lt;="&amp;EDATE(CM2,-Projections!$C$117)))*(Projections!$B$117/Projections!$C$117),0)</f>
        <v/>
      </c>
      <c r="CN170" s="56">
        <f>iferror((COUNTIF(Payroll!$I:$I,"&lt;="&amp;CN2)-COUNTIF(Payroll!$I:$I,"&lt;="&amp;EDATE(CN2,-Projections!$C$117)))*(Projections!$B$117/Projections!$C$117),0)</f>
        <v/>
      </c>
      <c r="CO170" s="56">
        <f>iferror((COUNTIF(Payroll!$I:$I,"&lt;="&amp;CO2)-COUNTIF(Payroll!$I:$I,"&lt;="&amp;EDATE(CO2,-Projections!$C$117)))*(Projections!$B$117/Projections!$C$117),0)</f>
        <v/>
      </c>
      <c r="CP170" s="56">
        <f>iferror((COUNTIF(Payroll!$I:$I,"&lt;="&amp;CP2)-COUNTIF(Payroll!$I:$I,"&lt;="&amp;EDATE(CP2,-Projections!$C$117)))*(Projections!$B$117/Projections!$C$117),0)</f>
        <v/>
      </c>
      <c r="CQ170" s="56">
        <f>iferror((COUNTIF(Payroll!$I:$I,"&lt;="&amp;CQ2)-COUNTIF(Payroll!$I:$I,"&lt;="&amp;EDATE(CQ2,-Projections!$C$117)))*(Projections!$B$117/Projections!$C$117),0)</f>
        <v/>
      </c>
      <c r="CR170" s="56">
        <f>iferror((COUNTIF(Payroll!$I:$I,"&lt;="&amp;CR2)-COUNTIF(Payroll!$I:$I,"&lt;="&amp;EDATE(CR2,-Projections!$C$117)))*(Projections!$B$117/Projections!$C$117),0)</f>
        <v/>
      </c>
      <c r="CS170" s="56">
        <f>iferror((COUNTIF(Payroll!$I:$I,"&lt;="&amp;CS2)-COUNTIF(Payroll!$I:$I,"&lt;="&amp;EDATE(CS2,-Projections!$C$117)))*(Projections!$B$117/Projections!$C$117),0)</f>
        <v/>
      </c>
      <c r="CT170" s="56">
        <f>iferror((COUNTIF(Payroll!$I:$I,"&lt;="&amp;CT2)-COUNTIF(Payroll!$I:$I,"&lt;="&amp;EDATE(CT2,-Projections!$C$117)))*(Projections!$B$117/Projections!$C$117),0)</f>
        <v/>
      </c>
      <c r="CU170" s="56">
        <f>iferror((COUNTIF(Payroll!$I:$I,"&lt;="&amp;CU2)-COUNTIF(Payroll!$I:$I,"&lt;="&amp;EDATE(CU2,-Projections!$C$117)))*(Projections!$B$117/Projections!$C$117),0)</f>
        <v/>
      </c>
      <c r="CV170" s="56">
        <f>iferror((COUNTIF(Payroll!$I:$I,"&lt;="&amp;CV2)-COUNTIF(Payroll!$I:$I,"&lt;="&amp;EDATE(CV2,-Projections!$C$117)))*(Projections!$B$117/Projections!$C$117),0)</f>
        <v/>
      </c>
      <c r="CW170" s="56">
        <f>iferror((COUNTIF(Payroll!$I:$I,"&lt;="&amp;CW2)-COUNTIF(Payroll!$I:$I,"&lt;="&amp;EDATE(CW2,-Projections!$C$117)))*(Projections!$B$117/Projections!$C$117),0)</f>
        <v/>
      </c>
      <c r="CX170" s="56">
        <f>iferror((COUNTIF(Payroll!$I:$I,"&lt;="&amp;CX2)-COUNTIF(Payroll!$I:$I,"&lt;="&amp;EDATE(CX2,-Projections!$C$117)))*(Projections!$B$117/Projections!$C$117),0)</f>
        <v/>
      </c>
    </row>
    <row r="171" outlineLevel="1" ht="15.75" customHeight="1" s="255">
      <c r="A171" s="56">
        <f>A162</f>
        <v/>
      </c>
      <c r="B171" s="56" t="n"/>
      <c r="C171" s="56" t="n"/>
      <c r="D171" s="56" t="n"/>
      <c r="E171" s="56">
        <f>IFERROR(IF(AND(E$2&gt;=Projections!$E120,E$2&lt;=EDATE(Projections!$E120,Projections!$C120)),Projections!$B120/Projections!$C120,0),0)</f>
        <v/>
      </c>
      <c r="F171" s="56">
        <f>IFERROR(IF(AND(F$2&gt;=Projections!$E120,F$2&lt;=EDATE(Projections!$E120,Projections!$C120)),Projections!$B120/Projections!$C120,0),0)</f>
        <v/>
      </c>
      <c r="G171" s="56">
        <f>IFERROR(IF(AND(G$2&gt;=Projections!$E120,G$2&lt;=EDATE(Projections!$E120,Projections!$C120)),Projections!$B120/Projections!$C120,0),0)</f>
        <v/>
      </c>
      <c r="H171" s="56">
        <f>IFERROR(IF(AND(H$2&gt;=Projections!$E120,H$2&lt;=EDATE(Projections!$E120,Projections!$C120)),Projections!$B120/Projections!$C120,0),0)</f>
        <v/>
      </c>
      <c r="I171" s="56">
        <f>IFERROR(IF(AND(I$2&gt;=Projections!$E120,I$2&lt;=EDATE(Projections!$E120,Projections!$C120)),Projections!$B120/Projections!$C120,0),0)</f>
        <v/>
      </c>
      <c r="J171" s="56">
        <f>IFERROR(IF(AND(J$2&gt;=Projections!$E120,J$2&lt;=EDATE(Projections!$E120,Projections!$C120)),Projections!$B120/Projections!$C120,0),0)</f>
        <v/>
      </c>
      <c r="K171" s="56">
        <f>IFERROR(IF(AND(K$2&gt;=Projections!$E120,K$2&lt;=EDATE(Projections!$E120,Projections!$C120)),Projections!$B120/Projections!$C120,0),0)</f>
        <v/>
      </c>
      <c r="L171" s="56">
        <f>IFERROR(IF(AND(L$2&gt;=Projections!$E120,L$2&lt;=EDATE(Projections!$E120,Projections!$C120)),Projections!$B120/Projections!$C120,0),0)</f>
        <v/>
      </c>
      <c r="M171" s="56">
        <f>IFERROR(IF(AND(M$2&gt;=Projections!$E120,M$2&lt;=EDATE(Projections!$E120,Projections!$C120)),Projections!$B120/Projections!$C120,0),0)</f>
        <v/>
      </c>
      <c r="N171" s="56">
        <f>IFERROR(IF(AND(N$2&gt;=Projections!$E120,N$2&lt;=EDATE(Projections!$E120,Projections!$C120)),Projections!$B120/Projections!$C120,0),0)</f>
        <v/>
      </c>
      <c r="O171" s="56">
        <f>IFERROR(IF(AND(O$2&gt;=Projections!$E120,O$2&lt;=EDATE(Projections!$E120,Projections!$C120)),Projections!$B120/Projections!$C120,0),0)</f>
        <v/>
      </c>
      <c r="P171" s="56">
        <f>IFERROR(IF(AND(P$2&gt;=Projections!$E120,P$2&lt;=EDATE(Projections!$E120,Projections!$C120)),Projections!$B120/Projections!$C120,0),0)</f>
        <v/>
      </c>
      <c r="Q171" s="56">
        <f>IFERROR(IF(AND(Q$2&gt;=Projections!$E120,Q$2&lt;=EDATE(Projections!$E120,Projections!$C120)),Projections!$B120/Projections!$C120,0),0)</f>
        <v/>
      </c>
      <c r="R171" s="56">
        <f>IFERROR(IF(AND(R$2&gt;=Projections!$E120,R$2&lt;=EDATE(Projections!$E120,Projections!$C120)),Projections!$B120/Projections!$C120,0),0)</f>
        <v/>
      </c>
      <c r="S171" s="56">
        <f>IFERROR(IF(AND(S$2&gt;=Projections!$E120,S$2&lt;=EDATE(Projections!$E120,Projections!$C120)),Projections!$B120/Projections!$C120,0),0)</f>
        <v/>
      </c>
      <c r="T171" s="56">
        <f>IFERROR(IF(AND(T$2&gt;=Projections!$E120,T$2&lt;=EDATE(Projections!$E120,Projections!$C120)),Projections!$B120/Projections!$C120,0),0)</f>
        <v/>
      </c>
      <c r="U171" s="56">
        <f>IFERROR(IF(AND(U$2&gt;=Projections!$E120,U$2&lt;=EDATE(Projections!$E120,Projections!$C120)),Projections!$B120/Projections!$C120,0),0)</f>
        <v/>
      </c>
      <c r="V171" s="56">
        <f>IFERROR(IF(AND(V$2&gt;=Projections!$E120,V$2&lt;=EDATE(Projections!$E120,Projections!$C120)),Projections!$B120/Projections!$C120,0),0)</f>
        <v/>
      </c>
      <c r="W171" s="56">
        <f>IFERROR(IF(AND(W$2&gt;=Projections!$E120,W$2&lt;=EDATE(Projections!$E120,Projections!$C120)),Projections!$B120/Projections!$C120,0),0)</f>
        <v/>
      </c>
      <c r="X171" s="56">
        <f>IFERROR(IF(AND(X$2&gt;=Projections!$E120,X$2&lt;=EDATE(Projections!$E120,Projections!$C120)),Projections!$B120/Projections!$C120,0),0)</f>
        <v/>
      </c>
      <c r="Y171" s="56">
        <f>IFERROR(IF(AND(Y$2&gt;=Projections!$E120,Y$2&lt;=EDATE(Projections!$E120,Projections!$C120)),Projections!$B120/Projections!$C120,0),0)</f>
        <v/>
      </c>
      <c r="Z171" s="56">
        <f>IFERROR(IF(AND(Z$2&gt;=Projections!$E120,Z$2&lt;=EDATE(Projections!$E120,Projections!$C120)),Projections!$B120/Projections!$C120,0),0)</f>
        <v/>
      </c>
      <c r="AA171" s="56">
        <f>IFERROR(IF(AND(AA$2&gt;=Projections!$E120,AA$2&lt;=EDATE(Projections!$E120,Projections!$C120)),Projections!$B120/Projections!$C120,0),0)</f>
        <v/>
      </c>
      <c r="AB171" s="56">
        <f>IFERROR(IF(AND(AB$2&gt;=Projections!$E120,AB$2&lt;=EDATE(Projections!$E120,Projections!$C120)),Projections!$B120/Projections!$C120,0),0)</f>
        <v/>
      </c>
      <c r="AC171" s="56">
        <f>IFERROR(IF(AND(AC$2&gt;=Projections!$E120,AC$2&lt;=EDATE(Projections!$E120,Projections!$C120)),Projections!$B120/Projections!$C120,0),0)</f>
        <v/>
      </c>
      <c r="AD171" s="56">
        <f>IFERROR(IF(AND(AD$2&gt;=Projections!$E120,AD$2&lt;=EDATE(Projections!$E120,Projections!$C120)),Projections!$B120/Projections!$C120,0),0)</f>
        <v/>
      </c>
      <c r="AE171" s="56">
        <f>IFERROR(IF(AND(AE$2&gt;=Projections!$E120,AE$2&lt;=EDATE(Projections!$E120,Projections!$C120)),Projections!$B120/Projections!$C120,0),0)</f>
        <v/>
      </c>
      <c r="AF171" s="56">
        <f>IFERROR(IF(AND(AF$2&gt;=Projections!$E120,AF$2&lt;=EDATE(Projections!$E120,Projections!$C120)),Projections!$B120/Projections!$C120,0),0)</f>
        <v/>
      </c>
      <c r="AG171" s="56">
        <f>IFERROR(IF(AND(AG$2&gt;=Projections!$E120,AG$2&lt;=EDATE(Projections!$E120,Projections!$C120)),Projections!$B120/Projections!$C120,0),0)</f>
        <v/>
      </c>
      <c r="AH171" s="56">
        <f>IFERROR(IF(AND(AH$2&gt;=Projections!$E120,AH$2&lt;=EDATE(Projections!$E120,Projections!$C120)),Projections!$B120/Projections!$C120,0),0)</f>
        <v/>
      </c>
      <c r="AI171" s="56">
        <f>IFERROR(IF(AND(AI$2&gt;=Projections!$E120,AI$2&lt;=EDATE(Projections!$E120,Projections!$C120)),Projections!$B120/Projections!$C120,0),0)</f>
        <v/>
      </c>
      <c r="AJ171" s="56">
        <f>IFERROR(IF(AND(AJ$2&gt;=Projections!$E120,AJ$2&lt;=EDATE(Projections!$E120,Projections!$C120)),Projections!$B120/Projections!$C120,0),0)</f>
        <v/>
      </c>
      <c r="AK171" s="56">
        <f>IFERROR(IF(AND(AK$2&gt;=Projections!$E120,AK$2&lt;=EDATE(Projections!$E120,Projections!$C120)),Projections!$B120/Projections!$C120,0),0)</f>
        <v/>
      </c>
      <c r="AL171" s="56">
        <f>IFERROR(IF(AND(AL$2&gt;=Projections!$E120,AL$2&lt;=EDATE(Projections!$E120,Projections!$C120)),Projections!$B120/Projections!$C120,0),0)</f>
        <v/>
      </c>
      <c r="AM171" s="56">
        <f>IFERROR(IF(AND(AM$2&gt;=Projections!$E120,AM$2&lt;=EDATE(Projections!$E120,Projections!$C120)),Projections!$B120/Projections!$C120,0),0)</f>
        <v/>
      </c>
      <c r="AN171" s="56">
        <f>IFERROR(IF(AND(AN$2&gt;=Projections!$E120,AN$2&lt;=EDATE(Projections!$E120,Projections!$C120)),Projections!$B120/Projections!$C120,0),0)</f>
        <v/>
      </c>
      <c r="AO171" s="56">
        <f>IFERROR(IF(AND(AO$2&gt;=Projections!$E120,AO$2&lt;=EDATE(Projections!$E120,Projections!$C120)),Projections!$B120/Projections!$C120,0),0)</f>
        <v/>
      </c>
      <c r="AP171" s="56">
        <f>IFERROR(IF(AND(AP$2&gt;=Projections!$E120,AP$2&lt;=EDATE(Projections!$E120,Projections!$C120)),Projections!$B120/Projections!$C120,0),0)</f>
        <v/>
      </c>
      <c r="AQ171" s="56">
        <f>IFERROR(IF(AND(AQ$2&gt;=Projections!$E120,AQ$2&lt;=EDATE(Projections!$E120,Projections!$C120)),Projections!$B120/Projections!$C120,0),0)</f>
        <v/>
      </c>
      <c r="AR171" s="56">
        <f>IFERROR(IF(AND(AR$2&gt;=Projections!$E120,AR$2&lt;=EDATE(Projections!$E120,Projections!$C120)),Projections!$B120/Projections!$C120,0),0)</f>
        <v/>
      </c>
      <c r="AS171" s="56">
        <f>IFERROR(IF(AND(AS$2&gt;=Projections!$E120,AS$2&lt;=EDATE(Projections!$E120,Projections!$C120)),Projections!$B120/Projections!$C120,0),0)</f>
        <v/>
      </c>
      <c r="AT171" s="56">
        <f>IFERROR(IF(AND(AT$2&gt;=Projections!$E120,AT$2&lt;=EDATE(Projections!$E120,Projections!$C120)),Projections!$B120/Projections!$C120,0),0)</f>
        <v/>
      </c>
      <c r="AU171" s="56">
        <f>IFERROR(IF(AND(AU$2&gt;=Projections!$E120,AU$2&lt;=EDATE(Projections!$E120,Projections!$C120)),Projections!$B120/Projections!$C120,0),0)</f>
        <v/>
      </c>
      <c r="AV171" s="56">
        <f>IFERROR(IF(AND(AV$2&gt;=Projections!$E120,AV$2&lt;=EDATE(Projections!$E120,Projections!$C120)),Projections!$B120/Projections!$C120,0),0)</f>
        <v/>
      </c>
      <c r="AW171" s="56">
        <f>IFERROR(IF(AND(AW$2&gt;=Projections!$E120,AW$2&lt;=EDATE(Projections!$E120,Projections!$C120)),Projections!$B120/Projections!$C120,0),0)</f>
        <v/>
      </c>
      <c r="AX171" s="56">
        <f>IFERROR(IF(AND(AX$2&gt;=Projections!$E120,AX$2&lt;=EDATE(Projections!$E120,Projections!$C120)),Projections!$B120/Projections!$C120,0),0)</f>
        <v/>
      </c>
      <c r="AY171" s="56">
        <f>IFERROR(IF(AND(AY$2&gt;=Projections!$E120,AY$2&lt;=EDATE(Projections!$E120,Projections!$C120)),Projections!$B120/Projections!$C120,0),0)</f>
        <v/>
      </c>
      <c r="AZ171" s="56">
        <f>IFERROR(IF(AND(AZ$2&gt;=Projections!$E120,AZ$2&lt;=EDATE(Projections!$E120,Projections!$C120)),Projections!$B120/Projections!$C120,0),0)</f>
        <v/>
      </c>
      <c r="BA171" s="56">
        <f>IFERROR(IF(AND(BA$2&gt;=Projections!$E120,BA$2&lt;=EDATE(Projections!$E120,Projections!$C120)),Projections!$B120/Projections!$C120,0),0)</f>
        <v/>
      </c>
      <c r="BB171" s="56">
        <f>IFERROR(IF(AND(BB$2&gt;=Projections!$E120,BB$2&lt;=EDATE(Projections!$E120,Projections!$C120)),Projections!$B120/Projections!$C120,0),0)</f>
        <v/>
      </c>
      <c r="BC171" s="56">
        <f>IFERROR(IF(AND(BC$2&gt;=Projections!$E120,BC$2&lt;=EDATE(Projections!$E120,Projections!$C120)),Projections!$B120/Projections!$C120,0),0)</f>
        <v/>
      </c>
      <c r="BD171" s="56">
        <f>IFERROR(IF(AND(BD$2&gt;=Projections!$E120,BD$2&lt;=EDATE(Projections!$E120,Projections!$C120)),Projections!$B120/Projections!$C120,0),0)</f>
        <v/>
      </c>
      <c r="BE171" s="56">
        <f>IFERROR(IF(AND(BE$2&gt;=Projections!$E120,BE$2&lt;=EDATE(Projections!$E120,Projections!$C120)),Projections!$B120/Projections!$C120,0),0)</f>
        <v/>
      </c>
      <c r="BF171" s="56">
        <f>IFERROR(IF(AND(BF$2&gt;=Projections!$E120,BF$2&lt;=EDATE(Projections!$E120,Projections!$C120)),Projections!$B120/Projections!$C120,0),0)</f>
        <v/>
      </c>
      <c r="BG171" s="56">
        <f>IFERROR(IF(AND(BG$2&gt;=Projections!$E120,BG$2&lt;=EDATE(Projections!$E120,Projections!$C120)),Projections!$B120/Projections!$C120,0),0)</f>
        <v/>
      </c>
      <c r="BH171" s="56">
        <f>IFERROR(IF(AND(BH$2&gt;=Projections!$E120,BH$2&lt;=EDATE(Projections!$E120,Projections!$C120)),Projections!$B120/Projections!$C120,0),0)</f>
        <v/>
      </c>
      <c r="BI171" s="56">
        <f>IFERROR(IF(AND(BI$2&gt;=Projections!$E120,BI$2&lt;=EDATE(Projections!$E120,Projections!$C120)),Projections!$B120/Projections!$C120,0),0)</f>
        <v/>
      </c>
      <c r="BJ171" s="56">
        <f>IFERROR(IF(AND(BJ$2&gt;=Projections!$E120,BJ$2&lt;=EDATE(Projections!$E120,Projections!$C120)),Projections!$B120/Projections!$C120,0),0)</f>
        <v/>
      </c>
      <c r="BK171" s="56">
        <f>IFERROR(IF(AND(BK$2&gt;=Projections!$E120,BK$2&lt;=EDATE(Projections!$E120,Projections!$C120)),Projections!$B120/Projections!$C120,0),0)</f>
        <v/>
      </c>
      <c r="BL171" s="56">
        <f>IFERROR(IF(AND(BL$2&gt;=Projections!$E120,BL$2&lt;=EDATE(Projections!$E120,Projections!$C120)),Projections!$B120/Projections!$C120,0),0)</f>
        <v/>
      </c>
      <c r="BM171" s="56">
        <f>IFERROR(IF(AND(BM$2&gt;=Projections!$E120,BM$2&lt;=EDATE(Projections!$E120,Projections!$C120)),Projections!$B120/Projections!$C120,0),0)</f>
        <v/>
      </c>
      <c r="BN171" s="56">
        <f>IFERROR(IF(AND(BN$2&gt;=Projections!$E120,BN$2&lt;=EDATE(Projections!$E120,Projections!$C120)),Projections!$B120/Projections!$C120,0),0)</f>
        <v/>
      </c>
      <c r="BO171" s="56">
        <f>IFERROR(IF(AND(BO$2&gt;=Projections!$E120,BO$2&lt;=EDATE(Projections!$E120,Projections!$C120)),Projections!$B120/Projections!$C120,0),0)</f>
        <v/>
      </c>
      <c r="BP171" s="56">
        <f>IFERROR(IF(AND(BP$2&gt;=Projections!$E120,BP$2&lt;=EDATE(Projections!$E120,Projections!$C120)),Projections!$B120/Projections!$C120,0),0)</f>
        <v/>
      </c>
      <c r="BQ171" s="56">
        <f>IFERROR(IF(AND(BQ$2&gt;=Projections!$E120,BQ$2&lt;=EDATE(Projections!$E120,Projections!$C120)),Projections!$B120/Projections!$C120,0),0)</f>
        <v/>
      </c>
      <c r="BR171" s="56">
        <f>IFERROR(IF(AND(BR$2&gt;=Projections!$E120,BR$2&lt;=EDATE(Projections!$E120,Projections!$C120)),Projections!$B120/Projections!$C120,0),0)</f>
        <v/>
      </c>
      <c r="BS171" s="56">
        <f>IFERROR(IF(AND(BS$2&gt;=Projections!$E120,BS$2&lt;=EDATE(Projections!$E120,Projections!$C120)),Projections!$B120/Projections!$C120,0),0)</f>
        <v/>
      </c>
      <c r="BT171" s="56">
        <f>IFERROR(IF(AND(BT$2&gt;=Projections!$E120,BT$2&lt;=EDATE(Projections!$E120,Projections!$C120)),Projections!$B120/Projections!$C120,0),0)</f>
        <v/>
      </c>
      <c r="BU171" s="56">
        <f>IFERROR(IF(AND(BU$2&gt;=Projections!$E120,BU$2&lt;=EDATE(Projections!$E120,Projections!$C120)),Projections!$B120/Projections!$C120,0),0)</f>
        <v/>
      </c>
      <c r="BV171" s="56">
        <f>IFERROR(IF(AND(BV$2&gt;=Projections!$E120,BV$2&lt;=EDATE(Projections!$E120,Projections!$C120)),Projections!$B120/Projections!$C120,0),0)</f>
        <v/>
      </c>
      <c r="BW171" s="56">
        <f>IFERROR(IF(AND(BW$2&gt;=Projections!$E120,BW$2&lt;=EDATE(Projections!$E120,Projections!$C120)),Projections!$B120/Projections!$C120,0),0)</f>
        <v/>
      </c>
      <c r="BX171" s="56">
        <f>IFERROR(IF(AND(BX$2&gt;=Projections!$E120,BX$2&lt;=EDATE(Projections!$E120,Projections!$C120)),Projections!$B120/Projections!$C120,0),0)</f>
        <v/>
      </c>
      <c r="BY171" s="56">
        <f>IFERROR(IF(AND(BY$2&gt;=Projections!$E120,BY$2&lt;=EDATE(Projections!$E120,Projections!$C120)),Projections!$B120/Projections!$C120,0),0)</f>
        <v/>
      </c>
      <c r="BZ171" s="56">
        <f>IFERROR(IF(AND(BZ$2&gt;=Projections!$E120,BZ$2&lt;=EDATE(Projections!$E120,Projections!$C120)),Projections!$B120/Projections!$C120,0),0)</f>
        <v/>
      </c>
      <c r="CA171" s="56">
        <f>IFERROR(IF(AND(CA$2&gt;=Projections!$E120,CA$2&lt;=EDATE(Projections!$E120,Projections!$C120)),Projections!$B120/Projections!$C120,0),0)</f>
        <v/>
      </c>
      <c r="CB171" s="56">
        <f>IFERROR(IF(AND(CB$2&gt;=Projections!$E120,CB$2&lt;=EDATE(Projections!$E120,Projections!$C120)),Projections!$B120/Projections!$C120,0),0)</f>
        <v/>
      </c>
      <c r="CC171" s="56">
        <f>IFERROR(IF(AND(CC$2&gt;=Projections!$E120,CC$2&lt;=EDATE(Projections!$E120,Projections!$C120)),Projections!$B120/Projections!$C120,0),0)</f>
        <v/>
      </c>
      <c r="CD171" s="56">
        <f>IFERROR(IF(AND(CD$2&gt;=Projections!$E120,CD$2&lt;=EDATE(Projections!$E120,Projections!$C120)),Projections!$B120/Projections!$C120,0),0)</f>
        <v/>
      </c>
      <c r="CE171" s="56">
        <f>IFERROR(IF(AND(CE$2&gt;=Projections!$E120,CE$2&lt;=EDATE(Projections!$E120,Projections!$C120)),Projections!$B120/Projections!$C120,0),0)</f>
        <v/>
      </c>
      <c r="CF171" s="56">
        <f>IFERROR(IF(AND(CF$2&gt;=Projections!$E120,CF$2&lt;=EDATE(Projections!$E120,Projections!$C120)),Projections!$B120/Projections!$C120,0),0)</f>
        <v/>
      </c>
      <c r="CG171" s="56">
        <f>IFERROR(IF(AND(CG$2&gt;=Projections!$E120,CG$2&lt;=EDATE(Projections!$E120,Projections!$C120)),Projections!$B120/Projections!$C120,0),0)</f>
        <v/>
      </c>
      <c r="CH171" s="56">
        <f>IFERROR(IF(AND(CH$2&gt;=Projections!$E120,CH$2&lt;=EDATE(Projections!$E120,Projections!$C120)),Projections!$B120/Projections!$C120,0),0)</f>
        <v/>
      </c>
      <c r="CI171" s="56">
        <f>IFERROR(IF(AND(CI$2&gt;=Projections!$E120,CI$2&lt;=EDATE(Projections!$E120,Projections!$C120)),Projections!$B120/Projections!$C120,0),0)</f>
        <v/>
      </c>
      <c r="CJ171" s="56">
        <f>IFERROR(IF(AND(CJ$2&gt;=Projections!$E120,CJ$2&lt;=EDATE(Projections!$E120,Projections!$C120)),Projections!$B120/Projections!$C120,0),0)</f>
        <v/>
      </c>
      <c r="CK171" s="56">
        <f>IFERROR(IF(AND(CK$2&gt;=Projections!$E120,CK$2&lt;=EDATE(Projections!$E120,Projections!$C120)),Projections!$B120/Projections!$C120,0),0)</f>
        <v/>
      </c>
      <c r="CL171" s="56">
        <f>IFERROR(IF(AND(CL$2&gt;=Projections!$E120,CL$2&lt;=EDATE(Projections!$E120,Projections!$C120)),Projections!$B120/Projections!$C120,0),0)</f>
        <v/>
      </c>
      <c r="CM171" s="56">
        <f>IFERROR(IF(AND(CM$2&gt;=Projections!$E120,CM$2&lt;=EDATE(Projections!$E120,Projections!$C120)),Projections!$B120/Projections!$C120,0),0)</f>
        <v/>
      </c>
      <c r="CN171" s="56">
        <f>IFERROR(IF(AND(CN$2&gt;=Projections!$E120,CN$2&lt;=EDATE(Projections!$E120,Projections!$C120)),Projections!$B120/Projections!$C120,0),0)</f>
        <v/>
      </c>
      <c r="CO171" s="56">
        <f>IFERROR(IF(AND(CO$2&gt;=Projections!$E120,CO$2&lt;=EDATE(Projections!$E120,Projections!$C120)),Projections!$B120/Projections!$C120,0),0)</f>
        <v/>
      </c>
      <c r="CP171" s="56">
        <f>IFERROR(IF(AND(CP$2&gt;=Projections!$E120,CP$2&lt;=EDATE(Projections!$E120,Projections!$C120)),Projections!$B120/Projections!$C120,0),0)</f>
        <v/>
      </c>
      <c r="CQ171" s="56">
        <f>IFERROR(IF(AND(CQ$2&gt;=Projections!$E120,CQ$2&lt;=EDATE(Projections!$E120,Projections!$C120)),Projections!$B120/Projections!$C120,0),0)</f>
        <v/>
      </c>
      <c r="CR171" s="56">
        <f>IFERROR(IF(AND(CR$2&gt;=Projections!$E120,CR$2&lt;=EDATE(Projections!$E120,Projections!$C120)),Projections!$B120/Projections!$C120,0),0)</f>
        <v/>
      </c>
      <c r="CS171" s="56">
        <f>IFERROR(IF(AND(CS$2&gt;=Projections!$E120,CS$2&lt;=EDATE(Projections!$E120,Projections!$C120)),Projections!$B120/Projections!$C120,0),0)</f>
        <v/>
      </c>
      <c r="CT171" s="56">
        <f>IFERROR(IF(AND(CT$2&gt;=Projections!$E120,CT$2&lt;=EDATE(Projections!$E120,Projections!$C120)),Projections!$B120/Projections!$C120,0),0)</f>
        <v/>
      </c>
      <c r="CU171" s="56">
        <f>IFERROR(IF(AND(CU$2&gt;=Projections!$E120,CU$2&lt;=EDATE(Projections!$E120,Projections!$C120)),Projections!$B120/Projections!$C120,0),0)</f>
        <v/>
      </c>
      <c r="CV171" s="56">
        <f>IFERROR(IF(AND(CV$2&gt;=Projections!$E120,CV$2&lt;=EDATE(Projections!$E120,Projections!$C120)),Projections!$B120/Projections!$C120,0),0)</f>
        <v/>
      </c>
      <c r="CW171" s="56">
        <f>IFERROR(IF(AND(CW$2&gt;=Projections!$E120,CW$2&lt;=EDATE(Projections!$E120,Projections!$C120)),Projections!$B120/Projections!$C120,0),0)</f>
        <v/>
      </c>
      <c r="CX171" s="56">
        <f>IFERROR(IF(AND(CX$2&gt;=Projections!$E120,CX$2&lt;=EDATE(Projections!$E120,Projections!$C120)),Projections!$B120/Projections!$C120,0),0)</f>
        <v/>
      </c>
    </row>
    <row r="172" outlineLevel="1" ht="15.75" customHeight="1" s="255">
      <c r="A172" s="56">
        <f>A163</f>
        <v/>
      </c>
      <c r="B172" s="56" t="n"/>
      <c r="C172" s="56" t="n"/>
      <c r="D172" s="56" t="n"/>
      <c r="E172" s="56">
        <f>IFERROR(IF(AND(E$2&gt;=Projections!$E121,E$2&lt;=EDATE(Projections!$E121,Projections!$C121)),Projections!$B121/Projections!$C121,0),0)</f>
        <v/>
      </c>
      <c r="F172" s="56">
        <f>IFERROR(IF(AND(F$2&gt;=Projections!$E121,F$2&lt;=EDATE(Projections!$E121,Projections!$C121)),Projections!$B121/Projections!$C121,0),0)</f>
        <v/>
      </c>
      <c r="G172" s="56">
        <f>IFERROR(IF(AND(G$2&gt;=Projections!$E121,G$2&lt;=EDATE(Projections!$E121,Projections!$C121)),Projections!$B121/Projections!$C121,0),0)</f>
        <v/>
      </c>
      <c r="H172" s="56">
        <f>IFERROR(IF(AND(H$2&gt;=Projections!$E121,H$2&lt;=EDATE(Projections!$E121,Projections!$C121)),Projections!$B121/Projections!$C121,0),0)</f>
        <v/>
      </c>
      <c r="I172" s="56">
        <f>IFERROR(IF(AND(I$2&gt;=Projections!$E121,I$2&lt;=EDATE(Projections!$E121,Projections!$C121)),Projections!$B121/Projections!$C121,0),0)</f>
        <v/>
      </c>
      <c r="J172" s="56">
        <f>IFERROR(IF(AND(J$2&gt;=Projections!$E121,J$2&lt;=EDATE(Projections!$E121,Projections!$C121)),Projections!$B121/Projections!$C121,0),0)</f>
        <v/>
      </c>
      <c r="K172" s="56">
        <f>IFERROR(IF(AND(K$2&gt;=Projections!$E121,K$2&lt;=EDATE(Projections!$E121,Projections!$C121)),Projections!$B121/Projections!$C121,0),0)</f>
        <v/>
      </c>
      <c r="L172" s="56">
        <f>IFERROR(IF(AND(L$2&gt;=Projections!$E121,L$2&lt;=EDATE(Projections!$E121,Projections!$C121)),Projections!$B121/Projections!$C121,0),0)</f>
        <v/>
      </c>
      <c r="M172" s="56">
        <f>IFERROR(IF(AND(M$2&gt;=Projections!$E121,M$2&lt;=EDATE(Projections!$E121,Projections!$C121)),Projections!$B121/Projections!$C121,0),0)</f>
        <v/>
      </c>
      <c r="N172" s="56">
        <f>IFERROR(IF(AND(N$2&gt;=Projections!$E121,N$2&lt;=EDATE(Projections!$E121,Projections!$C121)),Projections!$B121/Projections!$C121,0),0)</f>
        <v/>
      </c>
      <c r="O172" s="56">
        <f>IFERROR(IF(AND(O$2&gt;=Projections!$E121,O$2&lt;=EDATE(Projections!$E121,Projections!$C121)),Projections!$B121/Projections!$C121,0),0)</f>
        <v/>
      </c>
      <c r="P172" s="56">
        <f>IFERROR(IF(AND(P$2&gt;=Projections!$E121,P$2&lt;=EDATE(Projections!$E121,Projections!$C121)),Projections!$B121/Projections!$C121,0),0)</f>
        <v/>
      </c>
      <c r="Q172" s="56">
        <f>IFERROR(IF(AND(Q$2&gt;=Projections!$E121,Q$2&lt;=EDATE(Projections!$E121,Projections!$C121)),Projections!$B121/Projections!$C121,0),0)</f>
        <v/>
      </c>
      <c r="R172" s="56">
        <f>IFERROR(IF(AND(R$2&gt;=Projections!$E121,R$2&lt;=EDATE(Projections!$E121,Projections!$C121)),Projections!$B121/Projections!$C121,0),0)</f>
        <v/>
      </c>
      <c r="S172" s="56">
        <f>IFERROR(IF(AND(S$2&gt;=Projections!$E121,S$2&lt;=EDATE(Projections!$E121,Projections!$C121)),Projections!$B121/Projections!$C121,0),0)</f>
        <v/>
      </c>
      <c r="T172" s="56">
        <f>IFERROR(IF(AND(T$2&gt;=Projections!$E121,T$2&lt;=EDATE(Projections!$E121,Projections!$C121)),Projections!$B121/Projections!$C121,0),0)</f>
        <v/>
      </c>
      <c r="U172" s="56">
        <f>IFERROR(IF(AND(U$2&gt;=Projections!$E121,U$2&lt;=EDATE(Projections!$E121,Projections!$C121)),Projections!$B121/Projections!$C121,0),0)</f>
        <v/>
      </c>
      <c r="V172" s="56">
        <f>IFERROR(IF(AND(V$2&gt;=Projections!$E121,V$2&lt;=EDATE(Projections!$E121,Projections!$C121)),Projections!$B121/Projections!$C121,0),0)</f>
        <v/>
      </c>
      <c r="W172" s="56">
        <f>IFERROR(IF(AND(W$2&gt;=Projections!$E121,W$2&lt;=EDATE(Projections!$E121,Projections!$C121)),Projections!$B121/Projections!$C121,0),0)</f>
        <v/>
      </c>
      <c r="X172" s="56">
        <f>IFERROR(IF(AND(X$2&gt;=Projections!$E121,X$2&lt;=EDATE(Projections!$E121,Projections!$C121)),Projections!$B121/Projections!$C121,0),0)</f>
        <v/>
      </c>
      <c r="Y172" s="56">
        <f>IFERROR(IF(AND(Y$2&gt;=Projections!$E121,Y$2&lt;=EDATE(Projections!$E121,Projections!$C121)),Projections!$B121/Projections!$C121,0),0)</f>
        <v/>
      </c>
      <c r="Z172" s="56">
        <f>IFERROR(IF(AND(Z$2&gt;=Projections!$E121,Z$2&lt;=EDATE(Projections!$E121,Projections!$C121)),Projections!$B121/Projections!$C121,0),0)</f>
        <v/>
      </c>
      <c r="AA172" s="56">
        <f>IFERROR(IF(AND(AA$2&gt;=Projections!$E121,AA$2&lt;=EDATE(Projections!$E121,Projections!$C121)),Projections!$B121/Projections!$C121,0),0)</f>
        <v/>
      </c>
      <c r="AB172" s="56">
        <f>IFERROR(IF(AND(AB$2&gt;=Projections!$E121,AB$2&lt;=EDATE(Projections!$E121,Projections!$C121)),Projections!$B121/Projections!$C121,0),0)</f>
        <v/>
      </c>
      <c r="AC172" s="56">
        <f>IFERROR(IF(AND(AC$2&gt;=Projections!$E121,AC$2&lt;=EDATE(Projections!$E121,Projections!$C121)),Projections!$B121/Projections!$C121,0),0)</f>
        <v/>
      </c>
      <c r="AD172" s="56">
        <f>IFERROR(IF(AND(AD$2&gt;=Projections!$E121,AD$2&lt;=EDATE(Projections!$E121,Projections!$C121)),Projections!$B121/Projections!$C121,0),0)</f>
        <v/>
      </c>
      <c r="AE172" s="56">
        <f>IFERROR(IF(AND(AE$2&gt;=Projections!$E121,AE$2&lt;=EDATE(Projections!$E121,Projections!$C121)),Projections!$B121/Projections!$C121,0),0)</f>
        <v/>
      </c>
      <c r="AF172" s="56">
        <f>IFERROR(IF(AND(AF$2&gt;=Projections!$E121,AF$2&lt;=EDATE(Projections!$E121,Projections!$C121)),Projections!$B121/Projections!$C121,0),0)</f>
        <v/>
      </c>
      <c r="AG172" s="56">
        <f>IFERROR(IF(AND(AG$2&gt;=Projections!$E121,AG$2&lt;=EDATE(Projections!$E121,Projections!$C121)),Projections!$B121/Projections!$C121,0),0)</f>
        <v/>
      </c>
      <c r="AH172" s="56">
        <f>IFERROR(IF(AND(AH$2&gt;=Projections!$E121,AH$2&lt;=EDATE(Projections!$E121,Projections!$C121)),Projections!$B121/Projections!$C121,0),0)</f>
        <v/>
      </c>
      <c r="AI172" s="56">
        <f>IFERROR(IF(AND(AI$2&gt;=Projections!$E121,AI$2&lt;=EDATE(Projections!$E121,Projections!$C121)),Projections!$B121/Projections!$C121,0),0)</f>
        <v/>
      </c>
      <c r="AJ172" s="56">
        <f>IFERROR(IF(AND(AJ$2&gt;=Projections!$E121,AJ$2&lt;=EDATE(Projections!$E121,Projections!$C121)),Projections!$B121/Projections!$C121,0),0)</f>
        <v/>
      </c>
      <c r="AK172" s="56">
        <f>IFERROR(IF(AND(AK$2&gt;=Projections!$E121,AK$2&lt;=EDATE(Projections!$E121,Projections!$C121)),Projections!$B121/Projections!$C121,0),0)</f>
        <v/>
      </c>
      <c r="AL172" s="56">
        <f>IFERROR(IF(AND(AL$2&gt;=Projections!$E121,AL$2&lt;=EDATE(Projections!$E121,Projections!$C121)),Projections!$B121/Projections!$C121,0),0)</f>
        <v/>
      </c>
      <c r="AM172" s="56">
        <f>IFERROR(IF(AND(AM$2&gt;=Projections!$E121,AM$2&lt;=EDATE(Projections!$E121,Projections!$C121)),Projections!$B121/Projections!$C121,0),0)</f>
        <v/>
      </c>
      <c r="AN172" s="56">
        <f>IFERROR(IF(AND(AN$2&gt;=Projections!$E121,AN$2&lt;=EDATE(Projections!$E121,Projections!$C121)),Projections!$B121/Projections!$C121,0),0)</f>
        <v/>
      </c>
      <c r="AO172" s="56">
        <f>IFERROR(IF(AND(AO$2&gt;=Projections!$E121,AO$2&lt;=EDATE(Projections!$E121,Projections!$C121)),Projections!$B121/Projections!$C121,0),0)</f>
        <v/>
      </c>
      <c r="AP172" s="56">
        <f>IFERROR(IF(AND(AP$2&gt;=Projections!$E121,AP$2&lt;=EDATE(Projections!$E121,Projections!$C121)),Projections!$B121/Projections!$C121,0),0)</f>
        <v/>
      </c>
      <c r="AQ172" s="56">
        <f>IFERROR(IF(AND(AQ$2&gt;=Projections!$E121,AQ$2&lt;=EDATE(Projections!$E121,Projections!$C121)),Projections!$B121/Projections!$C121,0),0)</f>
        <v/>
      </c>
      <c r="AR172" s="56">
        <f>IFERROR(IF(AND(AR$2&gt;=Projections!$E121,AR$2&lt;=EDATE(Projections!$E121,Projections!$C121)),Projections!$B121/Projections!$C121,0),0)</f>
        <v/>
      </c>
      <c r="AS172" s="56">
        <f>IFERROR(IF(AND(AS$2&gt;=Projections!$E121,AS$2&lt;=EDATE(Projections!$E121,Projections!$C121)),Projections!$B121/Projections!$C121,0),0)</f>
        <v/>
      </c>
      <c r="AT172" s="56">
        <f>IFERROR(IF(AND(AT$2&gt;=Projections!$E121,AT$2&lt;=EDATE(Projections!$E121,Projections!$C121)),Projections!$B121/Projections!$C121,0),0)</f>
        <v/>
      </c>
      <c r="AU172" s="56">
        <f>IFERROR(IF(AND(AU$2&gt;=Projections!$E121,AU$2&lt;=EDATE(Projections!$E121,Projections!$C121)),Projections!$B121/Projections!$C121,0),0)</f>
        <v/>
      </c>
      <c r="AV172" s="56">
        <f>IFERROR(IF(AND(AV$2&gt;=Projections!$E121,AV$2&lt;=EDATE(Projections!$E121,Projections!$C121)),Projections!$B121/Projections!$C121,0),0)</f>
        <v/>
      </c>
      <c r="AW172" s="56">
        <f>IFERROR(IF(AND(AW$2&gt;=Projections!$E121,AW$2&lt;=EDATE(Projections!$E121,Projections!$C121)),Projections!$B121/Projections!$C121,0),0)</f>
        <v/>
      </c>
      <c r="AX172" s="56">
        <f>IFERROR(IF(AND(AX$2&gt;=Projections!$E121,AX$2&lt;=EDATE(Projections!$E121,Projections!$C121)),Projections!$B121/Projections!$C121,0),0)</f>
        <v/>
      </c>
      <c r="AY172" s="56">
        <f>IFERROR(IF(AND(AY$2&gt;=Projections!$E121,AY$2&lt;=EDATE(Projections!$E121,Projections!$C121)),Projections!$B121/Projections!$C121,0),0)</f>
        <v/>
      </c>
      <c r="AZ172" s="56">
        <f>IFERROR(IF(AND(AZ$2&gt;=Projections!$E121,AZ$2&lt;=EDATE(Projections!$E121,Projections!$C121)),Projections!$B121/Projections!$C121,0),0)</f>
        <v/>
      </c>
      <c r="BA172" s="56">
        <f>IFERROR(IF(AND(BA$2&gt;=Projections!$E121,BA$2&lt;=EDATE(Projections!$E121,Projections!$C121)),Projections!$B121/Projections!$C121,0),0)</f>
        <v/>
      </c>
      <c r="BB172" s="56">
        <f>IFERROR(IF(AND(BB$2&gt;=Projections!$E121,BB$2&lt;=EDATE(Projections!$E121,Projections!$C121)),Projections!$B121/Projections!$C121,0),0)</f>
        <v/>
      </c>
      <c r="BC172" s="56">
        <f>IFERROR(IF(AND(BC$2&gt;=Projections!$E121,BC$2&lt;=EDATE(Projections!$E121,Projections!$C121)),Projections!$B121/Projections!$C121,0),0)</f>
        <v/>
      </c>
      <c r="BD172" s="56">
        <f>IFERROR(IF(AND(BD$2&gt;=Projections!$E121,BD$2&lt;=EDATE(Projections!$E121,Projections!$C121)),Projections!$B121/Projections!$C121,0),0)</f>
        <v/>
      </c>
      <c r="BE172" s="56">
        <f>IFERROR(IF(AND(BE$2&gt;=Projections!$E121,BE$2&lt;=EDATE(Projections!$E121,Projections!$C121)),Projections!$B121/Projections!$C121,0),0)</f>
        <v/>
      </c>
      <c r="BF172" s="56">
        <f>IFERROR(IF(AND(BF$2&gt;=Projections!$E121,BF$2&lt;=EDATE(Projections!$E121,Projections!$C121)),Projections!$B121/Projections!$C121,0),0)</f>
        <v/>
      </c>
      <c r="BG172" s="56">
        <f>IFERROR(IF(AND(BG$2&gt;=Projections!$E121,BG$2&lt;=EDATE(Projections!$E121,Projections!$C121)),Projections!$B121/Projections!$C121,0),0)</f>
        <v/>
      </c>
      <c r="BH172" s="56">
        <f>IFERROR(IF(AND(BH$2&gt;=Projections!$E121,BH$2&lt;=EDATE(Projections!$E121,Projections!$C121)),Projections!$B121/Projections!$C121,0),0)</f>
        <v/>
      </c>
      <c r="BI172" s="56">
        <f>IFERROR(IF(AND(BI$2&gt;=Projections!$E121,BI$2&lt;=EDATE(Projections!$E121,Projections!$C121)),Projections!$B121/Projections!$C121,0),0)</f>
        <v/>
      </c>
      <c r="BJ172" s="56">
        <f>IFERROR(IF(AND(BJ$2&gt;=Projections!$E121,BJ$2&lt;=EDATE(Projections!$E121,Projections!$C121)),Projections!$B121/Projections!$C121,0),0)</f>
        <v/>
      </c>
      <c r="BK172" s="56">
        <f>IFERROR(IF(AND(BK$2&gt;=Projections!$E121,BK$2&lt;=EDATE(Projections!$E121,Projections!$C121)),Projections!$B121/Projections!$C121,0),0)</f>
        <v/>
      </c>
      <c r="BL172" s="56">
        <f>IFERROR(IF(AND(BL$2&gt;=Projections!$E121,BL$2&lt;=EDATE(Projections!$E121,Projections!$C121)),Projections!$B121/Projections!$C121,0),0)</f>
        <v/>
      </c>
      <c r="BM172" s="56">
        <f>IFERROR(IF(AND(BM$2&gt;=Projections!$E121,BM$2&lt;=EDATE(Projections!$E121,Projections!$C121)),Projections!$B121/Projections!$C121,0),0)</f>
        <v/>
      </c>
      <c r="BN172" s="56">
        <f>IFERROR(IF(AND(BN$2&gt;=Projections!$E121,BN$2&lt;=EDATE(Projections!$E121,Projections!$C121)),Projections!$B121/Projections!$C121,0),0)</f>
        <v/>
      </c>
      <c r="BO172" s="56">
        <f>IFERROR(IF(AND(BO$2&gt;=Projections!$E121,BO$2&lt;=EDATE(Projections!$E121,Projections!$C121)),Projections!$B121/Projections!$C121,0),0)</f>
        <v/>
      </c>
      <c r="BP172" s="56">
        <f>IFERROR(IF(AND(BP$2&gt;=Projections!$E121,BP$2&lt;=EDATE(Projections!$E121,Projections!$C121)),Projections!$B121/Projections!$C121,0),0)</f>
        <v/>
      </c>
      <c r="BQ172" s="56">
        <f>IFERROR(IF(AND(BQ$2&gt;=Projections!$E121,BQ$2&lt;=EDATE(Projections!$E121,Projections!$C121)),Projections!$B121/Projections!$C121,0),0)</f>
        <v/>
      </c>
      <c r="BR172" s="56">
        <f>IFERROR(IF(AND(BR$2&gt;=Projections!$E121,BR$2&lt;=EDATE(Projections!$E121,Projections!$C121)),Projections!$B121/Projections!$C121,0),0)</f>
        <v/>
      </c>
      <c r="BS172" s="56">
        <f>IFERROR(IF(AND(BS$2&gt;=Projections!$E121,BS$2&lt;=EDATE(Projections!$E121,Projections!$C121)),Projections!$B121/Projections!$C121,0),0)</f>
        <v/>
      </c>
      <c r="BT172" s="56">
        <f>IFERROR(IF(AND(BT$2&gt;=Projections!$E121,BT$2&lt;=EDATE(Projections!$E121,Projections!$C121)),Projections!$B121/Projections!$C121,0),0)</f>
        <v/>
      </c>
      <c r="BU172" s="56">
        <f>IFERROR(IF(AND(BU$2&gt;=Projections!$E121,BU$2&lt;=EDATE(Projections!$E121,Projections!$C121)),Projections!$B121/Projections!$C121,0),0)</f>
        <v/>
      </c>
      <c r="BV172" s="56">
        <f>IFERROR(IF(AND(BV$2&gt;=Projections!$E121,BV$2&lt;=EDATE(Projections!$E121,Projections!$C121)),Projections!$B121/Projections!$C121,0),0)</f>
        <v/>
      </c>
      <c r="BW172" s="56">
        <f>IFERROR(IF(AND(BW$2&gt;=Projections!$E121,BW$2&lt;=EDATE(Projections!$E121,Projections!$C121)),Projections!$B121/Projections!$C121,0),0)</f>
        <v/>
      </c>
      <c r="BX172" s="56">
        <f>IFERROR(IF(AND(BX$2&gt;=Projections!$E121,BX$2&lt;=EDATE(Projections!$E121,Projections!$C121)),Projections!$B121/Projections!$C121,0),0)</f>
        <v/>
      </c>
      <c r="BY172" s="56">
        <f>IFERROR(IF(AND(BY$2&gt;=Projections!$E121,BY$2&lt;=EDATE(Projections!$E121,Projections!$C121)),Projections!$B121/Projections!$C121,0),0)</f>
        <v/>
      </c>
      <c r="BZ172" s="56">
        <f>IFERROR(IF(AND(BZ$2&gt;=Projections!$E121,BZ$2&lt;=EDATE(Projections!$E121,Projections!$C121)),Projections!$B121/Projections!$C121,0),0)</f>
        <v/>
      </c>
      <c r="CA172" s="56">
        <f>IFERROR(IF(AND(CA$2&gt;=Projections!$E121,CA$2&lt;=EDATE(Projections!$E121,Projections!$C121)),Projections!$B121/Projections!$C121,0),0)</f>
        <v/>
      </c>
      <c r="CB172" s="56">
        <f>IFERROR(IF(AND(CB$2&gt;=Projections!$E121,CB$2&lt;=EDATE(Projections!$E121,Projections!$C121)),Projections!$B121/Projections!$C121,0),0)</f>
        <v/>
      </c>
      <c r="CC172" s="56">
        <f>IFERROR(IF(AND(CC$2&gt;=Projections!$E121,CC$2&lt;=EDATE(Projections!$E121,Projections!$C121)),Projections!$B121/Projections!$C121,0),0)</f>
        <v/>
      </c>
      <c r="CD172" s="56">
        <f>IFERROR(IF(AND(CD$2&gt;=Projections!$E121,CD$2&lt;=EDATE(Projections!$E121,Projections!$C121)),Projections!$B121/Projections!$C121,0),0)</f>
        <v/>
      </c>
      <c r="CE172" s="56">
        <f>IFERROR(IF(AND(CE$2&gt;=Projections!$E121,CE$2&lt;=EDATE(Projections!$E121,Projections!$C121)),Projections!$B121/Projections!$C121,0),0)</f>
        <v/>
      </c>
      <c r="CF172" s="56">
        <f>IFERROR(IF(AND(CF$2&gt;=Projections!$E121,CF$2&lt;=EDATE(Projections!$E121,Projections!$C121)),Projections!$B121/Projections!$C121,0),0)</f>
        <v/>
      </c>
      <c r="CG172" s="56">
        <f>IFERROR(IF(AND(CG$2&gt;=Projections!$E121,CG$2&lt;=EDATE(Projections!$E121,Projections!$C121)),Projections!$B121/Projections!$C121,0),0)</f>
        <v/>
      </c>
      <c r="CH172" s="56">
        <f>IFERROR(IF(AND(CH$2&gt;=Projections!$E121,CH$2&lt;=EDATE(Projections!$E121,Projections!$C121)),Projections!$B121/Projections!$C121,0),0)</f>
        <v/>
      </c>
      <c r="CI172" s="56">
        <f>IFERROR(IF(AND(CI$2&gt;=Projections!$E121,CI$2&lt;=EDATE(Projections!$E121,Projections!$C121)),Projections!$B121/Projections!$C121,0),0)</f>
        <v/>
      </c>
      <c r="CJ172" s="56">
        <f>IFERROR(IF(AND(CJ$2&gt;=Projections!$E121,CJ$2&lt;=EDATE(Projections!$E121,Projections!$C121)),Projections!$B121/Projections!$C121,0),0)</f>
        <v/>
      </c>
      <c r="CK172" s="56">
        <f>IFERROR(IF(AND(CK$2&gt;=Projections!$E121,CK$2&lt;=EDATE(Projections!$E121,Projections!$C121)),Projections!$B121/Projections!$C121,0),0)</f>
        <v/>
      </c>
      <c r="CL172" s="56">
        <f>IFERROR(IF(AND(CL$2&gt;=Projections!$E121,CL$2&lt;=EDATE(Projections!$E121,Projections!$C121)),Projections!$B121/Projections!$C121,0),0)</f>
        <v/>
      </c>
      <c r="CM172" s="56">
        <f>IFERROR(IF(AND(CM$2&gt;=Projections!$E121,CM$2&lt;=EDATE(Projections!$E121,Projections!$C121)),Projections!$B121/Projections!$C121,0),0)</f>
        <v/>
      </c>
      <c r="CN172" s="56">
        <f>IFERROR(IF(AND(CN$2&gt;=Projections!$E121,CN$2&lt;=EDATE(Projections!$E121,Projections!$C121)),Projections!$B121/Projections!$C121,0),0)</f>
        <v/>
      </c>
      <c r="CO172" s="56">
        <f>IFERROR(IF(AND(CO$2&gt;=Projections!$E121,CO$2&lt;=EDATE(Projections!$E121,Projections!$C121)),Projections!$B121/Projections!$C121,0),0)</f>
        <v/>
      </c>
      <c r="CP172" s="56">
        <f>IFERROR(IF(AND(CP$2&gt;=Projections!$E121,CP$2&lt;=EDATE(Projections!$E121,Projections!$C121)),Projections!$B121/Projections!$C121,0),0)</f>
        <v/>
      </c>
      <c r="CQ172" s="56">
        <f>IFERROR(IF(AND(CQ$2&gt;=Projections!$E121,CQ$2&lt;=EDATE(Projections!$E121,Projections!$C121)),Projections!$B121/Projections!$C121,0),0)</f>
        <v/>
      </c>
      <c r="CR172" s="56">
        <f>IFERROR(IF(AND(CR$2&gt;=Projections!$E121,CR$2&lt;=EDATE(Projections!$E121,Projections!$C121)),Projections!$B121/Projections!$C121,0),0)</f>
        <v/>
      </c>
      <c r="CS172" s="56">
        <f>IFERROR(IF(AND(CS$2&gt;=Projections!$E121,CS$2&lt;=EDATE(Projections!$E121,Projections!$C121)),Projections!$B121/Projections!$C121,0),0)</f>
        <v/>
      </c>
      <c r="CT172" s="56">
        <f>IFERROR(IF(AND(CT$2&gt;=Projections!$E121,CT$2&lt;=EDATE(Projections!$E121,Projections!$C121)),Projections!$B121/Projections!$C121,0),0)</f>
        <v/>
      </c>
      <c r="CU172" s="56">
        <f>IFERROR(IF(AND(CU$2&gt;=Projections!$E121,CU$2&lt;=EDATE(Projections!$E121,Projections!$C121)),Projections!$B121/Projections!$C121,0),0)</f>
        <v/>
      </c>
      <c r="CV172" s="56">
        <f>IFERROR(IF(AND(CV$2&gt;=Projections!$E121,CV$2&lt;=EDATE(Projections!$E121,Projections!$C121)),Projections!$B121/Projections!$C121,0),0)</f>
        <v/>
      </c>
      <c r="CW172" s="56">
        <f>IFERROR(IF(AND(CW$2&gt;=Projections!$E121,CW$2&lt;=EDATE(Projections!$E121,Projections!$C121)),Projections!$B121/Projections!$C121,0),0)</f>
        <v/>
      </c>
      <c r="CX172" s="56">
        <f>IFERROR(IF(AND(CX$2&gt;=Projections!$E121,CX$2&lt;=EDATE(Projections!$E121,Projections!$C121)),Projections!$B121/Projections!$C121,0),0)</f>
        <v/>
      </c>
    </row>
    <row r="173" outlineLevel="1" ht="15.75" customHeight="1" s="255">
      <c r="A173" s="56">
        <f>A164</f>
        <v/>
      </c>
      <c r="B173" s="56" t="n"/>
      <c r="C173" s="56" t="n"/>
      <c r="D173" s="56" t="n"/>
      <c r="E173" s="56">
        <f>IFERROR(IF(AND(E$2&gt;=Projections!$E122,E$2&lt;=EDATE(Projections!$E122,Projections!$C122)),Projections!$B122/Projections!$C122,0),0)</f>
        <v/>
      </c>
      <c r="F173" s="56">
        <f>IFERROR(IF(AND(F$2&gt;=Projections!$E122,F$2&lt;=EDATE(Projections!$E122,Projections!$C122)),Projections!$B122/Projections!$C122,0),0)</f>
        <v/>
      </c>
      <c r="G173" s="56">
        <f>IFERROR(IF(AND(G$2&gt;=Projections!$E122,G$2&lt;=EDATE(Projections!$E122,Projections!$C122)),Projections!$B122/Projections!$C122,0),0)</f>
        <v/>
      </c>
      <c r="H173" s="56">
        <f>IFERROR(IF(AND(H$2&gt;=Projections!$E122,H$2&lt;=EDATE(Projections!$E122,Projections!$C122)),Projections!$B122/Projections!$C122,0),0)</f>
        <v/>
      </c>
      <c r="I173" s="56">
        <f>IFERROR(IF(AND(I$2&gt;=Projections!$E122,I$2&lt;=EDATE(Projections!$E122,Projections!$C122)),Projections!$B122/Projections!$C122,0),0)</f>
        <v/>
      </c>
      <c r="J173" s="56">
        <f>IFERROR(IF(AND(J$2&gt;=Projections!$E122,J$2&lt;=EDATE(Projections!$E122,Projections!$C122)),Projections!$B122/Projections!$C122,0),0)</f>
        <v/>
      </c>
      <c r="K173" s="56">
        <f>IFERROR(IF(AND(K$2&gt;=Projections!$E122,K$2&lt;=EDATE(Projections!$E122,Projections!$C122)),Projections!$B122/Projections!$C122,0),0)</f>
        <v/>
      </c>
      <c r="L173" s="56">
        <f>IFERROR(IF(AND(L$2&gt;=Projections!$E122,L$2&lt;=EDATE(Projections!$E122,Projections!$C122)),Projections!$B122/Projections!$C122,0),0)</f>
        <v/>
      </c>
      <c r="M173" s="56">
        <f>IFERROR(IF(AND(M$2&gt;=Projections!$E122,M$2&lt;=EDATE(Projections!$E122,Projections!$C122)),Projections!$B122/Projections!$C122,0),0)</f>
        <v/>
      </c>
      <c r="N173" s="56">
        <f>IFERROR(IF(AND(N$2&gt;=Projections!$E122,N$2&lt;=EDATE(Projections!$E122,Projections!$C122)),Projections!$B122/Projections!$C122,0),0)</f>
        <v/>
      </c>
      <c r="O173" s="56">
        <f>IFERROR(IF(AND(O$2&gt;=Projections!$E122,O$2&lt;=EDATE(Projections!$E122,Projections!$C122)),Projections!$B122/Projections!$C122,0),0)</f>
        <v/>
      </c>
      <c r="P173" s="56">
        <f>IFERROR(IF(AND(P$2&gt;=Projections!$E122,P$2&lt;=EDATE(Projections!$E122,Projections!$C122)),Projections!$B122/Projections!$C122,0),0)</f>
        <v/>
      </c>
      <c r="Q173" s="56">
        <f>IFERROR(IF(AND(Q$2&gt;=Projections!$E122,Q$2&lt;=EDATE(Projections!$E122,Projections!$C122)),Projections!$B122/Projections!$C122,0),0)</f>
        <v/>
      </c>
      <c r="R173" s="56">
        <f>IFERROR(IF(AND(R$2&gt;=Projections!$E122,R$2&lt;=EDATE(Projections!$E122,Projections!$C122)),Projections!$B122/Projections!$C122,0),0)</f>
        <v/>
      </c>
      <c r="S173" s="56">
        <f>IFERROR(IF(AND(S$2&gt;=Projections!$E122,S$2&lt;=EDATE(Projections!$E122,Projections!$C122)),Projections!$B122/Projections!$C122,0),0)</f>
        <v/>
      </c>
      <c r="T173" s="56">
        <f>IFERROR(IF(AND(T$2&gt;=Projections!$E122,T$2&lt;=EDATE(Projections!$E122,Projections!$C122)),Projections!$B122/Projections!$C122,0),0)</f>
        <v/>
      </c>
      <c r="U173" s="56">
        <f>IFERROR(IF(AND(U$2&gt;=Projections!$E122,U$2&lt;=EDATE(Projections!$E122,Projections!$C122)),Projections!$B122/Projections!$C122,0),0)</f>
        <v/>
      </c>
      <c r="V173" s="56">
        <f>IFERROR(IF(AND(V$2&gt;=Projections!$E122,V$2&lt;=EDATE(Projections!$E122,Projections!$C122)),Projections!$B122/Projections!$C122,0),0)</f>
        <v/>
      </c>
      <c r="W173" s="56">
        <f>IFERROR(IF(AND(W$2&gt;=Projections!$E122,W$2&lt;=EDATE(Projections!$E122,Projections!$C122)),Projections!$B122/Projections!$C122,0),0)</f>
        <v/>
      </c>
      <c r="X173" s="56">
        <f>IFERROR(IF(AND(X$2&gt;=Projections!$E122,X$2&lt;=EDATE(Projections!$E122,Projections!$C122)),Projections!$B122/Projections!$C122,0),0)</f>
        <v/>
      </c>
      <c r="Y173" s="56">
        <f>IFERROR(IF(AND(Y$2&gt;=Projections!$E122,Y$2&lt;=EDATE(Projections!$E122,Projections!$C122)),Projections!$B122/Projections!$C122,0),0)</f>
        <v/>
      </c>
      <c r="Z173" s="56">
        <f>IFERROR(IF(AND(Z$2&gt;=Projections!$E122,Z$2&lt;=EDATE(Projections!$E122,Projections!$C122)),Projections!$B122/Projections!$C122,0),0)</f>
        <v/>
      </c>
      <c r="AA173" s="56">
        <f>IFERROR(IF(AND(AA$2&gt;=Projections!$E122,AA$2&lt;=EDATE(Projections!$E122,Projections!$C122)),Projections!$B122/Projections!$C122,0),0)</f>
        <v/>
      </c>
      <c r="AB173" s="56">
        <f>IFERROR(IF(AND(AB$2&gt;=Projections!$E122,AB$2&lt;=EDATE(Projections!$E122,Projections!$C122)),Projections!$B122/Projections!$C122,0),0)</f>
        <v/>
      </c>
      <c r="AC173" s="56">
        <f>IFERROR(IF(AND(AC$2&gt;=Projections!$E122,AC$2&lt;=EDATE(Projections!$E122,Projections!$C122)),Projections!$B122/Projections!$C122,0),0)</f>
        <v/>
      </c>
      <c r="AD173" s="56">
        <f>IFERROR(IF(AND(AD$2&gt;=Projections!$E122,AD$2&lt;=EDATE(Projections!$E122,Projections!$C122)),Projections!$B122/Projections!$C122,0),0)</f>
        <v/>
      </c>
      <c r="AE173" s="56">
        <f>IFERROR(IF(AND(AE$2&gt;=Projections!$E122,AE$2&lt;=EDATE(Projections!$E122,Projections!$C122)),Projections!$B122/Projections!$C122,0),0)</f>
        <v/>
      </c>
      <c r="AF173" s="56">
        <f>IFERROR(IF(AND(AF$2&gt;=Projections!$E122,AF$2&lt;=EDATE(Projections!$E122,Projections!$C122)),Projections!$B122/Projections!$C122,0),0)</f>
        <v/>
      </c>
      <c r="AG173" s="56">
        <f>IFERROR(IF(AND(AG$2&gt;=Projections!$E122,AG$2&lt;=EDATE(Projections!$E122,Projections!$C122)),Projections!$B122/Projections!$C122,0),0)</f>
        <v/>
      </c>
      <c r="AH173" s="56">
        <f>IFERROR(IF(AND(AH$2&gt;=Projections!$E122,AH$2&lt;=EDATE(Projections!$E122,Projections!$C122)),Projections!$B122/Projections!$C122,0),0)</f>
        <v/>
      </c>
      <c r="AI173" s="56">
        <f>IFERROR(IF(AND(AI$2&gt;=Projections!$E122,AI$2&lt;=EDATE(Projections!$E122,Projections!$C122)),Projections!$B122/Projections!$C122,0),0)</f>
        <v/>
      </c>
      <c r="AJ173" s="56">
        <f>IFERROR(IF(AND(AJ$2&gt;=Projections!$E122,AJ$2&lt;=EDATE(Projections!$E122,Projections!$C122)),Projections!$B122/Projections!$C122,0),0)</f>
        <v/>
      </c>
      <c r="AK173" s="56">
        <f>IFERROR(IF(AND(AK$2&gt;=Projections!$E122,AK$2&lt;=EDATE(Projections!$E122,Projections!$C122)),Projections!$B122/Projections!$C122,0),0)</f>
        <v/>
      </c>
      <c r="AL173" s="56">
        <f>IFERROR(IF(AND(AL$2&gt;=Projections!$E122,AL$2&lt;=EDATE(Projections!$E122,Projections!$C122)),Projections!$B122/Projections!$C122,0),0)</f>
        <v/>
      </c>
      <c r="AM173" s="56">
        <f>IFERROR(IF(AND(AM$2&gt;=Projections!$E122,AM$2&lt;=EDATE(Projections!$E122,Projections!$C122)),Projections!$B122/Projections!$C122,0),0)</f>
        <v/>
      </c>
      <c r="AN173" s="56">
        <f>IFERROR(IF(AND(AN$2&gt;=Projections!$E122,AN$2&lt;=EDATE(Projections!$E122,Projections!$C122)),Projections!$B122/Projections!$C122,0),0)</f>
        <v/>
      </c>
      <c r="AO173" s="56">
        <f>IFERROR(IF(AND(AO$2&gt;=Projections!$E122,AO$2&lt;=EDATE(Projections!$E122,Projections!$C122)),Projections!$B122/Projections!$C122,0),0)</f>
        <v/>
      </c>
      <c r="AP173" s="56">
        <f>IFERROR(IF(AND(AP$2&gt;=Projections!$E122,AP$2&lt;=EDATE(Projections!$E122,Projections!$C122)),Projections!$B122/Projections!$C122,0),0)</f>
        <v/>
      </c>
      <c r="AQ173" s="56">
        <f>IFERROR(IF(AND(AQ$2&gt;=Projections!$E122,AQ$2&lt;=EDATE(Projections!$E122,Projections!$C122)),Projections!$B122/Projections!$C122,0),0)</f>
        <v/>
      </c>
      <c r="AR173" s="56">
        <f>IFERROR(IF(AND(AR$2&gt;=Projections!$E122,AR$2&lt;=EDATE(Projections!$E122,Projections!$C122)),Projections!$B122/Projections!$C122,0),0)</f>
        <v/>
      </c>
      <c r="AS173" s="56">
        <f>IFERROR(IF(AND(AS$2&gt;=Projections!$E122,AS$2&lt;=EDATE(Projections!$E122,Projections!$C122)),Projections!$B122/Projections!$C122,0),0)</f>
        <v/>
      </c>
      <c r="AT173" s="56">
        <f>IFERROR(IF(AND(AT$2&gt;=Projections!$E122,AT$2&lt;=EDATE(Projections!$E122,Projections!$C122)),Projections!$B122/Projections!$C122,0),0)</f>
        <v/>
      </c>
      <c r="AU173" s="56">
        <f>IFERROR(IF(AND(AU$2&gt;=Projections!$E122,AU$2&lt;=EDATE(Projections!$E122,Projections!$C122)),Projections!$B122/Projections!$C122,0),0)</f>
        <v/>
      </c>
      <c r="AV173" s="56">
        <f>IFERROR(IF(AND(AV$2&gt;=Projections!$E122,AV$2&lt;=EDATE(Projections!$E122,Projections!$C122)),Projections!$B122/Projections!$C122,0),0)</f>
        <v/>
      </c>
      <c r="AW173" s="56">
        <f>IFERROR(IF(AND(AW$2&gt;=Projections!$E122,AW$2&lt;=EDATE(Projections!$E122,Projections!$C122)),Projections!$B122/Projections!$C122,0),0)</f>
        <v/>
      </c>
      <c r="AX173" s="56">
        <f>IFERROR(IF(AND(AX$2&gt;=Projections!$E122,AX$2&lt;=EDATE(Projections!$E122,Projections!$C122)),Projections!$B122/Projections!$C122,0),0)</f>
        <v/>
      </c>
      <c r="AY173" s="56">
        <f>IFERROR(IF(AND(AY$2&gt;=Projections!$E122,AY$2&lt;=EDATE(Projections!$E122,Projections!$C122)),Projections!$B122/Projections!$C122,0),0)</f>
        <v/>
      </c>
      <c r="AZ173" s="56">
        <f>IFERROR(IF(AND(AZ$2&gt;=Projections!$E122,AZ$2&lt;=EDATE(Projections!$E122,Projections!$C122)),Projections!$B122/Projections!$C122,0),0)</f>
        <v/>
      </c>
      <c r="BA173" s="56">
        <f>IFERROR(IF(AND(BA$2&gt;=Projections!$E122,BA$2&lt;=EDATE(Projections!$E122,Projections!$C122)),Projections!$B122/Projections!$C122,0),0)</f>
        <v/>
      </c>
      <c r="BB173" s="56">
        <f>IFERROR(IF(AND(BB$2&gt;=Projections!$E122,BB$2&lt;=EDATE(Projections!$E122,Projections!$C122)),Projections!$B122/Projections!$C122,0),0)</f>
        <v/>
      </c>
      <c r="BC173" s="56">
        <f>IFERROR(IF(AND(BC$2&gt;=Projections!$E122,BC$2&lt;=EDATE(Projections!$E122,Projections!$C122)),Projections!$B122/Projections!$C122,0),0)</f>
        <v/>
      </c>
      <c r="BD173" s="56">
        <f>IFERROR(IF(AND(BD$2&gt;=Projections!$E122,BD$2&lt;=EDATE(Projections!$E122,Projections!$C122)),Projections!$B122/Projections!$C122,0),0)</f>
        <v/>
      </c>
      <c r="BE173" s="56">
        <f>IFERROR(IF(AND(BE$2&gt;=Projections!$E122,BE$2&lt;=EDATE(Projections!$E122,Projections!$C122)),Projections!$B122/Projections!$C122,0),0)</f>
        <v/>
      </c>
      <c r="BF173" s="56">
        <f>IFERROR(IF(AND(BF$2&gt;=Projections!$E122,BF$2&lt;=EDATE(Projections!$E122,Projections!$C122)),Projections!$B122/Projections!$C122,0),0)</f>
        <v/>
      </c>
      <c r="BG173" s="56">
        <f>IFERROR(IF(AND(BG$2&gt;=Projections!$E122,BG$2&lt;=EDATE(Projections!$E122,Projections!$C122)),Projections!$B122/Projections!$C122,0),0)</f>
        <v/>
      </c>
      <c r="BH173" s="56">
        <f>IFERROR(IF(AND(BH$2&gt;=Projections!$E122,BH$2&lt;=EDATE(Projections!$E122,Projections!$C122)),Projections!$B122/Projections!$C122,0),0)</f>
        <v/>
      </c>
      <c r="BI173" s="56">
        <f>IFERROR(IF(AND(BI$2&gt;=Projections!$E122,BI$2&lt;=EDATE(Projections!$E122,Projections!$C122)),Projections!$B122/Projections!$C122,0),0)</f>
        <v/>
      </c>
      <c r="BJ173" s="56">
        <f>IFERROR(IF(AND(BJ$2&gt;=Projections!$E122,BJ$2&lt;=EDATE(Projections!$E122,Projections!$C122)),Projections!$B122/Projections!$C122,0),0)</f>
        <v/>
      </c>
      <c r="BK173" s="56">
        <f>IFERROR(IF(AND(BK$2&gt;=Projections!$E122,BK$2&lt;=EDATE(Projections!$E122,Projections!$C122)),Projections!$B122/Projections!$C122,0),0)</f>
        <v/>
      </c>
      <c r="BL173" s="56">
        <f>IFERROR(IF(AND(BL$2&gt;=Projections!$E122,BL$2&lt;=EDATE(Projections!$E122,Projections!$C122)),Projections!$B122/Projections!$C122,0),0)</f>
        <v/>
      </c>
      <c r="BM173" s="56">
        <f>IFERROR(IF(AND(BM$2&gt;=Projections!$E122,BM$2&lt;=EDATE(Projections!$E122,Projections!$C122)),Projections!$B122/Projections!$C122,0),0)</f>
        <v/>
      </c>
      <c r="BN173" s="56">
        <f>IFERROR(IF(AND(BN$2&gt;=Projections!$E122,BN$2&lt;=EDATE(Projections!$E122,Projections!$C122)),Projections!$B122/Projections!$C122,0),0)</f>
        <v/>
      </c>
      <c r="BO173" s="56">
        <f>IFERROR(IF(AND(BO$2&gt;=Projections!$E122,BO$2&lt;=EDATE(Projections!$E122,Projections!$C122)),Projections!$B122/Projections!$C122,0),0)</f>
        <v/>
      </c>
      <c r="BP173" s="56">
        <f>IFERROR(IF(AND(BP$2&gt;=Projections!$E122,BP$2&lt;=EDATE(Projections!$E122,Projections!$C122)),Projections!$B122/Projections!$C122,0),0)</f>
        <v/>
      </c>
      <c r="BQ173" s="56">
        <f>IFERROR(IF(AND(BQ$2&gt;=Projections!$E122,BQ$2&lt;=EDATE(Projections!$E122,Projections!$C122)),Projections!$B122/Projections!$C122,0),0)</f>
        <v/>
      </c>
      <c r="BR173" s="56">
        <f>IFERROR(IF(AND(BR$2&gt;=Projections!$E122,BR$2&lt;=EDATE(Projections!$E122,Projections!$C122)),Projections!$B122/Projections!$C122,0),0)</f>
        <v/>
      </c>
      <c r="BS173" s="56">
        <f>IFERROR(IF(AND(BS$2&gt;=Projections!$E122,BS$2&lt;=EDATE(Projections!$E122,Projections!$C122)),Projections!$B122/Projections!$C122,0),0)</f>
        <v/>
      </c>
      <c r="BT173" s="56">
        <f>IFERROR(IF(AND(BT$2&gt;=Projections!$E122,BT$2&lt;=EDATE(Projections!$E122,Projections!$C122)),Projections!$B122/Projections!$C122,0),0)</f>
        <v/>
      </c>
      <c r="BU173" s="56">
        <f>IFERROR(IF(AND(BU$2&gt;=Projections!$E122,BU$2&lt;=EDATE(Projections!$E122,Projections!$C122)),Projections!$B122/Projections!$C122,0),0)</f>
        <v/>
      </c>
      <c r="BV173" s="56">
        <f>IFERROR(IF(AND(BV$2&gt;=Projections!$E122,BV$2&lt;=EDATE(Projections!$E122,Projections!$C122)),Projections!$B122/Projections!$C122,0),0)</f>
        <v/>
      </c>
      <c r="BW173" s="56">
        <f>IFERROR(IF(AND(BW$2&gt;=Projections!$E122,BW$2&lt;=EDATE(Projections!$E122,Projections!$C122)),Projections!$B122/Projections!$C122,0),0)</f>
        <v/>
      </c>
      <c r="BX173" s="56">
        <f>IFERROR(IF(AND(BX$2&gt;=Projections!$E122,BX$2&lt;=EDATE(Projections!$E122,Projections!$C122)),Projections!$B122/Projections!$C122,0),0)</f>
        <v/>
      </c>
      <c r="BY173" s="56">
        <f>IFERROR(IF(AND(BY$2&gt;=Projections!$E122,BY$2&lt;=EDATE(Projections!$E122,Projections!$C122)),Projections!$B122/Projections!$C122,0),0)</f>
        <v/>
      </c>
      <c r="BZ173" s="56">
        <f>IFERROR(IF(AND(BZ$2&gt;=Projections!$E122,BZ$2&lt;=EDATE(Projections!$E122,Projections!$C122)),Projections!$B122/Projections!$C122,0),0)</f>
        <v/>
      </c>
      <c r="CA173" s="56">
        <f>IFERROR(IF(AND(CA$2&gt;=Projections!$E122,CA$2&lt;=EDATE(Projections!$E122,Projections!$C122)),Projections!$B122/Projections!$C122,0),0)</f>
        <v/>
      </c>
      <c r="CB173" s="56">
        <f>IFERROR(IF(AND(CB$2&gt;=Projections!$E122,CB$2&lt;=EDATE(Projections!$E122,Projections!$C122)),Projections!$B122/Projections!$C122,0),0)</f>
        <v/>
      </c>
      <c r="CC173" s="56">
        <f>IFERROR(IF(AND(CC$2&gt;=Projections!$E122,CC$2&lt;=EDATE(Projections!$E122,Projections!$C122)),Projections!$B122/Projections!$C122,0),0)</f>
        <v/>
      </c>
      <c r="CD173" s="56">
        <f>IFERROR(IF(AND(CD$2&gt;=Projections!$E122,CD$2&lt;=EDATE(Projections!$E122,Projections!$C122)),Projections!$B122/Projections!$C122,0),0)</f>
        <v/>
      </c>
      <c r="CE173" s="56">
        <f>IFERROR(IF(AND(CE$2&gt;=Projections!$E122,CE$2&lt;=EDATE(Projections!$E122,Projections!$C122)),Projections!$B122/Projections!$C122,0),0)</f>
        <v/>
      </c>
      <c r="CF173" s="56">
        <f>IFERROR(IF(AND(CF$2&gt;=Projections!$E122,CF$2&lt;=EDATE(Projections!$E122,Projections!$C122)),Projections!$B122/Projections!$C122,0),0)</f>
        <v/>
      </c>
      <c r="CG173" s="56">
        <f>IFERROR(IF(AND(CG$2&gt;=Projections!$E122,CG$2&lt;=EDATE(Projections!$E122,Projections!$C122)),Projections!$B122/Projections!$C122,0),0)</f>
        <v/>
      </c>
      <c r="CH173" s="56">
        <f>IFERROR(IF(AND(CH$2&gt;=Projections!$E122,CH$2&lt;=EDATE(Projections!$E122,Projections!$C122)),Projections!$B122/Projections!$C122,0),0)</f>
        <v/>
      </c>
      <c r="CI173" s="56">
        <f>IFERROR(IF(AND(CI$2&gt;=Projections!$E122,CI$2&lt;=EDATE(Projections!$E122,Projections!$C122)),Projections!$B122/Projections!$C122,0),0)</f>
        <v/>
      </c>
      <c r="CJ173" s="56">
        <f>IFERROR(IF(AND(CJ$2&gt;=Projections!$E122,CJ$2&lt;=EDATE(Projections!$E122,Projections!$C122)),Projections!$B122/Projections!$C122,0),0)</f>
        <v/>
      </c>
      <c r="CK173" s="56">
        <f>IFERROR(IF(AND(CK$2&gt;=Projections!$E122,CK$2&lt;=EDATE(Projections!$E122,Projections!$C122)),Projections!$B122/Projections!$C122,0),0)</f>
        <v/>
      </c>
      <c r="CL173" s="56">
        <f>IFERROR(IF(AND(CL$2&gt;=Projections!$E122,CL$2&lt;=EDATE(Projections!$E122,Projections!$C122)),Projections!$B122/Projections!$C122,0),0)</f>
        <v/>
      </c>
      <c r="CM173" s="56">
        <f>IFERROR(IF(AND(CM$2&gt;=Projections!$E122,CM$2&lt;=EDATE(Projections!$E122,Projections!$C122)),Projections!$B122/Projections!$C122,0),0)</f>
        <v/>
      </c>
      <c r="CN173" s="56">
        <f>IFERROR(IF(AND(CN$2&gt;=Projections!$E122,CN$2&lt;=EDATE(Projections!$E122,Projections!$C122)),Projections!$B122/Projections!$C122,0),0)</f>
        <v/>
      </c>
      <c r="CO173" s="56">
        <f>IFERROR(IF(AND(CO$2&gt;=Projections!$E122,CO$2&lt;=EDATE(Projections!$E122,Projections!$C122)),Projections!$B122/Projections!$C122,0),0)</f>
        <v/>
      </c>
      <c r="CP173" s="56">
        <f>IFERROR(IF(AND(CP$2&gt;=Projections!$E122,CP$2&lt;=EDATE(Projections!$E122,Projections!$C122)),Projections!$B122/Projections!$C122,0),0)</f>
        <v/>
      </c>
      <c r="CQ173" s="56">
        <f>IFERROR(IF(AND(CQ$2&gt;=Projections!$E122,CQ$2&lt;=EDATE(Projections!$E122,Projections!$C122)),Projections!$B122/Projections!$C122,0),0)</f>
        <v/>
      </c>
      <c r="CR173" s="56">
        <f>IFERROR(IF(AND(CR$2&gt;=Projections!$E122,CR$2&lt;=EDATE(Projections!$E122,Projections!$C122)),Projections!$B122/Projections!$C122,0),0)</f>
        <v/>
      </c>
      <c r="CS173" s="56">
        <f>IFERROR(IF(AND(CS$2&gt;=Projections!$E122,CS$2&lt;=EDATE(Projections!$E122,Projections!$C122)),Projections!$B122/Projections!$C122,0),0)</f>
        <v/>
      </c>
      <c r="CT173" s="56">
        <f>IFERROR(IF(AND(CT$2&gt;=Projections!$E122,CT$2&lt;=EDATE(Projections!$E122,Projections!$C122)),Projections!$B122/Projections!$C122,0),0)</f>
        <v/>
      </c>
      <c r="CU173" s="56">
        <f>IFERROR(IF(AND(CU$2&gt;=Projections!$E122,CU$2&lt;=EDATE(Projections!$E122,Projections!$C122)),Projections!$B122/Projections!$C122,0),0)</f>
        <v/>
      </c>
      <c r="CV173" s="56">
        <f>IFERROR(IF(AND(CV$2&gt;=Projections!$E122,CV$2&lt;=EDATE(Projections!$E122,Projections!$C122)),Projections!$B122/Projections!$C122,0),0)</f>
        <v/>
      </c>
      <c r="CW173" s="56">
        <f>IFERROR(IF(AND(CW$2&gt;=Projections!$E122,CW$2&lt;=EDATE(Projections!$E122,Projections!$C122)),Projections!$B122/Projections!$C122,0),0)</f>
        <v/>
      </c>
      <c r="CX173" s="56">
        <f>IFERROR(IF(AND(CX$2&gt;=Projections!$E122,CX$2&lt;=EDATE(Projections!$E122,Projections!$C122)),Projections!$B122/Projections!$C122,0),0)</f>
        <v/>
      </c>
    </row>
    <row r="174" outlineLevel="1" ht="15.75" customHeight="1" s="255">
      <c r="A174" s="56">
        <f>A165</f>
        <v/>
      </c>
      <c r="B174" s="56" t="n"/>
      <c r="C174" s="56" t="n"/>
      <c r="D174" s="56" t="n"/>
      <c r="E174" s="56">
        <f>IFERROR(IF(AND(E$2&gt;=Projections!$E123,E$2&lt;=EDATE(Projections!$E123,Projections!$C123)),Projections!$B123/Projections!$C123,0),0)</f>
        <v/>
      </c>
      <c r="F174" s="56">
        <f>IFERROR(IF(AND(F$2&gt;=Projections!$E123,F$2&lt;=EDATE(Projections!$E123,Projections!$C123)),Projections!$B123/Projections!$C123,0),0)</f>
        <v/>
      </c>
      <c r="G174" s="56">
        <f>IFERROR(IF(AND(G$2&gt;=Projections!$E123,G$2&lt;=EDATE(Projections!$E123,Projections!$C123)),Projections!$B123/Projections!$C123,0),0)</f>
        <v/>
      </c>
      <c r="H174" s="56">
        <f>IFERROR(IF(AND(H$2&gt;=Projections!$E123,H$2&lt;=EDATE(Projections!$E123,Projections!$C123)),Projections!$B123/Projections!$C123,0),0)</f>
        <v/>
      </c>
      <c r="I174" s="56">
        <f>IFERROR(IF(AND(I$2&gt;=Projections!$E123,I$2&lt;=EDATE(Projections!$E123,Projections!$C123)),Projections!$B123/Projections!$C123,0),0)</f>
        <v/>
      </c>
      <c r="J174" s="56">
        <f>IFERROR(IF(AND(J$2&gt;=Projections!$E123,J$2&lt;=EDATE(Projections!$E123,Projections!$C123)),Projections!$B123/Projections!$C123,0),0)</f>
        <v/>
      </c>
      <c r="K174" s="56">
        <f>IFERROR(IF(AND(K$2&gt;=Projections!$E123,K$2&lt;=EDATE(Projections!$E123,Projections!$C123)),Projections!$B123/Projections!$C123,0),0)</f>
        <v/>
      </c>
      <c r="L174" s="56">
        <f>IFERROR(IF(AND(L$2&gt;=Projections!$E123,L$2&lt;=EDATE(Projections!$E123,Projections!$C123)),Projections!$B123/Projections!$C123,0),0)</f>
        <v/>
      </c>
      <c r="M174" s="56">
        <f>IFERROR(IF(AND(M$2&gt;=Projections!$E123,M$2&lt;=EDATE(Projections!$E123,Projections!$C123)),Projections!$B123/Projections!$C123,0),0)</f>
        <v/>
      </c>
      <c r="N174" s="56">
        <f>IFERROR(IF(AND(N$2&gt;=Projections!$E123,N$2&lt;=EDATE(Projections!$E123,Projections!$C123)),Projections!$B123/Projections!$C123,0),0)</f>
        <v/>
      </c>
      <c r="O174" s="56">
        <f>IFERROR(IF(AND(O$2&gt;=Projections!$E123,O$2&lt;=EDATE(Projections!$E123,Projections!$C123)),Projections!$B123/Projections!$C123,0),0)</f>
        <v/>
      </c>
      <c r="P174" s="56">
        <f>IFERROR(IF(AND(P$2&gt;=Projections!$E123,P$2&lt;=EDATE(Projections!$E123,Projections!$C123)),Projections!$B123/Projections!$C123,0),0)</f>
        <v/>
      </c>
      <c r="Q174" s="56">
        <f>IFERROR(IF(AND(Q$2&gt;=Projections!$E123,Q$2&lt;=EDATE(Projections!$E123,Projections!$C123)),Projections!$B123/Projections!$C123,0),0)</f>
        <v/>
      </c>
      <c r="R174" s="56">
        <f>IFERROR(IF(AND(R$2&gt;=Projections!$E123,R$2&lt;=EDATE(Projections!$E123,Projections!$C123)),Projections!$B123/Projections!$C123,0),0)</f>
        <v/>
      </c>
      <c r="S174" s="56">
        <f>IFERROR(IF(AND(S$2&gt;=Projections!$E123,S$2&lt;=EDATE(Projections!$E123,Projections!$C123)),Projections!$B123/Projections!$C123,0),0)</f>
        <v/>
      </c>
      <c r="T174" s="56">
        <f>IFERROR(IF(AND(T$2&gt;=Projections!$E123,T$2&lt;=EDATE(Projections!$E123,Projections!$C123)),Projections!$B123/Projections!$C123,0),0)</f>
        <v/>
      </c>
      <c r="U174" s="56">
        <f>IFERROR(IF(AND(U$2&gt;=Projections!$E123,U$2&lt;=EDATE(Projections!$E123,Projections!$C123)),Projections!$B123/Projections!$C123,0),0)</f>
        <v/>
      </c>
      <c r="V174" s="56">
        <f>IFERROR(IF(AND(V$2&gt;=Projections!$E123,V$2&lt;=EDATE(Projections!$E123,Projections!$C123)),Projections!$B123/Projections!$C123,0),0)</f>
        <v/>
      </c>
      <c r="W174" s="56">
        <f>IFERROR(IF(AND(W$2&gt;=Projections!$E123,W$2&lt;=EDATE(Projections!$E123,Projections!$C123)),Projections!$B123/Projections!$C123,0),0)</f>
        <v/>
      </c>
      <c r="X174" s="56">
        <f>IFERROR(IF(AND(X$2&gt;=Projections!$E123,X$2&lt;=EDATE(Projections!$E123,Projections!$C123)),Projections!$B123/Projections!$C123,0),0)</f>
        <v/>
      </c>
      <c r="Y174" s="56">
        <f>IFERROR(IF(AND(Y$2&gt;=Projections!$E123,Y$2&lt;=EDATE(Projections!$E123,Projections!$C123)),Projections!$B123/Projections!$C123,0),0)</f>
        <v/>
      </c>
      <c r="Z174" s="56">
        <f>IFERROR(IF(AND(Z$2&gt;=Projections!$E123,Z$2&lt;=EDATE(Projections!$E123,Projections!$C123)),Projections!$B123/Projections!$C123,0),0)</f>
        <v/>
      </c>
      <c r="AA174" s="56">
        <f>IFERROR(IF(AND(AA$2&gt;=Projections!$E123,AA$2&lt;=EDATE(Projections!$E123,Projections!$C123)),Projections!$B123/Projections!$C123,0),0)</f>
        <v/>
      </c>
      <c r="AB174" s="56">
        <f>IFERROR(IF(AND(AB$2&gt;=Projections!$E123,AB$2&lt;=EDATE(Projections!$E123,Projections!$C123)),Projections!$B123/Projections!$C123,0),0)</f>
        <v/>
      </c>
      <c r="AC174" s="56">
        <f>IFERROR(IF(AND(AC$2&gt;=Projections!$E123,AC$2&lt;=EDATE(Projections!$E123,Projections!$C123)),Projections!$B123/Projections!$C123,0),0)</f>
        <v/>
      </c>
      <c r="AD174" s="56">
        <f>IFERROR(IF(AND(AD$2&gt;=Projections!$E123,AD$2&lt;=EDATE(Projections!$E123,Projections!$C123)),Projections!$B123/Projections!$C123,0),0)</f>
        <v/>
      </c>
      <c r="AE174" s="56">
        <f>IFERROR(IF(AND(AE$2&gt;=Projections!$E123,AE$2&lt;=EDATE(Projections!$E123,Projections!$C123)),Projections!$B123/Projections!$C123,0),0)</f>
        <v/>
      </c>
      <c r="AF174" s="56">
        <f>IFERROR(IF(AND(AF$2&gt;=Projections!$E123,AF$2&lt;=EDATE(Projections!$E123,Projections!$C123)),Projections!$B123/Projections!$C123,0),0)</f>
        <v/>
      </c>
      <c r="AG174" s="56">
        <f>IFERROR(IF(AND(AG$2&gt;=Projections!$E123,AG$2&lt;=EDATE(Projections!$E123,Projections!$C123)),Projections!$B123/Projections!$C123,0),0)</f>
        <v/>
      </c>
      <c r="AH174" s="56">
        <f>IFERROR(IF(AND(AH$2&gt;=Projections!$E123,AH$2&lt;=EDATE(Projections!$E123,Projections!$C123)),Projections!$B123/Projections!$C123,0),0)</f>
        <v/>
      </c>
      <c r="AI174" s="56">
        <f>IFERROR(IF(AND(AI$2&gt;=Projections!$E123,AI$2&lt;=EDATE(Projections!$E123,Projections!$C123)),Projections!$B123/Projections!$C123,0),0)</f>
        <v/>
      </c>
      <c r="AJ174" s="56">
        <f>IFERROR(IF(AND(AJ$2&gt;=Projections!$E123,AJ$2&lt;=EDATE(Projections!$E123,Projections!$C123)),Projections!$B123/Projections!$C123,0),0)</f>
        <v/>
      </c>
      <c r="AK174" s="56">
        <f>IFERROR(IF(AND(AK$2&gt;=Projections!$E123,AK$2&lt;=EDATE(Projections!$E123,Projections!$C123)),Projections!$B123/Projections!$C123,0),0)</f>
        <v/>
      </c>
      <c r="AL174" s="56">
        <f>IFERROR(IF(AND(AL$2&gt;=Projections!$E123,AL$2&lt;=EDATE(Projections!$E123,Projections!$C123)),Projections!$B123/Projections!$C123,0),0)</f>
        <v/>
      </c>
      <c r="AM174" s="56">
        <f>IFERROR(IF(AND(AM$2&gt;=Projections!$E123,AM$2&lt;=EDATE(Projections!$E123,Projections!$C123)),Projections!$B123/Projections!$C123,0),0)</f>
        <v/>
      </c>
      <c r="AN174" s="56">
        <f>IFERROR(IF(AND(AN$2&gt;=Projections!$E123,AN$2&lt;=EDATE(Projections!$E123,Projections!$C123)),Projections!$B123/Projections!$C123,0),0)</f>
        <v/>
      </c>
      <c r="AO174" s="56">
        <f>IFERROR(IF(AND(AO$2&gt;=Projections!$E123,AO$2&lt;=EDATE(Projections!$E123,Projections!$C123)),Projections!$B123/Projections!$C123,0),0)</f>
        <v/>
      </c>
      <c r="AP174" s="56">
        <f>IFERROR(IF(AND(AP$2&gt;=Projections!$E123,AP$2&lt;=EDATE(Projections!$E123,Projections!$C123)),Projections!$B123/Projections!$C123,0),0)</f>
        <v/>
      </c>
      <c r="AQ174" s="56">
        <f>IFERROR(IF(AND(AQ$2&gt;=Projections!$E123,AQ$2&lt;=EDATE(Projections!$E123,Projections!$C123)),Projections!$B123/Projections!$C123,0),0)</f>
        <v/>
      </c>
      <c r="AR174" s="56">
        <f>IFERROR(IF(AND(AR$2&gt;=Projections!$E123,AR$2&lt;=EDATE(Projections!$E123,Projections!$C123)),Projections!$B123/Projections!$C123,0),0)</f>
        <v/>
      </c>
      <c r="AS174" s="56">
        <f>IFERROR(IF(AND(AS$2&gt;=Projections!$E123,AS$2&lt;=EDATE(Projections!$E123,Projections!$C123)),Projections!$B123/Projections!$C123,0),0)</f>
        <v/>
      </c>
      <c r="AT174" s="56">
        <f>IFERROR(IF(AND(AT$2&gt;=Projections!$E123,AT$2&lt;=EDATE(Projections!$E123,Projections!$C123)),Projections!$B123/Projections!$C123,0),0)</f>
        <v/>
      </c>
      <c r="AU174" s="56">
        <f>IFERROR(IF(AND(AU$2&gt;=Projections!$E123,AU$2&lt;=EDATE(Projections!$E123,Projections!$C123)),Projections!$B123/Projections!$C123,0),0)</f>
        <v/>
      </c>
      <c r="AV174" s="56">
        <f>IFERROR(IF(AND(AV$2&gt;=Projections!$E123,AV$2&lt;=EDATE(Projections!$E123,Projections!$C123)),Projections!$B123/Projections!$C123,0),0)</f>
        <v/>
      </c>
      <c r="AW174" s="56">
        <f>IFERROR(IF(AND(AW$2&gt;=Projections!$E123,AW$2&lt;=EDATE(Projections!$E123,Projections!$C123)),Projections!$B123/Projections!$C123,0),0)</f>
        <v/>
      </c>
      <c r="AX174" s="56">
        <f>IFERROR(IF(AND(AX$2&gt;=Projections!$E123,AX$2&lt;=EDATE(Projections!$E123,Projections!$C123)),Projections!$B123/Projections!$C123,0),0)</f>
        <v/>
      </c>
      <c r="AY174" s="56">
        <f>IFERROR(IF(AND(AY$2&gt;=Projections!$E123,AY$2&lt;=EDATE(Projections!$E123,Projections!$C123)),Projections!$B123/Projections!$C123,0),0)</f>
        <v/>
      </c>
      <c r="AZ174" s="56">
        <f>IFERROR(IF(AND(AZ$2&gt;=Projections!$E123,AZ$2&lt;=EDATE(Projections!$E123,Projections!$C123)),Projections!$B123/Projections!$C123,0),0)</f>
        <v/>
      </c>
      <c r="BA174" s="56">
        <f>IFERROR(IF(AND(BA$2&gt;=Projections!$E123,BA$2&lt;=EDATE(Projections!$E123,Projections!$C123)),Projections!$B123/Projections!$C123,0),0)</f>
        <v/>
      </c>
      <c r="BB174" s="56">
        <f>IFERROR(IF(AND(BB$2&gt;=Projections!$E123,BB$2&lt;=EDATE(Projections!$E123,Projections!$C123)),Projections!$B123/Projections!$C123,0),0)</f>
        <v/>
      </c>
      <c r="BC174" s="56">
        <f>IFERROR(IF(AND(BC$2&gt;=Projections!$E123,BC$2&lt;=EDATE(Projections!$E123,Projections!$C123)),Projections!$B123/Projections!$C123,0),0)</f>
        <v/>
      </c>
      <c r="BD174" s="56">
        <f>IFERROR(IF(AND(BD$2&gt;=Projections!$E123,BD$2&lt;=EDATE(Projections!$E123,Projections!$C123)),Projections!$B123/Projections!$C123,0),0)</f>
        <v/>
      </c>
      <c r="BE174" s="56">
        <f>IFERROR(IF(AND(BE$2&gt;=Projections!$E123,BE$2&lt;=EDATE(Projections!$E123,Projections!$C123)),Projections!$B123/Projections!$C123,0),0)</f>
        <v/>
      </c>
      <c r="BF174" s="56">
        <f>IFERROR(IF(AND(BF$2&gt;=Projections!$E123,BF$2&lt;=EDATE(Projections!$E123,Projections!$C123)),Projections!$B123/Projections!$C123,0),0)</f>
        <v/>
      </c>
      <c r="BG174" s="56">
        <f>IFERROR(IF(AND(BG$2&gt;=Projections!$E123,BG$2&lt;=EDATE(Projections!$E123,Projections!$C123)),Projections!$B123/Projections!$C123,0),0)</f>
        <v/>
      </c>
      <c r="BH174" s="56">
        <f>IFERROR(IF(AND(BH$2&gt;=Projections!$E123,BH$2&lt;=EDATE(Projections!$E123,Projections!$C123)),Projections!$B123/Projections!$C123,0),0)</f>
        <v/>
      </c>
      <c r="BI174" s="56">
        <f>IFERROR(IF(AND(BI$2&gt;=Projections!$E123,BI$2&lt;=EDATE(Projections!$E123,Projections!$C123)),Projections!$B123/Projections!$C123,0),0)</f>
        <v/>
      </c>
      <c r="BJ174" s="56">
        <f>IFERROR(IF(AND(BJ$2&gt;=Projections!$E123,BJ$2&lt;=EDATE(Projections!$E123,Projections!$C123)),Projections!$B123/Projections!$C123,0),0)</f>
        <v/>
      </c>
      <c r="BK174" s="56">
        <f>IFERROR(IF(AND(BK$2&gt;=Projections!$E123,BK$2&lt;=EDATE(Projections!$E123,Projections!$C123)),Projections!$B123/Projections!$C123,0),0)</f>
        <v/>
      </c>
      <c r="BL174" s="56">
        <f>IFERROR(IF(AND(BL$2&gt;=Projections!$E123,BL$2&lt;=EDATE(Projections!$E123,Projections!$C123)),Projections!$B123/Projections!$C123,0),0)</f>
        <v/>
      </c>
      <c r="BM174" s="56">
        <f>IFERROR(IF(AND(BM$2&gt;=Projections!$E123,BM$2&lt;=EDATE(Projections!$E123,Projections!$C123)),Projections!$B123/Projections!$C123,0),0)</f>
        <v/>
      </c>
      <c r="BN174" s="56">
        <f>IFERROR(IF(AND(BN$2&gt;=Projections!$E123,BN$2&lt;=EDATE(Projections!$E123,Projections!$C123)),Projections!$B123/Projections!$C123,0),0)</f>
        <v/>
      </c>
      <c r="BO174" s="56">
        <f>IFERROR(IF(AND(BO$2&gt;=Projections!$E123,BO$2&lt;=EDATE(Projections!$E123,Projections!$C123)),Projections!$B123/Projections!$C123,0),0)</f>
        <v/>
      </c>
      <c r="BP174" s="56">
        <f>IFERROR(IF(AND(BP$2&gt;=Projections!$E123,BP$2&lt;=EDATE(Projections!$E123,Projections!$C123)),Projections!$B123/Projections!$C123,0),0)</f>
        <v/>
      </c>
      <c r="BQ174" s="56">
        <f>IFERROR(IF(AND(BQ$2&gt;=Projections!$E123,BQ$2&lt;=EDATE(Projections!$E123,Projections!$C123)),Projections!$B123/Projections!$C123,0),0)</f>
        <v/>
      </c>
      <c r="BR174" s="56">
        <f>IFERROR(IF(AND(BR$2&gt;=Projections!$E123,BR$2&lt;=EDATE(Projections!$E123,Projections!$C123)),Projections!$B123/Projections!$C123,0),0)</f>
        <v/>
      </c>
      <c r="BS174" s="56">
        <f>IFERROR(IF(AND(BS$2&gt;=Projections!$E123,BS$2&lt;=EDATE(Projections!$E123,Projections!$C123)),Projections!$B123/Projections!$C123,0),0)</f>
        <v/>
      </c>
      <c r="BT174" s="56">
        <f>IFERROR(IF(AND(BT$2&gt;=Projections!$E123,BT$2&lt;=EDATE(Projections!$E123,Projections!$C123)),Projections!$B123/Projections!$C123,0),0)</f>
        <v/>
      </c>
      <c r="BU174" s="56">
        <f>IFERROR(IF(AND(BU$2&gt;=Projections!$E123,BU$2&lt;=EDATE(Projections!$E123,Projections!$C123)),Projections!$B123/Projections!$C123,0),0)</f>
        <v/>
      </c>
      <c r="BV174" s="56">
        <f>IFERROR(IF(AND(BV$2&gt;=Projections!$E123,BV$2&lt;=EDATE(Projections!$E123,Projections!$C123)),Projections!$B123/Projections!$C123,0),0)</f>
        <v/>
      </c>
      <c r="BW174" s="56">
        <f>IFERROR(IF(AND(BW$2&gt;=Projections!$E123,BW$2&lt;=EDATE(Projections!$E123,Projections!$C123)),Projections!$B123/Projections!$C123,0),0)</f>
        <v/>
      </c>
      <c r="BX174" s="56">
        <f>IFERROR(IF(AND(BX$2&gt;=Projections!$E123,BX$2&lt;=EDATE(Projections!$E123,Projections!$C123)),Projections!$B123/Projections!$C123,0),0)</f>
        <v/>
      </c>
      <c r="BY174" s="56">
        <f>IFERROR(IF(AND(BY$2&gt;=Projections!$E123,BY$2&lt;=EDATE(Projections!$E123,Projections!$C123)),Projections!$B123/Projections!$C123,0),0)</f>
        <v/>
      </c>
      <c r="BZ174" s="56">
        <f>IFERROR(IF(AND(BZ$2&gt;=Projections!$E123,BZ$2&lt;=EDATE(Projections!$E123,Projections!$C123)),Projections!$B123/Projections!$C123,0),0)</f>
        <v/>
      </c>
      <c r="CA174" s="56">
        <f>IFERROR(IF(AND(CA$2&gt;=Projections!$E123,CA$2&lt;=EDATE(Projections!$E123,Projections!$C123)),Projections!$B123/Projections!$C123,0),0)</f>
        <v/>
      </c>
      <c r="CB174" s="56">
        <f>IFERROR(IF(AND(CB$2&gt;=Projections!$E123,CB$2&lt;=EDATE(Projections!$E123,Projections!$C123)),Projections!$B123/Projections!$C123,0),0)</f>
        <v/>
      </c>
      <c r="CC174" s="56">
        <f>IFERROR(IF(AND(CC$2&gt;=Projections!$E123,CC$2&lt;=EDATE(Projections!$E123,Projections!$C123)),Projections!$B123/Projections!$C123,0),0)</f>
        <v/>
      </c>
      <c r="CD174" s="56">
        <f>IFERROR(IF(AND(CD$2&gt;=Projections!$E123,CD$2&lt;=EDATE(Projections!$E123,Projections!$C123)),Projections!$B123/Projections!$C123,0),0)</f>
        <v/>
      </c>
      <c r="CE174" s="56">
        <f>IFERROR(IF(AND(CE$2&gt;=Projections!$E123,CE$2&lt;=EDATE(Projections!$E123,Projections!$C123)),Projections!$B123/Projections!$C123,0),0)</f>
        <v/>
      </c>
      <c r="CF174" s="56">
        <f>IFERROR(IF(AND(CF$2&gt;=Projections!$E123,CF$2&lt;=EDATE(Projections!$E123,Projections!$C123)),Projections!$B123/Projections!$C123,0),0)</f>
        <v/>
      </c>
      <c r="CG174" s="56">
        <f>IFERROR(IF(AND(CG$2&gt;=Projections!$E123,CG$2&lt;=EDATE(Projections!$E123,Projections!$C123)),Projections!$B123/Projections!$C123,0),0)</f>
        <v/>
      </c>
      <c r="CH174" s="56">
        <f>IFERROR(IF(AND(CH$2&gt;=Projections!$E123,CH$2&lt;=EDATE(Projections!$E123,Projections!$C123)),Projections!$B123/Projections!$C123,0),0)</f>
        <v/>
      </c>
      <c r="CI174" s="56">
        <f>IFERROR(IF(AND(CI$2&gt;=Projections!$E123,CI$2&lt;=EDATE(Projections!$E123,Projections!$C123)),Projections!$B123/Projections!$C123,0),0)</f>
        <v/>
      </c>
      <c r="CJ174" s="56">
        <f>IFERROR(IF(AND(CJ$2&gt;=Projections!$E123,CJ$2&lt;=EDATE(Projections!$E123,Projections!$C123)),Projections!$B123/Projections!$C123,0),0)</f>
        <v/>
      </c>
      <c r="CK174" s="56">
        <f>IFERROR(IF(AND(CK$2&gt;=Projections!$E123,CK$2&lt;=EDATE(Projections!$E123,Projections!$C123)),Projections!$B123/Projections!$C123,0),0)</f>
        <v/>
      </c>
      <c r="CL174" s="56">
        <f>IFERROR(IF(AND(CL$2&gt;=Projections!$E123,CL$2&lt;=EDATE(Projections!$E123,Projections!$C123)),Projections!$B123/Projections!$C123,0),0)</f>
        <v/>
      </c>
      <c r="CM174" s="56">
        <f>IFERROR(IF(AND(CM$2&gt;=Projections!$E123,CM$2&lt;=EDATE(Projections!$E123,Projections!$C123)),Projections!$B123/Projections!$C123,0),0)</f>
        <v/>
      </c>
      <c r="CN174" s="56">
        <f>IFERROR(IF(AND(CN$2&gt;=Projections!$E123,CN$2&lt;=EDATE(Projections!$E123,Projections!$C123)),Projections!$B123/Projections!$C123,0),0)</f>
        <v/>
      </c>
      <c r="CO174" s="56">
        <f>IFERROR(IF(AND(CO$2&gt;=Projections!$E123,CO$2&lt;=EDATE(Projections!$E123,Projections!$C123)),Projections!$B123/Projections!$C123,0),0)</f>
        <v/>
      </c>
      <c r="CP174" s="56">
        <f>IFERROR(IF(AND(CP$2&gt;=Projections!$E123,CP$2&lt;=EDATE(Projections!$E123,Projections!$C123)),Projections!$B123/Projections!$C123,0),0)</f>
        <v/>
      </c>
      <c r="CQ174" s="56">
        <f>IFERROR(IF(AND(CQ$2&gt;=Projections!$E123,CQ$2&lt;=EDATE(Projections!$E123,Projections!$C123)),Projections!$B123/Projections!$C123,0),0)</f>
        <v/>
      </c>
      <c r="CR174" s="56">
        <f>IFERROR(IF(AND(CR$2&gt;=Projections!$E123,CR$2&lt;=EDATE(Projections!$E123,Projections!$C123)),Projections!$B123/Projections!$C123,0),0)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IFERROR(IF(AND(CS$2&gt;=Projections!$E123,CS$2&lt;=EDATE(Projections!$E123,Projections!$C123)),Projections!$B123/Projections!$C123,0),0)</f>
        <v/>
      </c>
      <c r="CT174" s="56">
        <f>IFERROR(IF(AND(CT$2&gt;=Projections!$E123,CT$2&lt;=EDATE(Projections!$E123,Projections!$C123)),Projections!$B123/Projections!$C123,0),0)</f>
        <v/>
      </c>
      <c r="CU174" s="56">
        <f>IFERROR(IF(AND(CU$2&gt;=Projections!$E123,CU$2&lt;=EDATE(Projections!$E123,Projections!$C123)),Projections!$B123/Projections!$C123,0),0)</f>
        <v/>
      </c>
      <c r="CV174" s="56">
        <f>IFERROR(IF(AND(CV$2&gt;=Projections!$E123,CV$2&lt;=EDATE(Projections!$E123,Projections!$C123)),Projections!$B123/Projections!$C123,0),0)</f>
        <v/>
      </c>
      <c r="CW174" s="56">
        <f>IFERROR(IF(AND(CW$2&gt;=Projections!$E123,CW$2&lt;=EDATE(Projections!$E123,Projections!$C123)),Projections!$B123/Projections!$C123,0),0)</f>
        <v/>
      </c>
      <c r="CX174" s="56">
        <f>IFERROR(IF(AND(CX$2&gt;=Projections!$E123,CX$2&lt;=EDATE(Projections!$E123,Projections!$C123)),Projections!$B123/Projections!$C123,0),0)</f>
        <v/>
      </c>
    </row>
    <row r="175" outlineLevel="1" ht="15.75" customHeight="1" s="255">
      <c r="A175" s="56">
        <f>A166</f>
        <v/>
      </c>
      <c r="B175" s="56" t="n"/>
      <c r="C175" s="56" t="n"/>
      <c r="D175" s="56" t="n"/>
      <c r="E175" s="56">
        <f>IFERROR(IF(AND(E$2&gt;=Projections!$E124,E$2&lt;=EDATE(Projections!$E124,Projections!$C124)),Projections!$B124/Projections!$C124,0),0)</f>
        <v/>
      </c>
      <c r="F175" s="56">
        <f>IFERROR(IF(AND(F$2&gt;=Projections!$E124,F$2&lt;=EDATE(Projections!$E124,Projections!$C124)),Projections!$B124/Projections!$C124,0),0)</f>
        <v/>
      </c>
      <c r="G175" s="56">
        <f>IFERROR(IF(AND(G$2&gt;=Projections!$E124,G$2&lt;=EDATE(Projections!$E124,Projections!$C124)),Projections!$B124/Projections!$C124,0),0)</f>
        <v/>
      </c>
      <c r="H175" s="56">
        <f>IFERROR(IF(AND(H$2&gt;=Projections!$E124,H$2&lt;=EDATE(Projections!$E124,Projections!$C124)),Projections!$B124/Projections!$C124,0),0)</f>
        <v/>
      </c>
      <c r="I175" s="56">
        <f>IFERROR(IF(AND(I$2&gt;=Projections!$E124,I$2&lt;=EDATE(Projections!$E124,Projections!$C124)),Projections!$B124/Projections!$C124,0),0)</f>
        <v/>
      </c>
      <c r="J175" s="56">
        <f>IFERROR(IF(AND(J$2&gt;=Projections!$E124,J$2&lt;=EDATE(Projections!$E124,Projections!$C124)),Projections!$B124/Projections!$C124,0),0)</f>
        <v/>
      </c>
      <c r="K175" s="56">
        <f>IFERROR(IF(AND(K$2&gt;=Projections!$E124,K$2&lt;=EDATE(Projections!$E124,Projections!$C124)),Projections!$B124/Projections!$C124,0),0)</f>
        <v/>
      </c>
      <c r="L175" s="56">
        <f>IFERROR(IF(AND(L$2&gt;=Projections!$E124,L$2&lt;=EDATE(Projections!$E124,Projections!$C124)),Projections!$B124/Projections!$C124,0),0)</f>
        <v/>
      </c>
      <c r="M175" s="56">
        <f>IFERROR(IF(AND(M$2&gt;=Projections!$E124,M$2&lt;=EDATE(Projections!$E124,Projections!$C124)),Projections!$B124/Projections!$C124,0),0)</f>
        <v/>
      </c>
      <c r="N175" s="56">
        <f>IFERROR(IF(AND(N$2&gt;=Projections!$E124,N$2&lt;=EDATE(Projections!$E124,Projections!$C124)),Projections!$B124/Projections!$C124,0),0)</f>
        <v/>
      </c>
      <c r="O175" s="56">
        <f>IFERROR(IF(AND(O$2&gt;=Projections!$E124,O$2&lt;=EDATE(Projections!$E124,Projections!$C124)),Projections!$B124/Projections!$C124,0),0)</f>
        <v/>
      </c>
      <c r="P175" s="56">
        <f>IFERROR(IF(AND(P$2&gt;=Projections!$E124,P$2&lt;=EDATE(Projections!$E124,Projections!$C124)),Projections!$B124/Projections!$C124,0),0)</f>
        <v/>
      </c>
      <c r="Q175" s="56">
        <f>IFERROR(IF(AND(Q$2&gt;=Projections!$E124,Q$2&lt;=EDATE(Projections!$E124,Projections!$C124)),Projections!$B124/Projections!$C124,0),0)</f>
        <v/>
      </c>
      <c r="R175" s="56">
        <f>IFERROR(IF(AND(R$2&gt;=Projections!$E124,R$2&lt;=EDATE(Projections!$E124,Projections!$C124)),Projections!$B124/Projections!$C124,0),0)</f>
        <v/>
      </c>
      <c r="S175" s="56">
        <f>IFERROR(IF(AND(S$2&gt;=Projections!$E124,S$2&lt;=EDATE(Projections!$E124,Projections!$C124)),Projections!$B124/Projections!$C124,0),0)</f>
        <v/>
      </c>
      <c r="T175" s="56">
        <f>IFERROR(IF(AND(T$2&gt;=Projections!$E124,T$2&lt;=EDATE(Projections!$E124,Projections!$C124)),Projections!$B124/Projections!$C124,0),0)</f>
        <v/>
      </c>
      <c r="U175" s="56">
        <f>IFERROR(IF(AND(U$2&gt;=Projections!$E124,U$2&lt;=EDATE(Projections!$E124,Projections!$C124)),Projections!$B124/Projections!$C124,0),0)</f>
        <v/>
      </c>
      <c r="V175" s="56">
        <f>IFERROR(IF(AND(V$2&gt;=Projections!$E124,V$2&lt;=EDATE(Projections!$E124,Projections!$C124)),Projections!$B124/Projections!$C124,0),0)</f>
        <v/>
      </c>
      <c r="W175" s="56">
        <f>IFERROR(IF(AND(W$2&gt;=Projections!$E124,W$2&lt;=EDATE(Projections!$E124,Projections!$C124)),Projections!$B124/Projections!$C124,0),0)</f>
        <v/>
      </c>
      <c r="X175" s="56">
        <f>IFERROR(IF(AND(X$2&gt;=Projections!$E124,X$2&lt;=EDATE(Projections!$E124,Projections!$C124)),Projections!$B124/Projections!$C124,0),0)</f>
        <v/>
      </c>
      <c r="Y175" s="56">
        <f>IFERROR(IF(AND(Y$2&gt;=Projections!$E124,Y$2&lt;=EDATE(Projections!$E124,Projections!$C124)),Projections!$B124/Projections!$C124,0),0)</f>
        <v/>
      </c>
      <c r="Z175" s="56">
        <f>IFERROR(IF(AND(Z$2&gt;=Projections!$E124,Z$2&lt;=EDATE(Projections!$E124,Projections!$C124)),Projections!$B124/Projections!$C124,0),0)</f>
        <v/>
      </c>
      <c r="AA175" s="56">
        <f>IFERROR(IF(AND(AA$2&gt;=Projections!$E124,AA$2&lt;=EDATE(Projections!$E124,Projections!$C124)),Projections!$B124/Projections!$C124,0),0)</f>
        <v/>
      </c>
      <c r="AB175" s="56">
        <f>IFERROR(IF(AND(AB$2&gt;=Projections!$E124,AB$2&lt;=EDATE(Projections!$E124,Projections!$C124)),Projections!$B124/Projections!$C124,0),0)</f>
        <v/>
      </c>
      <c r="AC175" s="56">
        <f>IFERROR(IF(AND(AC$2&gt;=Projections!$E124,AC$2&lt;=EDATE(Projections!$E124,Projections!$C124)),Projections!$B124/Projections!$C124,0),0)</f>
        <v/>
      </c>
      <c r="AD175" s="56">
        <f>IFERROR(IF(AND(AD$2&gt;=Projections!$E124,AD$2&lt;=EDATE(Projections!$E124,Projections!$C124)),Projections!$B124/Projections!$C124,0),0)</f>
        <v/>
      </c>
      <c r="AE175" s="56">
        <f>IFERROR(IF(AND(AE$2&gt;=Projections!$E124,AE$2&lt;=EDATE(Projections!$E124,Projections!$C124)),Projections!$B124/Projections!$C124,0),0)</f>
        <v/>
      </c>
      <c r="AF175" s="56">
        <f>IFERROR(IF(AND(AF$2&gt;=Projections!$E124,AF$2&lt;=EDATE(Projections!$E124,Projections!$C124)),Projections!$B124/Projections!$C124,0),0)</f>
        <v/>
      </c>
      <c r="AG175" s="56">
        <f>IFERROR(IF(AND(AG$2&gt;=Projections!$E124,AG$2&lt;=EDATE(Projections!$E124,Projections!$C124)),Projections!$B124/Projections!$C124,0),0)</f>
        <v/>
      </c>
      <c r="AH175" s="56">
        <f>IFERROR(IF(AND(AH$2&gt;=Projections!$E124,AH$2&lt;=EDATE(Projections!$E124,Projections!$C124)),Projections!$B124/Projections!$C124,0),0)</f>
        <v/>
      </c>
      <c r="AI175" s="56">
        <f>IFERROR(IF(AND(AI$2&gt;=Projections!$E124,AI$2&lt;=EDATE(Projections!$E124,Projections!$C124)),Projections!$B124/Projections!$C124,0),0)</f>
        <v/>
      </c>
      <c r="AJ175" s="56">
        <f>IFERROR(IF(AND(AJ$2&gt;=Projections!$E124,AJ$2&lt;=EDATE(Projections!$E124,Projections!$C124)),Projections!$B124/Projections!$C124,0),0)</f>
        <v/>
      </c>
      <c r="AK175" s="56">
        <f>IFERROR(IF(AND(AK$2&gt;=Projections!$E124,AK$2&lt;=EDATE(Projections!$E124,Projections!$C124)),Projections!$B124/Projections!$C124,0),0)</f>
        <v/>
      </c>
      <c r="AL175" s="56">
        <f>IFERROR(IF(AND(AL$2&gt;=Projections!$E124,AL$2&lt;=EDATE(Projections!$E124,Projections!$C124)),Projections!$B124/Projections!$C124,0),0)</f>
        <v/>
      </c>
      <c r="AM175" s="56">
        <f>IFERROR(IF(AND(AM$2&gt;=Projections!$E124,AM$2&lt;=EDATE(Projections!$E124,Projections!$C124)),Projections!$B124/Projections!$C124,0),0)</f>
        <v/>
      </c>
      <c r="AN175" s="56">
        <f>IFERROR(IF(AND(AN$2&gt;=Projections!$E124,AN$2&lt;=EDATE(Projections!$E124,Projections!$C124)),Projections!$B124/Projections!$C124,0),0)</f>
        <v/>
      </c>
      <c r="AO175" s="56">
        <f>IFERROR(IF(AND(AO$2&gt;=Projections!$E124,AO$2&lt;=EDATE(Projections!$E124,Projections!$C124)),Projections!$B124/Projections!$C124,0),0)</f>
        <v/>
      </c>
      <c r="AP175" s="56">
        <f>IFERROR(IF(AND(AP$2&gt;=Projections!$E124,AP$2&lt;=EDATE(Projections!$E124,Projections!$C124)),Projections!$B124/Projections!$C124,0),0)</f>
        <v/>
      </c>
      <c r="AQ175" s="56">
        <f>IFERROR(IF(AND(AQ$2&gt;=Projections!$E124,AQ$2&lt;=EDATE(Projections!$E124,Projections!$C124)),Projections!$B124/Projections!$C124,0),0)</f>
        <v/>
      </c>
      <c r="AR175" s="56">
        <f>IFERROR(IF(AND(AR$2&gt;=Projections!$E124,AR$2&lt;=EDATE(Projections!$E124,Projections!$C124)),Projections!$B124/Projections!$C124,0),0)</f>
        <v/>
      </c>
      <c r="AS175" s="56">
        <f>IFERROR(IF(AND(AS$2&gt;=Projections!$E124,AS$2&lt;=EDATE(Projections!$E124,Projections!$C124)),Projections!$B124/Projections!$C124,0),0)</f>
        <v/>
      </c>
      <c r="AT175" s="56">
        <f>IFERROR(IF(AND(AT$2&gt;=Projections!$E124,AT$2&lt;=EDATE(Projections!$E124,Projections!$C124)),Projections!$B124/Projections!$C124,0),0)</f>
        <v/>
      </c>
      <c r="AU175" s="56">
        <f>IFERROR(IF(AND(AU$2&gt;=Projections!$E124,AU$2&lt;=EDATE(Projections!$E124,Projections!$C124)),Projections!$B124/Projections!$C124,0),0)</f>
        <v/>
      </c>
      <c r="AV175" s="56">
        <f>IFERROR(IF(AND(AV$2&gt;=Projections!$E124,AV$2&lt;=EDATE(Projections!$E124,Projections!$C124)),Projections!$B124/Projections!$C124,0),0)</f>
        <v/>
      </c>
      <c r="AW175" s="56">
        <f>IFERROR(IF(AND(AW$2&gt;=Projections!$E124,AW$2&lt;=EDATE(Projections!$E124,Projections!$C124)),Projections!$B124/Projections!$C124,0),0)</f>
        <v/>
      </c>
      <c r="AX175" s="56">
        <f>IFERROR(IF(AND(AX$2&gt;=Projections!$E124,AX$2&lt;=EDATE(Projections!$E124,Projections!$C124)),Projections!$B124/Projections!$C124,0),0)</f>
        <v/>
      </c>
      <c r="AY175" s="56">
        <f>IFERROR(IF(AND(AY$2&gt;=Projections!$E124,AY$2&lt;=EDATE(Projections!$E124,Projections!$C124)),Projections!$B124/Projections!$C124,0),0)</f>
        <v/>
      </c>
      <c r="AZ175" s="56">
        <f>IFERROR(IF(AND(AZ$2&gt;=Projections!$E124,AZ$2&lt;=EDATE(Projections!$E124,Projections!$C124)),Projections!$B124/Projections!$C124,0),0)</f>
        <v/>
      </c>
      <c r="BA175" s="56">
        <f>IFERROR(IF(AND(BA$2&gt;=Projections!$E124,BA$2&lt;=EDATE(Projections!$E124,Projections!$C124)),Projections!$B124/Projections!$C124,0),0)</f>
        <v/>
      </c>
      <c r="BB175" s="56">
        <f>IFERROR(IF(AND(BB$2&gt;=Projections!$E124,BB$2&lt;=EDATE(Projections!$E124,Projections!$C124)),Projections!$B124/Projections!$C124,0),0)</f>
        <v/>
      </c>
      <c r="BC175" s="56">
        <f>IFERROR(IF(AND(BC$2&gt;=Projections!$E124,BC$2&lt;=EDATE(Projections!$E124,Projections!$C124)),Projections!$B124/Projections!$C124,0),0)</f>
        <v/>
      </c>
      <c r="BD175" s="56">
        <f>IFERROR(IF(AND(BD$2&gt;=Projections!$E124,BD$2&lt;=EDATE(Projections!$E124,Projections!$C124)),Projections!$B124/Projections!$C124,0),0)</f>
        <v/>
      </c>
      <c r="BE175" s="56">
        <f>IFERROR(IF(AND(BE$2&gt;=Projections!$E124,BE$2&lt;=EDATE(Projections!$E124,Projections!$C124)),Projections!$B124/Projections!$C124,0),0)</f>
        <v/>
      </c>
      <c r="BF175" s="56">
        <f>IFERROR(IF(AND(BF$2&gt;=Projections!$E124,BF$2&lt;=EDATE(Projections!$E124,Projections!$C124)),Projections!$B124/Projections!$C124,0),0)</f>
        <v/>
      </c>
      <c r="BG175" s="56">
        <f>IFERROR(IF(AND(BG$2&gt;=Projections!$E124,BG$2&lt;=EDATE(Projections!$E124,Projections!$C124)),Projections!$B124/Projections!$C124,0),0)</f>
        <v/>
      </c>
      <c r="BH175" s="56">
        <f>IFERROR(IF(AND(BH$2&gt;=Projections!$E124,BH$2&lt;=EDATE(Projections!$E124,Projections!$C124)),Projections!$B124/Projections!$C124,0),0)</f>
        <v/>
      </c>
      <c r="BI175" s="56">
        <f>IFERROR(IF(AND(BI$2&gt;=Projections!$E124,BI$2&lt;=EDATE(Projections!$E124,Projections!$C124)),Projections!$B124/Projections!$C124,0),0)</f>
        <v/>
      </c>
      <c r="BJ175" s="56">
        <f>IFERROR(IF(AND(BJ$2&gt;=Projections!$E124,BJ$2&lt;=EDATE(Projections!$E124,Projections!$C124)),Projections!$B124/Projections!$C124,0),0)</f>
        <v/>
      </c>
      <c r="BK175" s="56">
        <f>IFERROR(IF(AND(BK$2&gt;=Projections!$E124,BK$2&lt;=EDATE(Projections!$E124,Projections!$C124)),Projections!$B124/Projections!$C124,0),0)</f>
        <v/>
      </c>
      <c r="BL175" s="56">
        <f>IFERROR(IF(AND(BL$2&gt;=Projections!$E124,BL$2&lt;=EDATE(Projections!$E124,Projections!$C124)),Projections!$B124/Projections!$C124,0),0)</f>
        <v/>
      </c>
      <c r="BM175" s="56">
        <f>IFERROR(IF(AND(BM$2&gt;=Projections!$E124,BM$2&lt;=EDATE(Projections!$E124,Projections!$C124)),Projections!$B124/Projections!$C124,0),0)</f>
        <v/>
      </c>
      <c r="BN175" s="56">
        <f>IFERROR(IF(AND(BN$2&gt;=Projections!$E124,BN$2&lt;=EDATE(Projections!$E124,Projections!$C124)),Projections!$B124/Projections!$C124,0),0)</f>
        <v/>
      </c>
      <c r="BO175" s="56">
        <f>IFERROR(IF(AND(BO$2&gt;=Projections!$E124,BO$2&lt;=EDATE(Projections!$E124,Projections!$C124)),Projections!$B124/Projections!$C124,0),0)</f>
        <v/>
      </c>
      <c r="BP175" s="56">
        <f>IFERROR(IF(AND(BP$2&gt;=Projections!$E124,BP$2&lt;=EDATE(Projections!$E124,Projections!$C124)),Projections!$B124/Projections!$C124,0),0)</f>
        <v/>
      </c>
      <c r="BQ175" s="56">
        <f>IFERROR(IF(AND(BQ$2&gt;=Projections!$E124,BQ$2&lt;=EDATE(Projections!$E124,Projections!$C124)),Projections!$B124/Projections!$C124,0),0)</f>
        <v/>
      </c>
      <c r="BR175" s="56">
        <f>IFERROR(IF(AND(BR$2&gt;=Projections!$E124,BR$2&lt;=EDATE(Projections!$E124,Projections!$C124)),Projections!$B124/Projections!$C124,0),0)</f>
        <v/>
      </c>
      <c r="BS175" s="56">
        <f>IFERROR(IF(AND(BS$2&gt;=Projections!$E124,BS$2&lt;=EDATE(Projections!$E124,Projections!$C124)),Projections!$B124/Projections!$C124,0),0)</f>
        <v/>
      </c>
      <c r="BT175" s="56">
        <f>IFERROR(IF(AND(BT$2&gt;=Projections!$E124,BT$2&lt;=EDATE(Projections!$E124,Projections!$C124)),Projections!$B124/Projections!$C124,0),0)</f>
        <v/>
      </c>
      <c r="BU175" s="56">
        <f>IFERROR(IF(AND(BU$2&gt;=Projections!$E124,BU$2&lt;=EDATE(Projections!$E124,Projections!$C124)),Projections!$B124/Projections!$C124,0),0)</f>
        <v/>
      </c>
      <c r="BV175" s="56">
        <f>IFERROR(IF(AND(BV$2&gt;=Projections!$E124,BV$2&lt;=EDATE(Projections!$E124,Projections!$C124)),Projections!$B124/Projections!$C124,0),0)</f>
        <v/>
      </c>
      <c r="BW175" s="56">
        <f>IFERROR(IF(AND(BW$2&gt;=Projections!$E124,BW$2&lt;=EDATE(Projections!$E124,Projections!$C124)),Projections!$B124/Projections!$C124,0),0)</f>
        <v/>
      </c>
      <c r="BX175" s="56">
        <f>IFERROR(IF(AND(BX$2&gt;=Projections!$E124,BX$2&lt;=EDATE(Projections!$E124,Projections!$C124)),Projections!$B124/Projections!$C124,0),0)</f>
        <v/>
      </c>
      <c r="BY175" s="56">
        <f>IFERROR(IF(AND(BY$2&gt;=Projections!$E124,BY$2&lt;=EDATE(Projections!$E124,Projections!$C124)),Projections!$B124/Projections!$C124,0),0)</f>
        <v/>
      </c>
      <c r="BZ175" s="56">
        <f>IFERROR(IF(AND(BZ$2&gt;=Projections!$E124,BZ$2&lt;=EDATE(Projections!$E124,Projections!$C124)),Projections!$B124/Projections!$C124,0),0)</f>
        <v/>
      </c>
      <c r="CA175" s="56">
        <f>IFERROR(IF(AND(CA$2&gt;=Projections!$E124,CA$2&lt;=EDATE(Projections!$E124,Projections!$C124)),Projections!$B124/Projections!$C124,0),0)</f>
        <v/>
      </c>
      <c r="CB175" s="56">
        <f>IFERROR(IF(AND(CB$2&gt;=Projections!$E124,CB$2&lt;=EDATE(Projections!$E124,Projections!$C124)),Projections!$B124/Projections!$C124,0),0)</f>
        <v/>
      </c>
      <c r="CC175" s="56">
        <f>IFERROR(IF(AND(CC$2&gt;=Projections!$E124,CC$2&lt;=EDATE(Projections!$E124,Projections!$C124)),Projections!$B124/Projections!$C124,0),0)</f>
        <v/>
      </c>
      <c r="CD175" s="56">
        <f>IFERROR(IF(AND(CD$2&gt;=Projections!$E124,CD$2&lt;=EDATE(Projections!$E124,Projections!$C124)),Projections!$B124/Projections!$C124,0),0)</f>
        <v/>
      </c>
      <c r="CE175" s="56">
        <f>IFERROR(IF(AND(CE$2&gt;=Projections!$E124,CE$2&lt;=EDATE(Projections!$E124,Projections!$C124)),Projections!$B124/Projections!$C124,0),0)</f>
        <v/>
      </c>
      <c r="CF175" s="56">
        <f>IFERROR(IF(AND(CF$2&gt;=Projections!$E124,CF$2&lt;=EDATE(Projections!$E124,Projections!$C124)),Projections!$B124/Projections!$C124,0),0)</f>
        <v/>
      </c>
      <c r="CG175" s="56">
        <f>IFERROR(IF(AND(CG$2&gt;=Projections!$E124,CG$2&lt;=EDATE(Projections!$E124,Projections!$C124)),Projections!$B124/Projections!$C124,0),0)</f>
        <v/>
      </c>
      <c r="CH175" s="56">
        <f>IFERROR(IF(AND(CH$2&gt;=Projections!$E124,CH$2&lt;=EDATE(Projections!$E124,Projections!$C124)),Projections!$B124/Projections!$C124,0),0)</f>
        <v/>
      </c>
      <c r="CI175" s="56">
        <f>IFERROR(IF(AND(CI$2&gt;=Projections!$E124,CI$2&lt;=EDATE(Projections!$E124,Projections!$C124)),Projections!$B124/Projections!$C124,0),0)</f>
        <v/>
      </c>
      <c r="CJ175" s="56">
        <f>IFERROR(IF(AND(CJ$2&gt;=Projections!$E124,CJ$2&lt;=EDATE(Projections!$E124,Projections!$C124)),Projections!$B124/Projections!$C124,0),0)</f>
        <v/>
      </c>
      <c r="CK175" s="56">
        <f>IFERROR(IF(AND(CK$2&gt;=Projections!$E124,CK$2&lt;=EDATE(Projections!$E124,Projections!$C124)),Projections!$B124/Projections!$C124,0),0)</f>
        <v/>
      </c>
      <c r="CL175" s="56">
        <f>IFERROR(IF(AND(CL$2&gt;=Projections!$E124,CL$2&lt;=EDATE(Projections!$E124,Projections!$C124)),Projections!$B124/Projections!$C124,0),0)</f>
        <v/>
      </c>
      <c r="CM175" s="56">
        <f>IFERROR(IF(AND(CM$2&gt;=Projections!$E124,CM$2&lt;=EDATE(Projections!$E124,Projections!$C124)),Projections!$B124/Projections!$C124,0),0)</f>
        <v/>
      </c>
      <c r="CN175" s="56">
        <f>IFERROR(IF(AND(CN$2&gt;=Projections!$E124,CN$2&lt;=EDATE(Projections!$E124,Projections!$C124)),Projections!$B124/Projections!$C124,0),0)</f>
        <v/>
      </c>
      <c r="CO175" s="56">
        <f>IFERROR(IF(AND(CO$2&gt;=Projections!$E124,CO$2&lt;=EDATE(Projections!$E124,Projections!$C124)),Projections!$B124/Projections!$C124,0),0)</f>
        <v/>
      </c>
      <c r="CP175" s="56">
        <f>IFERROR(IF(AND(CP$2&gt;=Projections!$E124,CP$2&lt;=EDATE(Projections!$E124,Projections!$C124)),Projections!$B124/Projections!$C124,0),0)</f>
        <v/>
      </c>
      <c r="CQ175" s="56">
        <f>IFERROR(IF(AND(CQ$2&gt;=Projections!$E124,CQ$2&lt;=EDATE(Projections!$E124,Projections!$C124)),Projections!$B124/Projections!$C124,0),0)</f>
        <v/>
      </c>
      <c r="CR175" s="56">
        <f>IFERROR(IF(AND(CR$2&gt;=Projections!$E124,CR$2&lt;=EDATE(Projections!$E124,Projections!$C124)),Projections!$B124/Projections!$C124,0),0)</f>
        <v/>
      </c>
      <c r="CS175" s="56">
        <f>IFERROR(IF(AND(CS$2&gt;=Projections!$E124,CS$2&lt;=EDATE(Projections!$E124,Projections!$C124)),Projections!$B124/Projections!$C124,0),0)</f>
        <v/>
      </c>
      <c r="CT175" s="56">
        <f>IFERROR(IF(AND(CT$2&gt;=Projections!$E124,CT$2&lt;=EDATE(Projections!$E124,Projections!$C124)),Projections!$B124/Projections!$C124,0),0)</f>
        <v/>
      </c>
      <c r="CU175" s="56">
        <f>IFERROR(IF(AND(CU$2&gt;=Projections!$E124,CU$2&lt;=EDATE(Projections!$E124,Projections!$C124)),Projections!$B124/Projections!$C124,0),0)</f>
        <v/>
      </c>
      <c r="CV175" s="56">
        <f>IFERROR(IF(AND(CV$2&gt;=Projections!$E124,CV$2&lt;=EDATE(Projections!$E124,Projections!$C124)),Projections!$B124/Projections!$C124,0),0)</f>
        <v/>
      </c>
      <c r="CW175" s="56">
        <f>IFERROR(IF(AND(CW$2&gt;=Projections!$E124,CW$2&lt;=EDATE(Projections!$E124,Projections!$C124)),Projections!$B124/Projections!$C124,0),0)</f>
        <v/>
      </c>
      <c r="CX175" s="56">
        <f>IFERROR(IF(AND(CX$2&gt;=Projections!$E124,CX$2&lt;=EDATE(Projections!$E124,Projections!$C124)),Projections!$B124/Projections!$C124,0),0)</f>
        <v/>
      </c>
    </row>
    <row r="176" ht="15.75" customHeight="1" s="25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  <c r="CW176" s="56" t="n"/>
      <c r="CX176" s="56" t="n"/>
    </row>
    <row r="177" ht="15.75" customHeight="1" s="2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60" t="n"/>
      <c r="BR177" s="60" t="n"/>
      <c r="BS177" s="60" t="n"/>
      <c r="BT177" s="60" t="n"/>
      <c r="BU177" s="60" t="n"/>
      <c r="BV177" s="60" t="n"/>
      <c r="BW177" s="60" t="n"/>
      <c r="BX177" s="60" t="n"/>
      <c r="BY177" s="60" t="n"/>
      <c r="BZ177" s="60" t="n"/>
      <c r="CA177" s="60" t="n"/>
      <c r="CB177" s="60" t="n"/>
      <c r="CC177" s="60" t="n"/>
      <c r="CD177" s="60" t="n"/>
      <c r="CE177" s="60" t="n"/>
      <c r="CF177" s="60" t="n"/>
      <c r="CG177" s="60" t="n"/>
      <c r="CH177" s="60" t="n"/>
      <c r="CI177" s="60" t="n"/>
      <c r="CJ177" s="60" t="n"/>
      <c r="CK177" s="60" t="n"/>
      <c r="CL177" s="60" t="n"/>
      <c r="CM177" s="60" t="n"/>
      <c r="CN177" s="60" t="n"/>
      <c r="CO177" s="60" t="n"/>
      <c r="CP177" s="60" t="n"/>
      <c r="CQ177" s="60" t="n"/>
      <c r="CR177" s="60" t="n"/>
      <c r="CS177" s="60" t="n"/>
      <c r="CT177" s="60" t="n"/>
      <c r="CU177" s="60" t="n"/>
      <c r="CV177" s="60" t="n"/>
      <c r="CW177" s="60" t="n"/>
      <c r="CX177" s="60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  <c r="CX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  <c r="CX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  <c r="CX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  <c r="CX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  <c r="CX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  <c r="CX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  <c r="CX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  <c r="CX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  <c r="CX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  <c r="CX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  <c r="CX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  <c r="CX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  <c r="CX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  <c r="CX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  <c r="CX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  <c r="CX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  <c r="CX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  <c r="CX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  <c r="CX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  <c r="CX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  <c r="CX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  <c r="CX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  <c r="CX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  <c r="CX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  <c r="CX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  <c r="CX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  <c r="CX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  <c r="CX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  <c r="CX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  <c r="CX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  <c r="CX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  <c r="CX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  <c r="CX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  <c r="CX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  <c r="CX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  <c r="CX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  <c r="CX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  <c r="CX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  <c r="CX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  <c r="CX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  <c r="CX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  <c r="CX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  <c r="CX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  <c r="CX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  <c r="CX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  <c r="CX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  <c r="CX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  <c r="CX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  <c r="CX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  <c r="CX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  <c r="CX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  <c r="CX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  <c r="CX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  <c r="CX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  <c r="CX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  <c r="CX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42" t="n"/>
      <c r="AJ272" s="42" t="n"/>
      <c r="AK272" s="42" t="n"/>
      <c r="AL272" s="42" t="n"/>
      <c r="AM272" s="42" t="n"/>
      <c r="AN272" s="42" t="n"/>
      <c r="AO272" s="42" t="n"/>
      <c r="AP272" s="42" t="n"/>
      <c r="AQ272" s="42" t="n"/>
      <c r="AR272" s="42" t="n"/>
      <c r="AS272" s="42" t="n"/>
      <c r="AT272" s="42" t="n"/>
      <c r="AU272" s="42" t="n"/>
      <c r="AV272" s="42" t="n"/>
      <c r="AW272" s="42" t="n"/>
      <c r="AX272" s="42" t="n"/>
      <c r="AY272" s="42" t="n"/>
      <c r="AZ272" s="42" t="n"/>
      <c r="BA272" s="42" t="n"/>
      <c r="BB272" s="42" t="n"/>
      <c r="BC272" s="42" t="n"/>
      <c r="BD272" s="42" t="n"/>
      <c r="BE272" s="42" t="n"/>
      <c r="BF272" s="42" t="n"/>
      <c r="BG272" s="42" t="n"/>
      <c r="BH272" s="42" t="n"/>
      <c r="BI272" s="42" t="n"/>
      <c r="BJ272" s="42" t="n"/>
      <c r="BK272" s="42" t="n"/>
      <c r="BL272" s="42" t="n"/>
      <c r="BM272" s="42" t="n"/>
      <c r="BN272" s="42" t="n"/>
      <c r="BO272" s="42" t="n"/>
      <c r="BP272" s="42" t="n"/>
      <c r="BQ272" s="42" t="n"/>
      <c r="BR272" s="42" t="n"/>
      <c r="BS272" s="42" t="n"/>
      <c r="BT272" s="42" t="n"/>
      <c r="BU272" s="42" t="n"/>
      <c r="BV272" s="42" t="n"/>
      <c r="BW272" s="42" t="n"/>
      <c r="BX272" s="42" t="n"/>
      <c r="BY272" s="42" t="n"/>
      <c r="BZ272" s="42" t="n"/>
      <c r="CA272" s="42" t="n"/>
      <c r="CB272" s="42" t="n"/>
      <c r="CC272" s="42" t="n"/>
      <c r="CD272" s="42" t="n"/>
      <c r="CE272" s="42" t="n"/>
      <c r="CF272" s="42" t="n"/>
      <c r="CG272" s="42" t="n"/>
      <c r="CH272" s="42" t="n"/>
      <c r="CI272" s="42" t="n"/>
      <c r="CJ272" s="42" t="n"/>
      <c r="CK272" s="42" t="n"/>
      <c r="CL272" s="42" t="n"/>
      <c r="CM272" s="42" t="n"/>
      <c r="CN272" s="42" t="n"/>
      <c r="CO272" s="42" t="n"/>
      <c r="CP272" s="42" t="n"/>
      <c r="CQ272" s="42" t="n"/>
      <c r="CR272" s="42" t="n"/>
      <c r="CS272" s="42" t="n"/>
      <c r="CT272" s="42" t="n"/>
      <c r="CU272" s="42" t="n"/>
      <c r="CV272" s="42" t="n"/>
      <c r="CW272" s="42" t="n"/>
      <c r="CX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42" t="n"/>
      <c r="AJ273" s="42" t="n"/>
      <c r="AK273" s="42" t="n"/>
      <c r="AL273" s="42" t="n"/>
      <c r="AM273" s="42" t="n"/>
      <c r="AN273" s="42" t="n"/>
      <c r="AO273" s="42" t="n"/>
      <c r="AP273" s="42" t="n"/>
      <c r="AQ273" s="42" t="n"/>
      <c r="AR273" s="42" t="n"/>
      <c r="AS273" s="42" t="n"/>
      <c r="AT273" s="42" t="n"/>
      <c r="AU273" s="42" t="n"/>
      <c r="AV273" s="42" t="n"/>
      <c r="AW273" s="42" t="n"/>
      <c r="AX273" s="42" t="n"/>
      <c r="AY273" s="42" t="n"/>
      <c r="AZ273" s="42" t="n"/>
      <c r="BA273" s="42" t="n"/>
      <c r="BB273" s="42" t="n"/>
      <c r="BC273" s="42" t="n"/>
      <c r="BD273" s="42" t="n"/>
      <c r="BE273" s="42" t="n"/>
      <c r="BF273" s="42" t="n"/>
      <c r="BG273" s="42" t="n"/>
      <c r="BH273" s="42" t="n"/>
      <c r="BI273" s="42" t="n"/>
      <c r="BJ273" s="42" t="n"/>
      <c r="BK273" s="42" t="n"/>
      <c r="BL273" s="42" t="n"/>
      <c r="BM273" s="42" t="n"/>
      <c r="BN273" s="42" t="n"/>
      <c r="BO273" s="42" t="n"/>
      <c r="BP273" s="42" t="n"/>
      <c r="BQ273" s="42" t="n"/>
      <c r="BR273" s="42" t="n"/>
      <c r="BS273" s="42" t="n"/>
      <c r="BT273" s="42" t="n"/>
      <c r="BU273" s="42" t="n"/>
      <c r="BV273" s="42" t="n"/>
      <c r="BW273" s="42" t="n"/>
      <c r="BX273" s="42" t="n"/>
      <c r="BY273" s="42" t="n"/>
      <c r="BZ273" s="42" t="n"/>
      <c r="CA273" s="42" t="n"/>
      <c r="CB273" s="42" t="n"/>
      <c r="CC273" s="42" t="n"/>
      <c r="CD273" s="42" t="n"/>
      <c r="CE273" s="42" t="n"/>
      <c r="CF273" s="42" t="n"/>
      <c r="CG273" s="42" t="n"/>
      <c r="CH273" s="42" t="n"/>
      <c r="CI273" s="42" t="n"/>
      <c r="CJ273" s="42" t="n"/>
      <c r="CK273" s="42" t="n"/>
      <c r="CL273" s="42" t="n"/>
      <c r="CM273" s="42" t="n"/>
      <c r="CN273" s="42" t="n"/>
      <c r="CO273" s="42" t="n"/>
      <c r="CP273" s="42" t="n"/>
      <c r="CQ273" s="42" t="n"/>
      <c r="CR273" s="42" t="n"/>
      <c r="CS273" s="42" t="n"/>
      <c r="CT273" s="42" t="n"/>
      <c r="CU273" s="42" t="n"/>
      <c r="CV273" s="42" t="n"/>
      <c r="CW273" s="42" t="n"/>
      <c r="CX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42" t="n"/>
      <c r="AJ274" s="42" t="n"/>
      <c r="AK274" s="42" t="n"/>
      <c r="AL274" s="42" t="n"/>
      <c r="AM274" s="42" t="n"/>
      <c r="AN274" s="42" t="n"/>
      <c r="AO274" s="42" t="n"/>
      <c r="AP274" s="42" t="n"/>
      <c r="AQ274" s="42" t="n"/>
      <c r="AR274" s="42" t="n"/>
      <c r="AS274" s="42" t="n"/>
      <c r="AT274" s="42" t="n"/>
      <c r="AU274" s="42" t="n"/>
      <c r="AV274" s="42" t="n"/>
      <c r="AW274" s="42" t="n"/>
      <c r="AX274" s="42" t="n"/>
      <c r="AY274" s="42" t="n"/>
      <c r="AZ274" s="42" t="n"/>
      <c r="BA274" s="42" t="n"/>
      <c r="BB274" s="42" t="n"/>
      <c r="BC274" s="42" t="n"/>
      <c r="BD274" s="42" t="n"/>
      <c r="BE274" s="42" t="n"/>
      <c r="BF274" s="42" t="n"/>
      <c r="BG274" s="42" t="n"/>
      <c r="BH274" s="42" t="n"/>
      <c r="BI274" s="42" t="n"/>
      <c r="BJ274" s="42" t="n"/>
      <c r="BK274" s="42" t="n"/>
      <c r="BL274" s="42" t="n"/>
      <c r="BM274" s="42" t="n"/>
      <c r="BN274" s="42" t="n"/>
      <c r="BO274" s="42" t="n"/>
      <c r="BP274" s="42" t="n"/>
      <c r="BQ274" s="42" t="n"/>
      <c r="BR274" s="42" t="n"/>
      <c r="BS274" s="42" t="n"/>
      <c r="BT274" s="42" t="n"/>
      <c r="BU274" s="42" t="n"/>
      <c r="BV274" s="42" t="n"/>
      <c r="BW274" s="42" t="n"/>
      <c r="BX274" s="42" t="n"/>
      <c r="BY274" s="42" t="n"/>
      <c r="BZ274" s="42" t="n"/>
      <c r="CA274" s="42" t="n"/>
      <c r="CB274" s="42" t="n"/>
      <c r="CC274" s="42" t="n"/>
      <c r="CD274" s="42" t="n"/>
      <c r="CE274" s="42" t="n"/>
      <c r="CF274" s="42" t="n"/>
      <c r="CG274" s="42" t="n"/>
      <c r="CH274" s="42" t="n"/>
      <c r="CI274" s="42" t="n"/>
      <c r="CJ274" s="42" t="n"/>
      <c r="CK274" s="42" t="n"/>
      <c r="CL274" s="42" t="n"/>
      <c r="CM274" s="42" t="n"/>
      <c r="CN274" s="42" t="n"/>
      <c r="CO274" s="42" t="n"/>
      <c r="CP274" s="42" t="n"/>
      <c r="CQ274" s="42" t="n"/>
      <c r="CR274" s="42" t="n"/>
      <c r="CS274" s="42" t="n"/>
      <c r="CT274" s="42" t="n"/>
      <c r="CU274" s="42" t="n"/>
      <c r="CV274" s="42" t="n"/>
      <c r="CW274" s="42" t="n"/>
      <c r="CX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42" t="n"/>
      <c r="AJ275" s="42" t="n"/>
      <c r="AK275" s="42" t="n"/>
      <c r="AL275" s="42" t="n"/>
      <c r="AM275" s="42" t="n"/>
      <c r="AN275" s="42" t="n"/>
      <c r="AO275" s="42" t="n"/>
      <c r="AP275" s="42" t="n"/>
      <c r="AQ275" s="42" t="n"/>
      <c r="AR275" s="42" t="n"/>
      <c r="AS275" s="42" t="n"/>
      <c r="AT275" s="42" t="n"/>
      <c r="AU275" s="42" t="n"/>
      <c r="AV275" s="42" t="n"/>
      <c r="AW275" s="42" t="n"/>
      <c r="AX275" s="42" t="n"/>
      <c r="AY275" s="42" t="n"/>
      <c r="AZ275" s="42" t="n"/>
      <c r="BA275" s="42" t="n"/>
      <c r="BB275" s="42" t="n"/>
      <c r="BC275" s="42" t="n"/>
      <c r="BD275" s="42" t="n"/>
      <c r="BE275" s="42" t="n"/>
      <c r="BF275" s="42" t="n"/>
      <c r="BG275" s="42" t="n"/>
      <c r="BH275" s="42" t="n"/>
      <c r="BI275" s="42" t="n"/>
      <c r="BJ275" s="42" t="n"/>
      <c r="BK275" s="42" t="n"/>
      <c r="BL275" s="42" t="n"/>
      <c r="BM275" s="42" t="n"/>
      <c r="BN275" s="42" t="n"/>
      <c r="BO275" s="42" t="n"/>
      <c r="BP275" s="42" t="n"/>
      <c r="BQ275" s="42" t="n"/>
      <c r="BR275" s="42" t="n"/>
      <c r="BS275" s="42" t="n"/>
      <c r="BT275" s="42" t="n"/>
      <c r="BU275" s="42" t="n"/>
      <c r="BV275" s="42" t="n"/>
      <c r="BW275" s="42" t="n"/>
      <c r="BX275" s="42" t="n"/>
      <c r="BY275" s="42" t="n"/>
      <c r="BZ275" s="42" t="n"/>
      <c r="CA275" s="42" t="n"/>
      <c r="CB275" s="42" t="n"/>
      <c r="CC275" s="42" t="n"/>
      <c r="CD275" s="42" t="n"/>
      <c r="CE275" s="42" t="n"/>
      <c r="CF275" s="42" t="n"/>
      <c r="CG275" s="42" t="n"/>
      <c r="CH275" s="42" t="n"/>
      <c r="CI275" s="42" t="n"/>
      <c r="CJ275" s="42" t="n"/>
      <c r="CK275" s="42" t="n"/>
      <c r="CL275" s="42" t="n"/>
      <c r="CM275" s="42" t="n"/>
      <c r="CN275" s="42" t="n"/>
      <c r="CO275" s="42" t="n"/>
      <c r="CP275" s="42" t="n"/>
      <c r="CQ275" s="42" t="n"/>
      <c r="CR275" s="42" t="n"/>
      <c r="CS275" s="42" t="n"/>
      <c r="CT275" s="42" t="n"/>
      <c r="CU275" s="42" t="n"/>
      <c r="CV275" s="42" t="n"/>
      <c r="CW275" s="42" t="n"/>
      <c r="CX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n"/>
      <c r="AV276" s="42" t="n"/>
      <c r="AW276" s="42" t="n"/>
      <c r="AX276" s="42" t="n"/>
      <c r="AY276" s="42" t="n"/>
      <c r="AZ276" s="42" t="n"/>
      <c r="BA276" s="42" t="n"/>
      <c r="BB276" s="42" t="n"/>
      <c r="BC276" s="42" t="n"/>
      <c r="BD276" s="42" t="n"/>
      <c r="BE276" s="42" t="n"/>
      <c r="BF276" s="42" t="n"/>
      <c r="BG276" s="42" t="n"/>
      <c r="BH276" s="42" t="n"/>
      <c r="BI276" s="42" t="n"/>
      <c r="BJ276" s="42" t="n"/>
      <c r="BK276" s="42" t="n"/>
      <c r="BL276" s="42" t="n"/>
      <c r="BM276" s="42" t="n"/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I276" s="42" t="n"/>
      <c r="CJ276" s="42" t="n"/>
      <c r="CK276" s="42" t="n"/>
      <c r="CL276" s="42" t="n"/>
      <c r="CM276" s="42" t="n"/>
      <c r="CN276" s="42" t="n"/>
      <c r="CO276" s="42" t="n"/>
      <c r="CP276" s="42" t="n"/>
      <c r="CQ276" s="42" t="n"/>
      <c r="CR276" s="42" t="n"/>
      <c r="CS276" s="42" t="n"/>
      <c r="CT276" s="42" t="n"/>
      <c r="CU276" s="42" t="n"/>
      <c r="CV276" s="42" t="n"/>
      <c r="CW276" s="42" t="n"/>
      <c r="CX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42" t="n"/>
      <c r="AJ277" s="42" t="n"/>
      <c r="AK277" s="42" t="n"/>
      <c r="AL277" s="42" t="n"/>
      <c r="AM277" s="42" t="n"/>
      <c r="AN277" s="42" t="n"/>
      <c r="AO277" s="42" t="n"/>
      <c r="AP277" s="42" t="n"/>
      <c r="AQ277" s="42" t="n"/>
      <c r="AR277" s="42" t="n"/>
      <c r="AS277" s="42" t="n"/>
      <c r="AT277" s="42" t="n"/>
      <c r="AU277" s="42" t="n"/>
      <c r="AV277" s="42" t="n"/>
      <c r="AW277" s="42" t="n"/>
      <c r="AX277" s="42" t="n"/>
      <c r="AY277" s="42" t="n"/>
      <c r="AZ277" s="42" t="n"/>
      <c r="BA277" s="42" t="n"/>
      <c r="BB277" s="42" t="n"/>
      <c r="BC277" s="42" t="n"/>
      <c r="BD277" s="42" t="n"/>
      <c r="BE277" s="42" t="n"/>
      <c r="BF277" s="42" t="n"/>
      <c r="BG277" s="42" t="n"/>
      <c r="BH277" s="42" t="n"/>
      <c r="BI277" s="42" t="n"/>
      <c r="BJ277" s="42" t="n"/>
      <c r="BK277" s="42" t="n"/>
      <c r="BL277" s="42" t="n"/>
      <c r="BM277" s="42" t="n"/>
      <c r="BN277" s="42" t="n"/>
      <c r="BO277" s="42" t="n"/>
      <c r="BP277" s="42" t="n"/>
      <c r="BQ277" s="42" t="n"/>
      <c r="BR277" s="42" t="n"/>
      <c r="BS277" s="42" t="n"/>
      <c r="BT277" s="42" t="n"/>
      <c r="BU277" s="42" t="n"/>
      <c r="BV277" s="42" t="n"/>
      <c r="BW277" s="42" t="n"/>
      <c r="BX277" s="42" t="n"/>
      <c r="BY277" s="42" t="n"/>
      <c r="BZ277" s="42" t="n"/>
      <c r="CA277" s="42" t="n"/>
      <c r="CB277" s="42" t="n"/>
      <c r="CC277" s="42" t="n"/>
      <c r="CD277" s="42" t="n"/>
      <c r="CE277" s="42" t="n"/>
      <c r="CF277" s="42" t="n"/>
      <c r="CG277" s="42" t="n"/>
      <c r="CH277" s="42" t="n"/>
      <c r="CI277" s="42" t="n"/>
      <c r="CJ277" s="42" t="n"/>
      <c r="CK277" s="42" t="n"/>
      <c r="CL277" s="42" t="n"/>
      <c r="CM277" s="42" t="n"/>
      <c r="CN277" s="42" t="n"/>
      <c r="CO277" s="42" t="n"/>
      <c r="CP277" s="42" t="n"/>
      <c r="CQ277" s="42" t="n"/>
      <c r="CR277" s="42" t="n"/>
      <c r="CS277" s="42" t="n"/>
      <c r="CT277" s="42" t="n"/>
      <c r="CU277" s="42" t="n"/>
      <c r="CV277" s="42" t="n"/>
      <c r="CW277" s="42" t="n"/>
      <c r="CX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42" t="n"/>
      <c r="AJ278" s="42" t="n"/>
      <c r="AK278" s="42" t="n"/>
      <c r="AL278" s="42" t="n"/>
      <c r="AM278" s="42" t="n"/>
      <c r="AN278" s="42" t="n"/>
      <c r="AO278" s="42" t="n"/>
      <c r="AP278" s="42" t="n"/>
      <c r="AQ278" s="42" t="n"/>
      <c r="AR278" s="42" t="n"/>
      <c r="AS278" s="42" t="n"/>
      <c r="AT278" s="42" t="n"/>
      <c r="AU278" s="42" t="n"/>
      <c r="AV278" s="42" t="n"/>
      <c r="AW278" s="42" t="n"/>
      <c r="AX278" s="42" t="n"/>
      <c r="AY278" s="42" t="n"/>
      <c r="AZ278" s="42" t="n"/>
      <c r="BA278" s="42" t="n"/>
      <c r="BB278" s="42" t="n"/>
      <c r="BC278" s="42" t="n"/>
      <c r="BD278" s="42" t="n"/>
      <c r="BE278" s="42" t="n"/>
      <c r="BF278" s="42" t="n"/>
      <c r="BG278" s="42" t="n"/>
      <c r="BH278" s="42" t="n"/>
      <c r="BI278" s="42" t="n"/>
      <c r="BJ278" s="42" t="n"/>
      <c r="BK278" s="42" t="n"/>
      <c r="BL278" s="42" t="n"/>
      <c r="BM278" s="42" t="n"/>
      <c r="BN278" s="42" t="n"/>
      <c r="BO278" s="42" t="n"/>
      <c r="BP278" s="42" t="n"/>
      <c r="BQ278" s="42" t="n"/>
      <c r="BR278" s="42" t="n"/>
      <c r="BS278" s="42" t="n"/>
      <c r="BT278" s="42" t="n"/>
      <c r="BU278" s="42" t="n"/>
      <c r="BV278" s="42" t="n"/>
      <c r="BW278" s="42" t="n"/>
      <c r="BX278" s="42" t="n"/>
      <c r="BY278" s="42" t="n"/>
      <c r="BZ278" s="42" t="n"/>
      <c r="CA278" s="42" t="n"/>
      <c r="CB278" s="42" t="n"/>
      <c r="CC278" s="42" t="n"/>
      <c r="CD278" s="42" t="n"/>
      <c r="CE278" s="42" t="n"/>
      <c r="CF278" s="42" t="n"/>
      <c r="CG278" s="42" t="n"/>
      <c r="CH278" s="42" t="n"/>
      <c r="CI278" s="42" t="n"/>
      <c r="CJ278" s="42" t="n"/>
      <c r="CK278" s="42" t="n"/>
      <c r="CL278" s="42" t="n"/>
      <c r="CM278" s="42" t="n"/>
      <c r="CN278" s="42" t="n"/>
      <c r="CO278" s="42" t="n"/>
      <c r="CP278" s="42" t="n"/>
      <c r="CQ278" s="42" t="n"/>
      <c r="CR278" s="42" t="n"/>
      <c r="CS278" s="42" t="n"/>
      <c r="CT278" s="42" t="n"/>
      <c r="CU278" s="42" t="n"/>
      <c r="CV278" s="42" t="n"/>
      <c r="CW278" s="42" t="n"/>
      <c r="CX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42" t="n"/>
      <c r="AV279" s="42" t="n"/>
      <c r="AW279" s="42" t="n"/>
      <c r="AX279" s="42" t="n"/>
      <c r="AY279" s="42" t="n"/>
      <c r="AZ279" s="42" t="n"/>
      <c r="BA279" s="42" t="n"/>
      <c r="BB279" s="42" t="n"/>
      <c r="BC279" s="42" t="n"/>
      <c r="BD279" s="42" t="n"/>
      <c r="BE279" s="42" t="n"/>
      <c r="BF279" s="42" t="n"/>
      <c r="BG279" s="42" t="n"/>
      <c r="BH279" s="42" t="n"/>
      <c r="BI279" s="42" t="n"/>
      <c r="BJ279" s="42" t="n"/>
      <c r="BK279" s="42" t="n"/>
      <c r="BL279" s="42" t="n"/>
      <c r="BM279" s="42" t="n"/>
      <c r="BN279" s="42" t="n"/>
      <c r="BO279" s="42" t="n"/>
      <c r="BP279" s="42" t="n"/>
      <c r="BQ279" s="42" t="n"/>
      <c r="BR279" s="42" t="n"/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42" t="n"/>
      <c r="CO279" s="42" t="n"/>
      <c r="CP279" s="42" t="n"/>
      <c r="CQ279" s="42" t="n"/>
      <c r="CR279" s="42" t="n"/>
      <c r="CS279" s="42" t="n"/>
      <c r="CT279" s="42" t="n"/>
      <c r="CU279" s="42" t="n"/>
      <c r="CV279" s="42" t="n"/>
      <c r="CW279" s="42" t="n"/>
      <c r="CX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42" t="n"/>
      <c r="AJ280" s="42" t="n"/>
      <c r="AK280" s="42" t="n"/>
      <c r="AL280" s="42" t="n"/>
      <c r="AM280" s="42" t="n"/>
      <c r="AN280" s="42" t="n"/>
      <c r="AO280" s="42" t="n"/>
      <c r="AP280" s="42" t="n"/>
      <c r="AQ280" s="42" t="n"/>
      <c r="AR280" s="42" t="n"/>
      <c r="AS280" s="42" t="n"/>
      <c r="AT280" s="42" t="n"/>
      <c r="AU280" s="42" t="n"/>
      <c r="AV280" s="42" t="n"/>
      <c r="AW280" s="42" t="n"/>
      <c r="AX280" s="42" t="n"/>
      <c r="AY280" s="42" t="n"/>
      <c r="AZ280" s="42" t="n"/>
      <c r="BA280" s="42" t="n"/>
      <c r="BB280" s="42" t="n"/>
      <c r="BC280" s="42" t="n"/>
      <c r="BD280" s="42" t="n"/>
      <c r="BE280" s="42" t="n"/>
      <c r="BF280" s="42" t="n"/>
      <c r="BG280" s="42" t="n"/>
      <c r="BH280" s="42" t="n"/>
      <c r="BI280" s="42" t="n"/>
      <c r="BJ280" s="42" t="n"/>
      <c r="BK280" s="42" t="n"/>
      <c r="BL280" s="42" t="n"/>
      <c r="BM280" s="42" t="n"/>
      <c r="BN280" s="42" t="n"/>
      <c r="BO280" s="42" t="n"/>
      <c r="BP280" s="42" t="n"/>
      <c r="BQ280" s="42" t="n"/>
      <c r="BR280" s="42" t="n"/>
      <c r="BS280" s="42" t="n"/>
      <c r="BT280" s="42" t="n"/>
      <c r="BU280" s="42" t="n"/>
      <c r="BV280" s="42" t="n"/>
      <c r="BW280" s="42" t="n"/>
      <c r="BX280" s="42" t="n"/>
      <c r="BY280" s="42" t="n"/>
      <c r="BZ280" s="42" t="n"/>
      <c r="CA280" s="42" t="n"/>
      <c r="CB280" s="42" t="n"/>
      <c r="CC280" s="42" t="n"/>
      <c r="CD280" s="42" t="n"/>
      <c r="CE280" s="42" t="n"/>
      <c r="CF280" s="42" t="n"/>
      <c r="CG280" s="42" t="n"/>
      <c r="CH280" s="42" t="n"/>
      <c r="CI280" s="42" t="n"/>
      <c r="CJ280" s="42" t="n"/>
      <c r="CK280" s="42" t="n"/>
      <c r="CL280" s="42" t="n"/>
      <c r="CM280" s="42" t="n"/>
      <c r="CN280" s="42" t="n"/>
      <c r="CO280" s="42" t="n"/>
      <c r="CP280" s="42" t="n"/>
      <c r="CQ280" s="42" t="n"/>
      <c r="CR280" s="42" t="n"/>
      <c r="CS280" s="42" t="n"/>
      <c r="CT280" s="42" t="n"/>
      <c r="CU280" s="42" t="n"/>
      <c r="CV280" s="42" t="n"/>
      <c r="CW280" s="42" t="n"/>
      <c r="CX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42" t="n"/>
      <c r="AJ281" s="42" t="n"/>
      <c r="AK281" s="42" t="n"/>
      <c r="AL281" s="42" t="n"/>
      <c r="AM281" s="42" t="n"/>
      <c r="AN281" s="42" t="n"/>
      <c r="AO281" s="42" t="n"/>
      <c r="AP281" s="42" t="n"/>
      <c r="AQ281" s="42" t="n"/>
      <c r="AR281" s="42" t="n"/>
      <c r="AS281" s="42" t="n"/>
      <c r="AT281" s="42" t="n"/>
      <c r="AU281" s="42" t="n"/>
      <c r="AV281" s="42" t="n"/>
      <c r="AW281" s="42" t="n"/>
      <c r="AX281" s="42" t="n"/>
      <c r="AY281" s="42" t="n"/>
      <c r="AZ281" s="42" t="n"/>
      <c r="BA281" s="42" t="n"/>
      <c r="BB281" s="42" t="n"/>
      <c r="BC281" s="42" t="n"/>
      <c r="BD281" s="42" t="n"/>
      <c r="BE281" s="42" t="n"/>
      <c r="BF281" s="42" t="n"/>
      <c r="BG281" s="42" t="n"/>
      <c r="BH281" s="42" t="n"/>
      <c r="BI281" s="42" t="n"/>
      <c r="BJ281" s="42" t="n"/>
      <c r="BK281" s="42" t="n"/>
      <c r="BL281" s="42" t="n"/>
      <c r="BM281" s="42" t="n"/>
      <c r="BN281" s="42" t="n"/>
      <c r="BO281" s="42" t="n"/>
      <c r="BP281" s="42" t="n"/>
      <c r="BQ281" s="42" t="n"/>
      <c r="BR281" s="42" t="n"/>
      <c r="BS281" s="42" t="n"/>
      <c r="BT281" s="42" t="n"/>
      <c r="BU281" s="42" t="n"/>
      <c r="BV281" s="42" t="n"/>
      <c r="BW281" s="42" t="n"/>
      <c r="BX281" s="42" t="n"/>
      <c r="BY281" s="42" t="n"/>
      <c r="BZ281" s="42" t="n"/>
      <c r="CA281" s="42" t="n"/>
      <c r="CB281" s="42" t="n"/>
      <c r="CC281" s="42" t="n"/>
      <c r="CD281" s="42" t="n"/>
      <c r="CE281" s="42" t="n"/>
      <c r="CF281" s="42" t="n"/>
      <c r="CG281" s="42" t="n"/>
      <c r="CH281" s="42" t="n"/>
      <c r="CI281" s="42" t="n"/>
      <c r="CJ281" s="42" t="n"/>
      <c r="CK281" s="42" t="n"/>
      <c r="CL281" s="42" t="n"/>
      <c r="CM281" s="42" t="n"/>
      <c r="CN281" s="42" t="n"/>
      <c r="CO281" s="42" t="n"/>
      <c r="CP281" s="42" t="n"/>
      <c r="CQ281" s="42" t="n"/>
      <c r="CR281" s="42" t="n"/>
      <c r="CS281" s="42" t="n"/>
      <c r="CT281" s="42" t="n"/>
      <c r="CU281" s="42" t="n"/>
      <c r="CV281" s="42" t="n"/>
      <c r="CW281" s="42" t="n"/>
      <c r="CX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42" t="n"/>
      <c r="AJ282" s="42" t="n"/>
      <c r="AK282" s="42" t="n"/>
      <c r="AL282" s="42" t="n"/>
      <c r="AM282" s="42" t="n"/>
      <c r="AN282" s="42" t="n"/>
      <c r="AO282" s="42" t="n"/>
      <c r="AP282" s="42" t="n"/>
      <c r="AQ282" s="42" t="n"/>
      <c r="AR282" s="42" t="n"/>
      <c r="AS282" s="42" t="n"/>
      <c r="AT282" s="42" t="n"/>
      <c r="AU282" s="42" t="n"/>
      <c r="AV282" s="42" t="n"/>
      <c r="AW282" s="42" t="n"/>
      <c r="AX282" s="42" t="n"/>
      <c r="AY282" s="42" t="n"/>
      <c r="AZ282" s="42" t="n"/>
      <c r="BA282" s="42" t="n"/>
      <c r="BB282" s="42" t="n"/>
      <c r="BC282" s="42" t="n"/>
      <c r="BD282" s="42" t="n"/>
      <c r="BE282" s="42" t="n"/>
      <c r="BF282" s="42" t="n"/>
      <c r="BG282" s="42" t="n"/>
      <c r="BH282" s="42" t="n"/>
      <c r="BI282" s="42" t="n"/>
      <c r="BJ282" s="42" t="n"/>
      <c r="BK282" s="42" t="n"/>
      <c r="BL282" s="42" t="n"/>
      <c r="BM282" s="42" t="n"/>
      <c r="BN282" s="42" t="n"/>
      <c r="BO282" s="42" t="n"/>
      <c r="BP282" s="42" t="n"/>
      <c r="BQ282" s="42" t="n"/>
      <c r="BR282" s="42" t="n"/>
      <c r="BS282" s="42" t="n"/>
      <c r="BT282" s="42" t="n"/>
      <c r="BU282" s="42" t="n"/>
      <c r="BV282" s="42" t="n"/>
      <c r="BW282" s="42" t="n"/>
      <c r="BX282" s="42" t="n"/>
      <c r="BY282" s="42" t="n"/>
      <c r="BZ282" s="42" t="n"/>
      <c r="CA282" s="42" t="n"/>
      <c r="CB282" s="42" t="n"/>
      <c r="CC282" s="42" t="n"/>
      <c r="CD282" s="42" t="n"/>
      <c r="CE282" s="42" t="n"/>
      <c r="CF282" s="42" t="n"/>
      <c r="CG282" s="42" t="n"/>
      <c r="CH282" s="42" t="n"/>
      <c r="CI282" s="42" t="n"/>
      <c r="CJ282" s="42" t="n"/>
      <c r="CK282" s="42" t="n"/>
      <c r="CL282" s="42" t="n"/>
      <c r="CM282" s="42" t="n"/>
      <c r="CN282" s="42" t="n"/>
      <c r="CO282" s="42" t="n"/>
      <c r="CP282" s="42" t="n"/>
      <c r="CQ282" s="42" t="n"/>
      <c r="CR282" s="42" t="n"/>
      <c r="CS282" s="42" t="n"/>
      <c r="CT282" s="42" t="n"/>
      <c r="CU282" s="42" t="n"/>
      <c r="CV282" s="42" t="n"/>
      <c r="CW282" s="42" t="n"/>
      <c r="CX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42" t="n"/>
      <c r="AJ283" s="42" t="n"/>
      <c r="AK283" s="42" t="n"/>
      <c r="AL283" s="42" t="n"/>
      <c r="AM283" s="42" t="n"/>
      <c r="AN283" s="42" t="n"/>
      <c r="AO283" s="42" t="n"/>
      <c r="AP283" s="42" t="n"/>
      <c r="AQ283" s="42" t="n"/>
      <c r="AR283" s="42" t="n"/>
      <c r="AS283" s="42" t="n"/>
      <c r="AT283" s="42" t="n"/>
      <c r="AU283" s="42" t="n"/>
      <c r="AV283" s="42" t="n"/>
      <c r="AW283" s="42" t="n"/>
      <c r="AX283" s="42" t="n"/>
      <c r="AY283" s="42" t="n"/>
      <c r="AZ283" s="42" t="n"/>
      <c r="BA283" s="42" t="n"/>
      <c r="BB283" s="42" t="n"/>
      <c r="BC283" s="42" t="n"/>
      <c r="BD283" s="42" t="n"/>
      <c r="BE283" s="42" t="n"/>
      <c r="BF283" s="42" t="n"/>
      <c r="BG283" s="42" t="n"/>
      <c r="BH283" s="42" t="n"/>
      <c r="BI283" s="42" t="n"/>
      <c r="BJ283" s="42" t="n"/>
      <c r="BK283" s="42" t="n"/>
      <c r="BL283" s="42" t="n"/>
      <c r="BM283" s="42" t="n"/>
      <c r="BN283" s="42" t="n"/>
      <c r="BO283" s="42" t="n"/>
      <c r="BP283" s="42" t="n"/>
      <c r="BQ283" s="42" t="n"/>
      <c r="BR283" s="42" t="n"/>
      <c r="BS283" s="42" t="n"/>
      <c r="BT283" s="42" t="n"/>
      <c r="BU283" s="42" t="n"/>
      <c r="BV283" s="42" t="n"/>
      <c r="BW283" s="42" t="n"/>
      <c r="BX283" s="42" t="n"/>
      <c r="BY283" s="42" t="n"/>
      <c r="BZ283" s="42" t="n"/>
      <c r="CA283" s="42" t="n"/>
      <c r="CB283" s="42" t="n"/>
      <c r="CC283" s="42" t="n"/>
      <c r="CD283" s="42" t="n"/>
      <c r="CE283" s="42" t="n"/>
      <c r="CF283" s="42" t="n"/>
      <c r="CG283" s="42" t="n"/>
      <c r="CH283" s="42" t="n"/>
      <c r="CI283" s="42" t="n"/>
      <c r="CJ283" s="42" t="n"/>
      <c r="CK283" s="42" t="n"/>
      <c r="CL283" s="42" t="n"/>
      <c r="CM283" s="42" t="n"/>
      <c r="CN283" s="42" t="n"/>
      <c r="CO283" s="42" t="n"/>
      <c r="CP283" s="42" t="n"/>
      <c r="CQ283" s="42" t="n"/>
      <c r="CR283" s="42" t="n"/>
      <c r="CS283" s="42" t="n"/>
      <c r="CT283" s="42" t="n"/>
      <c r="CU283" s="42" t="n"/>
      <c r="CV283" s="42" t="n"/>
      <c r="CW283" s="42" t="n"/>
      <c r="CX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42" t="n"/>
      <c r="AJ284" s="42" t="n"/>
      <c r="AK284" s="42" t="n"/>
      <c r="AL284" s="42" t="n"/>
      <c r="AM284" s="42" t="n"/>
      <c r="AN284" s="42" t="n"/>
      <c r="AO284" s="42" t="n"/>
      <c r="AP284" s="42" t="n"/>
      <c r="AQ284" s="42" t="n"/>
      <c r="AR284" s="42" t="n"/>
      <c r="AS284" s="42" t="n"/>
      <c r="AT284" s="42" t="n"/>
      <c r="AU284" s="42" t="n"/>
      <c r="AV284" s="42" t="n"/>
      <c r="AW284" s="42" t="n"/>
      <c r="AX284" s="42" t="n"/>
      <c r="AY284" s="42" t="n"/>
      <c r="AZ284" s="42" t="n"/>
      <c r="BA284" s="42" t="n"/>
      <c r="BB284" s="42" t="n"/>
      <c r="BC284" s="42" t="n"/>
      <c r="BD284" s="42" t="n"/>
      <c r="BE284" s="42" t="n"/>
      <c r="BF284" s="42" t="n"/>
      <c r="BG284" s="42" t="n"/>
      <c r="BH284" s="42" t="n"/>
      <c r="BI284" s="42" t="n"/>
      <c r="BJ284" s="42" t="n"/>
      <c r="BK284" s="42" t="n"/>
      <c r="BL284" s="42" t="n"/>
      <c r="BM284" s="42" t="n"/>
      <c r="BN284" s="42" t="n"/>
      <c r="BO284" s="42" t="n"/>
      <c r="BP284" s="42" t="n"/>
      <c r="BQ284" s="42" t="n"/>
      <c r="BR284" s="42" t="n"/>
      <c r="BS284" s="42" t="n"/>
      <c r="BT284" s="42" t="n"/>
      <c r="BU284" s="42" t="n"/>
      <c r="BV284" s="42" t="n"/>
      <c r="BW284" s="42" t="n"/>
      <c r="BX284" s="42" t="n"/>
      <c r="BY284" s="42" t="n"/>
      <c r="BZ284" s="42" t="n"/>
      <c r="CA284" s="42" t="n"/>
      <c r="CB284" s="42" t="n"/>
      <c r="CC284" s="42" t="n"/>
      <c r="CD284" s="42" t="n"/>
      <c r="CE284" s="42" t="n"/>
      <c r="CF284" s="42" t="n"/>
      <c r="CG284" s="42" t="n"/>
      <c r="CH284" s="42" t="n"/>
      <c r="CI284" s="42" t="n"/>
      <c r="CJ284" s="42" t="n"/>
      <c r="CK284" s="42" t="n"/>
      <c r="CL284" s="42" t="n"/>
      <c r="CM284" s="42" t="n"/>
      <c r="CN284" s="42" t="n"/>
      <c r="CO284" s="42" t="n"/>
      <c r="CP284" s="42" t="n"/>
      <c r="CQ284" s="42" t="n"/>
      <c r="CR284" s="42" t="n"/>
      <c r="CS284" s="42" t="n"/>
      <c r="CT284" s="42" t="n"/>
      <c r="CU284" s="42" t="n"/>
      <c r="CV284" s="42" t="n"/>
      <c r="CW284" s="42" t="n"/>
      <c r="CX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42" t="n"/>
      <c r="AJ285" s="42" t="n"/>
      <c r="AK285" s="42" t="n"/>
      <c r="AL285" s="42" t="n"/>
      <c r="AM285" s="42" t="n"/>
      <c r="AN285" s="42" t="n"/>
      <c r="AO285" s="42" t="n"/>
      <c r="AP285" s="42" t="n"/>
      <c r="AQ285" s="42" t="n"/>
      <c r="AR285" s="42" t="n"/>
      <c r="AS285" s="42" t="n"/>
      <c r="AT285" s="42" t="n"/>
      <c r="AU285" s="42" t="n"/>
      <c r="AV285" s="42" t="n"/>
      <c r="AW285" s="42" t="n"/>
      <c r="AX285" s="42" t="n"/>
      <c r="AY285" s="42" t="n"/>
      <c r="AZ285" s="42" t="n"/>
      <c r="BA285" s="42" t="n"/>
      <c r="BB285" s="42" t="n"/>
      <c r="BC285" s="42" t="n"/>
      <c r="BD285" s="42" t="n"/>
      <c r="BE285" s="42" t="n"/>
      <c r="BF285" s="42" t="n"/>
      <c r="BG285" s="42" t="n"/>
      <c r="BH285" s="42" t="n"/>
      <c r="BI285" s="42" t="n"/>
      <c r="BJ285" s="42" t="n"/>
      <c r="BK285" s="42" t="n"/>
      <c r="BL285" s="42" t="n"/>
      <c r="BM285" s="42" t="n"/>
      <c r="BN285" s="42" t="n"/>
      <c r="BO285" s="42" t="n"/>
      <c r="BP285" s="42" t="n"/>
      <c r="BQ285" s="42" t="n"/>
      <c r="BR285" s="42" t="n"/>
      <c r="BS285" s="42" t="n"/>
      <c r="BT285" s="42" t="n"/>
      <c r="BU285" s="42" t="n"/>
      <c r="BV285" s="42" t="n"/>
      <c r="BW285" s="42" t="n"/>
      <c r="BX285" s="42" t="n"/>
      <c r="BY285" s="42" t="n"/>
      <c r="BZ285" s="42" t="n"/>
      <c r="CA285" s="42" t="n"/>
      <c r="CB285" s="42" t="n"/>
      <c r="CC285" s="42" t="n"/>
      <c r="CD285" s="42" t="n"/>
      <c r="CE285" s="42" t="n"/>
      <c r="CF285" s="42" t="n"/>
      <c r="CG285" s="42" t="n"/>
      <c r="CH285" s="42" t="n"/>
      <c r="CI285" s="42" t="n"/>
      <c r="CJ285" s="42" t="n"/>
      <c r="CK285" s="42" t="n"/>
      <c r="CL285" s="42" t="n"/>
      <c r="CM285" s="42" t="n"/>
      <c r="CN285" s="42" t="n"/>
      <c r="CO285" s="42" t="n"/>
      <c r="CP285" s="42" t="n"/>
      <c r="CQ285" s="42" t="n"/>
      <c r="CR285" s="42" t="n"/>
      <c r="CS285" s="42" t="n"/>
      <c r="CT285" s="42" t="n"/>
      <c r="CU285" s="42" t="n"/>
      <c r="CV285" s="42" t="n"/>
      <c r="CW285" s="42" t="n"/>
      <c r="CX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42" t="n"/>
      <c r="AJ286" s="42" t="n"/>
      <c r="AK286" s="42" t="n"/>
      <c r="AL286" s="42" t="n"/>
      <c r="AM286" s="42" t="n"/>
      <c r="AN286" s="42" t="n"/>
      <c r="AO286" s="42" t="n"/>
      <c r="AP286" s="42" t="n"/>
      <c r="AQ286" s="42" t="n"/>
      <c r="AR286" s="42" t="n"/>
      <c r="AS286" s="42" t="n"/>
      <c r="AT286" s="42" t="n"/>
      <c r="AU286" s="42" t="n"/>
      <c r="AV286" s="42" t="n"/>
      <c r="AW286" s="42" t="n"/>
      <c r="AX286" s="42" t="n"/>
      <c r="AY286" s="42" t="n"/>
      <c r="AZ286" s="42" t="n"/>
      <c r="BA286" s="42" t="n"/>
      <c r="BB286" s="42" t="n"/>
      <c r="BC286" s="42" t="n"/>
      <c r="BD286" s="42" t="n"/>
      <c r="BE286" s="42" t="n"/>
      <c r="BF286" s="42" t="n"/>
      <c r="BG286" s="42" t="n"/>
      <c r="BH286" s="42" t="n"/>
      <c r="BI286" s="42" t="n"/>
      <c r="BJ286" s="42" t="n"/>
      <c r="BK286" s="42" t="n"/>
      <c r="BL286" s="42" t="n"/>
      <c r="BM286" s="42" t="n"/>
      <c r="BN286" s="42" t="n"/>
      <c r="BO286" s="42" t="n"/>
      <c r="BP286" s="42" t="n"/>
      <c r="BQ286" s="42" t="n"/>
      <c r="BR286" s="42" t="n"/>
      <c r="BS286" s="42" t="n"/>
      <c r="BT286" s="42" t="n"/>
      <c r="BU286" s="42" t="n"/>
      <c r="BV286" s="42" t="n"/>
      <c r="BW286" s="42" t="n"/>
      <c r="BX286" s="42" t="n"/>
      <c r="BY286" s="42" t="n"/>
      <c r="BZ286" s="42" t="n"/>
      <c r="CA286" s="42" t="n"/>
      <c r="CB286" s="42" t="n"/>
      <c r="CC286" s="42" t="n"/>
      <c r="CD286" s="42" t="n"/>
      <c r="CE286" s="42" t="n"/>
      <c r="CF286" s="42" t="n"/>
      <c r="CG286" s="42" t="n"/>
      <c r="CH286" s="42" t="n"/>
      <c r="CI286" s="42" t="n"/>
      <c r="CJ286" s="42" t="n"/>
      <c r="CK286" s="42" t="n"/>
      <c r="CL286" s="42" t="n"/>
      <c r="CM286" s="42" t="n"/>
      <c r="CN286" s="42" t="n"/>
      <c r="CO286" s="42" t="n"/>
      <c r="CP286" s="42" t="n"/>
      <c r="CQ286" s="42" t="n"/>
      <c r="CR286" s="42" t="n"/>
      <c r="CS286" s="42" t="n"/>
      <c r="CT286" s="42" t="n"/>
      <c r="CU286" s="42" t="n"/>
      <c r="CV286" s="42" t="n"/>
      <c r="CW286" s="42" t="n"/>
      <c r="CX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2" t="n"/>
      <c r="AR287" s="42" t="n"/>
      <c r="AS287" s="42" t="n"/>
      <c r="AT287" s="42" t="n"/>
      <c r="AU287" s="42" t="n"/>
      <c r="AV287" s="42" t="n"/>
      <c r="AW287" s="42" t="n"/>
      <c r="AX287" s="42" t="n"/>
      <c r="AY287" s="42" t="n"/>
      <c r="AZ287" s="42" t="n"/>
      <c r="BA287" s="42" t="n"/>
      <c r="BB287" s="42" t="n"/>
      <c r="BC287" s="42" t="n"/>
      <c r="BD287" s="42" t="n"/>
      <c r="BE287" s="42" t="n"/>
      <c r="BF287" s="42" t="n"/>
      <c r="BG287" s="42" t="n"/>
      <c r="BH287" s="42" t="n"/>
      <c r="BI287" s="42" t="n"/>
      <c r="BJ287" s="42" t="n"/>
      <c r="BK287" s="42" t="n"/>
      <c r="BL287" s="42" t="n"/>
      <c r="BM287" s="42" t="n"/>
      <c r="BN287" s="42" t="n"/>
      <c r="BO287" s="42" t="n"/>
      <c r="BP287" s="42" t="n"/>
      <c r="BQ287" s="42" t="n"/>
      <c r="BR287" s="42" t="n"/>
      <c r="BS287" s="42" t="n"/>
      <c r="BT287" s="42" t="n"/>
      <c r="BU287" s="42" t="n"/>
      <c r="BV287" s="42" t="n"/>
      <c r="BW287" s="42" t="n"/>
      <c r="BX287" s="42" t="n"/>
      <c r="BY287" s="42" t="n"/>
      <c r="BZ287" s="42" t="n"/>
      <c r="CA287" s="42" t="n"/>
      <c r="CB287" s="42" t="n"/>
      <c r="CC287" s="42" t="n"/>
      <c r="CD287" s="42" t="n"/>
      <c r="CE287" s="42" t="n"/>
      <c r="CF287" s="42" t="n"/>
      <c r="CG287" s="42" t="n"/>
      <c r="CH287" s="42" t="n"/>
      <c r="CI287" s="42" t="n"/>
      <c r="CJ287" s="42" t="n"/>
      <c r="CK287" s="42" t="n"/>
      <c r="CL287" s="42" t="n"/>
      <c r="CM287" s="42" t="n"/>
      <c r="CN287" s="42" t="n"/>
      <c r="CO287" s="42" t="n"/>
      <c r="CP287" s="42" t="n"/>
      <c r="CQ287" s="42" t="n"/>
      <c r="CR287" s="42" t="n"/>
      <c r="CS287" s="42" t="n"/>
      <c r="CT287" s="42" t="n"/>
      <c r="CU287" s="42" t="n"/>
      <c r="CV287" s="42" t="n"/>
      <c r="CW287" s="42" t="n"/>
      <c r="CX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42" t="n"/>
      <c r="AJ288" s="42" t="n"/>
      <c r="AK288" s="42" t="n"/>
      <c r="AL288" s="42" t="n"/>
      <c r="AM288" s="42" t="n"/>
      <c r="AN288" s="42" t="n"/>
      <c r="AO288" s="42" t="n"/>
      <c r="AP288" s="42" t="n"/>
      <c r="AQ288" s="42" t="n"/>
      <c r="AR288" s="42" t="n"/>
      <c r="AS288" s="42" t="n"/>
      <c r="AT288" s="42" t="n"/>
      <c r="AU288" s="42" t="n"/>
      <c r="AV288" s="42" t="n"/>
      <c r="AW288" s="42" t="n"/>
      <c r="AX288" s="42" t="n"/>
      <c r="AY288" s="42" t="n"/>
      <c r="AZ288" s="42" t="n"/>
      <c r="BA288" s="42" t="n"/>
      <c r="BB288" s="42" t="n"/>
      <c r="BC288" s="42" t="n"/>
      <c r="BD288" s="42" t="n"/>
      <c r="BE288" s="42" t="n"/>
      <c r="BF288" s="42" t="n"/>
      <c r="BG288" s="42" t="n"/>
      <c r="BH288" s="42" t="n"/>
      <c r="BI288" s="42" t="n"/>
      <c r="BJ288" s="42" t="n"/>
      <c r="BK288" s="42" t="n"/>
      <c r="BL288" s="42" t="n"/>
      <c r="BM288" s="42" t="n"/>
      <c r="BN288" s="42" t="n"/>
      <c r="BO288" s="42" t="n"/>
      <c r="BP288" s="42" t="n"/>
      <c r="BQ288" s="42" t="n"/>
      <c r="BR288" s="42" t="n"/>
      <c r="BS288" s="42" t="n"/>
      <c r="BT288" s="42" t="n"/>
      <c r="BU288" s="42" t="n"/>
      <c r="BV288" s="42" t="n"/>
      <c r="BW288" s="42" t="n"/>
      <c r="BX288" s="42" t="n"/>
      <c r="BY288" s="42" t="n"/>
      <c r="BZ288" s="42" t="n"/>
      <c r="CA288" s="42" t="n"/>
      <c r="CB288" s="42" t="n"/>
      <c r="CC288" s="42" t="n"/>
      <c r="CD288" s="42" t="n"/>
      <c r="CE288" s="42" t="n"/>
      <c r="CF288" s="42" t="n"/>
      <c r="CG288" s="42" t="n"/>
      <c r="CH288" s="42" t="n"/>
      <c r="CI288" s="42" t="n"/>
      <c r="CJ288" s="42" t="n"/>
      <c r="CK288" s="42" t="n"/>
      <c r="CL288" s="42" t="n"/>
      <c r="CM288" s="42" t="n"/>
      <c r="CN288" s="42" t="n"/>
      <c r="CO288" s="42" t="n"/>
      <c r="CP288" s="42" t="n"/>
      <c r="CQ288" s="42" t="n"/>
      <c r="CR288" s="42" t="n"/>
      <c r="CS288" s="42" t="n"/>
      <c r="CT288" s="42" t="n"/>
      <c r="CU288" s="42" t="n"/>
      <c r="CV288" s="42" t="n"/>
      <c r="CW288" s="42" t="n"/>
      <c r="CX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42" t="n"/>
      <c r="AJ289" s="42" t="n"/>
      <c r="AK289" s="42" t="n"/>
      <c r="AL289" s="42" t="n"/>
      <c r="AM289" s="42" t="n"/>
      <c r="AN289" s="42" t="n"/>
      <c r="AO289" s="42" t="n"/>
      <c r="AP289" s="42" t="n"/>
      <c r="AQ289" s="42" t="n"/>
      <c r="AR289" s="42" t="n"/>
      <c r="AS289" s="42" t="n"/>
      <c r="AT289" s="42" t="n"/>
      <c r="AU289" s="42" t="n"/>
      <c r="AV289" s="42" t="n"/>
      <c r="AW289" s="42" t="n"/>
      <c r="AX289" s="42" t="n"/>
      <c r="AY289" s="42" t="n"/>
      <c r="AZ289" s="42" t="n"/>
      <c r="BA289" s="42" t="n"/>
      <c r="BB289" s="42" t="n"/>
      <c r="BC289" s="42" t="n"/>
      <c r="BD289" s="42" t="n"/>
      <c r="BE289" s="42" t="n"/>
      <c r="BF289" s="42" t="n"/>
      <c r="BG289" s="42" t="n"/>
      <c r="BH289" s="42" t="n"/>
      <c r="BI289" s="42" t="n"/>
      <c r="BJ289" s="42" t="n"/>
      <c r="BK289" s="42" t="n"/>
      <c r="BL289" s="42" t="n"/>
      <c r="BM289" s="42" t="n"/>
      <c r="BN289" s="42" t="n"/>
      <c r="BO289" s="42" t="n"/>
      <c r="BP289" s="42" t="n"/>
      <c r="BQ289" s="42" t="n"/>
      <c r="BR289" s="42" t="n"/>
      <c r="BS289" s="42" t="n"/>
      <c r="BT289" s="42" t="n"/>
      <c r="BU289" s="42" t="n"/>
      <c r="BV289" s="42" t="n"/>
      <c r="BW289" s="42" t="n"/>
      <c r="BX289" s="42" t="n"/>
      <c r="BY289" s="42" t="n"/>
      <c r="BZ289" s="42" t="n"/>
      <c r="CA289" s="42" t="n"/>
      <c r="CB289" s="42" t="n"/>
      <c r="CC289" s="42" t="n"/>
      <c r="CD289" s="42" t="n"/>
      <c r="CE289" s="42" t="n"/>
      <c r="CF289" s="42" t="n"/>
      <c r="CG289" s="42" t="n"/>
      <c r="CH289" s="42" t="n"/>
      <c r="CI289" s="42" t="n"/>
      <c r="CJ289" s="42" t="n"/>
      <c r="CK289" s="42" t="n"/>
      <c r="CL289" s="42" t="n"/>
      <c r="CM289" s="42" t="n"/>
      <c r="CN289" s="42" t="n"/>
      <c r="CO289" s="42" t="n"/>
      <c r="CP289" s="42" t="n"/>
      <c r="CQ289" s="42" t="n"/>
      <c r="CR289" s="42" t="n"/>
      <c r="CS289" s="42" t="n"/>
      <c r="CT289" s="42" t="n"/>
      <c r="CU289" s="42" t="n"/>
      <c r="CV289" s="42" t="n"/>
      <c r="CW289" s="42" t="n"/>
      <c r="CX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42" t="n"/>
      <c r="AJ290" s="42" t="n"/>
      <c r="AK290" s="42" t="n"/>
      <c r="AL290" s="42" t="n"/>
      <c r="AM290" s="42" t="n"/>
      <c r="AN290" s="42" t="n"/>
      <c r="AO290" s="42" t="n"/>
      <c r="AP290" s="42" t="n"/>
      <c r="AQ290" s="42" t="n"/>
      <c r="AR290" s="42" t="n"/>
      <c r="AS290" s="42" t="n"/>
      <c r="AT290" s="42" t="n"/>
      <c r="AU290" s="42" t="n"/>
      <c r="AV290" s="42" t="n"/>
      <c r="AW290" s="42" t="n"/>
      <c r="AX290" s="42" t="n"/>
      <c r="AY290" s="42" t="n"/>
      <c r="AZ290" s="42" t="n"/>
      <c r="BA290" s="42" t="n"/>
      <c r="BB290" s="42" t="n"/>
      <c r="BC290" s="42" t="n"/>
      <c r="BD290" s="42" t="n"/>
      <c r="BE290" s="42" t="n"/>
      <c r="BF290" s="42" t="n"/>
      <c r="BG290" s="42" t="n"/>
      <c r="BH290" s="42" t="n"/>
      <c r="BI290" s="42" t="n"/>
      <c r="BJ290" s="42" t="n"/>
      <c r="BK290" s="42" t="n"/>
      <c r="BL290" s="42" t="n"/>
      <c r="BM290" s="42" t="n"/>
      <c r="BN290" s="42" t="n"/>
      <c r="BO290" s="42" t="n"/>
      <c r="BP290" s="42" t="n"/>
      <c r="BQ290" s="42" t="n"/>
      <c r="BR290" s="42" t="n"/>
      <c r="BS290" s="42" t="n"/>
      <c r="BT290" s="42" t="n"/>
      <c r="BU290" s="42" t="n"/>
      <c r="BV290" s="42" t="n"/>
      <c r="BW290" s="42" t="n"/>
      <c r="BX290" s="42" t="n"/>
      <c r="BY290" s="42" t="n"/>
      <c r="BZ290" s="42" t="n"/>
      <c r="CA290" s="42" t="n"/>
      <c r="CB290" s="42" t="n"/>
      <c r="CC290" s="42" t="n"/>
      <c r="CD290" s="42" t="n"/>
      <c r="CE290" s="42" t="n"/>
      <c r="CF290" s="42" t="n"/>
      <c r="CG290" s="42" t="n"/>
      <c r="CH290" s="42" t="n"/>
      <c r="CI290" s="42" t="n"/>
      <c r="CJ290" s="42" t="n"/>
      <c r="CK290" s="42" t="n"/>
      <c r="CL290" s="42" t="n"/>
      <c r="CM290" s="42" t="n"/>
      <c r="CN290" s="42" t="n"/>
      <c r="CO290" s="42" t="n"/>
      <c r="CP290" s="42" t="n"/>
      <c r="CQ290" s="42" t="n"/>
      <c r="CR290" s="42" t="n"/>
      <c r="CS290" s="42" t="n"/>
      <c r="CT290" s="42" t="n"/>
      <c r="CU290" s="42" t="n"/>
      <c r="CV290" s="42" t="n"/>
      <c r="CW290" s="42" t="n"/>
      <c r="CX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42" t="n"/>
      <c r="AJ291" s="42" t="n"/>
      <c r="AK291" s="42" t="n"/>
      <c r="AL291" s="42" t="n"/>
      <c r="AM291" s="42" t="n"/>
      <c r="AN291" s="42" t="n"/>
      <c r="AO291" s="42" t="n"/>
      <c r="AP291" s="42" t="n"/>
      <c r="AQ291" s="42" t="n"/>
      <c r="AR291" s="42" t="n"/>
      <c r="AS291" s="42" t="n"/>
      <c r="AT291" s="42" t="n"/>
      <c r="AU291" s="42" t="n"/>
      <c r="AV291" s="42" t="n"/>
      <c r="AW291" s="42" t="n"/>
      <c r="AX291" s="42" t="n"/>
      <c r="AY291" s="42" t="n"/>
      <c r="AZ291" s="42" t="n"/>
      <c r="BA291" s="42" t="n"/>
      <c r="BB291" s="42" t="n"/>
      <c r="BC291" s="42" t="n"/>
      <c r="BD291" s="42" t="n"/>
      <c r="BE291" s="42" t="n"/>
      <c r="BF291" s="42" t="n"/>
      <c r="BG291" s="42" t="n"/>
      <c r="BH291" s="42" t="n"/>
      <c r="BI291" s="42" t="n"/>
      <c r="BJ291" s="42" t="n"/>
      <c r="BK291" s="42" t="n"/>
      <c r="BL291" s="42" t="n"/>
      <c r="BM291" s="42" t="n"/>
      <c r="BN291" s="42" t="n"/>
      <c r="BO291" s="42" t="n"/>
      <c r="BP291" s="42" t="n"/>
      <c r="BQ291" s="42" t="n"/>
      <c r="BR291" s="42" t="n"/>
      <c r="BS291" s="42" t="n"/>
      <c r="BT291" s="42" t="n"/>
      <c r="BU291" s="42" t="n"/>
      <c r="BV291" s="42" t="n"/>
      <c r="BW291" s="42" t="n"/>
      <c r="BX291" s="42" t="n"/>
      <c r="BY291" s="42" t="n"/>
      <c r="BZ291" s="42" t="n"/>
      <c r="CA291" s="42" t="n"/>
      <c r="CB291" s="42" t="n"/>
      <c r="CC291" s="42" t="n"/>
      <c r="CD291" s="42" t="n"/>
      <c r="CE291" s="42" t="n"/>
      <c r="CF291" s="42" t="n"/>
      <c r="CG291" s="42" t="n"/>
      <c r="CH291" s="42" t="n"/>
      <c r="CI291" s="42" t="n"/>
      <c r="CJ291" s="42" t="n"/>
      <c r="CK291" s="42" t="n"/>
      <c r="CL291" s="42" t="n"/>
      <c r="CM291" s="42" t="n"/>
      <c r="CN291" s="42" t="n"/>
      <c r="CO291" s="42" t="n"/>
      <c r="CP291" s="42" t="n"/>
      <c r="CQ291" s="42" t="n"/>
      <c r="CR291" s="42" t="n"/>
      <c r="CS291" s="42" t="n"/>
      <c r="CT291" s="42" t="n"/>
      <c r="CU291" s="42" t="n"/>
      <c r="CV291" s="42" t="n"/>
      <c r="CW291" s="42" t="n"/>
      <c r="CX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42" t="n"/>
      <c r="AJ292" s="42" t="n"/>
      <c r="AK292" s="42" t="n"/>
      <c r="AL292" s="42" t="n"/>
      <c r="AM292" s="42" t="n"/>
      <c r="AN292" s="42" t="n"/>
      <c r="AO292" s="42" t="n"/>
      <c r="AP292" s="42" t="n"/>
      <c r="AQ292" s="42" t="n"/>
      <c r="AR292" s="42" t="n"/>
      <c r="AS292" s="42" t="n"/>
      <c r="AT292" s="42" t="n"/>
      <c r="AU292" s="42" t="n"/>
      <c r="AV292" s="42" t="n"/>
      <c r="AW292" s="42" t="n"/>
      <c r="AX292" s="42" t="n"/>
      <c r="AY292" s="42" t="n"/>
      <c r="AZ292" s="42" t="n"/>
      <c r="BA292" s="42" t="n"/>
      <c r="BB292" s="42" t="n"/>
      <c r="BC292" s="42" t="n"/>
      <c r="BD292" s="42" t="n"/>
      <c r="BE292" s="42" t="n"/>
      <c r="BF292" s="42" t="n"/>
      <c r="BG292" s="42" t="n"/>
      <c r="BH292" s="42" t="n"/>
      <c r="BI292" s="42" t="n"/>
      <c r="BJ292" s="42" t="n"/>
      <c r="BK292" s="42" t="n"/>
      <c r="BL292" s="42" t="n"/>
      <c r="BM292" s="42" t="n"/>
      <c r="BN292" s="42" t="n"/>
      <c r="BO292" s="42" t="n"/>
      <c r="BP292" s="42" t="n"/>
      <c r="BQ292" s="42" t="n"/>
      <c r="BR292" s="42" t="n"/>
      <c r="BS292" s="42" t="n"/>
      <c r="BT292" s="42" t="n"/>
      <c r="BU292" s="42" t="n"/>
      <c r="BV292" s="42" t="n"/>
      <c r="BW292" s="42" t="n"/>
      <c r="BX292" s="42" t="n"/>
      <c r="BY292" s="42" t="n"/>
      <c r="BZ292" s="42" t="n"/>
      <c r="CA292" s="42" t="n"/>
      <c r="CB292" s="42" t="n"/>
      <c r="CC292" s="42" t="n"/>
      <c r="CD292" s="42" t="n"/>
      <c r="CE292" s="42" t="n"/>
      <c r="CF292" s="42" t="n"/>
      <c r="CG292" s="42" t="n"/>
      <c r="CH292" s="42" t="n"/>
      <c r="CI292" s="42" t="n"/>
      <c r="CJ292" s="42" t="n"/>
      <c r="CK292" s="42" t="n"/>
      <c r="CL292" s="42" t="n"/>
      <c r="CM292" s="42" t="n"/>
      <c r="CN292" s="42" t="n"/>
      <c r="CO292" s="42" t="n"/>
      <c r="CP292" s="42" t="n"/>
      <c r="CQ292" s="42" t="n"/>
      <c r="CR292" s="42" t="n"/>
      <c r="CS292" s="42" t="n"/>
      <c r="CT292" s="42" t="n"/>
      <c r="CU292" s="42" t="n"/>
      <c r="CV292" s="42" t="n"/>
      <c r="CW292" s="42" t="n"/>
      <c r="CX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42" t="n"/>
      <c r="AJ293" s="42" t="n"/>
      <c r="AK293" s="42" t="n"/>
      <c r="AL293" s="42" t="n"/>
      <c r="AM293" s="42" t="n"/>
      <c r="AN293" s="42" t="n"/>
      <c r="AO293" s="42" t="n"/>
      <c r="AP293" s="42" t="n"/>
      <c r="AQ293" s="42" t="n"/>
      <c r="AR293" s="42" t="n"/>
      <c r="AS293" s="42" t="n"/>
      <c r="AT293" s="42" t="n"/>
      <c r="AU293" s="42" t="n"/>
      <c r="AV293" s="42" t="n"/>
      <c r="AW293" s="42" t="n"/>
      <c r="AX293" s="42" t="n"/>
      <c r="AY293" s="42" t="n"/>
      <c r="AZ293" s="42" t="n"/>
      <c r="BA293" s="42" t="n"/>
      <c r="BB293" s="42" t="n"/>
      <c r="BC293" s="42" t="n"/>
      <c r="BD293" s="42" t="n"/>
      <c r="BE293" s="42" t="n"/>
      <c r="BF293" s="42" t="n"/>
      <c r="BG293" s="42" t="n"/>
      <c r="BH293" s="42" t="n"/>
      <c r="BI293" s="42" t="n"/>
      <c r="BJ293" s="42" t="n"/>
      <c r="BK293" s="42" t="n"/>
      <c r="BL293" s="42" t="n"/>
      <c r="BM293" s="42" t="n"/>
      <c r="BN293" s="42" t="n"/>
      <c r="BO293" s="42" t="n"/>
      <c r="BP293" s="42" t="n"/>
      <c r="BQ293" s="42" t="n"/>
      <c r="BR293" s="42" t="n"/>
      <c r="BS293" s="42" t="n"/>
      <c r="BT293" s="42" t="n"/>
      <c r="BU293" s="42" t="n"/>
      <c r="BV293" s="42" t="n"/>
      <c r="BW293" s="42" t="n"/>
      <c r="BX293" s="42" t="n"/>
      <c r="BY293" s="42" t="n"/>
      <c r="BZ293" s="42" t="n"/>
      <c r="CA293" s="42" t="n"/>
      <c r="CB293" s="42" t="n"/>
      <c r="CC293" s="42" t="n"/>
      <c r="CD293" s="42" t="n"/>
      <c r="CE293" s="42" t="n"/>
      <c r="CF293" s="42" t="n"/>
      <c r="CG293" s="42" t="n"/>
      <c r="CH293" s="42" t="n"/>
      <c r="CI293" s="42" t="n"/>
      <c r="CJ293" s="42" t="n"/>
      <c r="CK293" s="42" t="n"/>
      <c r="CL293" s="42" t="n"/>
      <c r="CM293" s="42" t="n"/>
      <c r="CN293" s="42" t="n"/>
      <c r="CO293" s="42" t="n"/>
      <c r="CP293" s="42" t="n"/>
      <c r="CQ293" s="42" t="n"/>
      <c r="CR293" s="42" t="n"/>
      <c r="CS293" s="42" t="n"/>
      <c r="CT293" s="42" t="n"/>
      <c r="CU293" s="42" t="n"/>
      <c r="CV293" s="42" t="n"/>
      <c r="CW293" s="42" t="n"/>
      <c r="CX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42" t="n"/>
      <c r="AJ294" s="42" t="n"/>
      <c r="AK294" s="42" t="n"/>
      <c r="AL294" s="42" t="n"/>
      <c r="AM294" s="42" t="n"/>
      <c r="AN294" s="42" t="n"/>
      <c r="AO294" s="42" t="n"/>
      <c r="AP294" s="42" t="n"/>
      <c r="AQ294" s="42" t="n"/>
      <c r="AR294" s="42" t="n"/>
      <c r="AS294" s="42" t="n"/>
      <c r="AT294" s="42" t="n"/>
      <c r="AU294" s="42" t="n"/>
      <c r="AV294" s="42" t="n"/>
      <c r="AW294" s="42" t="n"/>
      <c r="AX294" s="42" t="n"/>
      <c r="AY294" s="42" t="n"/>
      <c r="AZ294" s="42" t="n"/>
      <c r="BA294" s="42" t="n"/>
      <c r="BB294" s="42" t="n"/>
      <c r="BC294" s="42" t="n"/>
      <c r="BD294" s="42" t="n"/>
      <c r="BE294" s="42" t="n"/>
      <c r="BF294" s="42" t="n"/>
      <c r="BG294" s="42" t="n"/>
      <c r="BH294" s="42" t="n"/>
      <c r="BI294" s="42" t="n"/>
      <c r="BJ294" s="42" t="n"/>
      <c r="BK294" s="42" t="n"/>
      <c r="BL294" s="42" t="n"/>
      <c r="BM294" s="42" t="n"/>
      <c r="BN294" s="42" t="n"/>
      <c r="BO294" s="42" t="n"/>
      <c r="BP294" s="42" t="n"/>
      <c r="BQ294" s="42" t="n"/>
      <c r="BR294" s="42" t="n"/>
      <c r="BS294" s="42" t="n"/>
      <c r="BT294" s="42" t="n"/>
      <c r="BU294" s="42" t="n"/>
      <c r="BV294" s="42" t="n"/>
      <c r="BW294" s="42" t="n"/>
      <c r="BX294" s="42" t="n"/>
      <c r="BY294" s="42" t="n"/>
      <c r="BZ294" s="42" t="n"/>
      <c r="CA294" s="42" t="n"/>
      <c r="CB294" s="42" t="n"/>
      <c r="CC294" s="42" t="n"/>
      <c r="CD294" s="42" t="n"/>
      <c r="CE294" s="42" t="n"/>
      <c r="CF294" s="42" t="n"/>
      <c r="CG294" s="42" t="n"/>
      <c r="CH294" s="42" t="n"/>
      <c r="CI294" s="42" t="n"/>
      <c r="CJ294" s="42" t="n"/>
      <c r="CK294" s="42" t="n"/>
      <c r="CL294" s="42" t="n"/>
      <c r="CM294" s="42" t="n"/>
      <c r="CN294" s="42" t="n"/>
      <c r="CO294" s="42" t="n"/>
      <c r="CP294" s="42" t="n"/>
      <c r="CQ294" s="42" t="n"/>
      <c r="CR294" s="42" t="n"/>
      <c r="CS294" s="42" t="n"/>
      <c r="CT294" s="42" t="n"/>
      <c r="CU294" s="42" t="n"/>
      <c r="CV294" s="42" t="n"/>
      <c r="CW294" s="42" t="n"/>
      <c r="CX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42" t="n"/>
      <c r="AJ295" s="42" t="n"/>
      <c r="AK295" s="42" t="n"/>
      <c r="AL295" s="42" t="n"/>
      <c r="AM295" s="42" t="n"/>
      <c r="AN295" s="42" t="n"/>
      <c r="AO295" s="42" t="n"/>
      <c r="AP295" s="42" t="n"/>
      <c r="AQ295" s="42" t="n"/>
      <c r="AR295" s="42" t="n"/>
      <c r="AS295" s="42" t="n"/>
      <c r="AT295" s="42" t="n"/>
      <c r="AU295" s="42" t="n"/>
      <c r="AV295" s="42" t="n"/>
      <c r="AW295" s="42" t="n"/>
      <c r="AX295" s="42" t="n"/>
      <c r="AY295" s="42" t="n"/>
      <c r="AZ295" s="42" t="n"/>
      <c r="BA295" s="42" t="n"/>
      <c r="BB295" s="42" t="n"/>
      <c r="BC295" s="42" t="n"/>
      <c r="BD295" s="42" t="n"/>
      <c r="BE295" s="42" t="n"/>
      <c r="BF295" s="42" t="n"/>
      <c r="BG295" s="42" t="n"/>
      <c r="BH295" s="42" t="n"/>
      <c r="BI295" s="42" t="n"/>
      <c r="BJ295" s="42" t="n"/>
      <c r="BK295" s="42" t="n"/>
      <c r="BL295" s="42" t="n"/>
      <c r="BM295" s="42" t="n"/>
      <c r="BN295" s="42" t="n"/>
      <c r="BO295" s="42" t="n"/>
      <c r="BP295" s="42" t="n"/>
      <c r="BQ295" s="42" t="n"/>
      <c r="BR295" s="42" t="n"/>
      <c r="BS295" s="42" t="n"/>
      <c r="BT295" s="42" t="n"/>
      <c r="BU295" s="42" t="n"/>
      <c r="BV295" s="42" t="n"/>
      <c r="BW295" s="42" t="n"/>
      <c r="BX295" s="42" t="n"/>
      <c r="BY295" s="42" t="n"/>
      <c r="BZ295" s="42" t="n"/>
      <c r="CA295" s="42" t="n"/>
      <c r="CB295" s="42" t="n"/>
      <c r="CC295" s="42" t="n"/>
      <c r="CD295" s="42" t="n"/>
      <c r="CE295" s="42" t="n"/>
      <c r="CF295" s="42" t="n"/>
      <c r="CG295" s="42" t="n"/>
      <c r="CH295" s="42" t="n"/>
      <c r="CI295" s="42" t="n"/>
      <c r="CJ295" s="42" t="n"/>
      <c r="CK295" s="42" t="n"/>
      <c r="CL295" s="42" t="n"/>
      <c r="CM295" s="42" t="n"/>
      <c r="CN295" s="42" t="n"/>
      <c r="CO295" s="42" t="n"/>
      <c r="CP295" s="42" t="n"/>
      <c r="CQ295" s="42" t="n"/>
      <c r="CR295" s="42" t="n"/>
      <c r="CS295" s="42" t="n"/>
      <c r="CT295" s="42" t="n"/>
      <c r="CU295" s="42" t="n"/>
      <c r="CV295" s="42" t="n"/>
      <c r="CW295" s="42" t="n"/>
      <c r="CX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42" t="n"/>
      <c r="AJ296" s="42" t="n"/>
      <c r="AK296" s="42" t="n"/>
      <c r="AL296" s="42" t="n"/>
      <c r="AM296" s="42" t="n"/>
      <c r="AN296" s="42" t="n"/>
      <c r="AO296" s="42" t="n"/>
      <c r="AP296" s="42" t="n"/>
      <c r="AQ296" s="42" t="n"/>
      <c r="AR296" s="42" t="n"/>
      <c r="AS296" s="42" t="n"/>
      <c r="AT296" s="42" t="n"/>
      <c r="AU296" s="42" t="n"/>
      <c r="AV296" s="42" t="n"/>
      <c r="AW296" s="42" t="n"/>
      <c r="AX296" s="42" t="n"/>
      <c r="AY296" s="42" t="n"/>
      <c r="AZ296" s="42" t="n"/>
      <c r="BA296" s="42" t="n"/>
      <c r="BB296" s="42" t="n"/>
      <c r="BC296" s="42" t="n"/>
      <c r="BD296" s="42" t="n"/>
      <c r="BE296" s="42" t="n"/>
      <c r="BF296" s="42" t="n"/>
      <c r="BG296" s="42" t="n"/>
      <c r="BH296" s="42" t="n"/>
      <c r="BI296" s="42" t="n"/>
      <c r="BJ296" s="42" t="n"/>
      <c r="BK296" s="42" t="n"/>
      <c r="BL296" s="42" t="n"/>
      <c r="BM296" s="42" t="n"/>
      <c r="BN296" s="42" t="n"/>
      <c r="BO296" s="42" t="n"/>
      <c r="BP296" s="42" t="n"/>
      <c r="BQ296" s="42" t="n"/>
      <c r="BR296" s="42" t="n"/>
      <c r="BS296" s="42" t="n"/>
      <c r="BT296" s="42" t="n"/>
      <c r="BU296" s="42" t="n"/>
      <c r="BV296" s="42" t="n"/>
      <c r="BW296" s="42" t="n"/>
      <c r="BX296" s="42" t="n"/>
      <c r="BY296" s="42" t="n"/>
      <c r="BZ296" s="42" t="n"/>
      <c r="CA296" s="42" t="n"/>
      <c r="CB296" s="42" t="n"/>
      <c r="CC296" s="42" t="n"/>
      <c r="CD296" s="42" t="n"/>
      <c r="CE296" s="42" t="n"/>
      <c r="CF296" s="42" t="n"/>
      <c r="CG296" s="42" t="n"/>
      <c r="CH296" s="42" t="n"/>
      <c r="CI296" s="42" t="n"/>
      <c r="CJ296" s="42" t="n"/>
      <c r="CK296" s="42" t="n"/>
      <c r="CL296" s="42" t="n"/>
      <c r="CM296" s="42" t="n"/>
      <c r="CN296" s="42" t="n"/>
      <c r="CO296" s="42" t="n"/>
      <c r="CP296" s="42" t="n"/>
      <c r="CQ296" s="42" t="n"/>
      <c r="CR296" s="42" t="n"/>
      <c r="CS296" s="42" t="n"/>
      <c r="CT296" s="42" t="n"/>
      <c r="CU296" s="42" t="n"/>
      <c r="CV296" s="42" t="n"/>
      <c r="CW296" s="42" t="n"/>
      <c r="CX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42" t="n"/>
      <c r="AJ297" s="42" t="n"/>
      <c r="AK297" s="42" t="n"/>
      <c r="AL297" s="42" t="n"/>
      <c r="AM297" s="42" t="n"/>
      <c r="AN297" s="42" t="n"/>
      <c r="AO297" s="42" t="n"/>
      <c r="AP297" s="42" t="n"/>
      <c r="AQ297" s="42" t="n"/>
      <c r="AR297" s="42" t="n"/>
      <c r="AS297" s="42" t="n"/>
      <c r="AT297" s="42" t="n"/>
      <c r="AU297" s="42" t="n"/>
      <c r="AV297" s="42" t="n"/>
      <c r="AW297" s="42" t="n"/>
      <c r="AX297" s="42" t="n"/>
      <c r="AY297" s="42" t="n"/>
      <c r="AZ297" s="42" t="n"/>
      <c r="BA297" s="42" t="n"/>
      <c r="BB297" s="42" t="n"/>
      <c r="BC297" s="42" t="n"/>
      <c r="BD297" s="42" t="n"/>
      <c r="BE297" s="42" t="n"/>
      <c r="BF297" s="42" t="n"/>
      <c r="BG297" s="42" t="n"/>
      <c r="BH297" s="42" t="n"/>
      <c r="BI297" s="42" t="n"/>
      <c r="BJ297" s="42" t="n"/>
      <c r="BK297" s="42" t="n"/>
      <c r="BL297" s="42" t="n"/>
      <c r="BM297" s="42" t="n"/>
      <c r="BN297" s="42" t="n"/>
      <c r="BO297" s="42" t="n"/>
      <c r="BP297" s="42" t="n"/>
      <c r="BQ297" s="42" t="n"/>
      <c r="BR297" s="42" t="n"/>
      <c r="BS297" s="42" t="n"/>
      <c r="BT297" s="42" t="n"/>
      <c r="BU297" s="42" t="n"/>
      <c r="BV297" s="42" t="n"/>
      <c r="BW297" s="42" t="n"/>
      <c r="BX297" s="42" t="n"/>
      <c r="BY297" s="42" t="n"/>
      <c r="BZ297" s="42" t="n"/>
      <c r="CA297" s="42" t="n"/>
      <c r="CB297" s="42" t="n"/>
      <c r="CC297" s="42" t="n"/>
      <c r="CD297" s="42" t="n"/>
      <c r="CE297" s="42" t="n"/>
      <c r="CF297" s="42" t="n"/>
      <c r="CG297" s="42" t="n"/>
      <c r="CH297" s="42" t="n"/>
      <c r="CI297" s="42" t="n"/>
      <c r="CJ297" s="42" t="n"/>
      <c r="CK297" s="42" t="n"/>
      <c r="CL297" s="42" t="n"/>
      <c r="CM297" s="42" t="n"/>
      <c r="CN297" s="42" t="n"/>
      <c r="CO297" s="42" t="n"/>
      <c r="CP297" s="42" t="n"/>
      <c r="CQ297" s="42" t="n"/>
      <c r="CR297" s="42" t="n"/>
      <c r="CS297" s="42" t="n"/>
      <c r="CT297" s="42" t="n"/>
      <c r="CU297" s="42" t="n"/>
      <c r="CV297" s="42" t="n"/>
      <c r="CW297" s="42" t="n"/>
      <c r="CX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42" t="n"/>
      <c r="AJ298" s="42" t="n"/>
      <c r="AK298" s="42" t="n"/>
      <c r="AL298" s="42" t="n"/>
      <c r="AM298" s="42" t="n"/>
      <c r="AN298" s="42" t="n"/>
      <c r="AO298" s="42" t="n"/>
      <c r="AP298" s="42" t="n"/>
      <c r="AQ298" s="42" t="n"/>
      <c r="AR298" s="42" t="n"/>
      <c r="AS298" s="42" t="n"/>
      <c r="AT298" s="42" t="n"/>
      <c r="AU298" s="42" t="n"/>
      <c r="AV298" s="42" t="n"/>
      <c r="AW298" s="42" t="n"/>
      <c r="AX298" s="42" t="n"/>
      <c r="AY298" s="42" t="n"/>
      <c r="AZ298" s="42" t="n"/>
      <c r="BA298" s="42" t="n"/>
      <c r="BB298" s="42" t="n"/>
      <c r="BC298" s="42" t="n"/>
      <c r="BD298" s="42" t="n"/>
      <c r="BE298" s="42" t="n"/>
      <c r="BF298" s="42" t="n"/>
      <c r="BG298" s="42" t="n"/>
      <c r="BH298" s="42" t="n"/>
      <c r="BI298" s="42" t="n"/>
      <c r="BJ298" s="42" t="n"/>
      <c r="BK298" s="42" t="n"/>
      <c r="BL298" s="42" t="n"/>
      <c r="BM298" s="42" t="n"/>
      <c r="BN298" s="42" t="n"/>
      <c r="BO298" s="42" t="n"/>
      <c r="BP298" s="42" t="n"/>
      <c r="BQ298" s="42" t="n"/>
      <c r="BR298" s="42" t="n"/>
      <c r="BS298" s="42" t="n"/>
      <c r="BT298" s="42" t="n"/>
      <c r="BU298" s="42" t="n"/>
      <c r="BV298" s="42" t="n"/>
      <c r="BW298" s="42" t="n"/>
      <c r="BX298" s="42" t="n"/>
      <c r="BY298" s="42" t="n"/>
      <c r="BZ298" s="42" t="n"/>
      <c r="CA298" s="42" t="n"/>
      <c r="CB298" s="42" t="n"/>
      <c r="CC298" s="42" t="n"/>
      <c r="CD298" s="42" t="n"/>
      <c r="CE298" s="42" t="n"/>
      <c r="CF298" s="42" t="n"/>
      <c r="CG298" s="42" t="n"/>
      <c r="CH298" s="42" t="n"/>
      <c r="CI298" s="42" t="n"/>
      <c r="CJ298" s="42" t="n"/>
      <c r="CK298" s="42" t="n"/>
      <c r="CL298" s="42" t="n"/>
      <c r="CM298" s="42" t="n"/>
      <c r="CN298" s="42" t="n"/>
      <c r="CO298" s="42" t="n"/>
      <c r="CP298" s="42" t="n"/>
      <c r="CQ298" s="42" t="n"/>
      <c r="CR298" s="42" t="n"/>
      <c r="CS298" s="42" t="n"/>
      <c r="CT298" s="42" t="n"/>
      <c r="CU298" s="42" t="n"/>
      <c r="CV298" s="42" t="n"/>
      <c r="CW298" s="42" t="n"/>
      <c r="CX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42" t="n"/>
      <c r="AJ299" s="42" t="n"/>
      <c r="AK299" s="42" t="n"/>
      <c r="AL299" s="42" t="n"/>
      <c r="AM299" s="42" t="n"/>
      <c r="AN299" s="42" t="n"/>
      <c r="AO299" s="42" t="n"/>
      <c r="AP299" s="42" t="n"/>
      <c r="AQ299" s="42" t="n"/>
      <c r="AR299" s="42" t="n"/>
      <c r="AS299" s="42" t="n"/>
      <c r="AT299" s="42" t="n"/>
      <c r="AU299" s="42" t="n"/>
      <c r="AV299" s="42" t="n"/>
      <c r="AW299" s="42" t="n"/>
      <c r="AX299" s="42" t="n"/>
      <c r="AY299" s="42" t="n"/>
      <c r="AZ299" s="42" t="n"/>
      <c r="BA299" s="42" t="n"/>
      <c r="BB299" s="42" t="n"/>
      <c r="BC299" s="42" t="n"/>
      <c r="BD299" s="42" t="n"/>
      <c r="BE299" s="42" t="n"/>
      <c r="BF299" s="42" t="n"/>
      <c r="BG299" s="42" t="n"/>
      <c r="BH299" s="42" t="n"/>
      <c r="BI299" s="42" t="n"/>
      <c r="BJ299" s="42" t="n"/>
      <c r="BK299" s="42" t="n"/>
      <c r="BL299" s="42" t="n"/>
      <c r="BM299" s="42" t="n"/>
      <c r="BN299" s="42" t="n"/>
      <c r="BO299" s="42" t="n"/>
      <c r="BP299" s="42" t="n"/>
      <c r="BQ299" s="42" t="n"/>
      <c r="BR299" s="42" t="n"/>
      <c r="BS299" s="42" t="n"/>
      <c r="BT299" s="42" t="n"/>
      <c r="BU299" s="42" t="n"/>
      <c r="BV299" s="42" t="n"/>
      <c r="BW299" s="42" t="n"/>
      <c r="BX299" s="42" t="n"/>
      <c r="BY299" s="42" t="n"/>
      <c r="BZ299" s="42" t="n"/>
      <c r="CA299" s="42" t="n"/>
      <c r="CB299" s="42" t="n"/>
      <c r="CC299" s="42" t="n"/>
      <c r="CD299" s="42" t="n"/>
      <c r="CE299" s="42" t="n"/>
      <c r="CF299" s="42" t="n"/>
      <c r="CG299" s="42" t="n"/>
      <c r="CH299" s="42" t="n"/>
      <c r="CI299" s="42" t="n"/>
      <c r="CJ299" s="42" t="n"/>
      <c r="CK299" s="42" t="n"/>
      <c r="CL299" s="42" t="n"/>
      <c r="CM299" s="42" t="n"/>
      <c r="CN299" s="42" t="n"/>
      <c r="CO299" s="42" t="n"/>
      <c r="CP299" s="42" t="n"/>
      <c r="CQ299" s="42" t="n"/>
      <c r="CR299" s="42" t="n"/>
      <c r="CS299" s="42" t="n"/>
      <c r="CT299" s="42" t="n"/>
      <c r="CU299" s="42" t="n"/>
      <c r="CV299" s="42" t="n"/>
      <c r="CW299" s="42" t="n"/>
      <c r="CX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42" t="n"/>
      <c r="AJ300" s="42" t="n"/>
      <c r="AK300" s="42" t="n"/>
      <c r="AL300" s="42" t="n"/>
      <c r="AM300" s="42" t="n"/>
      <c r="AN300" s="42" t="n"/>
      <c r="AO300" s="42" t="n"/>
      <c r="AP300" s="42" t="n"/>
      <c r="AQ300" s="42" t="n"/>
      <c r="AR300" s="42" t="n"/>
      <c r="AS300" s="42" t="n"/>
      <c r="AT300" s="42" t="n"/>
      <c r="AU300" s="42" t="n"/>
      <c r="AV300" s="42" t="n"/>
      <c r="AW300" s="42" t="n"/>
      <c r="AX300" s="42" t="n"/>
      <c r="AY300" s="42" t="n"/>
      <c r="AZ300" s="42" t="n"/>
      <c r="BA300" s="42" t="n"/>
      <c r="BB300" s="42" t="n"/>
      <c r="BC300" s="42" t="n"/>
      <c r="BD300" s="42" t="n"/>
      <c r="BE300" s="42" t="n"/>
      <c r="BF300" s="42" t="n"/>
      <c r="BG300" s="42" t="n"/>
      <c r="BH300" s="42" t="n"/>
      <c r="BI300" s="42" t="n"/>
      <c r="BJ300" s="42" t="n"/>
      <c r="BK300" s="42" t="n"/>
      <c r="BL300" s="42" t="n"/>
      <c r="BM300" s="42" t="n"/>
      <c r="BN300" s="42" t="n"/>
      <c r="BO300" s="42" t="n"/>
      <c r="BP300" s="42" t="n"/>
      <c r="BQ300" s="42" t="n"/>
      <c r="BR300" s="42" t="n"/>
      <c r="BS300" s="42" t="n"/>
      <c r="BT300" s="42" t="n"/>
      <c r="BU300" s="42" t="n"/>
      <c r="BV300" s="42" t="n"/>
      <c r="BW300" s="42" t="n"/>
      <c r="BX300" s="42" t="n"/>
      <c r="BY300" s="42" t="n"/>
      <c r="BZ300" s="42" t="n"/>
      <c r="CA300" s="42" t="n"/>
      <c r="CB300" s="42" t="n"/>
      <c r="CC300" s="42" t="n"/>
      <c r="CD300" s="42" t="n"/>
      <c r="CE300" s="42" t="n"/>
      <c r="CF300" s="42" t="n"/>
      <c r="CG300" s="42" t="n"/>
      <c r="CH300" s="42" t="n"/>
      <c r="CI300" s="42" t="n"/>
      <c r="CJ300" s="42" t="n"/>
      <c r="CK300" s="42" t="n"/>
      <c r="CL300" s="42" t="n"/>
      <c r="CM300" s="42" t="n"/>
      <c r="CN300" s="42" t="n"/>
      <c r="CO300" s="42" t="n"/>
      <c r="CP300" s="42" t="n"/>
      <c r="CQ300" s="42" t="n"/>
      <c r="CR300" s="42" t="n"/>
      <c r="CS300" s="42" t="n"/>
      <c r="CT300" s="42" t="n"/>
      <c r="CU300" s="42" t="n"/>
      <c r="CV300" s="42" t="n"/>
      <c r="CW300" s="42" t="n"/>
      <c r="CX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42" t="n"/>
      <c r="AJ301" s="42" t="n"/>
      <c r="AK301" s="42" t="n"/>
      <c r="AL301" s="42" t="n"/>
      <c r="AM301" s="42" t="n"/>
      <c r="AN301" s="42" t="n"/>
      <c r="AO301" s="42" t="n"/>
      <c r="AP301" s="42" t="n"/>
      <c r="AQ301" s="42" t="n"/>
      <c r="AR301" s="42" t="n"/>
      <c r="AS301" s="42" t="n"/>
      <c r="AT301" s="42" t="n"/>
      <c r="AU301" s="42" t="n"/>
      <c r="AV301" s="42" t="n"/>
      <c r="AW301" s="42" t="n"/>
      <c r="AX301" s="42" t="n"/>
      <c r="AY301" s="42" t="n"/>
      <c r="AZ301" s="42" t="n"/>
      <c r="BA301" s="42" t="n"/>
      <c r="BB301" s="42" t="n"/>
      <c r="BC301" s="42" t="n"/>
      <c r="BD301" s="42" t="n"/>
      <c r="BE301" s="42" t="n"/>
      <c r="BF301" s="42" t="n"/>
      <c r="BG301" s="42" t="n"/>
      <c r="BH301" s="42" t="n"/>
      <c r="BI301" s="42" t="n"/>
      <c r="BJ301" s="42" t="n"/>
      <c r="BK301" s="42" t="n"/>
      <c r="BL301" s="42" t="n"/>
      <c r="BM301" s="42" t="n"/>
      <c r="BN301" s="42" t="n"/>
      <c r="BO301" s="42" t="n"/>
      <c r="BP301" s="42" t="n"/>
      <c r="BQ301" s="42" t="n"/>
      <c r="BR301" s="42" t="n"/>
      <c r="BS301" s="42" t="n"/>
      <c r="BT301" s="42" t="n"/>
      <c r="BU301" s="42" t="n"/>
      <c r="BV301" s="42" t="n"/>
      <c r="BW301" s="42" t="n"/>
      <c r="BX301" s="42" t="n"/>
      <c r="BY301" s="42" t="n"/>
      <c r="BZ301" s="42" t="n"/>
      <c r="CA301" s="42" t="n"/>
      <c r="CB301" s="42" t="n"/>
      <c r="CC301" s="42" t="n"/>
      <c r="CD301" s="42" t="n"/>
      <c r="CE301" s="42" t="n"/>
      <c r="CF301" s="42" t="n"/>
      <c r="CG301" s="42" t="n"/>
      <c r="CH301" s="42" t="n"/>
      <c r="CI301" s="42" t="n"/>
      <c r="CJ301" s="42" t="n"/>
      <c r="CK301" s="42" t="n"/>
      <c r="CL301" s="42" t="n"/>
      <c r="CM301" s="42" t="n"/>
      <c r="CN301" s="42" t="n"/>
      <c r="CO301" s="42" t="n"/>
      <c r="CP301" s="42" t="n"/>
      <c r="CQ301" s="42" t="n"/>
      <c r="CR301" s="42" t="n"/>
      <c r="CS301" s="42" t="n"/>
      <c r="CT301" s="42" t="n"/>
      <c r="CU301" s="42" t="n"/>
      <c r="CV301" s="42" t="n"/>
      <c r="CW301" s="42" t="n"/>
      <c r="CX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42" t="n"/>
      <c r="AJ302" s="42" t="n"/>
      <c r="AK302" s="42" t="n"/>
      <c r="AL302" s="42" t="n"/>
      <c r="AM302" s="42" t="n"/>
      <c r="AN302" s="42" t="n"/>
      <c r="AO302" s="42" t="n"/>
      <c r="AP302" s="42" t="n"/>
      <c r="AQ302" s="42" t="n"/>
      <c r="AR302" s="42" t="n"/>
      <c r="AS302" s="42" t="n"/>
      <c r="AT302" s="42" t="n"/>
      <c r="AU302" s="42" t="n"/>
      <c r="AV302" s="42" t="n"/>
      <c r="AW302" s="42" t="n"/>
      <c r="AX302" s="42" t="n"/>
      <c r="AY302" s="42" t="n"/>
      <c r="AZ302" s="42" t="n"/>
      <c r="BA302" s="42" t="n"/>
      <c r="BB302" s="42" t="n"/>
      <c r="BC302" s="42" t="n"/>
      <c r="BD302" s="42" t="n"/>
      <c r="BE302" s="42" t="n"/>
      <c r="BF302" s="42" t="n"/>
      <c r="BG302" s="42" t="n"/>
      <c r="BH302" s="42" t="n"/>
      <c r="BI302" s="42" t="n"/>
      <c r="BJ302" s="42" t="n"/>
      <c r="BK302" s="42" t="n"/>
      <c r="BL302" s="42" t="n"/>
      <c r="BM302" s="42" t="n"/>
      <c r="BN302" s="42" t="n"/>
      <c r="BO302" s="42" t="n"/>
      <c r="BP302" s="42" t="n"/>
      <c r="BQ302" s="42" t="n"/>
      <c r="BR302" s="42" t="n"/>
      <c r="BS302" s="42" t="n"/>
      <c r="BT302" s="42" t="n"/>
      <c r="BU302" s="42" t="n"/>
      <c r="BV302" s="42" t="n"/>
      <c r="BW302" s="42" t="n"/>
      <c r="BX302" s="42" t="n"/>
      <c r="BY302" s="42" t="n"/>
      <c r="BZ302" s="42" t="n"/>
      <c r="CA302" s="42" t="n"/>
      <c r="CB302" s="42" t="n"/>
      <c r="CC302" s="42" t="n"/>
      <c r="CD302" s="42" t="n"/>
      <c r="CE302" s="42" t="n"/>
      <c r="CF302" s="42" t="n"/>
      <c r="CG302" s="42" t="n"/>
      <c r="CH302" s="42" t="n"/>
      <c r="CI302" s="42" t="n"/>
      <c r="CJ302" s="42" t="n"/>
      <c r="CK302" s="42" t="n"/>
      <c r="CL302" s="42" t="n"/>
      <c r="CM302" s="42" t="n"/>
      <c r="CN302" s="42" t="n"/>
      <c r="CO302" s="42" t="n"/>
      <c r="CP302" s="42" t="n"/>
      <c r="CQ302" s="42" t="n"/>
      <c r="CR302" s="42" t="n"/>
      <c r="CS302" s="42" t="n"/>
      <c r="CT302" s="42" t="n"/>
      <c r="CU302" s="42" t="n"/>
      <c r="CV302" s="42" t="n"/>
      <c r="CW302" s="42" t="n"/>
      <c r="CX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42" t="n"/>
      <c r="AJ303" s="42" t="n"/>
      <c r="AK303" s="42" t="n"/>
      <c r="AL303" s="42" t="n"/>
      <c r="AM303" s="42" t="n"/>
      <c r="AN303" s="42" t="n"/>
      <c r="AO303" s="42" t="n"/>
      <c r="AP303" s="42" t="n"/>
      <c r="AQ303" s="42" t="n"/>
      <c r="AR303" s="42" t="n"/>
      <c r="AS303" s="42" t="n"/>
      <c r="AT303" s="42" t="n"/>
      <c r="AU303" s="42" t="n"/>
      <c r="AV303" s="42" t="n"/>
      <c r="AW303" s="42" t="n"/>
      <c r="AX303" s="42" t="n"/>
      <c r="AY303" s="42" t="n"/>
      <c r="AZ303" s="42" t="n"/>
      <c r="BA303" s="42" t="n"/>
      <c r="BB303" s="42" t="n"/>
      <c r="BC303" s="42" t="n"/>
      <c r="BD303" s="42" t="n"/>
      <c r="BE303" s="42" t="n"/>
      <c r="BF303" s="42" t="n"/>
      <c r="BG303" s="42" t="n"/>
      <c r="BH303" s="42" t="n"/>
      <c r="BI303" s="42" t="n"/>
      <c r="BJ303" s="42" t="n"/>
      <c r="BK303" s="42" t="n"/>
      <c r="BL303" s="42" t="n"/>
      <c r="BM303" s="42" t="n"/>
      <c r="BN303" s="42" t="n"/>
      <c r="BO303" s="42" t="n"/>
      <c r="BP303" s="42" t="n"/>
      <c r="BQ303" s="42" t="n"/>
      <c r="BR303" s="42" t="n"/>
      <c r="BS303" s="42" t="n"/>
      <c r="BT303" s="42" t="n"/>
      <c r="BU303" s="42" t="n"/>
      <c r="BV303" s="42" t="n"/>
      <c r="BW303" s="42" t="n"/>
      <c r="BX303" s="42" t="n"/>
      <c r="BY303" s="42" t="n"/>
      <c r="BZ303" s="42" t="n"/>
      <c r="CA303" s="42" t="n"/>
      <c r="CB303" s="42" t="n"/>
      <c r="CC303" s="42" t="n"/>
      <c r="CD303" s="42" t="n"/>
      <c r="CE303" s="42" t="n"/>
      <c r="CF303" s="42" t="n"/>
      <c r="CG303" s="42" t="n"/>
      <c r="CH303" s="42" t="n"/>
      <c r="CI303" s="42" t="n"/>
      <c r="CJ303" s="42" t="n"/>
      <c r="CK303" s="42" t="n"/>
      <c r="CL303" s="42" t="n"/>
      <c r="CM303" s="42" t="n"/>
      <c r="CN303" s="42" t="n"/>
      <c r="CO303" s="42" t="n"/>
      <c r="CP303" s="42" t="n"/>
      <c r="CQ303" s="42" t="n"/>
      <c r="CR303" s="42" t="n"/>
      <c r="CS303" s="42" t="n"/>
      <c r="CT303" s="42" t="n"/>
      <c r="CU303" s="42" t="n"/>
      <c r="CV303" s="42" t="n"/>
      <c r="CW303" s="42" t="n"/>
      <c r="CX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42" t="n"/>
      <c r="AJ304" s="42" t="n"/>
      <c r="AK304" s="42" t="n"/>
      <c r="AL304" s="42" t="n"/>
      <c r="AM304" s="42" t="n"/>
      <c r="AN304" s="42" t="n"/>
      <c r="AO304" s="42" t="n"/>
      <c r="AP304" s="42" t="n"/>
      <c r="AQ304" s="42" t="n"/>
      <c r="AR304" s="42" t="n"/>
      <c r="AS304" s="42" t="n"/>
      <c r="AT304" s="42" t="n"/>
      <c r="AU304" s="42" t="n"/>
      <c r="AV304" s="42" t="n"/>
      <c r="AW304" s="42" t="n"/>
      <c r="AX304" s="42" t="n"/>
      <c r="AY304" s="42" t="n"/>
      <c r="AZ304" s="42" t="n"/>
      <c r="BA304" s="42" t="n"/>
      <c r="BB304" s="42" t="n"/>
      <c r="BC304" s="42" t="n"/>
      <c r="BD304" s="42" t="n"/>
      <c r="BE304" s="42" t="n"/>
      <c r="BF304" s="42" t="n"/>
      <c r="BG304" s="42" t="n"/>
      <c r="BH304" s="42" t="n"/>
      <c r="BI304" s="42" t="n"/>
      <c r="BJ304" s="42" t="n"/>
      <c r="BK304" s="42" t="n"/>
      <c r="BL304" s="42" t="n"/>
      <c r="BM304" s="42" t="n"/>
      <c r="BN304" s="42" t="n"/>
      <c r="BO304" s="42" t="n"/>
      <c r="BP304" s="42" t="n"/>
      <c r="BQ304" s="42" t="n"/>
      <c r="BR304" s="42" t="n"/>
      <c r="BS304" s="42" t="n"/>
      <c r="BT304" s="42" t="n"/>
      <c r="BU304" s="42" t="n"/>
      <c r="BV304" s="42" t="n"/>
      <c r="BW304" s="42" t="n"/>
      <c r="BX304" s="42" t="n"/>
      <c r="BY304" s="42" t="n"/>
      <c r="BZ304" s="42" t="n"/>
      <c r="CA304" s="42" t="n"/>
      <c r="CB304" s="42" t="n"/>
      <c r="CC304" s="42" t="n"/>
      <c r="CD304" s="42" t="n"/>
      <c r="CE304" s="42" t="n"/>
      <c r="CF304" s="42" t="n"/>
      <c r="CG304" s="42" t="n"/>
      <c r="CH304" s="42" t="n"/>
      <c r="CI304" s="42" t="n"/>
      <c r="CJ304" s="42" t="n"/>
      <c r="CK304" s="42" t="n"/>
      <c r="CL304" s="42" t="n"/>
      <c r="CM304" s="42" t="n"/>
      <c r="CN304" s="42" t="n"/>
      <c r="CO304" s="42" t="n"/>
      <c r="CP304" s="42" t="n"/>
      <c r="CQ304" s="42" t="n"/>
      <c r="CR304" s="42" t="n"/>
      <c r="CS304" s="42" t="n"/>
      <c r="CT304" s="42" t="n"/>
      <c r="CU304" s="42" t="n"/>
      <c r="CV304" s="42" t="n"/>
      <c r="CW304" s="42" t="n"/>
      <c r="CX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42" t="n"/>
      <c r="AJ305" s="42" t="n"/>
      <c r="AK305" s="42" t="n"/>
      <c r="AL305" s="42" t="n"/>
      <c r="AM305" s="42" t="n"/>
      <c r="AN305" s="42" t="n"/>
      <c r="AO305" s="42" t="n"/>
      <c r="AP305" s="42" t="n"/>
      <c r="AQ305" s="42" t="n"/>
      <c r="AR305" s="42" t="n"/>
      <c r="AS305" s="42" t="n"/>
      <c r="AT305" s="42" t="n"/>
      <c r="AU305" s="42" t="n"/>
      <c r="AV305" s="42" t="n"/>
      <c r="AW305" s="42" t="n"/>
      <c r="AX305" s="42" t="n"/>
      <c r="AY305" s="42" t="n"/>
      <c r="AZ305" s="42" t="n"/>
      <c r="BA305" s="42" t="n"/>
      <c r="BB305" s="42" t="n"/>
      <c r="BC305" s="42" t="n"/>
      <c r="BD305" s="42" t="n"/>
      <c r="BE305" s="42" t="n"/>
      <c r="BF305" s="42" t="n"/>
      <c r="BG305" s="42" t="n"/>
      <c r="BH305" s="42" t="n"/>
      <c r="BI305" s="42" t="n"/>
      <c r="BJ305" s="42" t="n"/>
      <c r="BK305" s="42" t="n"/>
      <c r="BL305" s="42" t="n"/>
      <c r="BM305" s="42" t="n"/>
      <c r="BN305" s="42" t="n"/>
      <c r="BO305" s="42" t="n"/>
      <c r="BP305" s="42" t="n"/>
      <c r="BQ305" s="42" t="n"/>
      <c r="BR305" s="42" t="n"/>
      <c r="BS305" s="42" t="n"/>
      <c r="BT305" s="42" t="n"/>
      <c r="BU305" s="42" t="n"/>
      <c r="BV305" s="42" t="n"/>
      <c r="BW305" s="42" t="n"/>
      <c r="BX305" s="42" t="n"/>
      <c r="BY305" s="42" t="n"/>
      <c r="BZ305" s="42" t="n"/>
      <c r="CA305" s="42" t="n"/>
      <c r="CB305" s="42" t="n"/>
      <c r="CC305" s="42" t="n"/>
      <c r="CD305" s="42" t="n"/>
      <c r="CE305" s="42" t="n"/>
      <c r="CF305" s="42" t="n"/>
      <c r="CG305" s="42" t="n"/>
      <c r="CH305" s="42" t="n"/>
      <c r="CI305" s="42" t="n"/>
      <c r="CJ305" s="42" t="n"/>
      <c r="CK305" s="42" t="n"/>
      <c r="CL305" s="42" t="n"/>
      <c r="CM305" s="42" t="n"/>
      <c r="CN305" s="42" t="n"/>
      <c r="CO305" s="42" t="n"/>
      <c r="CP305" s="42" t="n"/>
      <c r="CQ305" s="42" t="n"/>
      <c r="CR305" s="42" t="n"/>
      <c r="CS305" s="42" t="n"/>
      <c r="CT305" s="42" t="n"/>
      <c r="CU305" s="42" t="n"/>
      <c r="CV305" s="42" t="n"/>
      <c r="CW305" s="42" t="n"/>
      <c r="CX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42" t="n"/>
      <c r="AJ306" s="42" t="n"/>
      <c r="AK306" s="42" t="n"/>
      <c r="AL306" s="42" t="n"/>
      <c r="AM306" s="42" t="n"/>
      <c r="AN306" s="42" t="n"/>
      <c r="AO306" s="42" t="n"/>
      <c r="AP306" s="42" t="n"/>
      <c r="AQ306" s="42" t="n"/>
      <c r="AR306" s="42" t="n"/>
      <c r="AS306" s="42" t="n"/>
      <c r="AT306" s="42" t="n"/>
      <c r="AU306" s="42" t="n"/>
      <c r="AV306" s="42" t="n"/>
      <c r="AW306" s="42" t="n"/>
      <c r="AX306" s="42" t="n"/>
      <c r="AY306" s="42" t="n"/>
      <c r="AZ306" s="42" t="n"/>
      <c r="BA306" s="42" t="n"/>
      <c r="BB306" s="42" t="n"/>
      <c r="BC306" s="42" t="n"/>
      <c r="BD306" s="42" t="n"/>
      <c r="BE306" s="42" t="n"/>
      <c r="BF306" s="42" t="n"/>
      <c r="BG306" s="42" t="n"/>
      <c r="BH306" s="42" t="n"/>
      <c r="BI306" s="42" t="n"/>
      <c r="BJ306" s="42" t="n"/>
      <c r="BK306" s="42" t="n"/>
      <c r="BL306" s="42" t="n"/>
      <c r="BM306" s="42" t="n"/>
      <c r="BN306" s="42" t="n"/>
      <c r="BO306" s="42" t="n"/>
      <c r="BP306" s="42" t="n"/>
      <c r="BQ306" s="42" t="n"/>
      <c r="BR306" s="42" t="n"/>
      <c r="BS306" s="42" t="n"/>
      <c r="BT306" s="42" t="n"/>
      <c r="BU306" s="42" t="n"/>
      <c r="BV306" s="42" t="n"/>
      <c r="BW306" s="42" t="n"/>
      <c r="BX306" s="42" t="n"/>
      <c r="BY306" s="42" t="n"/>
      <c r="BZ306" s="42" t="n"/>
      <c r="CA306" s="42" t="n"/>
      <c r="CB306" s="42" t="n"/>
      <c r="CC306" s="42" t="n"/>
      <c r="CD306" s="42" t="n"/>
      <c r="CE306" s="42" t="n"/>
      <c r="CF306" s="42" t="n"/>
      <c r="CG306" s="42" t="n"/>
      <c r="CH306" s="42" t="n"/>
      <c r="CI306" s="42" t="n"/>
      <c r="CJ306" s="42" t="n"/>
      <c r="CK306" s="42" t="n"/>
      <c r="CL306" s="42" t="n"/>
      <c r="CM306" s="42" t="n"/>
      <c r="CN306" s="42" t="n"/>
      <c r="CO306" s="42" t="n"/>
      <c r="CP306" s="42" t="n"/>
      <c r="CQ306" s="42" t="n"/>
      <c r="CR306" s="42" t="n"/>
      <c r="CS306" s="42" t="n"/>
      <c r="CT306" s="42" t="n"/>
      <c r="CU306" s="42" t="n"/>
      <c r="CV306" s="42" t="n"/>
      <c r="CW306" s="42" t="n"/>
      <c r="CX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42" t="n"/>
      <c r="AJ307" s="42" t="n"/>
      <c r="AK307" s="42" t="n"/>
      <c r="AL307" s="42" t="n"/>
      <c r="AM307" s="42" t="n"/>
      <c r="AN307" s="42" t="n"/>
      <c r="AO307" s="42" t="n"/>
      <c r="AP307" s="42" t="n"/>
      <c r="AQ307" s="42" t="n"/>
      <c r="AR307" s="42" t="n"/>
      <c r="AS307" s="42" t="n"/>
      <c r="AT307" s="42" t="n"/>
      <c r="AU307" s="42" t="n"/>
      <c r="AV307" s="42" t="n"/>
      <c r="AW307" s="42" t="n"/>
      <c r="AX307" s="42" t="n"/>
      <c r="AY307" s="42" t="n"/>
      <c r="AZ307" s="42" t="n"/>
      <c r="BA307" s="42" t="n"/>
      <c r="BB307" s="42" t="n"/>
      <c r="BC307" s="42" t="n"/>
      <c r="BD307" s="42" t="n"/>
      <c r="BE307" s="42" t="n"/>
      <c r="BF307" s="42" t="n"/>
      <c r="BG307" s="42" t="n"/>
      <c r="BH307" s="42" t="n"/>
      <c r="BI307" s="42" t="n"/>
      <c r="BJ307" s="42" t="n"/>
      <c r="BK307" s="42" t="n"/>
      <c r="BL307" s="42" t="n"/>
      <c r="BM307" s="42" t="n"/>
      <c r="BN307" s="42" t="n"/>
      <c r="BO307" s="42" t="n"/>
      <c r="BP307" s="42" t="n"/>
      <c r="BQ307" s="42" t="n"/>
      <c r="BR307" s="42" t="n"/>
      <c r="BS307" s="42" t="n"/>
      <c r="BT307" s="42" t="n"/>
      <c r="BU307" s="42" t="n"/>
      <c r="BV307" s="42" t="n"/>
      <c r="BW307" s="42" t="n"/>
      <c r="BX307" s="42" t="n"/>
      <c r="BY307" s="42" t="n"/>
      <c r="BZ307" s="42" t="n"/>
      <c r="CA307" s="42" t="n"/>
      <c r="CB307" s="42" t="n"/>
      <c r="CC307" s="42" t="n"/>
      <c r="CD307" s="42" t="n"/>
      <c r="CE307" s="42" t="n"/>
      <c r="CF307" s="42" t="n"/>
      <c r="CG307" s="42" t="n"/>
      <c r="CH307" s="42" t="n"/>
      <c r="CI307" s="42" t="n"/>
      <c r="CJ307" s="42" t="n"/>
      <c r="CK307" s="42" t="n"/>
      <c r="CL307" s="42" t="n"/>
      <c r="CM307" s="42" t="n"/>
      <c r="CN307" s="42" t="n"/>
      <c r="CO307" s="42" t="n"/>
      <c r="CP307" s="42" t="n"/>
      <c r="CQ307" s="42" t="n"/>
      <c r="CR307" s="42" t="n"/>
      <c r="CS307" s="42" t="n"/>
      <c r="CT307" s="42" t="n"/>
      <c r="CU307" s="42" t="n"/>
      <c r="CV307" s="42" t="n"/>
      <c r="CW307" s="42" t="n"/>
      <c r="CX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42" t="n"/>
      <c r="AJ308" s="42" t="n"/>
      <c r="AK308" s="42" t="n"/>
      <c r="AL308" s="42" t="n"/>
      <c r="AM308" s="42" t="n"/>
      <c r="AN308" s="42" t="n"/>
      <c r="AO308" s="42" t="n"/>
      <c r="AP308" s="42" t="n"/>
      <c r="AQ308" s="42" t="n"/>
      <c r="AR308" s="42" t="n"/>
      <c r="AS308" s="42" t="n"/>
      <c r="AT308" s="42" t="n"/>
      <c r="AU308" s="42" t="n"/>
      <c r="AV308" s="42" t="n"/>
      <c r="AW308" s="42" t="n"/>
      <c r="AX308" s="42" t="n"/>
      <c r="AY308" s="42" t="n"/>
      <c r="AZ308" s="42" t="n"/>
      <c r="BA308" s="42" t="n"/>
      <c r="BB308" s="42" t="n"/>
      <c r="BC308" s="42" t="n"/>
      <c r="BD308" s="42" t="n"/>
      <c r="BE308" s="42" t="n"/>
      <c r="BF308" s="42" t="n"/>
      <c r="BG308" s="42" t="n"/>
      <c r="BH308" s="42" t="n"/>
      <c r="BI308" s="42" t="n"/>
      <c r="BJ308" s="42" t="n"/>
      <c r="BK308" s="42" t="n"/>
      <c r="BL308" s="42" t="n"/>
      <c r="BM308" s="42" t="n"/>
      <c r="BN308" s="42" t="n"/>
      <c r="BO308" s="42" t="n"/>
      <c r="BP308" s="42" t="n"/>
      <c r="BQ308" s="42" t="n"/>
      <c r="BR308" s="42" t="n"/>
      <c r="BS308" s="42" t="n"/>
      <c r="BT308" s="42" t="n"/>
      <c r="BU308" s="42" t="n"/>
      <c r="BV308" s="42" t="n"/>
      <c r="BW308" s="42" t="n"/>
      <c r="BX308" s="42" t="n"/>
      <c r="BY308" s="42" t="n"/>
      <c r="BZ308" s="42" t="n"/>
      <c r="CA308" s="42" t="n"/>
      <c r="CB308" s="42" t="n"/>
      <c r="CC308" s="42" t="n"/>
      <c r="CD308" s="42" t="n"/>
      <c r="CE308" s="42" t="n"/>
      <c r="CF308" s="42" t="n"/>
      <c r="CG308" s="42" t="n"/>
      <c r="CH308" s="42" t="n"/>
      <c r="CI308" s="42" t="n"/>
      <c r="CJ308" s="42" t="n"/>
      <c r="CK308" s="42" t="n"/>
      <c r="CL308" s="42" t="n"/>
      <c r="CM308" s="42" t="n"/>
      <c r="CN308" s="42" t="n"/>
      <c r="CO308" s="42" t="n"/>
      <c r="CP308" s="42" t="n"/>
      <c r="CQ308" s="42" t="n"/>
      <c r="CR308" s="42" t="n"/>
      <c r="CS308" s="42" t="n"/>
      <c r="CT308" s="42" t="n"/>
      <c r="CU308" s="42" t="n"/>
      <c r="CV308" s="42" t="n"/>
      <c r="CW308" s="42" t="n"/>
      <c r="CX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42" t="n"/>
      <c r="AJ309" s="42" t="n"/>
      <c r="AK309" s="42" t="n"/>
      <c r="AL309" s="42" t="n"/>
      <c r="AM309" s="42" t="n"/>
      <c r="AN309" s="42" t="n"/>
      <c r="AO309" s="42" t="n"/>
      <c r="AP309" s="42" t="n"/>
      <c r="AQ309" s="42" t="n"/>
      <c r="AR309" s="42" t="n"/>
      <c r="AS309" s="42" t="n"/>
      <c r="AT309" s="42" t="n"/>
      <c r="AU309" s="42" t="n"/>
      <c r="AV309" s="42" t="n"/>
      <c r="AW309" s="42" t="n"/>
      <c r="AX309" s="42" t="n"/>
      <c r="AY309" s="42" t="n"/>
      <c r="AZ309" s="42" t="n"/>
      <c r="BA309" s="42" t="n"/>
      <c r="BB309" s="42" t="n"/>
      <c r="BC309" s="42" t="n"/>
      <c r="BD309" s="42" t="n"/>
      <c r="BE309" s="42" t="n"/>
      <c r="BF309" s="42" t="n"/>
      <c r="BG309" s="42" t="n"/>
      <c r="BH309" s="42" t="n"/>
      <c r="BI309" s="42" t="n"/>
      <c r="BJ309" s="42" t="n"/>
      <c r="BK309" s="42" t="n"/>
      <c r="BL309" s="42" t="n"/>
      <c r="BM309" s="42" t="n"/>
      <c r="BN309" s="42" t="n"/>
      <c r="BO309" s="42" t="n"/>
      <c r="BP309" s="42" t="n"/>
      <c r="BQ309" s="42" t="n"/>
      <c r="BR309" s="42" t="n"/>
      <c r="BS309" s="42" t="n"/>
      <c r="BT309" s="42" t="n"/>
      <c r="BU309" s="42" t="n"/>
      <c r="BV309" s="42" t="n"/>
      <c r="BW309" s="42" t="n"/>
      <c r="BX309" s="42" t="n"/>
      <c r="BY309" s="42" t="n"/>
      <c r="BZ309" s="42" t="n"/>
      <c r="CA309" s="42" t="n"/>
      <c r="CB309" s="42" t="n"/>
      <c r="CC309" s="42" t="n"/>
      <c r="CD309" s="42" t="n"/>
      <c r="CE309" s="42" t="n"/>
      <c r="CF309" s="42" t="n"/>
      <c r="CG309" s="42" t="n"/>
      <c r="CH309" s="42" t="n"/>
      <c r="CI309" s="42" t="n"/>
      <c r="CJ309" s="42" t="n"/>
      <c r="CK309" s="42" t="n"/>
      <c r="CL309" s="42" t="n"/>
      <c r="CM309" s="42" t="n"/>
      <c r="CN309" s="42" t="n"/>
      <c r="CO309" s="42" t="n"/>
      <c r="CP309" s="42" t="n"/>
      <c r="CQ309" s="42" t="n"/>
      <c r="CR309" s="42" t="n"/>
      <c r="CS309" s="42" t="n"/>
      <c r="CT309" s="42" t="n"/>
      <c r="CU309" s="42" t="n"/>
      <c r="CV309" s="42" t="n"/>
      <c r="CW309" s="42" t="n"/>
      <c r="CX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42" t="n"/>
      <c r="AJ310" s="42" t="n"/>
      <c r="AK310" s="42" t="n"/>
      <c r="AL310" s="42" t="n"/>
      <c r="AM310" s="42" t="n"/>
      <c r="AN310" s="42" t="n"/>
      <c r="AO310" s="42" t="n"/>
      <c r="AP310" s="42" t="n"/>
      <c r="AQ310" s="42" t="n"/>
      <c r="AR310" s="42" t="n"/>
      <c r="AS310" s="42" t="n"/>
      <c r="AT310" s="42" t="n"/>
      <c r="AU310" s="42" t="n"/>
      <c r="AV310" s="42" t="n"/>
      <c r="AW310" s="42" t="n"/>
      <c r="AX310" s="42" t="n"/>
      <c r="AY310" s="42" t="n"/>
      <c r="AZ310" s="42" t="n"/>
      <c r="BA310" s="42" t="n"/>
      <c r="BB310" s="42" t="n"/>
      <c r="BC310" s="42" t="n"/>
      <c r="BD310" s="42" t="n"/>
      <c r="BE310" s="42" t="n"/>
      <c r="BF310" s="42" t="n"/>
      <c r="BG310" s="42" t="n"/>
      <c r="BH310" s="42" t="n"/>
      <c r="BI310" s="42" t="n"/>
      <c r="BJ310" s="42" t="n"/>
      <c r="BK310" s="42" t="n"/>
      <c r="BL310" s="42" t="n"/>
      <c r="BM310" s="42" t="n"/>
      <c r="BN310" s="42" t="n"/>
      <c r="BO310" s="42" t="n"/>
      <c r="BP310" s="42" t="n"/>
      <c r="BQ310" s="42" t="n"/>
      <c r="BR310" s="42" t="n"/>
      <c r="BS310" s="42" t="n"/>
      <c r="BT310" s="42" t="n"/>
      <c r="BU310" s="42" t="n"/>
      <c r="BV310" s="42" t="n"/>
      <c r="BW310" s="42" t="n"/>
      <c r="BX310" s="42" t="n"/>
      <c r="BY310" s="42" t="n"/>
      <c r="BZ310" s="42" t="n"/>
      <c r="CA310" s="42" t="n"/>
      <c r="CB310" s="42" t="n"/>
      <c r="CC310" s="42" t="n"/>
      <c r="CD310" s="42" t="n"/>
      <c r="CE310" s="42" t="n"/>
      <c r="CF310" s="42" t="n"/>
      <c r="CG310" s="42" t="n"/>
      <c r="CH310" s="42" t="n"/>
      <c r="CI310" s="42" t="n"/>
      <c r="CJ310" s="42" t="n"/>
      <c r="CK310" s="42" t="n"/>
      <c r="CL310" s="42" t="n"/>
      <c r="CM310" s="42" t="n"/>
      <c r="CN310" s="42" t="n"/>
      <c r="CO310" s="42" t="n"/>
      <c r="CP310" s="42" t="n"/>
      <c r="CQ310" s="42" t="n"/>
      <c r="CR310" s="42" t="n"/>
      <c r="CS310" s="42" t="n"/>
      <c r="CT310" s="42" t="n"/>
      <c r="CU310" s="42" t="n"/>
      <c r="CV310" s="42" t="n"/>
      <c r="CW310" s="42" t="n"/>
      <c r="CX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2" t="n"/>
      <c r="AR311" s="42" t="n"/>
      <c r="AS311" s="42" t="n"/>
      <c r="AT311" s="42" t="n"/>
      <c r="AU311" s="42" t="n"/>
      <c r="AV311" s="42" t="n"/>
      <c r="AW311" s="42" t="n"/>
      <c r="AX311" s="42" t="n"/>
      <c r="AY311" s="42" t="n"/>
      <c r="AZ311" s="42" t="n"/>
      <c r="BA311" s="42" t="n"/>
      <c r="BB311" s="42" t="n"/>
      <c r="BC311" s="42" t="n"/>
      <c r="BD311" s="42" t="n"/>
      <c r="BE311" s="42" t="n"/>
      <c r="BF311" s="42" t="n"/>
      <c r="BG311" s="42" t="n"/>
      <c r="BH311" s="42" t="n"/>
      <c r="BI311" s="42" t="n"/>
      <c r="BJ311" s="42" t="n"/>
      <c r="BK311" s="42" t="n"/>
      <c r="BL311" s="42" t="n"/>
      <c r="BM311" s="42" t="n"/>
      <c r="BN311" s="42" t="n"/>
      <c r="BO311" s="42" t="n"/>
      <c r="BP311" s="42" t="n"/>
      <c r="BQ311" s="42" t="n"/>
      <c r="BR311" s="42" t="n"/>
      <c r="BS311" s="42" t="n"/>
      <c r="BT311" s="42" t="n"/>
      <c r="BU311" s="42" t="n"/>
      <c r="BV311" s="42" t="n"/>
      <c r="BW311" s="42" t="n"/>
      <c r="BX311" s="42" t="n"/>
      <c r="BY311" s="42" t="n"/>
      <c r="BZ311" s="42" t="n"/>
      <c r="CA311" s="42" t="n"/>
      <c r="CB311" s="42" t="n"/>
      <c r="CC311" s="42" t="n"/>
      <c r="CD311" s="42" t="n"/>
      <c r="CE311" s="42" t="n"/>
      <c r="CF311" s="42" t="n"/>
      <c r="CG311" s="42" t="n"/>
      <c r="CH311" s="42" t="n"/>
      <c r="CI311" s="42" t="n"/>
      <c r="CJ311" s="42" t="n"/>
      <c r="CK311" s="42" t="n"/>
      <c r="CL311" s="42" t="n"/>
      <c r="CM311" s="42" t="n"/>
      <c r="CN311" s="42" t="n"/>
      <c r="CO311" s="42" t="n"/>
      <c r="CP311" s="42" t="n"/>
      <c r="CQ311" s="42" t="n"/>
      <c r="CR311" s="42" t="n"/>
      <c r="CS311" s="42" t="n"/>
      <c r="CT311" s="42" t="n"/>
      <c r="CU311" s="42" t="n"/>
      <c r="CV311" s="42" t="n"/>
      <c r="CW311" s="42" t="n"/>
      <c r="CX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42" t="n"/>
      <c r="AJ312" s="42" t="n"/>
      <c r="AK312" s="42" t="n"/>
      <c r="AL312" s="42" t="n"/>
      <c r="AM312" s="42" t="n"/>
      <c r="AN312" s="42" t="n"/>
      <c r="AO312" s="42" t="n"/>
      <c r="AP312" s="42" t="n"/>
      <c r="AQ312" s="42" t="n"/>
      <c r="AR312" s="42" t="n"/>
      <c r="AS312" s="42" t="n"/>
      <c r="AT312" s="42" t="n"/>
      <c r="AU312" s="42" t="n"/>
      <c r="AV312" s="42" t="n"/>
      <c r="AW312" s="42" t="n"/>
      <c r="AX312" s="42" t="n"/>
      <c r="AY312" s="42" t="n"/>
      <c r="AZ312" s="42" t="n"/>
      <c r="BA312" s="42" t="n"/>
      <c r="BB312" s="42" t="n"/>
      <c r="BC312" s="42" t="n"/>
      <c r="BD312" s="42" t="n"/>
      <c r="BE312" s="42" t="n"/>
      <c r="BF312" s="42" t="n"/>
      <c r="BG312" s="42" t="n"/>
      <c r="BH312" s="42" t="n"/>
      <c r="BI312" s="42" t="n"/>
      <c r="BJ312" s="42" t="n"/>
      <c r="BK312" s="42" t="n"/>
      <c r="BL312" s="42" t="n"/>
      <c r="BM312" s="42" t="n"/>
      <c r="BN312" s="42" t="n"/>
      <c r="BO312" s="42" t="n"/>
      <c r="BP312" s="42" t="n"/>
      <c r="BQ312" s="42" t="n"/>
      <c r="BR312" s="42" t="n"/>
      <c r="BS312" s="42" t="n"/>
      <c r="BT312" s="42" t="n"/>
      <c r="BU312" s="42" t="n"/>
      <c r="BV312" s="42" t="n"/>
      <c r="BW312" s="42" t="n"/>
      <c r="BX312" s="42" t="n"/>
      <c r="BY312" s="42" t="n"/>
      <c r="BZ312" s="42" t="n"/>
      <c r="CA312" s="42" t="n"/>
      <c r="CB312" s="42" t="n"/>
      <c r="CC312" s="42" t="n"/>
      <c r="CD312" s="42" t="n"/>
      <c r="CE312" s="42" t="n"/>
      <c r="CF312" s="42" t="n"/>
      <c r="CG312" s="42" t="n"/>
      <c r="CH312" s="42" t="n"/>
      <c r="CI312" s="42" t="n"/>
      <c r="CJ312" s="42" t="n"/>
      <c r="CK312" s="42" t="n"/>
      <c r="CL312" s="42" t="n"/>
      <c r="CM312" s="42" t="n"/>
      <c r="CN312" s="42" t="n"/>
      <c r="CO312" s="42" t="n"/>
      <c r="CP312" s="42" t="n"/>
      <c r="CQ312" s="42" t="n"/>
      <c r="CR312" s="42" t="n"/>
      <c r="CS312" s="42" t="n"/>
      <c r="CT312" s="42" t="n"/>
      <c r="CU312" s="42" t="n"/>
      <c r="CV312" s="42" t="n"/>
      <c r="CW312" s="42" t="n"/>
      <c r="CX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42" t="n"/>
      <c r="AJ313" s="42" t="n"/>
      <c r="AK313" s="42" t="n"/>
      <c r="AL313" s="42" t="n"/>
      <c r="AM313" s="42" t="n"/>
      <c r="AN313" s="42" t="n"/>
      <c r="AO313" s="42" t="n"/>
      <c r="AP313" s="42" t="n"/>
      <c r="AQ313" s="42" t="n"/>
      <c r="AR313" s="42" t="n"/>
      <c r="AS313" s="42" t="n"/>
      <c r="AT313" s="42" t="n"/>
      <c r="AU313" s="42" t="n"/>
      <c r="AV313" s="42" t="n"/>
      <c r="AW313" s="42" t="n"/>
      <c r="AX313" s="42" t="n"/>
      <c r="AY313" s="42" t="n"/>
      <c r="AZ313" s="42" t="n"/>
      <c r="BA313" s="42" t="n"/>
      <c r="BB313" s="42" t="n"/>
      <c r="BC313" s="42" t="n"/>
      <c r="BD313" s="42" t="n"/>
      <c r="BE313" s="42" t="n"/>
      <c r="BF313" s="42" t="n"/>
      <c r="BG313" s="42" t="n"/>
      <c r="BH313" s="42" t="n"/>
      <c r="BI313" s="42" t="n"/>
      <c r="BJ313" s="42" t="n"/>
      <c r="BK313" s="42" t="n"/>
      <c r="BL313" s="42" t="n"/>
      <c r="BM313" s="42" t="n"/>
      <c r="BN313" s="42" t="n"/>
      <c r="BO313" s="42" t="n"/>
      <c r="BP313" s="42" t="n"/>
      <c r="BQ313" s="42" t="n"/>
      <c r="BR313" s="42" t="n"/>
      <c r="BS313" s="42" t="n"/>
      <c r="BT313" s="42" t="n"/>
      <c r="BU313" s="42" t="n"/>
      <c r="BV313" s="42" t="n"/>
      <c r="BW313" s="42" t="n"/>
      <c r="BX313" s="42" t="n"/>
      <c r="BY313" s="42" t="n"/>
      <c r="BZ313" s="42" t="n"/>
      <c r="CA313" s="42" t="n"/>
      <c r="CB313" s="42" t="n"/>
      <c r="CC313" s="42" t="n"/>
      <c r="CD313" s="42" t="n"/>
      <c r="CE313" s="42" t="n"/>
      <c r="CF313" s="42" t="n"/>
      <c r="CG313" s="42" t="n"/>
      <c r="CH313" s="42" t="n"/>
      <c r="CI313" s="42" t="n"/>
      <c r="CJ313" s="42" t="n"/>
      <c r="CK313" s="42" t="n"/>
      <c r="CL313" s="42" t="n"/>
      <c r="CM313" s="42" t="n"/>
      <c r="CN313" s="42" t="n"/>
      <c r="CO313" s="42" t="n"/>
      <c r="CP313" s="42" t="n"/>
      <c r="CQ313" s="42" t="n"/>
      <c r="CR313" s="42" t="n"/>
      <c r="CS313" s="42" t="n"/>
      <c r="CT313" s="42" t="n"/>
      <c r="CU313" s="42" t="n"/>
      <c r="CV313" s="42" t="n"/>
      <c r="CW313" s="42" t="n"/>
      <c r="CX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42" t="n"/>
      <c r="AJ314" s="42" t="n"/>
      <c r="AK314" s="42" t="n"/>
      <c r="AL314" s="42" t="n"/>
      <c r="AM314" s="42" t="n"/>
      <c r="AN314" s="42" t="n"/>
      <c r="AO314" s="42" t="n"/>
      <c r="AP314" s="42" t="n"/>
      <c r="AQ314" s="42" t="n"/>
      <c r="AR314" s="42" t="n"/>
      <c r="AS314" s="42" t="n"/>
      <c r="AT314" s="42" t="n"/>
      <c r="AU314" s="42" t="n"/>
      <c r="AV314" s="42" t="n"/>
      <c r="AW314" s="42" t="n"/>
      <c r="AX314" s="42" t="n"/>
      <c r="AY314" s="42" t="n"/>
      <c r="AZ314" s="42" t="n"/>
      <c r="BA314" s="42" t="n"/>
      <c r="BB314" s="42" t="n"/>
      <c r="BC314" s="42" t="n"/>
      <c r="BD314" s="42" t="n"/>
      <c r="BE314" s="42" t="n"/>
      <c r="BF314" s="42" t="n"/>
      <c r="BG314" s="42" t="n"/>
      <c r="BH314" s="42" t="n"/>
      <c r="BI314" s="42" t="n"/>
      <c r="BJ314" s="42" t="n"/>
      <c r="BK314" s="42" t="n"/>
      <c r="BL314" s="42" t="n"/>
      <c r="BM314" s="42" t="n"/>
      <c r="BN314" s="42" t="n"/>
      <c r="BO314" s="42" t="n"/>
      <c r="BP314" s="42" t="n"/>
      <c r="BQ314" s="42" t="n"/>
      <c r="BR314" s="42" t="n"/>
      <c r="BS314" s="42" t="n"/>
      <c r="BT314" s="42" t="n"/>
      <c r="BU314" s="42" t="n"/>
      <c r="BV314" s="42" t="n"/>
      <c r="BW314" s="42" t="n"/>
      <c r="BX314" s="42" t="n"/>
      <c r="BY314" s="42" t="n"/>
      <c r="BZ314" s="42" t="n"/>
      <c r="CA314" s="42" t="n"/>
      <c r="CB314" s="42" t="n"/>
      <c r="CC314" s="42" t="n"/>
      <c r="CD314" s="42" t="n"/>
      <c r="CE314" s="42" t="n"/>
      <c r="CF314" s="42" t="n"/>
      <c r="CG314" s="42" t="n"/>
      <c r="CH314" s="42" t="n"/>
      <c r="CI314" s="42" t="n"/>
      <c r="CJ314" s="42" t="n"/>
      <c r="CK314" s="42" t="n"/>
      <c r="CL314" s="42" t="n"/>
      <c r="CM314" s="42" t="n"/>
      <c r="CN314" s="42" t="n"/>
      <c r="CO314" s="42" t="n"/>
      <c r="CP314" s="42" t="n"/>
      <c r="CQ314" s="42" t="n"/>
      <c r="CR314" s="42" t="n"/>
      <c r="CS314" s="42" t="n"/>
      <c r="CT314" s="42" t="n"/>
      <c r="CU314" s="42" t="n"/>
      <c r="CV314" s="42" t="n"/>
      <c r="CW314" s="42" t="n"/>
      <c r="CX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42" t="n"/>
      <c r="AJ315" s="42" t="n"/>
      <c r="AK315" s="42" t="n"/>
      <c r="AL315" s="42" t="n"/>
      <c r="AM315" s="42" t="n"/>
      <c r="AN315" s="42" t="n"/>
      <c r="AO315" s="42" t="n"/>
      <c r="AP315" s="42" t="n"/>
      <c r="AQ315" s="42" t="n"/>
      <c r="AR315" s="42" t="n"/>
      <c r="AS315" s="42" t="n"/>
      <c r="AT315" s="42" t="n"/>
      <c r="AU315" s="42" t="n"/>
      <c r="AV315" s="42" t="n"/>
      <c r="AW315" s="42" t="n"/>
      <c r="AX315" s="42" t="n"/>
      <c r="AY315" s="42" t="n"/>
      <c r="AZ315" s="42" t="n"/>
      <c r="BA315" s="42" t="n"/>
      <c r="BB315" s="42" t="n"/>
      <c r="BC315" s="42" t="n"/>
      <c r="BD315" s="42" t="n"/>
      <c r="BE315" s="42" t="n"/>
      <c r="BF315" s="42" t="n"/>
      <c r="BG315" s="42" t="n"/>
      <c r="BH315" s="42" t="n"/>
      <c r="BI315" s="42" t="n"/>
      <c r="BJ315" s="42" t="n"/>
      <c r="BK315" s="42" t="n"/>
      <c r="BL315" s="42" t="n"/>
      <c r="BM315" s="42" t="n"/>
      <c r="BN315" s="42" t="n"/>
      <c r="BO315" s="42" t="n"/>
      <c r="BP315" s="42" t="n"/>
      <c r="BQ315" s="42" t="n"/>
      <c r="BR315" s="42" t="n"/>
      <c r="BS315" s="42" t="n"/>
      <c r="BT315" s="42" t="n"/>
      <c r="BU315" s="42" t="n"/>
      <c r="BV315" s="42" t="n"/>
      <c r="BW315" s="42" t="n"/>
      <c r="BX315" s="42" t="n"/>
      <c r="BY315" s="42" t="n"/>
      <c r="BZ315" s="42" t="n"/>
      <c r="CA315" s="42" t="n"/>
      <c r="CB315" s="42" t="n"/>
      <c r="CC315" s="42" t="n"/>
      <c r="CD315" s="42" t="n"/>
      <c r="CE315" s="42" t="n"/>
      <c r="CF315" s="42" t="n"/>
      <c r="CG315" s="42" t="n"/>
      <c r="CH315" s="42" t="n"/>
      <c r="CI315" s="42" t="n"/>
      <c r="CJ315" s="42" t="n"/>
      <c r="CK315" s="42" t="n"/>
      <c r="CL315" s="42" t="n"/>
      <c r="CM315" s="42" t="n"/>
      <c r="CN315" s="42" t="n"/>
      <c r="CO315" s="42" t="n"/>
      <c r="CP315" s="42" t="n"/>
      <c r="CQ315" s="42" t="n"/>
      <c r="CR315" s="42" t="n"/>
      <c r="CS315" s="42" t="n"/>
      <c r="CT315" s="42" t="n"/>
      <c r="CU315" s="42" t="n"/>
      <c r="CV315" s="42" t="n"/>
      <c r="CW315" s="42" t="n"/>
      <c r="CX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42" t="n"/>
      <c r="AJ316" s="42" t="n"/>
      <c r="AK316" s="42" t="n"/>
      <c r="AL316" s="42" t="n"/>
      <c r="AM316" s="42" t="n"/>
      <c r="AN316" s="42" t="n"/>
      <c r="AO316" s="42" t="n"/>
      <c r="AP316" s="42" t="n"/>
      <c r="AQ316" s="42" t="n"/>
      <c r="AR316" s="42" t="n"/>
      <c r="AS316" s="42" t="n"/>
      <c r="AT316" s="42" t="n"/>
      <c r="AU316" s="42" t="n"/>
      <c r="AV316" s="42" t="n"/>
      <c r="AW316" s="42" t="n"/>
      <c r="AX316" s="42" t="n"/>
      <c r="AY316" s="42" t="n"/>
      <c r="AZ316" s="42" t="n"/>
      <c r="BA316" s="42" t="n"/>
      <c r="BB316" s="42" t="n"/>
      <c r="BC316" s="42" t="n"/>
      <c r="BD316" s="42" t="n"/>
      <c r="BE316" s="42" t="n"/>
      <c r="BF316" s="42" t="n"/>
      <c r="BG316" s="42" t="n"/>
      <c r="BH316" s="42" t="n"/>
      <c r="BI316" s="42" t="n"/>
      <c r="BJ316" s="42" t="n"/>
      <c r="BK316" s="42" t="n"/>
      <c r="BL316" s="42" t="n"/>
      <c r="BM316" s="42" t="n"/>
      <c r="BN316" s="42" t="n"/>
      <c r="BO316" s="42" t="n"/>
      <c r="BP316" s="42" t="n"/>
      <c r="BQ316" s="42" t="n"/>
      <c r="BR316" s="42" t="n"/>
      <c r="BS316" s="42" t="n"/>
      <c r="BT316" s="42" t="n"/>
      <c r="BU316" s="42" t="n"/>
      <c r="BV316" s="42" t="n"/>
      <c r="BW316" s="42" t="n"/>
      <c r="BX316" s="42" t="n"/>
      <c r="BY316" s="42" t="n"/>
      <c r="BZ316" s="42" t="n"/>
      <c r="CA316" s="42" t="n"/>
      <c r="CB316" s="42" t="n"/>
      <c r="CC316" s="42" t="n"/>
      <c r="CD316" s="42" t="n"/>
      <c r="CE316" s="42" t="n"/>
      <c r="CF316" s="42" t="n"/>
      <c r="CG316" s="42" t="n"/>
      <c r="CH316" s="42" t="n"/>
      <c r="CI316" s="42" t="n"/>
      <c r="CJ316" s="42" t="n"/>
      <c r="CK316" s="42" t="n"/>
      <c r="CL316" s="42" t="n"/>
      <c r="CM316" s="42" t="n"/>
      <c r="CN316" s="42" t="n"/>
      <c r="CO316" s="42" t="n"/>
      <c r="CP316" s="42" t="n"/>
      <c r="CQ316" s="42" t="n"/>
      <c r="CR316" s="42" t="n"/>
      <c r="CS316" s="42" t="n"/>
      <c r="CT316" s="42" t="n"/>
      <c r="CU316" s="42" t="n"/>
      <c r="CV316" s="42" t="n"/>
      <c r="CW316" s="42" t="n"/>
      <c r="CX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42" t="n"/>
      <c r="AJ317" s="42" t="n"/>
      <c r="AK317" s="42" t="n"/>
      <c r="AL317" s="42" t="n"/>
      <c r="AM317" s="42" t="n"/>
      <c r="AN317" s="42" t="n"/>
      <c r="AO317" s="42" t="n"/>
      <c r="AP317" s="42" t="n"/>
      <c r="AQ317" s="42" t="n"/>
      <c r="AR317" s="42" t="n"/>
      <c r="AS317" s="42" t="n"/>
      <c r="AT317" s="42" t="n"/>
      <c r="AU317" s="42" t="n"/>
      <c r="AV317" s="42" t="n"/>
      <c r="AW317" s="42" t="n"/>
      <c r="AX317" s="42" t="n"/>
      <c r="AY317" s="42" t="n"/>
      <c r="AZ317" s="42" t="n"/>
      <c r="BA317" s="42" t="n"/>
      <c r="BB317" s="42" t="n"/>
      <c r="BC317" s="42" t="n"/>
      <c r="BD317" s="42" t="n"/>
      <c r="BE317" s="42" t="n"/>
      <c r="BF317" s="42" t="n"/>
      <c r="BG317" s="42" t="n"/>
      <c r="BH317" s="42" t="n"/>
      <c r="BI317" s="42" t="n"/>
      <c r="BJ317" s="42" t="n"/>
      <c r="BK317" s="42" t="n"/>
      <c r="BL317" s="42" t="n"/>
      <c r="BM317" s="42" t="n"/>
      <c r="BN317" s="42" t="n"/>
      <c r="BO317" s="42" t="n"/>
      <c r="BP317" s="42" t="n"/>
      <c r="BQ317" s="42" t="n"/>
      <c r="BR317" s="42" t="n"/>
      <c r="BS317" s="42" t="n"/>
      <c r="BT317" s="42" t="n"/>
      <c r="BU317" s="42" t="n"/>
      <c r="BV317" s="42" t="n"/>
      <c r="BW317" s="42" t="n"/>
      <c r="BX317" s="42" t="n"/>
      <c r="BY317" s="42" t="n"/>
      <c r="BZ317" s="42" t="n"/>
      <c r="CA317" s="42" t="n"/>
      <c r="CB317" s="42" t="n"/>
      <c r="CC317" s="42" t="n"/>
      <c r="CD317" s="42" t="n"/>
      <c r="CE317" s="42" t="n"/>
      <c r="CF317" s="42" t="n"/>
      <c r="CG317" s="42" t="n"/>
      <c r="CH317" s="42" t="n"/>
      <c r="CI317" s="42" t="n"/>
      <c r="CJ317" s="42" t="n"/>
      <c r="CK317" s="42" t="n"/>
      <c r="CL317" s="42" t="n"/>
      <c r="CM317" s="42" t="n"/>
      <c r="CN317" s="42" t="n"/>
      <c r="CO317" s="42" t="n"/>
      <c r="CP317" s="42" t="n"/>
      <c r="CQ317" s="42" t="n"/>
      <c r="CR317" s="42" t="n"/>
      <c r="CS317" s="42" t="n"/>
      <c r="CT317" s="42" t="n"/>
      <c r="CU317" s="42" t="n"/>
      <c r="CV317" s="42" t="n"/>
      <c r="CW317" s="42" t="n"/>
      <c r="CX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42" t="n"/>
      <c r="AJ318" s="42" t="n"/>
      <c r="AK318" s="42" t="n"/>
      <c r="AL318" s="42" t="n"/>
      <c r="AM318" s="42" t="n"/>
      <c r="AN318" s="42" t="n"/>
      <c r="AO318" s="42" t="n"/>
      <c r="AP318" s="42" t="n"/>
      <c r="AQ318" s="42" t="n"/>
      <c r="AR318" s="42" t="n"/>
      <c r="AS318" s="42" t="n"/>
      <c r="AT318" s="42" t="n"/>
      <c r="AU318" s="42" t="n"/>
      <c r="AV318" s="42" t="n"/>
      <c r="AW318" s="42" t="n"/>
      <c r="AX318" s="42" t="n"/>
      <c r="AY318" s="42" t="n"/>
      <c r="AZ318" s="42" t="n"/>
      <c r="BA318" s="42" t="n"/>
      <c r="BB318" s="42" t="n"/>
      <c r="BC318" s="42" t="n"/>
      <c r="BD318" s="42" t="n"/>
      <c r="BE318" s="42" t="n"/>
      <c r="BF318" s="42" t="n"/>
      <c r="BG318" s="42" t="n"/>
      <c r="BH318" s="42" t="n"/>
      <c r="BI318" s="42" t="n"/>
      <c r="BJ318" s="42" t="n"/>
      <c r="BK318" s="42" t="n"/>
      <c r="BL318" s="42" t="n"/>
      <c r="BM318" s="42" t="n"/>
      <c r="BN318" s="42" t="n"/>
      <c r="BO318" s="42" t="n"/>
      <c r="BP318" s="42" t="n"/>
      <c r="BQ318" s="42" t="n"/>
      <c r="BR318" s="42" t="n"/>
      <c r="BS318" s="42" t="n"/>
      <c r="BT318" s="42" t="n"/>
      <c r="BU318" s="42" t="n"/>
      <c r="BV318" s="42" t="n"/>
      <c r="BW318" s="42" t="n"/>
      <c r="BX318" s="42" t="n"/>
      <c r="BY318" s="42" t="n"/>
      <c r="BZ318" s="42" t="n"/>
      <c r="CA318" s="42" t="n"/>
      <c r="CB318" s="42" t="n"/>
      <c r="CC318" s="42" t="n"/>
      <c r="CD318" s="42" t="n"/>
      <c r="CE318" s="42" t="n"/>
      <c r="CF318" s="42" t="n"/>
      <c r="CG318" s="42" t="n"/>
      <c r="CH318" s="42" t="n"/>
      <c r="CI318" s="42" t="n"/>
      <c r="CJ318" s="42" t="n"/>
      <c r="CK318" s="42" t="n"/>
      <c r="CL318" s="42" t="n"/>
      <c r="CM318" s="42" t="n"/>
      <c r="CN318" s="42" t="n"/>
      <c r="CO318" s="42" t="n"/>
      <c r="CP318" s="42" t="n"/>
      <c r="CQ318" s="42" t="n"/>
      <c r="CR318" s="42" t="n"/>
      <c r="CS318" s="42" t="n"/>
      <c r="CT318" s="42" t="n"/>
      <c r="CU318" s="42" t="n"/>
      <c r="CV318" s="42" t="n"/>
      <c r="CW318" s="42" t="n"/>
      <c r="CX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42" t="n"/>
      <c r="AJ319" s="42" t="n"/>
      <c r="AK319" s="42" t="n"/>
      <c r="AL319" s="42" t="n"/>
      <c r="AM319" s="42" t="n"/>
      <c r="AN319" s="42" t="n"/>
      <c r="AO319" s="42" t="n"/>
      <c r="AP319" s="42" t="n"/>
      <c r="AQ319" s="42" t="n"/>
      <c r="AR319" s="42" t="n"/>
      <c r="AS319" s="42" t="n"/>
      <c r="AT319" s="42" t="n"/>
      <c r="AU319" s="42" t="n"/>
      <c r="AV319" s="42" t="n"/>
      <c r="AW319" s="42" t="n"/>
      <c r="AX319" s="42" t="n"/>
      <c r="AY319" s="42" t="n"/>
      <c r="AZ319" s="42" t="n"/>
      <c r="BA319" s="42" t="n"/>
      <c r="BB319" s="42" t="n"/>
      <c r="BC319" s="42" t="n"/>
      <c r="BD319" s="42" t="n"/>
      <c r="BE319" s="42" t="n"/>
      <c r="BF319" s="42" t="n"/>
      <c r="BG319" s="42" t="n"/>
      <c r="BH319" s="42" t="n"/>
      <c r="BI319" s="42" t="n"/>
      <c r="BJ319" s="42" t="n"/>
      <c r="BK319" s="42" t="n"/>
      <c r="BL319" s="42" t="n"/>
      <c r="BM319" s="42" t="n"/>
      <c r="BN319" s="42" t="n"/>
      <c r="BO319" s="42" t="n"/>
      <c r="BP319" s="42" t="n"/>
      <c r="BQ319" s="42" t="n"/>
      <c r="BR319" s="42" t="n"/>
      <c r="BS319" s="42" t="n"/>
      <c r="BT319" s="42" t="n"/>
      <c r="BU319" s="42" t="n"/>
      <c r="BV319" s="42" t="n"/>
      <c r="BW319" s="42" t="n"/>
      <c r="BX319" s="42" t="n"/>
      <c r="BY319" s="42" t="n"/>
      <c r="BZ319" s="42" t="n"/>
      <c r="CA319" s="42" t="n"/>
      <c r="CB319" s="42" t="n"/>
      <c r="CC319" s="42" t="n"/>
      <c r="CD319" s="42" t="n"/>
      <c r="CE319" s="42" t="n"/>
      <c r="CF319" s="42" t="n"/>
      <c r="CG319" s="42" t="n"/>
      <c r="CH319" s="42" t="n"/>
      <c r="CI319" s="42" t="n"/>
      <c r="CJ319" s="42" t="n"/>
      <c r="CK319" s="42" t="n"/>
      <c r="CL319" s="42" t="n"/>
      <c r="CM319" s="42" t="n"/>
      <c r="CN319" s="42" t="n"/>
      <c r="CO319" s="42" t="n"/>
      <c r="CP319" s="42" t="n"/>
      <c r="CQ319" s="42" t="n"/>
      <c r="CR319" s="42" t="n"/>
      <c r="CS319" s="42" t="n"/>
      <c r="CT319" s="42" t="n"/>
      <c r="CU319" s="42" t="n"/>
      <c r="CV319" s="42" t="n"/>
      <c r="CW319" s="42" t="n"/>
      <c r="CX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42" t="n"/>
      <c r="AJ320" s="42" t="n"/>
      <c r="AK320" s="42" t="n"/>
      <c r="AL320" s="42" t="n"/>
      <c r="AM320" s="42" t="n"/>
      <c r="AN320" s="42" t="n"/>
      <c r="AO320" s="42" t="n"/>
      <c r="AP320" s="42" t="n"/>
      <c r="AQ320" s="42" t="n"/>
      <c r="AR320" s="42" t="n"/>
      <c r="AS320" s="42" t="n"/>
      <c r="AT320" s="42" t="n"/>
      <c r="AU320" s="42" t="n"/>
      <c r="AV320" s="42" t="n"/>
      <c r="AW320" s="42" t="n"/>
      <c r="AX320" s="42" t="n"/>
      <c r="AY320" s="42" t="n"/>
      <c r="AZ320" s="42" t="n"/>
      <c r="BA320" s="42" t="n"/>
      <c r="BB320" s="42" t="n"/>
      <c r="BC320" s="42" t="n"/>
      <c r="BD320" s="42" t="n"/>
      <c r="BE320" s="42" t="n"/>
      <c r="BF320" s="42" t="n"/>
      <c r="BG320" s="42" t="n"/>
      <c r="BH320" s="42" t="n"/>
      <c r="BI320" s="42" t="n"/>
      <c r="BJ320" s="42" t="n"/>
      <c r="BK320" s="42" t="n"/>
      <c r="BL320" s="42" t="n"/>
      <c r="BM320" s="42" t="n"/>
      <c r="BN320" s="42" t="n"/>
      <c r="BO320" s="42" t="n"/>
      <c r="BP320" s="42" t="n"/>
      <c r="BQ320" s="42" t="n"/>
      <c r="BR320" s="42" t="n"/>
      <c r="BS320" s="42" t="n"/>
      <c r="BT320" s="42" t="n"/>
      <c r="BU320" s="42" t="n"/>
      <c r="BV320" s="42" t="n"/>
      <c r="BW320" s="42" t="n"/>
      <c r="BX320" s="42" t="n"/>
      <c r="BY320" s="42" t="n"/>
      <c r="BZ320" s="42" t="n"/>
      <c r="CA320" s="42" t="n"/>
      <c r="CB320" s="42" t="n"/>
      <c r="CC320" s="42" t="n"/>
      <c r="CD320" s="42" t="n"/>
      <c r="CE320" s="42" t="n"/>
      <c r="CF320" s="42" t="n"/>
      <c r="CG320" s="42" t="n"/>
      <c r="CH320" s="42" t="n"/>
      <c r="CI320" s="42" t="n"/>
      <c r="CJ320" s="42" t="n"/>
      <c r="CK320" s="42" t="n"/>
      <c r="CL320" s="42" t="n"/>
      <c r="CM320" s="42" t="n"/>
      <c r="CN320" s="42" t="n"/>
      <c r="CO320" s="42" t="n"/>
      <c r="CP320" s="42" t="n"/>
      <c r="CQ320" s="42" t="n"/>
      <c r="CR320" s="42" t="n"/>
      <c r="CS320" s="42" t="n"/>
      <c r="CT320" s="42" t="n"/>
      <c r="CU320" s="42" t="n"/>
      <c r="CV320" s="42" t="n"/>
      <c r="CW320" s="42" t="n"/>
      <c r="CX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42" t="n"/>
      <c r="AJ321" s="42" t="n"/>
      <c r="AK321" s="42" t="n"/>
      <c r="AL321" s="42" t="n"/>
      <c r="AM321" s="42" t="n"/>
      <c r="AN321" s="42" t="n"/>
      <c r="AO321" s="42" t="n"/>
      <c r="AP321" s="42" t="n"/>
      <c r="AQ321" s="42" t="n"/>
      <c r="AR321" s="42" t="n"/>
      <c r="AS321" s="42" t="n"/>
      <c r="AT321" s="42" t="n"/>
      <c r="AU321" s="42" t="n"/>
      <c r="AV321" s="42" t="n"/>
      <c r="AW321" s="42" t="n"/>
      <c r="AX321" s="42" t="n"/>
      <c r="AY321" s="42" t="n"/>
      <c r="AZ321" s="42" t="n"/>
      <c r="BA321" s="42" t="n"/>
      <c r="BB321" s="42" t="n"/>
      <c r="BC321" s="42" t="n"/>
      <c r="BD321" s="42" t="n"/>
      <c r="BE321" s="42" t="n"/>
      <c r="BF321" s="42" t="n"/>
      <c r="BG321" s="42" t="n"/>
      <c r="BH321" s="42" t="n"/>
      <c r="BI321" s="42" t="n"/>
      <c r="BJ321" s="42" t="n"/>
      <c r="BK321" s="42" t="n"/>
      <c r="BL321" s="42" t="n"/>
      <c r="BM321" s="42" t="n"/>
      <c r="BN321" s="42" t="n"/>
      <c r="BO321" s="42" t="n"/>
      <c r="BP321" s="42" t="n"/>
      <c r="BQ321" s="42" t="n"/>
      <c r="BR321" s="42" t="n"/>
      <c r="BS321" s="42" t="n"/>
      <c r="BT321" s="42" t="n"/>
      <c r="BU321" s="42" t="n"/>
      <c r="BV321" s="42" t="n"/>
      <c r="BW321" s="42" t="n"/>
      <c r="BX321" s="42" t="n"/>
      <c r="BY321" s="42" t="n"/>
      <c r="BZ321" s="42" t="n"/>
      <c r="CA321" s="42" t="n"/>
      <c r="CB321" s="42" t="n"/>
      <c r="CC321" s="42" t="n"/>
      <c r="CD321" s="42" t="n"/>
      <c r="CE321" s="42" t="n"/>
      <c r="CF321" s="42" t="n"/>
      <c r="CG321" s="42" t="n"/>
      <c r="CH321" s="42" t="n"/>
      <c r="CI321" s="42" t="n"/>
      <c r="CJ321" s="42" t="n"/>
      <c r="CK321" s="42" t="n"/>
      <c r="CL321" s="42" t="n"/>
      <c r="CM321" s="42" t="n"/>
      <c r="CN321" s="42" t="n"/>
      <c r="CO321" s="42" t="n"/>
      <c r="CP321" s="42" t="n"/>
      <c r="CQ321" s="42" t="n"/>
      <c r="CR321" s="42" t="n"/>
      <c r="CS321" s="42" t="n"/>
      <c r="CT321" s="42" t="n"/>
      <c r="CU321" s="42" t="n"/>
      <c r="CV321" s="42" t="n"/>
      <c r="CW321" s="42" t="n"/>
      <c r="CX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42" t="n"/>
      <c r="AJ322" s="42" t="n"/>
      <c r="AK322" s="42" t="n"/>
      <c r="AL322" s="42" t="n"/>
      <c r="AM322" s="42" t="n"/>
      <c r="AN322" s="42" t="n"/>
      <c r="AO322" s="42" t="n"/>
      <c r="AP322" s="42" t="n"/>
      <c r="AQ322" s="42" t="n"/>
      <c r="AR322" s="42" t="n"/>
      <c r="AS322" s="42" t="n"/>
      <c r="AT322" s="42" t="n"/>
      <c r="AU322" s="42" t="n"/>
      <c r="AV322" s="42" t="n"/>
      <c r="AW322" s="42" t="n"/>
      <c r="AX322" s="42" t="n"/>
      <c r="AY322" s="42" t="n"/>
      <c r="AZ322" s="42" t="n"/>
      <c r="BA322" s="42" t="n"/>
      <c r="BB322" s="42" t="n"/>
      <c r="BC322" s="42" t="n"/>
      <c r="BD322" s="42" t="n"/>
      <c r="BE322" s="42" t="n"/>
      <c r="BF322" s="42" t="n"/>
      <c r="BG322" s="42" t="n"/>
      <c r="BH322" s="42" t="n"/>
      <c r="BI322" s="42" t="n"/>
      <c r="BJ322" s="42" t="n"/>
      <c r="BK322" s="42" t="n"/>
      <c r="BL322" s="42" t="n"/>
      <c r="BM322" s="42" t="n"/>
      <c r="BN322" s="42" t="n"/>
      <c r="BO322" s="42" t="n"/>
      <c r="BP322" s="42" t="n"/>
      <c r="BQ322" s="42" t="n"/>
      <c r="BR322" s="42" t="n"/>
      <c r="BS322" s="42" t="n"/>
      <c r="BT322" s="42" t="n"/>
      <c r="BU322" s="42" t="n"/>
      <c r="BV322" s="42" t="n"/>
      <c r="BW322" s="42" t="n"/>
      <c r="BX322" s="42" t="n"/>
      <c r="BY322" s="42" t="n"/>
      <c r="BZ322" s="42" t="n"/>
      <c r="CA322" s="42" t="n"/>
      <c r="CB322" s="42" t="n"/>
      <c r="CC322" s="42" t="n"/>
      <c r="CD322" s="42" t="n"/>
      <c r="CE322" s="42" t="n"/>
      <c r="CF322" s="42" t="n"/>
      <c r="CG322" s="42" t="n"/>
      <c r="CH322" s="42" t="n"/>
      <c r="CI322" s="42" t="n"/>
      <c r="CJ322" s="42" t="n"/>
      <c r="CK322" s="42" t="n"/>
      <c r="CL322" s="42" t="n"/>
      <c r="CM322" s="42" t="n"/>
      <c r="CN322" s="42" t="n"/>
      <c r="CO322" s="42" t="n"/>
      <c r="CP322" s="42" t="n"/>
      <c r="CQ322" s="42" t="n"/>
      <c r="CR322" s="42" t="n"/>
      <c r="CS322" s="42" t="n"/>
      <c r="CT322" s="42" t="n"/>
      <c r="CU322" s="42" t="n"/>
      <c r="CV322" s="42" t="n"/>
      <c r="CW322" s="42" t="n"/>
      <c r="CX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42" t="n"/>
      <c r="AJ323" s="42" t="n"/>
      <c r="AK323" s="42" t="n"/>
      <c r="AL323" s="42" t="n"/>
      <c r="AM323" s="42" t="n"/>
      <c r="AN323" s="42" t="n"/>
      <c r="AO323" s="42" t="n"/>
      <c r="AP323" s="42" t="n"/>
      <c r="AQ323" s="42" t="n"/>
      <c r="AR323" s="42" t="n"/>
      <c r="AS323" s="42" t="n"/>
      <c r="AT323" s="42" t="n"/>
      <c r="AU323" s="42" t="n"/>
      <c r="AV323" s="42" t="n"/>
      <c r="AW323" s="42" t="n"/>
      <c r="AX323" s="42" t="n"/>
      <c r="AY323" s="42" t="n"/>
      <c r="AZ323" s="42" t="n"/>
      <c r="BA323" s="42" t="n"/>
      <c r="BB323" s="42" t="n"/>
      <c r="BC323" s="42" t="n"/>
      <c r="BD323" s="42" t="n"/>
      <c r="BE323" s="42" t="n"/>
      <c r="BF323" s="42" t="n"/>
      <c r="BG323" s="42" t="n"/>
      <c r="BH323" s="42" t="n"/>
      <c r="BI323" s="42" t="n"/>
      <c r="BJ323" s="42" t="n"/>
      <c r="BK323" s="42" t="n"/>
      <c r="BL323" s="42" t="n"/>
      <c r="BM323" s="42" t="n"/>
      <c r="BN323" s="42" t="n"/>
      <c r="BO323" s="42" t="n"/>
      <c r="BP323" s="42" t="n"/>
      <c r="BQ323" s="42" t="n"/>
      <c r="BR323" s="42" t="n"/>
      <c r="BS323" s="42" t="n"/>
      <c r="BT323" s="42" t="n"/>
      <c r="BU323" s="42" t="n"/>
      <c r="BV323" s="42" t="n"/>
      <c r="BW323" s="42" t="n"/>
      <c r="BX323" s="42" t="n"/>
      <c r="BY323" s="42" t="n"/>
      <c r="BZ323" s="42" t="n"/>
      <c r="CA323" s="42" t="n"/>
      <c r="CB323" s="42" t="n"/>
      <c r="CC323" s="42" t="n"/>
      <c r="CD323" s="42" t="n"/>
      <c r="CE323" s="42" t="n"/>
      <c r="CF323" s="42" t="n"/>
      <c r="CG323" s="42" t="n"/>
      <c r="CH323" s="42" t="n"/>
      <c r="CI323" s="42" t="n"/>
      <c r="CJ323" s="42" t="n"/>
      <c r="CK323" s="42" t="n"/>
      <c r="CL323" s="42" t="n"/>
      <c r="CM323" s="42" t="n"/>
      <c r="CN323" s="42" t="n"/>
      <c r="CO323" s="42" t="n"/>
      <c r="CP323" s="42" t="n"/>
      <c r="CQ323" s="42" t="n"/>
      <c r="CR323" s="42" t="n"/>
      <c r="CS323" s="42" t="n"/>
      <c r="CT323" s="42" t="n"/>
      <c r="CU323" s="42" t="n"/>
      <c r="CV323" s="42" t="n"/>
      <c r="CW323" s="42" t="n"/>
      <c r="CX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42" t="n"/>
      <c r="AJ324" s="42" t="n"/>
      <c r="AK324" s="42" t="n"/>
      <c r="AL324" s="42" t="n"/>
      <c r="AM324" s="42" t="n"/>
      <c r="AN324" s="42" t="n"/>
      <c r="AO324" s="42" t="n"/>
      <c r="AP324" s="42" t="n"/>
      <c r="AQ324" s="42" t="n"/>
      <c r="AR324" s="42" t="n"/>
      <c r="AS324" s="42" t="n"/>
      <c r="AT324" s="42" t="n"/>
      <c r="AU324" s="42" t="n"/>
      <c r="AV324" s="42" t="n"/>
      <c r="AW324" s="42" t="n"/>
      <c r="AX324" s="42" t="n"/>
      <c r="AY324" s="42" t="n"/>
      <c r="AZ324" s="42" t="n"/>
      <c r="BA324" s="42" t="n"/>
      <c r="BB324" s="42" t="n"/>
      <c r="BC324" s="42" t="n"/>
      <c r="BD324" s="42" t="n"/>
      <c r="BE324" s="42" t="n"/>
      <c r="BF324" s="42" t="n"/>
      <c r="BG324" s="42" t="n"/>
      <c r="BH324" s="42" t="n"/>
      <c r="BI324" s="42" t="n"/>
      <c r="BJ324" s="42" t="n"/>
      <c r="BK324" s="42" t="n"/>
      <c r="BL324" s="42" t="n"/>
      <c r="BM324" s="42" t="n"/>
      <c r="BN324" s="42" t="n"/>
      <c r="BO324" s="42" t="n"/>
      <c r="BP324" s="42" t="n"/>
      <c r="BQ324" s="42" t="n"/>
      <c r="BR324" s="42" t="n"/>
      <c r="BS324" s="42" t="n"/>
      <c r="BT324" s="42" t="n"/>
      <c r="BU324" s="42" t="n"/>
      <c r="BV324" s="42" t="n"/>
      <c r="BW324" s="42" t="n"/>
      <c r="BX324" s="42" t="n"/>
      <c r="BY324" s="42" t="n"/>
      <c r="BZ324" s="42" t="n"/>
      <c r="CA324" s="42" t="n"/>
      <c r="CB324" s="42" t="n"/>
      <c r="CC324" s="42" t="n"/>
      <c r="CD324" s="42" t="n"/>
      <c r="CE324" s="42" t="n"/>
      <c r="CF324" s="42" t="n"/>
      <c r="CG324" s="42" t="n"/>
      <c r="CH324" s="42" t="n"/>
      <c r="CI324" s="42" t="n"/>
      <c r="CJ324" s="42" t="n"/>
      <c r="CK324" s="42" t="n"/>
      <c r="CL324" s="42" t="n"/>
      <c r="CM324" s="42" t="n"/>
      <c r="CN324" s="42" t="n"/>
      <c r="CO324" s="42" t="n"/>
      <c r="CP324" s="42" t="n"/>
      <c r="CQ324" s="42" t="n"/>
      <c r="CR324" s="42" t="n"/>
      <c r="CS324" s="42" t="n"/>
      <c r="CT324" s="42" t="n"/>
      <c r="CU324" s="42" t="n"/>
      <c r="CV324" s="42" t="n"/>
      <c r="CW324" s="42" t="n"/>
      <c r="CX324" s="42" t="n"/>
    </row>
    <row r="325" ht="15.75" customHeight="1" s="25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42" t="n"/>
      <c r="AJ325" s="42" t="n"/>
      <c r="AK325" s="42" t="n"/>
      <c r="AL325" s="42" t="n"/>
      <c r="AM325" s="42" t="n"/>
      <c r="AN325" s="42" t="n"/>
      <c r="AO325" s="42" t="n"/>
      <c r="AP325" s="42" t="n"/>
      <c r="AQ325" s="42" t="n"/>
      <c r="AR325" s="42" t="n"/>
      <c r="AS325" s="42" t="n"/>
      <c r="AT325" s="42" t="n"/>
      <c r="AU325" s="42" t="n"/>
      <c r="AV325" s="42" t="n"/>
      <c r="AW325" s="42" t="n"/>
      <c r="AX325" s="42" t="n"/>
      <c r="AY325" s="42" t="n"/>
      <c r="AZ325" s="42" t="n"/>
      <c r="BA325" s="42" t="n"/>
      <c r="BB325" s="42" t="n"/>
      <c r="BC325" s="42" t="n"/>
      <c r="BD325" s="42" t="n"/>
      <c r="BE325" s="42" t="n"/>
      <c r="BF325" s="42" t="n"/>
      <c r="BG325" s="42" t="n"/>
      <c r="BH325" s="42" t="n"/>
      <c r="BI325" s="42" t="n"/>
      <c r="BJ325" s="42" t="n"/>
      <c r="BK325" s="42" t="n"/>
      <c r="BL325" s="42" t="n"/>
      <c r="BM325" s="42" t="n"/>
      <c r="BN325" s="42" t="n"/>
      <c r="BO325" s="42" t="n"/>
      <c r="BP325" s="42" t="n"/>
      <c r="BQ325" s="42" t="n"/>
      <c r="BR325" s="42" t="n"/>
      <c r="BS325" s="42" t="n"/>
      <c r="BT325" s="42" t="n"/>
      <c r="BU325" s="42" t="n"/>
      <c r="BV325" s="42" t="n"/>
      <c r="BW325" s="42" t="n"/>
      <c r="BX325" s="42" t="n"/>
      <c r="BY325" s="42" t="n"/>
      <c r="BZ325" s="42" t="n"/>
      <c r="CA325" s="42" t="n"/>
      <c r="CB325" s="42" t="n"/>
      <c r="CC325" s="42" t="n"/>
      <c r="CD325" s="42" t="n"/>
      <c r="CE325" s="42" t="n"/>
      <c r="CF325" s="42" t="n"/>
      <c r="CG325" s="42" t="n"/>
      <c r="CH325" s="42" t="n"/>
      <c r="CI325" s="42" t="n"/>
      <c r="CJ325" s="42" t="n"/>
      <c r="CK325" s="42" t="n"/>
      <c r="CL325" s="42" t="n"/>
      <c r="CM325" s="42" t="n"/>
      <c r="CN325" s="42" t="n"/>
      <c r="CO325" s="42" t="n"/>
      <c r="CP325" s="42" t="n"/>
      <c r="CQ325" s="42" t="n"/>
      <c r="CR325" s="42" t="n"/>
      <c r="CS325" s="42" t="n"/>
      <c r="CT325" s="42" t="n"/>
      <c r="CU325" s="42" t="n"/>
      <c r="CV325" s="42" t="n"/>
      <c r="CW325" s="42" t="n"/>
      <c r="CX325" s="42" t="n"/>
    </row>
    <row r="326" ht="15.75" customHeight="1" s="255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42" t="n"/>
      <c r="AJ326" s="42" t="n"/>
      <c r="AK326" s="42" t="n"/>
      <c r="AL326" s="42" t="n"/>
      <c r="AM326" s="42" t="n"/>
      <c r="AN326" s="42" t="n"/>
      <c r="AO326" s="42" t="n"/>
      <c r="AP326" s="42" t="n"/>
      <c r="AQ326" s="42" t="n"/>
      <c r="AR326" s="42" t="n"/>
      <c r="AS326" s="42" t="n"/>
      <c r="AT326" s="42" t="n"/>
      <c r="AU326" s="42" t="n"/>
      <c r="AV326" s="42" t="n"/>
      <c r="AW326" s="42" t="n"/>
      <c r="AX326" s="42" t="n"/>
      <c r="AY326" s="42" t="n"/>
      <c r="AZ326" s="42" t="n"/>
      <c r="BA326" s="42" t="n"/>
      <c r="BB326" s="42" t="n"/>
      <c r="BC326" s="42" t="n"/>
      <c r="BD326" s="42" t="n"/>
      <c r="BE326" s="42" t="n"/>
      <c r="BF326" s="42" t="n"/>
      <c r="BG326" s="42" t="n"/>
      <c r="BH326" s="42" t="n"/>
      <c r="BI326" s="42" t="n"/>
      <c r="BJ326" s="42" t="n"/>
      <c r="BK326" s="42" t="n"/>
      <c r="BL326" s="42" t="n"/>
      <c r="BM326" s="42" t="n"/>
      <c r="BN326" s="42" t="n"/>
      <c r="BO326" s="42" t="n"/>
      <c r="BP326" s="42" t="n"/>
      <c r="BQ326" s="42" t="n"/>
      <c r="BR326" s="42" t="n"/>
      <c r="BS326" s="42" t="n"/>
      <c r="BT326" s="42" t="n"/>
      <c r="BU326" s="42" t="n"/>
      <c r="BV326" s="42" t="n"/>
      <c r="BW326" s="42" t="n"/>
      <c r="BX326" s="42" t="n"/>
      <c r="BY326" s="42" t="n"/>
      <c r="BZ326" s="42" t="n"/>
      <c r="CA326" s="42" t="n"/>
      <c r="CB326" s="42" t="n"/>
      <c r="CC326" s="42" t="n"/>
      <c r="CD326" s="42" t="n"/>
      <c r="CE326" s="42" t="n"/>
      <c r="CF326" s="42" t="n"/>
      <c r="CG326" s="42" t="n"/>
      <c r="CH326" s="42" t="n"/>
      <c r="CI326" s="42" t="n"/>
      <c r="CJ326" s="42" t="n"/>
      <c r="CK326" s="42" t="n"/>
      <c r="CL326" s="42" t="n"/>
      <c r="CM326" s="42" t="n"/>
      <c r="CN326" s="42" t="n"/>
      <c r="CO326" s="42" t="n"/>
      <c r="CP326" s="42" t="n"/>
      <c r="CQ326" s="42" t="n"/>
      <c r="CR326" s="42" t="n"/>
      <c r="CS326" s="42" t="n"/>
      <c r="CT326" s="42" t="n"/>
      <c r="CU326" s="42" t="n"/>
      <c r="CV326" s="42" t="n"/>
      <c r="CW326" s="42" t="n"/>
      <c r="CX326" s="42" t="n"/>
    </row>
    <row r="327" ht="15.75" customHeight="1" s="255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42" t="n"/>
      <c r="AJ327" s="42" t="n"/>
      <c r="AK327" s="42" t="n"/>
      <c r="AL327" s="42" t="n"/>
      <c r="AM327" s="42" t="n"/>
      <c r="AN327" s="42" t="n"/>
      <c r="AO327" s="42" t="n"/>
      <c r="AP327" s="42" t="n"/>
      <c r="AQ327" s="42" t="n"/>
      <c r="AR327" s="42" t="n"/>
      <c r="AS327" s="42" t="n"/>
      <c r="AT327" s="42" t="n"/>
      <c r="AU327" s="42" t="n"/>
      <c r="AV327" s="42" t="n"/>
      <c r="AW327" s="42" t="n"/>
      <c r="AX327" s="42" t="n"/>
      <c r="AY327" s="42" t="n"/>
      <c r="AZ327" s="42" t="n"/>
      <c r="BA327" s="42" t="n"/>
      <c r="BB327" s="42" t="n"/>
      <c r="BC327" s="42" t="n"/>
      <c r="BD327" s="42" t="n"/>
      <c r="BE327" s="42" t="n"/>
      <c r="BF327" s="42" t="n"/>
      <c r="BG327" s="42" t="n"/>
      <c r="BH327" s="42" t="n"/>
      <c r="BI327" s="42" t="n"/>
      <c r="BJ327" s="42" t="n"/>
      <c r="BK327" s="42" t="n"/>
      <c r="BL327" s="42" t="n"/>
      <c r="BM327" s="42" t="n"/>
      <c r="BN327" s="42" t="n"/>
      <c r="BO327" s="42" t="n"/>
      <c r="BP327" s="42" t="n"/>
      <c r="BQ327" s="42" t="n"/>
      <c r="BR327" s="42" t="n"/>
      <c r="BS327" s="42" t="n"/>
      <c r="BT327" s="42" t="n"/>
      <c r="BU327" s="42" t="n"/>
      <c r="BV327" s="42" t="n"/>
      <c r="BW327" s="42" t="n"/>
      <c r="BX327" s="42" t="n"/>
      <c r="BY327" s="42" t="n"/>
      <c r="BZ327" s="42" t="n"/>
      <c r="CA327" s="42" t="n"/>
      <c r="CB327" s="42" t="n"/>
      <c r="CC327" s="42" t="n"/>
      <c r="CD327" s="42" t="n"/>
      <c r="CE327" s="42" t="n"/>
      <c r="CF327" s="42" t="n"/>
      <c r="CG327" s="42" t="n"/>
      <c r="CH327" s="42" t="n"/>
      <c r="CI327" s="42" t="n"/>
      <c r="CJ327" s="42" t="n"/>
      <c r="CK327" s="42" t="n"/>
      <c r="CL327" s="42" t="n"/>
      <c r="CM327" s="42" t="n"/>
      <c r="CN327" s="42" t="n"/>
      <c r="CO327" s="42" t="n"/>
      <c r="CP327" s="42" t="n"/>
      <c r="CQ327" s="42" t="n"/>
      <c r="CR327" s="42" t="n"/>
      <c r="CS327" s="42" t="n"/>
      <c r="CT327" s="42" t="n"/>
      <c r="CU327" s="42" t="n"/>
      <c r="CV327" s="42" t="n"/>
      <c r="CW327" s="42" t="n"/>
      <c r="CX327" s="42" t="n"/>
    </row>
    <row r="328" ht="15.75" customHeight="1" s="255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42" t="n"/>
      <c r="AJ328" s="42" t="n"/>
      <c r="AK328" s="42" t="n"/>
      <c r="AL328" s="42" t="n"/>
      <c r="AM328" s="42" t="n"/>
      <c r="AN328" s="42" t="n"/>
      <c r="AO328" s="42" t="n"/>
      <c r="AP328" s="42" t="n"/>
      <c r="AQ328" s="42" t="n"/>
      <c r="AR328" s="42" t="n"/>
      <c r="AS328" s="42" t="n"/>
      <c r="AT328" s="42" t="n"/>
      <c r="AU328" s="42" t="n"/>
      <c r="AV328" s="42" t="n"/>
      <c r="AW328" s="42" t="n"/>
      <c r="AX328" s="42" t="n"/>
      <c r="AY328" s="42" t="n"/>
      <c r="AZ328" s="42" t="n"/>
      <c r="BA328" s="42" t="n"/>
      <c r="BB328" s="42" t="n"/>
      <c r="BC328" s="42" t="n"/>
      <c r="BD328" s="42" t="n"/>
      <c r="BE328" s="42" t="n"/>
      <c r="BF328" s="42" t="n"/>
      <c r="BG328" s="42" t="n"/>
      <c r="BH328" s="42" t="n"/>
      <c r="BI328" s="42" t="n"/>
      <c r="BJ328" s="42" t="n"/>
      <c r="BK328" s="42" t="n"/>
      <c r="BL328" s="42" t="n"/>
      <c r="BM328" s="42" t="n"/>
      <c r="BN328" s="42" t="n"/>
      <c r="BO328" s="42" t="n"/>
      <c r="BP328" s="42" t="n"/>
      <c r="BQ328" s="42" t="n"/>
      <c r="BR328" s="42" t="n"/>
      <c r="BS328" s="42" t="n"/>
      <c r="BT328" s="42" t="n"/>
      <c r="BU328" s="42" t="n"/>
      <c r="BV328" s="42" t="n"/>
      <c r="BW328" s="42" t="n"/>
      <c r="BX328" s="42" t="n"/>
      <c r="BY328" s="42" t="n"/>
      <c r="BZ328" s="42" t="n"/>
      <c r="CA328" s="42" t="n"/>
      <c r="CB328" s="42" t="n"/>
      <c r="CC328" s="42" t="n"/>
      <c r="CD328" s="42" t="n"/>
      <c r="CE328" s="42" t="n"/>
      <c r="CF328" s="42" t="n"/>
      <c r="CG328" s="42" t="n"/>
      <c r="CH328" s="42" t="n"/>
      <c r="CI328" s="42" t="n"/>
      <c r="CJ328" s="42" t="n"/>
      <c r="CK328" s="42" t="n"/>
      <c r="CL328" s="42" t="n"/>
      <c r="CM328" s="42" t="n"/>
      <c r="CN328" s="42" t="n"/>
      <c r="CO328" s="42" t="n"/>
      <c r="CP328" s="42" t="n"/>
      <c r="CQ328" s="42" t="n"/>
      <c r="CR328" s="42" t="n"/>
      <c r="CS328" s="42" t="n"/>
      <c r="CT328" s="42" t="n"/>
      <c r="CU328" s="42" t="n"/>
      <c r="CV328" s="42" t="n"/>
      <c r="CW328" s="42" t="n"/>
      <c r="CX328" s="42" t="n"/>
    </row>
    <row r="329" ht="15.75" customHeight="1" s="255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42" t="n"/>
      <c r="AJ329" s="42" t="n"/>
      <c r="AK329" s="42" t="n"/>
      <c r="AL329" s="42" t="n"/>
      <c r="AM329" s="42" t="n"/>
      <c r="AN329" s="42" t="n"/>
      <c r="AO329" s="42" t="n"/>
      <c r="AP329" s="42" t="n"/>
      <c r="AQ329" s="42" t="n"/>
      <c r="AR329" s="42" t="n"/>
      <c r="AS329" s="42" t="n"/>
      <c r="AT329" s="42" t="n"/>
      <c r="AU329" s="42" t="n"/>
      <c r="AV329" s="42" t="n"/>
      <c r="AW329" s="42" t="n"/>
      <c r="AX329" s="42" t="n"/>
      <c r="AY329" s="42" t="n"/>
      <c r="AZ329" s="42" t="n"/>
      <c r="BA329" s="42" t="n"/>
      <c r="BB329" s="42" t="n"/>
      <c r="BC329" s="42" t="n"/>
      <c r="BD329" s="42" t="n"/>
      <c r="BE329" s="42" t="n"/>
      <c r="BF329" s="42" t="n"/>
      <c r="BG329" s="42" t="n"/>
      <c r="BH329" s="42" t="n"/>
      <c r="BI329" s="42" t="n"/>
      <c r="BJ329" s="42" t="n"/>
      <c r="BK329" s="42" t="n"/>
      <c r="BL329" s="42" t="n"/>
      <c r="BM329" s="42" t="n"/>
      <c r="BN329" s="42" t="n"/>
      <c r="BO329" s="42" t="n"/>
      <c r="BP329" s="42" t="n"/>
      <c r="BQ329" s="42" t="n"/>
      <c r="BR329" s="42" t="n"/>
      <c r="BS329" s="42" t="n"/>
      <c r="BT329" s="42" t="n"/>
      <c r="BU329" s="42" t="n"/>
      <c r="BV329" s="42" t="n"/>
      <c r="BW329" s="42" t="n"/>
      <c r="BX329" s="42" t="n"/>
      <c r="BY329" s="42" t="n"/>
      <c r="BZ329" s="42" t="n"/>
      <c r="CA329" s="42" t="n"/>
      <c r="CB329" s="42" t="n"/>
      <c r="CC329" s="42" t="n"/>
      <c r="CD329" s="42" t="n"/>
      <c r="CE329" s="42" t="n"/>
      <c r="CF329" s="42" t="n"/>
      <c r="CG329" s="42" t="n"/>
      <c r="CH329" s="42" t="n"/>
      <c r="CI329" s="42" t="n"/>
      <c r="CJ329" s="42" t="n"/>
      <c r="CK329" s="42" t="n"/>
      <c r="CL329" s="42" t="n"/>
      <c r="CM329" s="42" t="n"/>
      <c r="CN329" s="42" t="n"/>
      <c r="CO329" s="42" t="n"/>
      <c r="CP329" s="42" t="n"/>
      <c r="CQ329" s="42" t="n"/>
      <c r="CR329" s="42" t="n"/>
      <c r="CS329" s="42" t="n"/>
      <c r="CT329" s="42" t="n"/>
      <c r="CU329" s="42" t="n"/>
      <c r="CV329" s="42" t="n"/>
      <c r="CW329" s="42" t="n"/>
      <c r="CX329" s="42" t="n"/>
    </row>
    <row r="330" ht="15.75" customHeight="1" s="255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42" t="n"/>
      <c r="AJ330" s="42" t="n"/>
      <c r="AK330" s="42" t="n"/>
      <c r="AL330" s="42" t="n"/>
      <c r="AM330" s="42" t="n"/>
      <c r="AN330" s="42" t="n"/>
      <c r="AO330" s="42" t="n"/>
      <c r="AP330" s="42" t="n"/>
      <c r="AQ330" s="42" t="n"/>
      <c r="AR330" s="42" t="n"/>
      <c r="AS330" s="42" t="n"/>
      <c r="AT330" s="42" t="n"/>
      <c r="AU330" s="42" t="n"/>
      <c r="AV330" s="42" t="n"/>
      <c r="AW330" s="42" t="n"/>
      <c r="AX330" s="42" t="n"/>
      <c r="AY330" s="42" t="n"/>
      <c r="AZ330" s="42" t="n"/>
      <c r="BA330" s="42" t="n"/>
      <c r="BB330" s="42" t="n"/>
      <c r="BC330" s="42" t="n"/>
      <c r="BD330" s="42" t="n"/>
      <c r="BE330" s="42" t="n"/>
      <c r="BF330" s="42" t="n"/>
      <c r="BG330" s="42" t="n"/>
      <c r="BH330" s="42" t="n"/>
      <c r="BI330" s="42" t="n"/>
      <c r="BJ330" s="42" t="n"/>
      <c r="BK330" s="42" t="n"/>
      <c r="BL330" s="42" t="n"/>
      <c r="BM330" s="42" t="n"/>
      <c r="BN330" s="42" t="n"/>
      <c r="BO330" s="42" t="n"/>
      <c r="BP330" s="42" t="n"/>
      <c r="BQ330" s="42" t="n"/>
      <c r="BR330" s="42" t="n"/>
      <c r="BS330" s="42" t="n"/>
      <c r="BT330" s="42" t="n"/>
      <c r="BU330" s="42" t="n"/>
      <c r="BV330" s="42" t="n"/>
      <c r="BW330" s="42" t="n"/>
      <c r="BX330" s="42" t="n"/>
      <c r="BY330" s="42" t="n"/>
      <c r="BZ330" s="42" t="n"/>
      <c r="CA330" s="42" t="n"/>
      <c r="CB330" s="42" t="n"/>
      <c r="CC330" s="42" t="n"/>
      <c r="CD330" s="42" t="n"/>
      <c r="CE330" s="42" t="n"/>
      <c r="CF330" s="42" t="n"/>
      <c r="CG330" s="42" t="n"/>
      <c r="CH330" s="42" t="n"/>
      <c r="CI330" s="42" t="n"/>
      <c r="CJ330" s="42" t="n"/>
      <c r="CK330" s="42" t="n"/>
      <c r="CL330" s="42" t="n"/>
      <c r="CM330" s="42" t="n"/>
      <c r="CN330" s="42" t="n"/>
      <c r="CO330" s="42" t="n"/>
      <c r="CP330" s="42" t="n"/>
      <c r="CQ330" s="42" t="n"/>
      <c r="CR330" s="42" t="n"/>
      <c r="CS330" s="42" t="n"/>
      <c r="CT330" s="42" t="n"/>
      <c r="CU330" s="42" t="n"/>
      <c r="CV330" s="42" t="n"/>
      <c r="CW330" s="42" t="n"/>
      <c r="CX330" s="42" t="n"/>
    </row>
    <row r="331" ht="15.75" customHeight="1" s="255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42" t="n"/>
      <c r="AJ331" s="42" t="n"/>
      <c r="AK331" s="42" t="n"/>
      <c r="AL331" s="42" t="n"/>
      <c r="AM331" s="42" t="n"/>
      <c r="AN331" s="42" t="n"/>
      <c r="AO331" s="42" t="n"/>
      <c r="AP331" s="42" t="n"/>
      <c r="AQ331" s="42" t="n"/>
      <c r="AR331" s="42" t="n"/>
      <c r="AS331" s="42" t="n"/>
      <c r="AT331" s="42" t="n"/>
      <c r="AU331" s="42" t="n"/>
      <c r="AV331" s="42" t="n"/>
      <c r="AW331" s="42" t="n"/>
      <c r="AX331" s="42" t="n"/>
      <c r="AY331" s="42" t="n"/>
      <c r="AZ331" s="42" t="n"/>
      <c r="BA331" s="42" t="n"/>
      <c r="BB331" s="42" t="n"/>
      <c r="BC331" s="42" t="n"/>
      <c r="BD331" s="42" t="n"/>
      <c r="BE331" s="42" t="n"/>
      <c r="BF331" s="42" t="n"/>
      <c r="BG331" s="42" t="n"/>
      <c r="BH331" s="42" t="n"/>
      <c r="BI331" s="42" t="n"/>
      <c r="BJ331" s="42" t="n"/>
      <c r="BK331" s="42" t="n"/>
      <c r="BL331" s="42" t="n"/>
      <c r="BM331" s="42" t="n"/>
      <c r="BN331" s="42" t="n"/>
      <c r="BO331" s="42" t="n"/>
      <c r="BP331" s="42" t="n"/>
      <c r="BQ331" s="42" t="n"/>
      <c r="BR331" s="42" t="n"/>
      <c r="BS331" s="42" t="n"/>
      <c r="BT331" s="42" t="n"/>
      <c r="BU331" s="42" t="n"/>
      <c r="BV331" s="42" t="n"/>
      <c r="BW331" s="42" t="n"/>
      <c r="BX331" s="42" t="n"/>
      <c r="BY331" s="42" t="n"/>
      <c r="BZ331" s="42" t="n"/>
      <c r="CA331" s="42" t="n"/>
      <c r="CB331" s="42" t="n"/>
      <c r="CC331" s="42" t="n"/>
      <c r="CD331" s="42" t="n"/>
      <c r="CE331" s="42" t="n"/>
      <c r="CF331" s="42" t="n"/>
      <c r="CG331" s="42" t="n"/>
      <c r="CH331" s="42" t="n"/>
      <c r="CI331" s="42" t="n"/>
      <c r="CJ331" s="42" t="n"/>
      <c r="CK331" s="42" t="n"/>
      <c r="CL331" s="42" t="n"/>
      <c r="CM331" s="42" t="n"/>
      <c r="CN331" s="42" t="n"/>
      <c r="CO331" s="42" t="n"/>
      <c r="CP331" s="42" t="n"/>
      <c r="CQ331" s="42" t="n"/>
      <c r="CR331" s="42" t="n"/>
      <c r="CS331" s="42" t="n"/>
      <c r="CT331" s="42" t="n"/>
      <c r="CU331" s="42" t="n"/>
      <c r="CV331" s="42" t="n"/>
      <c r="CW331" s="42" t="n"/>
      <c r="CX331" s="42" t="n"/>
    </row>
    <row r="332" ht="15.75" customHeight="1" s="255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42" t="n"/>
      <c r="AJ332" s="42" t="n"/>
      <c r="AK332" s="42" t="n"/>
      <c r="AL332" s="42" t="n"/>
      <c r="AM332" s="42" t="n"/>
      <c r="AN332" s="42" t="n"/>
      <c r="AO332" s="42" t="n"/>
      <c r="AP332" s="42" t="n"/>
      <c r="AQ332" s="42" t="n"/>
      <c r="AR332" s="42" t="n"/>
      <c r="AS332" s="42" t="n"/>
      <c r="AT332" s="42" t="n"/>
      <c r="AU332" s="42" t="n"/>
      <c r="AV332" s="42" t="n"/>
      <c r="AW332" s="42" t="n"/>
      <c r="AX332" s="42" t="n"/>
      <c r="AY332" s="42" t="n"/>
      <c r="AZ332" s="42" t="n"/>
      <c r="BA332" s="42" t="n"/>
      <c r="BB332" s="42" t="n"/>
      <c r="BC332" s="42" t="n"/>
      <c r="BD332" s="42" t="n"/>
      <c r="BE332" s="42" t="n"/>
      <c r="BF332" s="42" t="n"/>
      <c r="BG332" s="42" t="n"/>
      <c r="BH332" s="42" t="n"/>
      <c r="BI332" s="42" t="n"/>
      <c r="BJ332" s="42" t="n"/>
      <c r="BK332" s="42" t="n"/>
      <c r="BL332" s="42" t="n"/>
      <c r="BM332" s="42" t="n"/>
      <c r="BN332" s="42" t="n"/>
      <c r="BO332" s="42" t="n"/>
      <c r="BP332" s="42" t="n"/>
      <c r="BQ332" s="42" t="n"/>
      <c r="BR332" s="42" t="n"/>
      <c r="BS332" s="42" t="n"/>
      <c r="BT332" s="42" t="n"/>
      <c r="BU332" s="42" t="n"/>
      <c r="BV332" s="42" t="n"/>
      <c r="BW332" s="42" t="n"/>
      <c r="BX332" s="42" t="n"/>
      <c r="BY332" s="42" t="n"/>
      <c r="BZ332" s="42" t="n"/>
      <c r="CA332" s="42" t="n"/>
      <c r="CB332" s="42" t="n"/>
      <c r="CC332" s="42" t="n"/>
      <c r="CD332" s="42" t="n"/>
      <c r="CE332" s="42" t="n"/>
      <c r="CF332" s="42" t="n"/>
      <c r="CG332" s="42" t="n"/>
      <c r="CH332" s="42" t="n"/>
      <c r="CI332" s="42" t="n"/>
      <c r="CJ332" s="42" t="n"/>
      <c r="CK332" s="42" t="n"/>
      <c r="CL332" s="42" t="n"/>
      <c r="CM332" s="42" t="n"/>
      <c r="CN332" s="42" t="n"/>
      <c r="CO332" s="42" t="n"/>
      <c r="CP332" s="42" t="n"/>
      <c r="CQ332" s="42" t="n"/>
      <c r="CR332" s="42" t="n"/>
      <c r="CS332" s="42" t="n"/>
      <c r="CT332" s="42" t="n"/>
      <c r="CU332" s="42" t="n"/>
      <c r="CV332" s="42" t="n"/>
      <c r="CW332" s="42" t="n"/>
      <c r="CX332" s="42" t="n"/>
    </row>
    <row r="333" ht="15.75" customHeight="1" s="255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42" t="n"/>
      <c r="AJ333" s="42" t="n"/>
      <c r="AK333" s="42" t="n"/>
      <c r="AL333" s="42" t="n"/>
      <c r="AM333" s="42" t="n"/>
      <c r="AN333" s="42" t="n"/>
      <c r="AO333" s="42" t="n"/>
      <c r="AP333" s="42" t="n"/>
      <c r="AQ333" s="42" t="n"/>
      <c r="AR333" s="42" t="n"/>
      <c r="AS333" s="42" t="n"/>
      <c r="AT333" s="42" t="n"/>
      <c r="AU333" s="42" t="n"/>
      <c r="AV333" s="42" t="n"/>
      <c r="AW333" s="42" t="n"/>
      <c r="AX333" s="42" t="n"/>
      <c r="AY333" s="42" t="n"/>
      <c r="AZ333" s="42" t="n"/>
      <c r="BA333" s="42" t="n"/>
      <c r="BB333" s="42" t="n"/>
      <c r="BC333" s="42" t="n"/>
      <c r="BD333" s="42" t="n"/>
      <c r="BE333" s="42" t="n"/>
      <c r="BF333" s="42" t="n"/>
      <c r="BG333" s="42" t="n"/>
      <c r="BH333" s="42" t="n"/>
      <c r="BI333" s="42" t="n"/>
      <c r="BJ333" s="42" t="n"/>
      <c r="BK333" s="42" t="n"/>
      <c r="BL333" s="42" t="n"/>
      <c r="BM333" s="42" t="n"/>
      <c r="BN333" s="42" t="n"/>
      <c r="BO333" s="42" t="n"/>
      <c r="BP333" s="42" t="n"/>
      <c r="BQ333" s="42" t="n"/>
      <c r="BR333" s="42" t="n"/>
      <c r="BS333" s="42" t="n"/>
      <c r="BT333" s="42" t="n"/>
      <c r="BU333" s="42" t="n"/>
      <c r="BV333" s="42" t="n"/>
      <c r="BW333" s="42" t="n"/>
      <c r="BX333" s="42" t="n"/>
      <c r="BY333" s="42" t="n"/>
      <c r="BZ333" s="42" t="n"/>
      <c r="CA333" s="42" t="n"/>
      <c r="CB333" s="42" t="n"/>
      <c r="CC333" s="42" t="n"/>
      <c r="CD333" s="42" t="n"/>
      <c r="CE333" s="42" t="n"/>
      <c r="CF333" s="42" t="n"/>
      <c r="CG333" s="42" t="n"/>
      <c r="CH333" s="42" t="n"/>
      <c r="CI333" s="42" t="n"/>
      <c r="CJ333" s="42" t="n"/>
      <c r="CK333" s="42" t="n"/>
      <c r="CL333" s="42" t="n"/>
      <c r="CM333" s="42" t="n"/>
      <c r="CN333" s="42" t="n"/>
      <c r="CO333" s="42" t="n"/>
      <c r="CP333" s="42" t="n"/>
      <c r="CQ333" s="42" t="n"/>
      <c r="CR333" s="42" t="n"/>
      <c r="CS333" s="42" t="n"/>
      <c r="CT333" s="42" t="n"/>
      <c r="CU333" s="42" t="n"/>
      <c r="CV333" s="42" t="n"/>
      <c r="CW333" s="42" t="n"/>
      <c r="CX333" s="42" t="n"/>
    </row>
    <row r="334" ht="15.75" customHeight="1" s="255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42" t="n"/>
      <c r="AJ334" s="42" t="n"/>
      <c r="AK334" s="42" t="n"/>
      <c r="AL334" s="42" t="n"/>
      <c r="AM334" s="42" t="n"/>
      <c r="AN334" s="42" t="n"/>
      <c r="AO334" s="42" t="n"/>
      <c r="AP334" s="42" t="n"/>
      <c r="AQ334" s="42" t="n"/>
      <c r="AR334" s="42" t="n"/>
      <c r="AS334" s="42" t="n"/>
      <c r="AT334" s="42" t="n"/>
      <c r="AU334" s="42" t="n"/>
      <c r="AV334" s="42" t="n"/>
      <c r="AW334" s="42" t="n"/>
      <c r="AX334" s="42" t="n"/>
      <c r="AY334" s="42" t="n"/>
      <c r="AZ334" s="42" t="n"/>
      <c r="BA334" s="42" t="n"/>
      <c r="BB334" s="42" t="n"/>
      <c r="BC334" s="42" t="n"/>
      <c r="BD334" s="42" t="n"/>
      <c r="BE334" s="42" t="n"/>
      <c r="BF334" s="42" t="n"/>
      <c r="BG334" s="42" t="n"/>
      <c r="BH334" s="42" t="n"/>
      <c r="BI334" s="42" t="n"/>
      <c r="BJ334" s="42" t="n"/>
      <c r="BK334" s="42" t="n"/>
      <c r="BL334" s="42" t="n"/>
      <c r="BM334" s="42" t="n"/>
      <c r="BN334" s="42" t="n"/>
      <c r="BO334" s="42" t="n"/>
      <c r="BP334" s="42" t="n"/>
      <c r="BQ334" s="42" t="n"/>
      <c r="BR334" s="42" t="n"/>
      <c r="BS334" s="42" t="n"/>
      <c r="BT334" s="42" t="n"/>
      <c r="BU334" s="42" t="n"/>
      <c r="BV334" s="42" t="n"/>
      <c r="BW334" s="42" t="n"/>
      <c r="BX334" s="42" t="n"/>
      <c r="BY334" s="42" t="n"/>
      <c r="BZ334" s="42" t="n"/>
      <c r="CA334" s="42" t="n"/>
      <c r="CB334" s="42" t="n"/>
      <c r="CC334" s="42" t="n"/>
      <c r="CD334" s="42" t="n"/>
      <c r="CE334" s="42" t="n"/>
      <c r="CF334" s="42" t="n"/>
      <c r="CG334" s="42" t="n"/>
      <c r="CH334" s="42" t="n"/>
      <c r="CI334" s="42" t="n"/>
      <c r="CJ334" s="42" t="n"/>
      <c r="CK334" s="42" t="n"/>
      <c r="CL334" s="42" t="n"/>
      <c r="CM334" s="42" t="n"/>
      <c r="CN334" s="42" t="n"/>
      <c r="CO334" s="42" t="n"/>
      <c r="CP334" s="42" t="n"/>
      <c r="CQ334" s="42" t="n"/>
      <c r="CR334" s="42" t="n"/>
      <c r="CS334" s="42" t="n"/>
      <c r="CT334" s="42" t="n"/>
      <c r="CU334" s="42" t="n"/>
      <c r="CV334" s="42" t="n"/>
      <c r="CW334" s="42" t="n"/>
      <c r="CX334" s="42" t="n"/>
    </row>
    <row r="335" ht="15.75" customHeight="1" s="25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2" t="n"/>
      <c r="AR335" s="42" t="n"/>
      <c r="AS335" s="42" t="n"/>
      <c r="AT335" s="42" t="n"/>
      <c r="AU335" s="42" t="n"/>
      <c r="AV335" s="42" t="n"/>
      <c r="AW335" s="42" t="n"/>
      <c r="AX335" s="42" t="n"/>
      <c r="AY335" s="42" t="n"/>
      <c r="AZ335" s="42" t="n"/>
      <c r="BA335" s="42" t="n"/>
      <c r="BB335" s="42" t="n"/>
      <c r="BC335" s="42" t="n"/>
      <c r="BD335" s="42" t="n"/>
      <c r="BE335" s="42" t="n"/>
      <c r="BF335" s="42" t="n"/>
      <c r="BG335" s="42" t="n"/>
      <c r="BH335" s="42" t="n"/>
      <c r="BI335" s="42" t="n"/>
      <c r="BJ335" s="42" t="n"/>
      <c r="BK335" s="42" t="n"/>
      <c r="BL335" s="42" t="n"/>
      <c r="BM335" s="42" t="n"/>
      <c r="BN335" s="42" t="n"/>
      <c r="BO335" s="42" t="n"/>
      <c r="BP335" s="42" t="n"/>
      <c r="BQ335" s="42" t="n"/>
      <c r="BR335" s="42" t="n"/>
      <c r="BS335" s="42" t="n"/>
      <c r="BT335" s="42" t="n"/>
      <c r="BU335" s="42" t="n"/>
      <c r="BV335" s="42" t="n"/>
      <c r="BW335" s="42" t="n"/>
      <c r="BX335" s="42" t="n"/>
      <c r="BY335" s="42" t="n"/>
      <c r="BZ335" s="42" t="n"/>
      <c r="CA335" s="42" t="n"/>
      <c r="CB335" s="42" t="n"/>
      <c r="CC335" s="42" t="n"/>
      <c r="CD335" s="42" t="n"/>
      <c r="CE335" s="42" t="n"/>
      <c r="CF335" s="42" t="n"/>
      <c r="CG335" s="42" t="n"/>
      <c r="CH335" s="42" t="n"/>
      <c r="CI335" s="42" t="n"/>
      <c r="CJ335" s="42" t="n"/>
      <c r="CK335" s="42" t="n"/>
      <c r="CL335" s="42" t="n"/>
      <c r="CM335" s="42" t="n"/>
      <c r="CN335" s="42" t="n"/>
      <c r="CO335" s="42" t="n"/>
      <c r="CP335" s="42" t="n"/>
      <c r="CQ335" s="42" t="n"/>
      <c r="CR335" s="42" t="n"/>
      <c r="CS335" s="42" t="n"/>
      <c r="CT335" s="42" t="n"/>
      <c r="CU335" s="42" t="n"/>
      <c r="CV335" s="42" t="n"/>
      <c r="CW335" s="42" t="n"/>
      <c r="CX335" s="42" t="n"/>
    </row>
    <row r="336" ht="15.75" customHeight="1" s="255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42" t="n"/>
      <c r="AJ336" s="42" t="n"/>
      <c r="AK336" s="42" t="n"/>
      <c r="AL336" s="42" t="n"/>
      <c r="AM336" s="42" t="n"/>
      <c r="AN336" s="42" t="n"/>
      <c r="AO336" s="42" t="n"/>
      <c r="AP336" s="42" t="n"/>
      <c r="AQ336" s="42" t="n"/>
      <c r="AR336" s="42" t="n"/>
      <c r="AS336" s="42" t="n"/>
      <c r="AT336" s="42" t="n"/>
      <c r="AU336" s="42" t="n"/>
      <c r="AV336" s="42" t="n"/>
      <c r="AW336" s="42" t="n"/>
      <c r="AX336" s="42" t="n"/>
      <c r="AY336" s="42" t="n"/>
      <c r="AZ336" s="42" t="n"/>
      <c r="BA336" s="42" t="n"/>
      <c r="BB336" s="42" t="n"/>
      <c r="BC336" s="42" t="n"/>
      <c r="BD336" s="42" t="n"/>
      <c r="BE336" s="42" t="n"/>
      <c r="BF336" s="42" t="n"/>
      <c r="BG336" s="42" t="n"/>
      <c r="BH336" s="42" t="n"/>
      <c r="BI336" s="42" t="n"/>
      <c r="BJ336" s="42" t="n"/>
      <c r="BK336" s="42" t="n"/>
      <c r="BL336" s="42" t="n"/>
      <c r="BM336" s="42" t="n"/>
      <c r="BN336" s="42" t="n"/>
      <c r="BO336" s="42" t="n"/>
      <c r="BP336" s="42" t="n"/>
      <c r="BQ336" s="42" t="n"/>
      <c r="BR336" s="42" t="n"/>
      <c r="BS336" s="42" t="n"/>
      <c r="BT336" s="42" t="n"/>
      <c r="BU336" s="42" t="n"/>
      <c r="BV336" s="42" t="n"/>
      <c r="BW336" s="42" t="n"/>
      <c r="BX336" s="42" t="n"/>
      <c r="BY336" s="42" t="n"/>
      <c r="BZ336" s="42" t="n"/>
      <c r="CA336" s="42" t="n"/>
      <c r="CB336" s="42" t="n"/>
      <c r="CC336" s="42" t="n"/>
      <c r="CD336" s="42" t="n"/>
      <c r="CE336" s="42" t="n"/>
      <c r="CF336" s="42" t="n"/>
      <c r="CG336" s="42" t="n"/>
      <c r="CH336" s="42" t="n"/>
      <c r="CI336" s="42" t="n"/>
      <c r="CJ336" s="42" t="n"/>
      <c r="CK336" s="42" t="n"/>
      <c r="CL336" s="42" t="n"/>
      <c r="CM336" s="42" t="n"/>
      <c r="CN336" s="42" t="n"/>
      <c r="CO336" s="42" t="n"/>
      <c r="CP336" s="42" t="n"/>
      <c r="CQ336" s="42" t="n"/>
      <c r="CR336" s="42" t="n"/>
      <c r="CS336" s="42" t="n"/>
      <c r="CT336" s="42" t="n"/>
      <c r="CU336" s="42" t="n"/>
      <c r="CV336" s="42" t="n"/>
      <c r="CW336" s="42" t="n"/>
      <c r="CX336" s="42" t="n"/>
    </row>
    <row r="337" ht="15.75" customHeight="1" s="255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42" t="n"/>
      <c r="AJ337" s="42" t="n"/>
      <c r="AK337" s="42" t="n"/>
      <c r="AL337" s="42" t="n"/>
      <c r="AM337" s="42" t="n"/>
      <c r="AN337" s="42" t="n"/>
      <c r="AO337" s="42" t="n"/>
      <c r="AP337" s="42" t="n"/>
      <c r="AQ337" s="42" t="n"/>
      <c r="AR337" s="42" t="n"/>
      <c r="AS337" s="42" t="n"/>
      <c r="AT337" s="42" t="n"/>
      <c r="AU337" s="42" t="n"/>
      <c r="AV337" s="42" t="n"/>
      <c r="AW337" s="42" t="n"/>
      <c r="AX337" s="42" t="n"/>
      <c r="AY337" s="42" t="n"/>
      <c r="AZ337" s="42" t="n"/>
      <c r="BA337" s="42" t="n"/>
      <c r="BB337" s="42" t="n"/>
      <c r="BC337" s="42" t="n"/>
      <c r="BD337" s="42" t="n"/>
      <c r="BE337" s="42" t="n"/>
      <c r="BF337" s="42" t="n"/>
      <c r="BG337" s="42" t="n"/>
      <c r="BH337" s="42" t="n"/>
      <c r="BI337" s="42" t="n"/>
      <c r="BJ337" s="42" t="n"/>
      <c r="BK337" s="42" t="n"/>
      <c r="BL337" s="42" t="n"/>
      <c r="BM337" s="42" t="n"/>
      <c r="BN337" s="42" t="n"/>
      <c r="BO337" s="42" t="n"/>
      <c r="BP337" s="42" t="n"/>
      <c r="BQ337" s="42" t="n"/>
      <c r="BR337" s="42" t="n"/>
      <c r="BS337" s="42" t="n"/>
      <c r="BT337" s="42" t="n"/>
      <c r="BU337" s="42" t="n"/>
      <c r="BV337" s="42" t="n"/>
      <c r="BW337" s="42" t="n"/>
      <c r="BX337" s="42" t="n"/>
      <c r="BY337" s="42" t="n"/>
      <c r="BZ337" s="42" t="n"/>
      <c r="CA337" s="42" t="n"/>
      <c r="CB337" s="42" t="n"/>
      <c r="CC337" s="42" t="n"/>
      <c r="CD337" s="42" t="n"/>
      <c r="CE337" s="42" t="n"/>
      <c r="CF337" s="42" t="n"/>
      <c r="CG337" s="42" t="n"/>
      <c r="CH337" s="42" t="n"/>
      <c r="CI337" s="42" t="n"/>
      <c r="CJ337" s="42" t="n"/>
      <c r="CK337" s="42" t="n"/>
      <c r="CL337" s="42" t="n"/>
      <c r="CM337" s="42" t="n"/>
      <c r="CN337" s="42" t="n"/>
      <c r="CO337" s="42" t="n"/>
      <c r="CP337" s="42" t="n"/>
      <c r="CQ337" s="42" t="n"/>
      <c r="CR337" s="42" t="n"/>
      <c r="CS337" s="42" t="n"/>
      <c r="CT337" s="42" t="n"/>
      <c r="CU337" s="42" t="n"/>
      <c r="CV337" s="42" t="n"/>
      <c r="CW337" s="42" t="n"/>
      <c r="CX337" s="42" t="n"/>
    </row>
    <row r="338" ht="15.75" customHeight="1" s="255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42" t="n"/>
      <c r="AJ338" s="42" t="n"/>
      <c r="AK338" s="42" t="n"/>
      <c r="AL338" s="42" t="n"/>
      <c r="AM338" s="42" t="n"/>
      <c r="AN338" s="42" t="n"/>
      <c r="AO338" s="42" t="n"/>
      <c r="AP338" s="42" t="n"/>
      <c r="AQ338" s="42" t="n"/>
      <c r="AR338" s="42" t="n"/>
      <c r="AS338" s="42" t="n"/>
      <c r="AT338" s="42" t="n"/>
      <c r="AU338" s="42" t="n"/>
      <c r="AV338" s="42" t="n"/>
      <c r="AW338" s="42" t="n"/>
      <c r="AX338" s="42" t="n"/>
      <c r="AY338" s="42" t="n"/>
      <c r="AZ338" s="42" t="n"/>
      <c r="BA338" s="42" t="n"/>
      <c r="BB338" s="42" t="n"/>
      <c r="BC338" s="42" t="n"/>
      <c r="BD338" s="42" t="n"/>
      <c r="BE338" s="42" t="n"/>
      <c r="BF338" s="42" t="n"/>
      <c r="BG338" s="42" t="n"/>
      <c r="BH338" s="42" t="n"/>
      <c r="BI338" s="42" t="n"/>
      <c r="BJ338" s="42" t="n"/>
      <c r="BK338" s="42" t="n"/>
      <c r="BL338" s="42" t="n"/>
      <c r="BM338" s="42" t="n"/>
      <c r="BN338" s="42" t="n"/>
      <c r="BO338" s="42" t="n"/>
      <c r="BP338" s="42" t="n"/>
      <c r="BQ338" s="42" t="n"/>
      <c r="BR338" s="42" t="n"/>
      <c r="BS338" s="42" t="n"/>
      <c r="BT338" s="42" t="n"/>
      <c r="BU338" s="42" t="n"/>
      <c r="BV338" s="42" t="n"/>
      <c r="BW338" s="42" t="n"/>
      <c r="BX338" s="42" t="n"/>
      <c r="BY338" s="42" t="n"/>
      <c r="BZ338" s="42" t="n"/>
      <c r="CA338" s="42" t="n"/>
      <c r="CB338" s="42" t="n"/>
      <c r="CC338" s="42" t="n"/>
      <c r="CD338" s="42" t="n"/>
      <c r="CE338" s="42" t="n"/>
      <c r="CF338" s="42" t="n"/>
      <c r="CG338" s="42" t="n"/>
      <c r="CH338" s="42" t="n"/>
      <c r="CI338" s="42" t="n"/>
      <c r="CJ338" s="42" t="n"/>
      <c r="CK338" s="42" t="n"/>
      <c r="CL338" s="42" t="n"/>
      <c r="CM338" s="42" t="n"/>
      <c r="CN338" s="42" t="n"/>
      <c r="CO338" s="42" t="n"/>
      <c r="CP338" s="42" t="n"/>
      <c r="CQ338" s="42" t="n"/>
      <c r="CR338" s="42" t="n"/>
      <c r="CS338" s="42" t="n"/>
      <c r="CT338" s="42" t="n"/>
      <c r="CU338" s="42" t="n"/>
      <c r="CV338" s="42" t="n"/>
      <c r="CW338" s="42" t="n"/>
      <c r="CX338" s="42" t="n"/>
    </row>
    <row r="339" ht="15.75" customHeight="1" s="255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42" t="n"/>
      <c r="AJ339" s="42" t="n"/>
      <c r="AK339" s="42" t="n"/>
      <c r="AL339" s="42" t="n"/>
      <c r="AM339" s="42" t="n"/>
      <c r="AN339" s="42" t="n"/>
      <c r="AO339" s="42" t="n"/>
      <c r="AP339" s="42" t="n"/>
      <c r="AQ339" s="42" t="n"/>
      <c r="AR339" s="42" t="n"/>
      <c r="AS339" s="42" t="n"/>
      <c r="AT339" s="42" t="n"/>
      <c r="AU339" s="42" t="n"/>
      <c r="AV339" s="42" t="n"/>
      <c r="AW339" s="42" t="n"/>
      <c r="AX339" s="42" t="n"/>
      <c r="AY339" s="42" t="n"/>
      <c r="AZ339" s="42" t="n"/>
      <c r="BA339" s="42" t="n"/>
      <c r="BB339" s="42" t="n"/>
      <c r="BC339" s="42" t="n"/>
      <c r="BD339" s="42" t="n"/>
      <c r="BE339" s="42" t="n"/>
      <c r="BF339" s="42" t="n"/>
      <c r="BG339" s="42" t="n"/>
      <c r="BH339" s="42" t="n"/>
      <c r="BI339" s="42" t="n"/>
      <c r="BJ339" s="42" t="n"/>
      <c r="BK339" s="42" t="n"/>
      <c r="BL339" s="42" t="n"/>
      <c r="BM339" s="42" t="n"/>
      <c r="BN339" s="42" t="n"/>
      <c r="BO339" s="42" t="n"/>
      <c r="BP339" s="42" t="n"/>
      <c r="BQ339" s="42" t="n"/>
      <c r="BR339" s="42" t="n"/>
      <c r="BS339" s="42" t="n"/>
      <c r="BT339" s="42" t="n"/>
      <c r="BU339" s="42" t="n"/>
      <c r="BV339" s="42" t="n"/>
      <c r="BW339" s="42" t="n"/>
      <c r="BX339" s="42" t="n"/>
      <c r="BY339" s="42" t="n"/>
      <c r="BZ339" s="42" t="n"/>
      <c r="CA339" s="42" t="n"/>
      <c r="CB339" s="42" t="n"/>
      <c r="CC339" s="42" t="n"/>
      <c r="CD339" s="42" t="n"/>
      <c r="CE339" s="42" t="n"/>
      <c r="CF339" s="42" t="n"/>
      <c r="CG339" s="42" t="n"/>
      <c r="CH339" s="42" t="n"/>
      <c r="CI339" s="42" t="n"/>
      <c r="CJ339" s="42" t="n"/>
      <c r="CK339" s="42" t="n"/>
      <c r="CL339" s="42" t="n"/>
      <c r="CM339" s="42" t="n"/>
      <c r="CN339" s="42" t="n"/>
      <c r="CO339" s="42" t="n"/>
      <c r="CP339" s="42" t="n"/>
      <c r="CQ339" s="42" t="n"/>
      <c r="CR339" s="42" t="n"/>
      <c r="CS339" s="42" t="n"/>
      <c r="CT339" s="42" t="n"/>
      <c r="CU339" s="42" t="n"/>
      <c r="CV339" s="42" t="n"/>
      <c r="CW339" s="42" t="n"/>
      <c r="CX339" s="42" t="n"/>
    </row>
    <row r="340" ht="15.75" customHeight="1" s="255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42" t="n"/>
      <c r="AJ340" s="42" t="n"/>
      <c r="AK340" s="42" t="n"/>
      <c r="AL340" s="42" t="n"/>
      <c r="AM340" s="42" t="n"/>
      <c r="AN340" s="42" t="n"/>
      <c r="AO340" s="42" t="n"/>
      <c r="AP340" s="42" t="n"/>
      <c r="AQ340" s="42" t="n"/>
      <c r="AR340" s="42" t="n"/>
      <c r="AS340" s="42" t="n"/>
      <c r="AT340" s="42" t="n"/>
      <c r="AU340" s="42" t="n"/>
      <c r="AV340" s="42" t="n"/>
      <c r="AW340" s="42" t="n"/>
      <c r="AX340" s="42" t="n"/>
      <c r="AY340" s="42" t="n"/>
      <c r="AZ340" s="42" t="n"/>
      <c r="BA340" s="42" t="n"/>
      <c r="BB340" s="42" t="n"/>
      <c r="BC340" s="42" t="n"/>
      <c r="BD340" s="42" t="n"/>
      <c r="BE340" s="42" t="n"/>
      <c r="BF340" s="42" t="n"/>
      <c r="BG340" s="42" t="n"/>
      <c r="BH340" s="42" t="n"/>
      <c r="BI340" s="42" t="n"/>
      <c r="BJ340" s="42" t="n"/>
      <c r="BK340" s="42" t="n"/>
      <c r="BL340" s="42" t="n"/>
      <c r="BM340" s="42" t="n"/>
      <c r="BN340" s="42" t="n"/>
      <c r="BO340" s="42" t="n"/>
      <c r="BP340" s="42" t="n"/>
      <c r="BQ340" s="42" t="n"/>
      <c r="BR340" s="42" t="n"/>
      <c r="BS340" s="42" t="n"/>
      <c r="BT340" s="42" t="n"/>
      <c r="BU340" s="42" t="n"/>
      <c r="BV340" s="42" t="n"/>
      <c r="BW340" s="42" t="n"/>
      <c r="BX340" s="42" t="n"/>
      <c r="BY340" s="42" t="n"/>
      <c r="BZ340" s="42" t="n"/>
      <c r="CA340" s="42" t="n"/>
      <c r="CB340" s="42" t="n"/>
      <c r="CC340" s="42" t="n"/>
      <c r="CD340" s="42" t="n"/>
      <c r="CE340" s="42" t="n"/>
      <c r="CF340" s="42" t="n"/>
      <c r="CG340" s="42" t="n"/>
      <c r="CH340" s="42" t="n"/>
      <c r="CI340" s="42" t="n"/>
      <c r="CJ340" s="42" t="n"/>
      <c r="CK340" s="42" t="n"/>
      <c r="CL340" s="42" t="n"/>
      <c r="CM340" s="42" t="n"/>
      <c r="CN340" s="42" t="n"/>
      <c r="CO340" s="42" t="n"/>
      <c r="CP340" s="42" t="n"/>
      <c r="CQ340" s="42" t="n"/>
      <c r="CR340" s="42" t="n"/>
      <c r="CS340" s="42" t="n"/>
      <c r="CT340" s="42" t="n"/>
      <c r="CU340" s="42" t="n"/>
      <c r="CV340" s="42" t="n"/>
      <c r="CW340" s="42" t="n"/>
      <c r="CX340" s="42" t="n"/>
    </row>
    <row r="341" ht="15.75" customHeight="1" s="255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42" t="n"/>
      <c r="AJ341" s="42" t="n"/>
      <c r="AK341" s="42" t="n"/>
      <c r="AL341" s="42" t="n"/>
      <c r="AM341" s="42" t="n"/>
      <c r="AN341" s="42" t="n"/>
      <c r="AO341" s="42" t="n"/>
      <c r="AP341" s="42" t="n"/>
      <c r="AQ341" s="42" t="n"/>
      <c r="AR341" s="42" t="n"/>
      <c r="AS341" s="42" t="n"/>
      <c r="AT341" s="42" t="n"/>
      <c r="AU341" s="42" t="n"/>
      <c r="AV341" s="42" t="n"/>
      <c r="AW341" s="42" t="n"/>
      <c r="AX341" s="42" t="n"/>
      <c r="AY341" s="42" t="n"/>
      <c r="AZ341" s="42" t="n"/>
      <c r="BA341" s="42" t="n"/>
      <c r="BB341" s="42" t="n"/>
      <c r="BC341" s="42" t="n"/>
      <c r="BD341" s="42" t="n"/>
      <c r="BE341" s="42" t="n"/>
      <c r="BF341" s="42" t="n"/>
      <c r="BG341" s="42" t="n"/>
      <c r="BH341" s="42" t="n"/>
      <c r="BI341" s="42" t="n"/>
      <c r="BJ341" s="42" t="n"/>
      <c r="BK341" s="42" t="n"/>
      <c r="BL341" s="42" t="n"/>
      <c r="BM341" s="42" t="n"/>
      <c r="BN341" s="42" t="n"/>
      <c r="BO341" s="42" t="n"/>
      <c r="BP341" s="42" t="n"/>
      <c r="BQ341" s="42" t="n"/>
      <c r="BR341" s="42" t="n"/>
      <c r="BS341" s="42" t="n"/>
      <c r="BT341" s="42" t="n"/>
      <c r="BU341" s="42" t="n"/>
      <c r="BV341" s="42" t="n"/>
      <c r="BW341" s="42" t="n"/>
      <c r="BX341" s="42" t="n"/>
      <c r="BY341" s="42" t="n"/>
      <c r="BZ341" s="42" t="n"/>
      <c r="CA341" s="42" t="n"/>
      <c r="CB341" s="42" t="n"/>
      <c r="CC341" s="42" t="n"/>
      <c r="CD341" s="42" t="n"/>
      <c r="CE341" s="42" t="n"/>
      <c r="CF341" s="42" t="n"/>
      <c r="CG341" s="42" t="n"/>
      <c r="CH341" s="42" t="n"/>
      <c r="CI341" s="42" t="n"/>
      <c r="CJ341" s="42" t="n"/>
      <c r="CK341" s="42" t="n"/>
      <c r="CL341" s="42" t="n"/>
      <c r="CM341" s="42" t="n"/>
      <c r="CN341" s="42" t="n"/>
      <c r="CO341" s="42" t="n"/>
      <c r="CP341" s="42" t="n"/>
      <c r="CQ341" s="42" t="n"/>
      <c r="CR341" s="42" t="n"/>
      <c r="CS341" s="42" t="n"/>
      <c r="CT341" s="42" t="n"/>
      <c r="CU341" s="42" t="n"/>
      <c r="CV341" s="42" t="n"/>
      <c r="CW341" s="42" t="n"/>
      <c r="CX341" s="42" t="n"/>
    </row>
    <row r="342" ht="15.75" customHeight="1" s="255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42" t="n"/>
      <c r="AJ342" s="42" t="n"/>
      <c r="AK342" s="42" t="n"/>
      <c r="AL342" s="42" t="n"/>
      <c r="AM342" s="42" t="n"/>
      <c r="AN342" s="42" t="n"/>
      <c r="AO342" s="42" t="n"/>
      <c r="AP342" s="42" t="n"/>
      <c r="AQ342" s="42" t="n"/>
      <c r="AR342" s="42" t="n"/>
      <c r="AS342" s="42" t="n"/>
      <c r="AT342" s="42" t="n"/>
      <c r="AU342" s="42" t="n"/>
      <c r="AV342" s="42" t="n"/>
      <c r="AW342" s="42" t="n"/>
      <c r="AX342" s="42" t="n"/>
      <c r="AY342" s="42" t="n"/>
      <c r="AZ342" s="42" t="n"/>
      <c r="BA342" s="42" t="n"/>
      <c r="BB342" s="42" t="n"/>
      <c r="BC342" s="42" t="n"/>
      <c r="BD342" s="42" t="n"/>
      <c r="BE342" s="42" t="n"/>
      <c r="BF342" s="42" t="n"/>
      <c r="BG342" s="42" t="n"/>
      <c r="BH342" s="42" t="n"/>
      <c r="BI342" s="42" t="n"/>
      <c r="BJ342" s="42" t="n"/>
      <c r="BK342" s="42" t="n"/>
      <c r="BL342" s="42" t="n"/>
      <c r="BM342" s="42" t="n"/>
      <c r="BN342" s="42" t="n"/>
      <c r="BO342" s="42" t="n"/>
      <c r="BP342" s="42" t="n"/>
      <c r="BQ342" s="42" t="n"/>
      <c r="BR342" s="42" t="n"/>
      <c r="BS342" s="42" t="n"/>
      <c r="BT342" s="42" t="n"/>
      <c r="BU342" s="42" t="n"/>
      <c r="BV342" s="42" t="n"/>
      <c r="BW342" s="42" t="n"/>
      <c r="BX342" s="42" t="n"/>
      <c r="BY342" s="42" t="n"/>
      <c r="BZ342" s="42" t="n"/>
      <c r="CA342" s="42" t="n"/>
      <c r="CB342" s="42" t="n"/>
      <c r="CC342" s="42" t="n"/>
      <c r="CD342" s="42" t="n"/>
      <c r="CE342" s="42" t="n"/>
      <c r="CF342" s="42" t="n"/>
      <c r="CG342" s="42" t="n"/>
      <c r="CH342" s="42" t="n"/>
      <c r="CI342" s="42" t="n"/>
      <c r="CJ342" s="42" t="n"/>
      <c r="CK342" s="42" t="n"/>
      <c r="CL342" s="42" t="n"/>
      <c r="CM342" s="42" t="n"/>
      <c r="CN342" s="42" t="n"/>
      <c r="CO342" s="42" t="n"/>
      <c r="CP342" s="42" t="n"/>
      <c r="CQ342" s="42" t="n"/>
      <c r="CR342" s="42" t="n"/>
      <c r="CS342" s="42" t="n"/>
      <c r="CT342" s="42" t="n"/>
      <c r="CU342" s="42" t="n"/>
      <c r="CV342" s="42" t="n"/>
      <c r="CW342" s="42" t="n"/>
      <c r="CX342" s="42" t="n"/>
    </row>
    <row r="343" ht="15.75" customHeight="1" s="255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42" t="n"/>
      <c r="AJ343" s="42" t="n"/>
      <c r="AK343" s="42" t="n"/>
      <c r="AL343" s="42" t="n"/>
      <c r="AM343" s="42" t="n"/>
      <c r="AN343" s="42" t="n"/>
      <c r="AO343" s="42" t="n"/>
      <c r="AP343" s="42" t="n"/>
      <c r="AQ343" s="42" t="n"/>
      <c r="AR343" s="42" t="n"/>
      <c r="AS343" s="42" t="n"/>
      <c r="AT343" s="42" t="n"/>
      <c r="AU343" s="42" t="n"/>
      <c r="AV343" s="42" t="n"/>
      <c r="AW343" s="42" t="n"/>
      <c r="AX343" s="42" t="n"/>
      <c r="AY343" s="42" t="n"/>
      <c r="AZ343" s="42" t="n"/>
      <c r="BA343" s="42" t="n"/>
      <c r="BB343" s="42" t="n"/>
      <c r="BC343" s="42" t="n"/>
      <c r="BD343" s="42" t="n"/>
      <c r="BE343" s="42" t="n"/>
      <c r="BF343" s="42" t="n"/>
      <c r="BG343" s="42" t="n"/>
      <c r="BH343" s="42" t="n"/>
      <c r="BI343" s="42" t="n"/>
      <c r="BJ343" s="42" t="n"/>
      <c r="BK343" s="42" t="n"/>
      <c r="BL343" s="42" t="n"/>
      <c r="BM343" s="42" t="n"/>
      <c r="BN343" s="42" t="n"/>
      <c r="BO343" s="42" t="n"/>
      <c r="BP343" s="42" t="n"/>
      <c r="BQ343" s="42" t="n"/>
      <c r="BR343" s="42" t="n"/>
      <c r="BS343" s="42" t="n"/>
      <c r="BT343" s="42" t="n"/>
      <c r="BU343" s="42" t="n"/>
      <c r="BV343" s="42" t="n"/>
      <c r="BW343" s="42" t="n"/>
      <c r="BX343" s="42" t="n"/>
      <c r="BY343" s="42" t="n"/>
      <c r="BZ343" s="42" t="n"/>
      <c r="CA343" s="42" t="n"/>
      <c r="CB343" s="42" t="n"/>
      <c r="CC343" s="42" t="n"/>
      <c r="CD343" s="42" t="n"/>
      <c r="CE343" s="42" t="n"/>
      <c r="CF343" s="42" t="n"/>
      <c r="CG343" s="42" t="n"/>
      <c r="CH343" s="42" t="n"/>
      <c r="CI343" s="42" t="n"/>
      <c r="CJ343" s="42" t="n"/>
      <c r="CK343" s="42" t="n"/>
      <c r="CL343" s="42" t="n"/>
      <c r="CM343" s="42" t="n"/>
      <c r="CN343" s="42" t="n"/>
      <c r="CO343" s="42" t="n"/>
      <c r="CP343" s="42" t="n"/>
      <c r="CQ343" s="42" t="n"/>
      <c r="CR343" s="42" t="n"/>
      <c r="CS343" s="42" t="n"/>
      <c r="CT343" s="42" t="n"/>
      <c r="CU343" s="42" t="n"/>
      <c r="CV343" s="42" t="n"/>
      <c r="CW343" s="42" t="n"/>
      <c r="CX343" s="42" t="n"/>
    </row>
    <row r="344" ht="15.75" customHeight="1" s="255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42" t="n"/>
      <c r="AJ344" s="42" t="n"/>
      <c r="AK344" s="42" t="n"/>
      <c r="AL344" s="42" t="n"/>
      <c r="AM344" s="42" t="n"/>
      <c r="AN344" s="42" t="n"/>
      <c r="AO344" s="42" t="n"/>
      <c r="AP344" s="42" t="n"/>
      <c r="AQ344" s="42" t="n"/>
      <c r="AR344" s="42" t="n"/>
      <c r="AS344" s="42" t="n"/>
      <c r="AT344" s="42" t="n"/>
      <c r="AU344" s="42" t="n"/>
      <c r="AV344" s="42" t="n"/>
      <c r="AW344" s="42" t="n"/>
      <c r="AX344" s="42" t="n"/>
      <c r="AY344" s="42" t="n"/>
      <c r="AZ344" s="42" t="n"/>
      <c r="BA344" s="42" t="n"/>
      <c r="BB344" s="42" t="n"/>
      <c r="BC344" s="42" t="n"/>
      <c r="BD344" s="42" t="n"/>
      <c r="BE344" s="42" t="n"/>
      <c r="BF344" s="42" t="n"/>
      <c r="BG344" s="42" t="n"/>
      <c r="BH344" s="42" t="n"/>
      <c r="BI344" s="42" t="n"/>
      <c r="BJ344" s="42" t="n"/>
      <c r="BK344" s="42" t="n"/>
      <c r="BL344" s="42" t="n"/>
      <c r="BM344" s="42" t="n"/>
      <c r="BN344" s="42" t="n"/>
      <c r="BO344" s="42" t="n"/>
      <c r="BP344" s="42" t="n"/>
      <c r="BQ344" s="42" t="n"/>
      <c r="BR344" s="42" t="n"/>
      <c r="BS344" s="42" t="n"/>
      <c r="BT344" s="42" t="n"/>
      <c r="BU344" s="42" t="n"/>
      <c r="BV344" s="42" t="n"/>
      <c r="BW344" s="42" t="n"/>
      <c r="BX344" s="42" t="n"/>
      <c r="BY344" s="42" t="n"/>
      <c r="BZ344" s="42" t="n"/>
      <c r="CA344" s="42" t="n"/>
      <c r="CB344" s="42" t="n"/>
      <c r="CC344" s="42" t="n"/>
      <c r="CD344" s="42" t="n"/>
      <c r="CE344" s="42" t="n"/>
      <c r="CF344" s="42" t="n"/>
      <c r="CG344" s="42" t="n"/>
      <c r="CH344" s="42" t="n"/>
      <c r="CI344" s="42" t="n"/>
      <c r="CJ344" s="42" t="n"/>
      <c r="CK344" s="42" t="n"/>
      <c r="CL344" s="42" t="n"/>
      <c r="CM344" s="42" t="n"/>
      <c r="CN344" s="42" t="n"/>
      <c r="CO344" s="42" t="n"/>
      <c r="CP344" s="42" t="n"/>
      <c r="CQ344" s="42" t="n"/>
      <c r="CR344" s="42" t="n"/>
      <c r="CS344" s="42" t="n"/>
      <c r="CT344" s="42" t="n"/>
      <c r="CU344" s="42" t="n"/>
      <c r="CV344" s="42" t="n"/>
      <c r="CW344" s="42" t="n"/>
      <c r="CX344" s="42" t="n"/>
    </row>
    <row r="345" ht="15.75" customHeight="1" s="25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42" t="n"/>
      <c r="AJ345" s="42" t="n"/>
      <c r="AK345" s="42" t="n"/>
      <c r="AL345" s="42" t="n"/>
      <c r="AM345" s="42" t="n"/>
      <c r="AN345" s="42" t="n"/>
      <c r="AO345" s="42" t="n"/>
      <c r="AP345" s="42" t="n"/>
      <c r="AQ345" s="42" t="n"/>
      <c r="AR345" s="42" t="n"/>
      <c r="AS345" s="42" t="n"/>
      <c r="AT345" s="42" t="n"/>
      <c r="AU345" s="42" t="n"/>
      <c r="AV345" s="42" t="n"/>
      <c r="AW345" s="42" t="n"/>
      <c r="AX345" s="42" t="n"/>
      <c r="AY345" s="42" t="n"/>
      <c r="AZ345" s="42" t="n"/>
      <c r="BA345" s="42" t="n"/>
      <c r="BB345" s="42" t="n"/>
      <c r="BC345" s="42" t="n"/>
      <c r="BD345" s="42" t="n"/>
      <c r="BE345" s="42" t="n"/>
      <c r="BF345" s="42" t="n"/>
      <c r="BG345" s="42" t="n"/>
      <c r="BH345" s="42" t="n"/>
      <c r="BI345" s="42" t="n"/>
      <c r="BJ345" s="42" t="n"/>
      <c r="BK345" s="42" t="n"/>
      <c r="BL345" s="42" t="n"/>
      <c r="BM345" s="42" t="n"/>
      <c r="BN345" s="42" t="n"/>
      <c r="BO345" s="42" t="n"/>
      <c r="BP345" s="42" t="n"/>
      <c r="BQ345" s="42" t="n"/>
      <c r="BR345" s="42" t="n"/>
      <c r="BS345" s="42" t="n"/>
      <c r="BT345" s="42" t="n"/>
      <c r="BU345" s="42" t="n"/>
      <c r="BV345" s="42" t="n"/>
      <c r="BW345" s="42" t="n"/>
      <c r="BX345" s="42" t="n"/>
      <c r="BY345" s="42" t="n"/>
      <c r="BZ345" s="42" t="n"/>
      <c r="CA345" s="42" t="n"/>
      <c r="CB345" s="42" t="n"/>
      <c r="CC345" s="42" t="n"/>
      <c r="CD345" s="42" t="n"/>
      <c r="CE345" s="42" t="n"/>
      <c r="CF345" s="42" t="n"/>
      <c r="CG345" s="42" t="n"/>
      <c r="CH345" s="42" t="n"/>
      <c r="CI345" s="42" t="n"/>
      <c r="CJ345" s="42" t="n"/>
      <c r="CK345" s="42" t="n"/>
      <c r="CL345" s="42" t="n"/>
      <c r="CM345" s="42" t="n"/>
      <c r="CN345" s="42" t="n"/>
      <c r="CO345" s="42" t="n"/>
      <c r="CP345" s="42" t="n"/>
      <c r="CQ345" s="42" t="n"/>
      <c r="CR345" s="42" t="n"/>
      <c r="CS345" s="42" t="n"/>
      <c r="CT345" s="42" t="n"/>
      <c r="CU345" s="42" t="n"/>
      <c r="CV345" s="42" t="n"/>
      <c r="CW345" s="42" t="n"/>
      <c r="CX345" s="42" t="n"/>
    </row>
    <row r="346" ht="15.75" customHeight="1" s="255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42" t="n"/>
      <c r="AJ346" s="42" t="n"/>
      <c r="AK346" s="42" t="n"/>
      <c r="AL346" s="42" t="n"/>
      <c r="AM346" s="42" t="n"/>
      <c r="AN346" s="42" t="n"/>
      <c r="AO346" s="42" t="n"/>
      <c r="AP346" s="42" t="n"/>
      <c r="AQ346" s="42" t="n"/>
      <c r="AR346" s="42" t="n"/>
      <c r="AS346" s="42" t="n"/>
      <c r="AT346" s="42" t="n"/>
      <c r="AU346" s="42" t="n"/>
      <c r="AV346" s="42" t="n"/>
      <c r="AW346" s="42" t="n"/>
      <c r="AX346" s="42" t="n"/>
      <c r="AY346" s="42" t="n"/>
      <c r="AZ346" s="42" t="n"/>
      <c r="BA346" s="42" t="n"/>
      <c r="BB346" s="42" t="n"/>
      <c r="BC346" s="42" t="n"/>
      <c r="BD346" s="42" t="n"/>
      <c r="BE346" s="42" t="n"/>
      <c r="BF346" s="42" t="n"/>
      <c r="BG346" s="42" t="n"/>
      <c r="BH346" s="42" t="n"/>
      <c r="BI346" s="42" t="n"/>
      <c r="BJ346" s="42" t="n"/>
      <c r="BK346" s="42" t="n"/>
      <c r="BL346" s="42" t="n"/>
      <c r="BM346" s="42" t="n"/>
      <c r="BN346" s="42" t="n"/>
      <c r="BO346" s="42" t="n"/>
      <c r="BP346" s="42" t="n"/>
      <c r="BQ346" s="42" t="n"/>
      <c r="BR346" s="42" t="n"/>
      <c r="BS346" s="42" t="n"/>
      <c r="BT346" s="42" t="n"/>
      <c r="BU346" s="42" t="n"/>
      <c r="BV346" s="42" t="n"/>
      <c r="BW346" s="42" t="n"/>
      <c r="BX346" s="42" t="n"/>
      <c r="BY346" s="42" t="n"/>
      <c r="BZ346" s="42" t="n"/>
      <c r="CA346" s="42" t="n"/>
      <c r="CB346" s="42" t="n"/>
      <c r="CC346" s="42" t="n"/>
      <c r="CD346" s="42" t="n"/>
      <c r="CE346" s="42" t="n"/>
      <c r="CF346" s="42" t="n"/>
      <c r="CG346" s="42" t="n"/>
      <c r="CH346" s="42" t="n"/>
      <c r="CI346" s="42" t="n"/>
      <c r="CJ346" s="42" t="n"/>
      <c r="CK346" s="42" t="n"/>
      <c r="CL346" s="42" t="n"/>
      <c r="CM346" s="42" t="n"/>
      <c r="CN346" s="42" t="n"/>
      <c r="CO346" s="42" t="n"/>
      <c r="CP346" s="42" t="n"/>
      <c r="CQ346" s="42" t="n"/>
      <c r="CR346" s="42" t="n"/>
      <c r="CS346" s="42" t="n"/>
      <c r="CT346" s="42" t="n"/>
      <c r="CU346" s="42" t="n"/>
      <c r="CV346" s="42" t="n"/>
      <c r="CW346" s="42" t="n"/>
      <c r="CX346" s="42" t="n"/>
    </row>
    <row r="347" ht="15.75" customHeight="1" s="255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42" t="n"/>
      <c r="AJ347" s="42" t="n"/>
      <c r="AK347" s="42" t="n"/>
      <c r="AL347" s="42" t="n"/>
      <c r="AM347" s="42" t="n"/>
      <c r="AN347" s="42" t="n"/>
      <c r="AO347" s="42" t="n"/>
      <c r="AP347" s="42" t="n"/>
      <c r="AQ347" s="42" t="n"/>
      <c r="AR347" s="42" t="n"/>
      <c r="AS347" s="42" t="n"/>
      <c r="AT347" s="42" t="n"/>
      <c r="AU347" s="42" t="n"/>
      <c r="AV347" s="42" t="n"/>
      <c r="AW347" s="42" t="n"/>
      <c r="AX347" s="42" t="n"/>
      <c r="AY347" s="42" t="n"/>
      <c r="AZ347" s="42" t="n"/>
      <c r="BA347" s="42" t="n"/>
      <c r="BB347" s="42" t="n"/>
      <c r="BC347" s="42" t="n"/>
      <c r="BD347" s="42" t="n"/>
      <c r="BE347" s="42" t="n"/>
      <c r="BF347" s="42" t="n"/>
      <c r="BG347" s="42" t="n"/>
      <c r="BH347" s="42" t="n"/>
      <c r="BI347" s="42" t="n"/>
      <c r="BJ347" s="42" t="n"/>
      <c r="BK347" s="42" t="n"/>
      <c r="BL347" s="42" t="n"/>
      <c r="BM347" s="42" t="n"/>
      <c r="BN347" s="42" t="n"/>
      <c r="BO347" s="42" t="n"/>
      <c r="BP347" s="42" t="n"/>
      <c r="BQ347" s="42" t="n"/>
      <c r="BR347" s="42" t="n"/>
      <c r="BS347" s="42" t="n"/>
      <c r="BT347" s="42" t="n"/>
      <c r="BU347" s="42" t="n"/>
      <c r="BV347" s="42" t="n"/>
      <c r="BW347" s="42" t="n"/>
      <c r="BX347" s="42" t="n"/>
      <c r="BY347" s="42" t="n"/>
      <c r="BZ347" s="42" t="n"/>
      <c r="CA347" s="42" t="n"/>
      <c r="CB347" s="42" t="n"/>
      <c r="CC347" s="42" t="n"/>
      <c r="CD347" s="42" t="n"/>
      <c r="CE347" s="42" t="n"/>
      <c r="CF347" s="42" t="n"/>
      <c r="CG347" s="42" t="n"/>
      <c r="CH347" s="42" t="n"/>
      <c r="CI347" s="42" t="n"/>
      <c r="CJ347" s="42" t="n"/>
      <c r="CK347" s="42" t="n"/>
      <c r="CL347" s="42" t="n"/>
      <c r="CM347" s="42" t="n"/>
      <c r="CN347" s="42" t="n"/>
      <c r="CO347" s="42" t="n"/>
      <c r="CP347" s="42" t="n"/>
      <c r="CQ347" s="42" t="n"/>
      <c r="CR347" s="42" t="n"/>
      <c r="CS347" s="42" t="n"/>
      <c r="CT347" s="42" t="n"/>
      <c r="CU347" s="42" t="n"/>
      <c r="CV347" s="42" t="n"/>
      <c r="CW347" s="42" t="n"/>
      <c r="CX347" s="42" t="n"/>
    </row>
    <row r="348" ht="15.75" customHeight="1" s="255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42" t="n"/>
      <c r="AJ348" s="42" t="n"/>
      <c r="AK348" s="42" t="n"/>
      <c r="AL348" s="42" t="n"/>
      <c r="AM348" s="42" t="n"/>
      <c r="AN348" s="42" t="n"/>
      <c r="AO348" s="42" t="n"/>
      <c r="AP348" s="42" t="n"/>
      <c r="AQ348" s="42" t="n"/>
      <c r="AR348" s="42" t="n"/>
      <c r="AS348" s="42" t="n"/>
      <c r="AT348" s="42" t="n"/>
      <c r="AU348" s="42" t="n"/>
      <c r="AV348" s="42" t="n"/>
      <c r="AW348" s="42" t="n"/>
      <c r="AX348" s="42" t="n"/>
      <c r="AY348" s="42" t="n"/>
      <c r="AZ348" s="42" t="n"/>
      <c r="BA348" s="42" t="n"/>
      <c r="BB348" s="42" t="n"/>
      <c r="BC348" s="42" t="n"/>
      <c r="BD348" s="42" t="n"/>
      <c r="BE348" s="42" t="n"/>
      <c r="BF348" s="42" t="n"/>
      <c r="BG348" s="42" t="n"/>
      <c r="BH348" s="42" t="n"/>
      <c r="BI348" s="42" t="n"/>
      <c r="BJ348" s="42" t="n"/>
      <c r="BK348" s="42" t="n"/>
      <c r="BL348" s="42" t="n"/>
      <c r="BM348" s="42" t="n"/>
      <c r="BN348" s="42" t="n"/>
      <c r="BO348" s="42" t="n"/>
      <c r="BP348" s="42" t="n"/>
      <c r="BQ348" s="42" t="n"/>
      <c r="BR348" s="42" t="n"/>
      <c r="BS348" s="42" t="n"/>
      <c r="BT348" s="42" t="n"/>
      <c r="BU348" s="42" t="n"/>
      <c r="BV348" s="42" t="n"/>
      <c r="BW348" s="42" t="n"/>
      <c r="BX348" s="42" t="n"/>
      <c r="BY348" s="42" t="n"/>
      <c r="BZ348" s="42" t="n"/>
      <c r="CA348" s="42" t="n"/>
      <c r="CB348" s="42" t="n"/>
      <c r="CC348" s="42" t="n"/>
      <c r="CD348" s="42" t="n"/>
      <c r="CE348" s="42" t="n"/>
      <c r="CF348" s="42" t="n"/>
      <c r="CG348" s="42" t="n"/>
      <c r="CH348" s="42" t="n"/>
      <c r="CI348" s="42" t="n"/>
      <c r="CJ348" s="42" t="n"/>
      <c r="CK348" s="42" t="n"/>
      <c r="CL348" s="42" t="n"/>
      <c r="CM348" s="42" t="n"/>
      <c r="CN348" s="42" t="n"/>
      <c r="CO348" s="42" t="n"/>
      <c r="CP348" s="42" t="n"/>
      <c r="CQ348" s="42" t="n"/>
      <c r="CR348" s="42" t="n"/>
      <c r="CS348" s="42" t="n"/>
      <c r="CT348" s="42" t="n"/>
      <c r="CU348" s="42" t="n"/>
      <c r="CV348" s="42" t="n"/>
      <c r="CW348" s="42" t="n"/>
      <c r="CX348" s="42" t="n"/>
    </row>
    <row r="349" ht="15.75" customHeight="1" s="255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42" t="n"/>
      <c r="AJ349" s="42" t="n"/>
      <c r="AK349" s="42" t="n"/>
      <c r="AL349" s="42" t="n"/>
      <c r="AM349" s="42" t="n"/>
      <c r="AN349" s="42" t="n"/>
      <c r="AO349" s="42" t="n"/>
      <c r="AP349" s="42" t="n"/>
      <c r="AQ349" s="42" t="n"/>
      <c r="AR349" s="42" t="n"/>
      <c r="AS349" s="42" t="n"/>
      <c r="AT349" s="42" t="n"/>
      <c r="AU349" s="42" t="n"/>
      <c r="AV349" s="42" t="n"/>
      <c r="AW349" s="42" t="n"/>
      <c r="AX349" s="42" t="n"/>
      <c r="AY349" s="42" t="n"/>
      <c r="AZ349" s="42" t="n"/>
      <c r="BA349" s="42" t="n"/>
      <c r="BB349" s="42" t="n"/>
      <c r="BC349" s="42" t="n"/>
      <c r="BD349" s="42" t="n"/>
      <c r="BE349" s="42" t="n"/>
      <c r="BF349" s="42" t="n"/>
      <c r="BG349" s="42" t="n"/>
      <c r="BH349" s="42" t="n"/>
      <c r="BI349" s="42" t="n"/>
      <c r="BJ349" s="42" t="n"/>
      <c r="BK349" s="42" t="n"/>
      <c r="BL349" s="42" t="n"/>
      <c r="BM349" s="42" t="n"/>
      <c r="BN349" s="42" t="n"/>
      <c r="BO349" s="42" t="n"/>
      <c r="BP349" s="42" t="n"/>
      <c r="BQ349" s="42" t="n"/>
      <c r="BR349" s="42" t="n"/>
      <c r="BS349" s="42" t="n"/>
      <c r="BT349" s="42" t="n"/>
      <c r="BU349" s="42" t="n"/>
      <c r="BV349" s="42" t="n"/>
      <c r="BW349" s="42" t="n"/>
      <c r="BX349" s="42" t="n"/>
      <c r="BY349" s="42" t="n"/>
      <c r="BZ349" s="42" t="n"/>
      <c r="CA349" s="42" t="n"/>
      <c r="CB349" s="42" t="n"/>
      <c r="CC349" s="42" t="n"/>
      <c r="CD349" s="42" t="n"/>
      <c r="CE349" s="42" t="n"/>
      <c r="CF349" s="42" t="n"/>
      <c r="CG349" s="42" t="n"/>
      <c r="CH349" s="42" t="n"/>
      <c r="CI349" s="42" t="n"/>
      <c r="CJ349" s="42" t="n"/>
      <c r="CK349" s="42" t="n"/>
      <c r="CL349" s="42" t="n"/>
      <c r="CM349" s="42" t="n"/>
      <c r="CN349" s="42" t="n"/>
      <c r="CO349" s="42" t="n"/>
      <c r="CP349" s="42" t="n"/>
      <c r="CQ349" s="42" t="n"/>
      <c r="CR349" s="42" t="n"/>
      <c r="CS349" s="42" t="n"/>
      <c r="CT349" s="42" t="n"/>
      <c r="CU349" s="42" t="n"/>
      <c r="CV349" s="42" t="n"/>
      <c r="CW349" s="42" t="n"/>
      <c r="CX349" s="42" t="n"/>
    </row>
    <row r="350" ht="15.75" customHeight="1" s="255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42" t="n"/>
      <c r="AJ350" s="42" t="n"/>
      <c r="AK350" s="42" t="n"/>
      <c r="AL350" s="42" t="n"/>
      <c r="AM350" s="42" t="n"/>
      <c r="AN350" s="42" t="n"/>
      <c r="AO350" s="42" t="n"/>
      <c r="AP350" s="42" t="n"/>
      <c r="AQ350" s="42" t="n"/>
      <c r="AR350" s="42" t="n"/>
      <c r="AS350" s="42" t="n"/>
      <c r="AT350" s="42" t="n"/>
      <c r="AU350" s="42" t="n"/>
      <c r="AV350" s="42" t="n"/>
      <c r="AW350" s="42" t="n"/>
      <c r="AX350" s="42" t="n"/>
      <c r="AY350" s="42" t="n"/>
      <c r="AZ350" s="42" t="n"/>
      <c r="BA350" s="42" t="n"/>
      <c r="BB350" s="42" t="n"/>
      <c r="BC350" s="42" t="n"/>
      <c r="BD350" s="42" t="n"/>
      <c r="BE350" s="42" t="n"/>
      <c r="BF350" s="42" t="n"/>
      <c r="BG350" s="42" t="n"/>
      <c r="BH350" s="42" t="n"/>
      <c r="BI350" s="42" t="n"/>
      <c r="BJ350" s="42" t="n"/>
      <c r="BK350" s="42" t="n"/>
      <c r="BL350" s="42" t="n"/>
      <c r="BM350" s="42" t="n"/>
      <c r="BN350" s="42" t="n"/>
      <c r="BO350" s="42" t="n"/>
      <c r="BP350" s="42" t="n"/>
      <c r="BQ350" s="42" t="n"/>
      <c r="BR350" s="42" t="n"/>
      <c r="BS350" s="42" t="n"/>
      <c r="BT350" s="42" t="n"/>
      <c r="BU350" s="42" t="n"/>
      <c r="BV350" s="42" t="n"/>
      <c r="BW350" s="42" t="n"/>
      <c r="BX350" s="42" t="n"/>
      <c r="BY350" s="42" t="n"/>
      <c r="BZ350" s="42" t="n"/>
      <c r="CA350" s="42" t="n"/>
      <c r="CB350" s="42" t="n"/>
      <c r="CC350" s="42" t="n"/>
      <c r="CD350" s="42" t="n"/>
      <c r="CE350" s="42" t="n"/>
      <c r="CF350" s="42" t="n"/>
      <c r="CG350" s="42" t="n"/>
      <c r="CH350" s="42" t="n"/>
      <c r="CI350" s="42" t="n"/>
      <c r="CJ350" s="42" t="n"/>
      <c r="CK350" s="42" t="n"/>
      <c r="CL350" s="42" t="n"/>
      <c r="CM350" s="42" t="n"/>
      <c r="CN350" s="42" t="n"/>
      <c r="CO350" s="42" t="n"/>
      <c r="CP350" s="42" t="n"/>
      <c r="CQ350" s="42" t="n"/>
      <c r="CR350" s="42" t="n"/>
      <c r="CS350" s="42" t="n"/>
      <c r="CT350" s="42" t="n"/>
      <c r="CU350" s="42" t="n"/>
      <c r="CV350" s="42" t="n"/>
      <c r="CW350" s="42" t="n"/>
      <c r="CX350" s="42" t="n"/>
    </row>
    <row r="351" ht="15.75" customHeight="1" s="255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42" t="n"/>
      <c r="AJ351" s="42" t="n"/>
      <c r="AK351" s="42" t="n"/>
      <c r="AL351" s="42" t="n"/>
      <c r="AM351" s="42" t="n"/>
      <c r="AN351" s="42" t="n"/>
      <c r="AO351" s="42" t="n"/>
      <c r="AP351" s="42" t="n"/>
      <c r="AQ351" s="42" t="n"/>
      <c r="AR351" s="42" t="n"/>
      <c r="AS351" s="42" t="n"/>
      <c r="AT351" s="42" t="n"/>
      <c r="AU351" s="42" t="n"/>
      <c r="AV351" s="42" t="n"/>
      <c r="AW351" s="42" t="n"/>
      <c r="AX351" s="42" t="n"/>
      <c r="AY351" s="42" t="n"/>
      <c r="AZ351" s="42" t="n"/>
      <c r="BA351" s="42" t="n"/>
      <c r="BB351" s="42" t="n"/>
      <c r="BC351" s="42" t="n"/>
      <c r="BD351" s="42" t="n"/>
      <c r="BE351" s="42" t="n"/>
      <c r="BF351" s="42" t="n"/>
      <c r="BG351" s="42" t="n"/>
      <c r="BH351" s="42" t="n"/>
      <c r="BI351" s="42" t="n"/>
      <c r="BJ351" s="42" t="n"/>
      <c r="BK351" s="42" t="n"/>
      <c r="BL351" s="42" t="n"/>
      <c r="BM351" s="42" t="n"/>
      <c r="BN351" s="42" t="n"/>
      <c r="BO351" s="42" t="n"/>
      <c r="BP351" s="42" t="n"/>
      <c r="BQ351" s="42" t="n"/>
      <c r="BR351" s="42" t="n"/>
      <c r="BS351" s="42" t="n"/>
      <c r="BT351" s="42" t="n"/>
      <c r="BU351" s="42" t="n"/>
      <c r="BV351" s="42" t="n"/>
      <c r="BW351" s="42" t="n"/>
      <c r="BX351" s="42" t="n"/>
      <c r="BY351" s="42" t="n"/>
      <c r="BZ351" s="42" t="n"/>
      <c r="CA351" s="42" t="n"/>
      <c r="CB351" s="42" t="n"/>
      <c r="CC351" s="42" t="n"/>
      <c r="CD351" s="42" t="n"/>
      <c r="CE351" s="42" t="n"/>
      <c r="CF351" s="42" t="n"/>
      <c r="CG351" s="42" t="n"/>
      <c r="CH351" s="42" t="n"/>
      <c r="CI351" s="42" t="n"/>
      <c r="CJ351" s="42" t="n"/>
      <c r="CK351" s="42" t="n"/>
      <c r="CL351" s="42" t="n"/>
      <c r="CM351" s="42" t="n"/>
      <c r="CN351" s="42" t="n"/>
      <c r="CO351" s="42" t="n"/>
      <c r="CP351" s="42" t="n"/>
      <c r="CQ351" s="42" t="n"/>
      <c r="CR351" s="42" t="n"/>
      <c r="CS351" s="42" t="n"/>
      <c r="CT351" s="42" t="n"/>
      <c r="CU351" s="42" t="n"/>
      <c r="CV351" s="42" t="n"/>
      <c r="CW351" s="42" t="n"/>
      <c r="CX351" s="42" t="n"/>
    </row>
    <row r="352" ht="15.75" customHeight="1" s="255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42" t="n"/>
      <c r="AJ352" s="42" t="n"/>
      <c r="AK352" s="42" t="n"/>
      <c r="AL352" s="42" t="n"/>
      <c r="AM352" s="42" t="n"/>
      <c r="AN352" s="42" t="n"/>
      <c r="AO352" s="42" t="n"/>
      <c r="AP352" s="42" t="n"/>
      <c r="AQ352" s="42" t="n"/>
      <c r="AR352" s="42" t="n"/>
      <c r="AS352" s="42" t="n"/>
      <c r="AT352" s="42" t="n"/>
      <c r="AU352" s="42" t="n"/>
      <c r="AV352" s="42" t="n"/>
      <c r="AW352" s="42" t="n"/>
      <c r="AX352" s="42" t="n"/>
      <c r="AY352" s="42" t="n"/>
      <c r="AZ352" s="42" t="n"/>
      <c r="BA352" s="42" t="n"/>
      <c r="BB352" s="42" t="n"/>
      <c r="BC352" s="42" t="n"/>
      <c r="BD352" s="42" t="n"/>
      <c r="BE352" s="42" t="n"/>
      <c r="BF352" s="42" t="n"/>
      <c r="BG352" s="42" t="n"/>
      <c r="BH352" s="42" t="n"/>
      <c r="BI352" s="42" t="n"/>
      <c r="BJ352" s="42" t="n"/>
      <c r="BK352" s="42" t="n"/>
      <c r="BL352" s="42" t="n"/>
      <c r="BM352" s="42" t="n"/>
      <c r="BN352" s="42" t="n"/>
      <c r="BO352" s="42" t="n"/>
      <c r="BP352" s="42" t="n"/>
      <c r="BQ352" s="42" t="n"/>
      <c r="BR352" s="42" t="n"/>
      <c r="BS352" s="42" t="n"/>
      <c r="BT352" s="42" t="n"/>
      <c r="BU352" s="42" t="n"/>
      <c r="BV352" s="42" t="n"/>
      <c r="BW352" s="42" t="n"/>
      <c r="BX352" s="42" t="n"/>
      <c r="BY352" s="42" t="n"/>
      <c r="BZ352" s="42" t="n"/>
      <c r="CA352" s="42" t="n"/>
      <c r="CB352" s="42" t="n"/>
      <c r="CC352" s="42" t="n"/>
      <c r="CD352" s="42" t="n"/>
      <c r="CE352" s="42" t="n"/>
      <c r="CF352" s="42" t="n"/>
      <c r="CG352" s="42" t="n"/>
      <c r="CH352" s="42" t="n"/>
      <c r="CI352" s="42" t="n"/>
      <c r="CJ352" s="42" t="n"/>
      <c r="CK352" s="42" t="n"/>
      <c r="CL352" s="42" t="n"/>
      <c r="CM352" s="42" t="n"/>
      <c r="CN352" s="42" t="n"/>
      <c r="CO352" s="42" t="n"/>
      <c r="CP352" s="42" t="n"/>
      <c r="CQ352" s="42" t="n"/>
      <c r="CR352" s="42" t="n"/>
      <c r="CS352" s="42" t="n"/>
      <c r="CT352" s="42" t="n"/>
      <c r="CU352" s="42" t="n"/>
      <c r="CV352" s="42" t="n"/>
      <c r="CW352" s="42" t="n"/>
      <c r="CX352" s="42" t="n"/>
    </row>
    <row r="353" ht="15.75" customHeight="1" s="255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42" t="n"/>
      <c r="AJ353" s="42" t="n"/>
      <c r="AK353" s="42" t="n"/>
      <c r="AL353" s="42" t="n"/>
      <c r="AM353" s="42" t="n"/>
      <c r="AN353" s="42" t="n"/>
      <c r="AO353" s="42" t="n"/>
      <c r="AP353" s="42" t="n"/>
      <c r="AQ353" s="42" t="n"/>
      <c r="AR353" s="42" t="n"/>
      <c r="AS353" s="42" t="n"/>
      <c r="AT353" s="42" t="n"/>
      <c r="AU353" s="42" t="n"/>
      <c r="AV353" s="42" t="n"/>
      <c r="AW353" s="42" t="n"/>
      <c r="AX353" s="42" t="n"/>
      <c r="AY353" s="42" t="n"/>
      <c r="AZ353" s="42" t="n"/>
      <c r="BA353" s="42" t="n"/>
      <c r="BB353" s="42" t="n"/>
      <c r="BC353" s="42" t="n"/>
      <c r="BD353" s="42" t="n"/>
      <c r="BE353" s="42" t="n"/>
      <c r="BF353" s="42" t="n"/>
      <c r="BG353" s="42" t="n"/>
      <c r="BH353" s="42" t="n"/>
      <c r="BI353" s="42" t="n"/>
      <c r="BJ353" s="42" t="n"/>
      <c r="BK353" s="42" t="n"/>
      <c r="BL353" s="42" t="n"/>
      <c r="BM353" s="42" t="n"/>
      <c r="BN353" s="42" t="n"/>
      <c r="BO353" s="42" t="n"/>
      <c r="BP353" s="42" t="n"/>
      <c r="BQ353" s="42" t="n"/>
      <c r="BR353" s="42" t="n"/>
      <c r="BS353" s="42" t="n"/>
      <c r="BT353" s="42" t="n"/>
      <c r="BU353" s="42" t="n"/>
      <c r="BV353" s="42" t="n"/>
      <c r="BW353" s="42" t="n"/>
      <c r="BX353" s="42" t="n"/>
      <c r="BY353" s="42" t="n"/>
      <c r="BZ353" s="42" t="n"/>
      <c r="CA353" s="42" t="n"/>
      <c r="CB353" s="42" t="n"/>
      <c r="CC353" s="42" t="n"/>
      <c r="CD353" s="42" t="n"/>
      <c r="CE353" s="42" t="n"/>
      <c r="CF353" s="42" t="n"/>
      <c r="CG353" s="42" t="n"/>
      <c r="CH353" s="42" t="n"/>
      <c r="CI353" s="42" t="n"/>
      <c r="CJ353" s="42" t="n"/>
      <c r="CK353" s="42" t="n"/>
      <c r="CL353" s="42" t="n"/>
      <c r="CM353" s="42" t="n"/>
      <c r="CN353" s="42" t="n"/>
      <c r="CO353" s="42" t="n"/>
      <c r="CP353" s="42" t="n"/>
      <c r="CQ353" s="42" t="n"/>
      <c r="CR353" s="42" t="n"/>
      <c r="CS353" s="42" t="n"/>
      <c r="CT353" s="42" t="n"/>
      <c r="CU353" s="42" t="n"/>
      <c r="CV353" s="42" t="n"/>
      <c r="CW353" s="42" t="n"/>
      <c r="CX353" s="42" t="n"/>
    </row>
    <row r="354" ht="15.75" customHeight="1" s="255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42" t="n"/>
      <c r="AJ354" s="42" t="n"/>
      <c r="AK354" s="42" t="n"/>
      <c r="AL354" s="42" t="n"/>
      <c r="AM354" s="42" t="n"/>
      <c r="AN354" s="42" t="n"/>
      <c r="AO354" s="42" t="n"/>
      <c r="AP354" s="42" t="n"/>
      <c r="AQ354" s="42" t="n"/>
      <c r="AR354" s="42" t="n"/>
      <c r="AS354" s="42" t="n"/>
      <c r="AT354" s="42" t="n"/>
      <c r="AU354" s="42" t="n"/>
      <c r="AV354" s="42" t="n"/>
      <c r="AW354" s="42" t="n"/>
      <c r="AX354" s="42" t="n"/>
      <c r="AY354" s="42" t="n"/>
      <c r="AZ354" s="42" t="n"/>
      <c r="BA354" s="42" t="n"/>
      <c r="BB354" s="42" t="n"/>
      <c r="BC354" s="42" t="n"/>
      <c r="BD354" s="42" t="n"/>
      <c r="BE354" s="42" t="n"/>
      <c r="BF354" s="42" t="n"/>
      <c r="BG354" s="42" t="n"/>
      <c r="BH354" s="42" t="n"/>
      <c r="BI354" s="42" t="n"/>
      <c r="BJ354" s="42" t="n"/>
      <c r="BK354" s="42" t="n"/>
      <c r="BL354" s="42" t="n"/>
      <c r="BM354" s="42" t="n"/>
      <c r="BN354" s="42" t="n"/>
      <c r="BO354" s="42" t="n"/>
      <c r="BP354" s="42" t="n"/>
      <c r="BQ354" s="42" t="n"/>
      <c r="BR354" s="42" t="n"/>
      <c r="BS354" s="42" t="n"/>
      <c r="BT354" s="42" t="n"/>
      <c r="BU354" s="42" t="n"/>
      <c r="BV354" s="42" t="n"/>
      <c r="BW354" s="42" t="n"/>
      <c r="BX354" s="42" t="n"/>
      <c r="BY354" s="42" t="n"/>
      <c r="BZ354" s="42" t="n"/>
      <c r="CA354" s="42" t="n"/>
      <c r="CB354" s="42" t="n"/>
      <c r="CC354" s="42" t="n"/>
      <c r="CD354" s="42" t="n"/>
      <c r="CE354" s="42" t="n"/>
      <c r="CF354" s="42" t="n"/>
      <c r="CG354" s="42" t="n"/>
      <c r="CH354" s="42" t="n"/>
      <c r="CI354" s="42" t="n"/>
      <c r="CJ354" s="42" t="n"/>
      <c r="CK354" s="42" t="n"/>
      <c r="CL354" s="42" t="n"/>
      <c r="CM354" s="42" t="n"/>
      <c r="CN354" s="42" t="n"/>
      <c r="CO354" s="42" t="n"/>
      <c r="CP354" s="42" t="n"/>
      <c r="CQ354" s="42" t="n"/>
      <c r="CR354" s="42" t="n"/>
      <c r="CS354" s="42" t="n"/>
      <c r="CT354" s="42" t="n"/>
      <c r="CU354" s="42" t="n"/>
      <c r="CV354" s="42" t="n"/>
      <c r="CW354" s="42" t="n"/>
      <c r="CX354" s="42" t="n"/>
    </row>
    <row r="355" ht="15.75" customHeight="1" s="2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42" t="n"/>
      <c r="AJ355" s="42" t="n"/>
      <c r="AK355" s="42" t="n"/>
      <c r="AL355" s="42" t="n"/>
      <c r="AM355" s="42" t="n"/>
      <c r="AN355" s="42" t="n"/>
      <c r="AO355" s="42" t="n"/>
      <c r="AP355" s="42" t="n"/>
      <c r="AQ355" s="42" t="n"/>
      <c r="AR355" s="42" t="n"/>
      <c r="AS355" s="42" t="n"/>
      <c r="AT355" s="42" t="n"/>
      <c r="AU355" s="42" t="n"/>
      <c r="AV355" s="42" t="n"/>
      <c r="AW355" s="42" t="n"/>
      <c r="AX355" s="42" t="n"/>
      <c r="AY355" s="42" t="n"/>
      <c r="AZ355" s="42" t="n"/>
      <c r="BA355" s="42" t="n"/>
      <c r="BB355" s="42" t="n"/>
      <c r="BC355" s="42" t="n"/>
      <c r="BD355" s="42" t="n"/>
      <c r="BE355" s="42" t="n"/>
      <c r="BF355" s="42" t="n"/>
      <c r="BG355" s="42" t="n"/>
      <c r="BH355" s="42" t="n"/>
      <c r="BI355" s="42" t="n"/>
      <c r="BJ355" s="42" t="n"/>
      <c r="BK355" s="42" t="n"/>
      <c r="BL355" s="42" t="n"/>
      <c r="BM355" s="42" t="n"/>
      <c r="BN355" s="42" t="n"/>
      <c r="BO355" s="42" t="n"/>
      <c r="BP355" s="42" t="n"/>
      <c r="BQ355" s="42" t="n"/>
      <c r="BR355" s="42" t="n"/>
      <c r="BS355" s="42" t="n"/>
      <c r="BT355" s="42" t="n"/>
      <c r="BU355" s="42" t="n"/>
      <c r="BV355" s="42" t="n"/>
      <c r="BW355" s="42" t="n"/>
      <c r="BX355" s="42" t="n"/>
      <c r="BY355" s="42" t="n"/>
      <c r="BZ355" s="42" t="n"/>
      <c r="CA355" s="42" t="n"/>
      <c r="CB355" s="42" t="n"/>
      <c r="CC355" s="42" t="n"/>
      <c r="CD355" s="42" t="n"/>
      <c r="CE355" s="42" t="n"/>
      <c r="CF355" s="42" t="n"/>
      <c r="CG355" s="42" t="n"/>
      <c r="CH355" s="42" t="n"/>
      <c r="CI355" s="42" t="n"/>
      <c r="CJ355" s="42" t="n"/>
      <c r="CK355" s="42" t="n"/>
      <c r="CL355" s="42" t="n"/>
      <c r="CM355" s="42" t="n"/>
      <c r="CN355" s="42" t="n"/>
      <c r="CO355" s="42" t="n"/>
      <c r="CP355" s="42" t="n"/>
      <c r="CQ355" s="42" t="n"/>
      <c r="CR355" s="42" t="n"/>
      <c r="CS355" s="42" t="n"/>
      <c r="CT355" s="42" t="n"/>
      <c r="CU355" s="42" t="n"/>
      <c r="CV355" s="42" t="n"/>
      <c r="CW355" s="42" t="n"/>
      <c r="CX355" s="42" t="n"/>
    </row>
    <row r="356" ht="15.75" customHeight="1" s="255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42" t="n"/>
      <c r="AJ356" s="42" t="n"/>
      <c r="AK356" s="42" t="n"/>
      <c r="AL356" s="42" t="n"/>
      <c r="AM356" s="42" t="n"/>
      <c r="AN356" s="42" t="n"/>
      <c r="AO356" s="42" t="n"/>
      <c r="AP356" s="42" t="n"/>
      <c r="AQ356" s="42" t="n"/>
      <c r="AR356" s="42" t="n"/>
      <c r="AS356" s="42" t="n"/>
      <c r="AT356" s="42" t="n"/>
      <c r="AU356" s="42" t="n"/>
      <c r="AV356" s="42" t="n"/>
      <c r="AW356" s="42" t="n"/>
      <c r="AX356" s="42" t="n"/>
      <c r="AY356" s="42" t="n"/>
      <c r="AZ356" s="42" t="n"/>
      <c r="BA356" s="42" t="n"/>
      <c r="BB356" s="42" t="n"/>
      <c r="BC356" s="42" t="n"/>
      <c r="BD356" s="42" t="n"/>
      <c r="BE356" s="42" t="n"/>
      <c r="BF356" s="42" t="n"/>
      <c r="BG356" s="42" t="n"/>
      <c r="BH356" s="42" t="n"/>
      <c r="BI356" s="42" t="n"/>
      <c r="BJ356" s="42" t="n"/>
      <c r="BK356" s="42" t="n"/>
      <c r="BL356" s="42" t="n"/>
      <c r="BM356" s="42" t="n"/>
      <c r="BN356" s="42" t="n"/>
      <c r="BO356" s="42" t="n"/>
      <c r="BP356" s="42" t="n"/>
      <c r="BQ356" s="42" t="n"/>
      <c r="BR356" s="42" t="n"/>
      <c r="BS356" s="42" t="n"/>
      <c r="BT356" s="42" t="n"/>
      <c r="BU356" s="42" t="n"/>
      <c r="BV356" s="42" t="n"/>
      <c r="BW356" s="42" t="n"/>
      <c r="BX356" s="42" t="n"/>
      <c r="BY356" s="42" t="n"/>
      <c r="BZ356" s="42" t="n"/>
      <c r="CA356" s="42" t="n"/>
      <c r="CB356" s="42" t="n"/>
      <c r="CC356" s="42" t="n"/>
      <c r="CD356" s="42" t="n"/>
      <c r="CE356" s="42" t="n"/>
      <c r="CF356" s="42" t="n"/>
      <c r="CG356" s="42" t="n"/>
      <c r="CH356" s="42" t="n"/>
      <c r="CI356" s="42" t="n"/>
      <c r="CJ356" s="42" t="n"/>
      <c r="CK356" s="42" t="n"/>
      <c r="CL356" s="42" t="n"/>
      <c r="CM356" s="42" t="n"/>
      <c r="CN356" s="42" t="n"/>
      <c r="CO356" s="42" t="n"/>
      <c r="CP356" s="42" t="n"/>
      <c r="CQ356" s="42" t="n"/>
      <c r="CR356" s="42" t="n"/>
      <c r="CS356" s="42" t="n"/>
      <c r="CT356" s="42" t="n"/>
      <c r="CU356" s="42" t="n"/>
      <c r="CV356" s="42" t="n"/>
      <c r="CW356" s="42" t="n"/>
      <c r="CX356" s="42" t="n"/>
    </row>
    <row r="357" ht="15.75" customHeight="1" s="255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42" t="n"/>
      <c r="AJ357" s="42" t="n"/>
      <c r="AK357" s="42" t="n"/>
      <c r="AL357" s="42" t="n"/>
      <c r="AM357" s="42" t="n"/>
      <c r="AN357" s="42" t="n"/>
      <c r="AO357" s="42" t="n"/>
      <c r="AP357" s="42" t="n"/>
      <c r="AQ357" s="42" t="n"/>
      <c r="AR357" s="42" t="n"/>
      <c r="AS357" s="42" t="n"/>
      <c r="AT357" s="42" t="n"/>
      <c r="AU357" s="42" t="n"/>
      <c r="AV357" s="42" t="n"/>
      <c r="AW357" s="42" t="n"/>
      <c r="AX357" s="42" t="n"/>
      <c r="AY357" s="42" t="n"/>
      <c r="AZ357" s="42" t="n"/>
      <c r="BA357" s="42" t="n"/>
      <c r="BB357" s="42" t="n"/>
      <c r="BC357" s="42" t="n"/>
      <c r="BD357" s="42" t="n"/>
      <c r="BE357" s="42" t="n"/>
      <c r="BF357" s="42" t="n"/>
      <c r="BG357" s="42" t="n"/>
      <c r="BH357" s="42" t="n"/>
      <c r="BI357" s="42" t="n"/>
      <c r="BJ357" s="42" t="n"/>
      <c r="BK357" s="42" t="n"/>
      <c r="BL357" s="42" t="n"/>
      <c r="BM357" s="42" t="n"/>
      <c r="BN357" s="42" t="n"/>
      <c r="BO357" s="42" t="n"/>
      <c r="BP357" s="42" t="n"/>
      <c r="BQ357" s="42" t="n"/>
      <c r="BR357" s="42" t="n"/>
      <c r="BS357" s="42" t="n"/>
      <c r="BT357" s="42" t="n"/>
      <c r="BU357" s="42" t="n"/>
      <c r="BV357" s="42" t="n"/>
      <c r="BW357" s="42" t="n"/>
      <c r="BX357" s="42" t="n"/>
      <c r="BY357" s="42" t="n"/>
      <c r="BZ357" s="42" t="n"/>
      <c r="CA357" s="42" t="n"/>
      <c r="CB357" s="42" t="n"/>
      <c r="CC357" s="42" t="n"/>
      <c r="CD357" s="42" t="n"/>
      <c r="CE357" s="42" t="n"/>
      <c r="CF357" s="42" t="n"/>
      <c r="CG357" s="42" t="n"/>
      <c r="CH357" s="42" t="n"/>
      <c r="CI357" s="42" t="n"/>
      <c r="CJ357" s="42" t="n"/>
      <c r="CK357" s="42" t="n"/>
      <c r="CL357" s="42" t="n"/>
      <c r="CM357" s="42" t="n"/>
      <c r="CN357" s="42" t="n"/>
      <c r="CO357" s="42" t="n"/>
      <c r="CP357" s="42" t="n"/>
      <c r="CQ357" s="42" t="n"/>
      <c r="CR357" s="42" t="n"/>
      <c r="CS357" s="42" t="n"/>
      <c r="CT357" s="42" t="n"/>
      <c r="CU357" s="42" t="n"/>
      <c r="CV357" s="42" t="n"/>
      <c r="CW357" s="42" t="n"/>
      <c r="CX357" s="42" t="n"/>
    </row>
    <row r="358" ht="15.75" customHeight="1" s="255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42" t="n"/>
      <c r="AJ358" s="42" t="n"/>
      <c r="AK358" s="42" t="n"/>
      <c r="AL358" s="42" t="n"/>
      <c r="AM358" s="42" t="n"/>
      <c r="AN358" s="42" t="n"/>
      <c r="AO358" s="42" t="n"/>
      <c r="AP358" s="42" t="n"/>
      <c r="AQ358" s="42" t="n"/>
      <c r="AR358" s="42" t="n"/>
      <c r="AS358" s="42" t="n"/>
      <c r="AT358" s="42" t="n"/>
      <c r="AU358" s="42" t="n"/>
      <c r="AV358" s="42" t="n"/>
      <c r="AW358" s="42" t="n"/>
      <c r="AX358" s="42" t="n"/>
      <c r="AY358" s="42" t="n"/>
      <c r="AZ358" s="42" t="n"/>
      <c r="BA358" s="42" t="n"/>
      <c r="BB358" s="42" t="n"/>
      <c r="BC358" s="42" t="n"/>
      <c r="BD358" s="42" t="n"/>
      <c r="BE358" s="42" t="n"/>
      <c r="BF358" s="42" t="n"/>
      <c r="BG358" s="42" t="n"/>
      <c r="BH358" s="42" t="n"/>
      <c r="BI358" s="42" t="n"/>
      <c r="BJ358" s="42" t="n"/>
      <c r="BK358" s="42" t="n"/>
      <c r="BL358" s="42" t="n"/>
      <c r="BM358" s="42" t="n"/>
      <c r="BN358" s="42" t="n"/>
      <c r="BO358" s="42" t="n"/>
      <c r="BP358" s="42" t="n"/>
      <c r="BQ358" s="42" t="n"/>
      <c r="BR358" s="42" t="n"/>
      <c r="BS358" s="42" t="n"/>
      <c r="BT358" s="42" t="n"/>
      <c r="BU358" s="42" t="n"/>
      <c r="BV358" s="42" t="n"/>
      <c r="BW358" s="42" t="n"/>
      <c r="BX358" s="42" t="n"/>
      <c r="BY358" s="42" t="n"/>
      <c r="BZ358" s="42" t="n"/>
      <c r="CA358" s="42" t="n"/>
      <c r="CB358" s="42" t="n"/>
      <c r="CC358" s="42" t="n"/>
      <c r="CD358" s="42" t="n"/>
      <c r="CE358" s="42" t="n"/>
      <c r="CF358" s="42" t="n"/>
      <c r="CG358" s="42" t="n"/>
      <c r="CH358" s="42" t="n"/>
      <c r="CI358" s="42" t="n"/>
      <c r="CJ358" s="42" t="n"/>
      <c r="CK358" s="42" t="n"/>
      <c r="CL358" s="42" t="n"/>
      <c r="CM358" s="42" t="n"/>
      <c r="CN358" s="42" t="n"/>
      <c r="CO358" s="42" t="n"/>
      <c r="CP358" s="42" t="n"/>
      <c r="CQ358" s="42" t="n"/>
      <c r="CR358" s="42" t="n"/>
      <c r="CS358" s="42" t="n"/>
      <c r="CT358" s="42" t="n"/>
      <c r="CU358" s="42" t="n"/>
      <c r="CV358" s="42" t="n"/>
      <c r="CW358" s="42" t="n"/>
      <c r="CX358" s="42" t="n"/>
    </row>
    <row r="359" ht="15.75" customHeight="1" s="255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2" t="n"/>
      <c r="AR359" s="42" t="n"/>
      <c r="AS359" s="42" t="n"/>
      <c r="AT359" s="42" t="n"/>
      <c r="AU359" s="42" t="n"/>
      <c r="AV359" s="42" t="n"/>
      <c r="AW359" s="42" t="n"/>
      <c r="AX359" s="42" t="n"/>
      <c r="AY359" s="42" t="n"/>
      <c r="AZ359" s="42" t="n"/>
      <c r="BA359" s="42" t="n"/>
      <c r="BB359" s="42" t="n"/>
      <c r="BC359" s="42" t="n"/>
      <c r="BD359" s="42" t="n"/>
      <c r="BE359" s="42" t="n"/>
      <c r="BF359" s="42" t="n"/>
      <c r="BG359" s="42" t="n"/>
      <c r="BH359" s="42" t="n"/>
      <c r="BI359" s="42" t="n"/>
      <c r="BJ359" s="42" t="n"/>
      <c r="BK359" s="42" t="n"/>
      <c r="BL359" s="42" t="n"/>
      <c r="BM359" s="42" t="n"/>
      <c r="BN359" s="42" t="n"/>
      <c r="BO359" s="42" t="n"/>
      <c r="BP359" s="42" t="n"/>
      <c r="BQ359" s="42" t="n"/>
      <c r="BR359" s="42" t="n"/>
      <c r="BS359" s="42" t="n"/>
      <c r="BT359" s="42" t="n"/>
      <c r="BU359" s="42" t="n"/>
      <c r="BV359" s="42" t="n"/>
      <c r="BW359" s="42" t="n"/>
      <c r="BX359" s="42" t="n"/>
      <c r="BY359" s="42" t="n"/>
      <c r="BZ359" s="42" t="n"/>
      <c r="CA359" s="42" t="n"/>
      <c r="CB359" s="42" t="n"/>
      <c r="CC359" s="42" t="n"/>
      <c r="CD359" s="42" t="n"/>
      <c r="CE359" s="42" t="n"/>
      <c r="CF359" s="42" t="n"/>
      <c r="CG359" s="42" t="n"/>
      <c r="CH359" s="42" t="n"/>
      <c r="CI359" s="42" t="n"/>
      <c r="CJ359" s="42" t="n"/>
      <c r="CK359" s="42" t="n"/>
      <c r="CL359" s="42" t="n"/>
      <c r="CM359" s="42" t="n"/>
      <c r="CN359" s="42" t="n"/>
      <c r="CO359" s="42" t="n"/>
      <c r="CP359" s="42" t="n"/>
      <c r="CQ359" s="42" t="n"/>
      <c r="CR359" s="42" t="n"/>
      <c r="CS359" s="42" t="n"/>
      <c r="CT359" s="42" t="n"/>
      <c r="CU359" s="42" t="n"/>
      <c r="CV359" s="42" t="n"/>
      <c r="CW359" s="42" t="n"/>
      <c r="CX359" s="42" t="n"/>
    </row>
    <row r="360" ht="15.75" customHeight="1" s="255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42" t="n"/>
      <c r="AJ360" s="42" t="n"/>
      <c r="AK360" s="42" t="n"/>
      <c r="AL360" s="42" t="n"/>
      <c r="AM360" s="42" t="n"/>
      <c r="AN360" s="42" t="n"/>
      <c r="AO360" s="42" t="n"/>
      <c r="AP360" s="42" t="n"/>
      <c r="AQ360" s="42" t="n"/>
      <c r="AR360" s="42" t="n"/>
      <c r="AS360" s="42" t="n"/>
      <c r="AT360" s="42" t="n"/>
      <c r="AU360" s="42" t="n"/>
      <c r="AV360" s="42" t="n"/>
      <c r="AW360" s="42" t="n"/>
      <c r="AX360" s="42" t="n"/>
      <c r="AY360" s="42" t="n"/>
      <c r="AZ360" s="42" t="n"/>
      <c r="BA360" s="42" t="n"/>
      <c r="BB360" s="42" t="n"/>
      <c r="BC360" s="42" t="n"/>
      <c r="BD360" s="42" t="n"/>
      <c r="BE360" s="42" t="n"/>
      <c r="BF360" s="42" t="n"/>
      <c r="BG360" s="42" t="n"/>
      <c r="BH360" s="42" t="n"/>
      <c r="BI360" s="42" t="n"/>
      <c r="BJ360" s="42" t="n"/>
      <c r="BK360" s="42" t="n"/>
      <c r="BL360" s="42" t="n"/>
      <c r="BM360" s="42" t="n"/>
      <c r="BN360" s="42" t="n"/>
      <c r="BO360" s="42" t="n"/>
      <c r="BP360" s="42" t="n"/>
      <c r="BQ360" s="42" t="n"/>
      <c r="BR360" s="42" t="n"/>
      <c r="BS360" s="42" t="n"/>
      <c r="BT360" s="42" t="n"/>
      <c r="BU360" s="42" t="n"/>
      <c r="BV360" s="42" t="n"/>
      <c r="BW360" s="42" t="n"/>
      <c r="BX360" s="42" t="n"/>
      <c r="BY360" s="42" t="n"/>
      <c r="BZ360" s="42" t="n"/>
      <c r="CA360" s="42" t="n"/>
      <c r="CB360" s="42" t="n"/>
      <c r="CC360" s="42" t="n"/>
      <c r="CD360" s="42" t="n"/>
      <c r="CE360" s="42" t="n"/>
      <c r="CF360" s="42" t="n"/>
      <c r="CG360" s="42" t="n"/>
      <c r="CH360" s="42" t="n"/>
      <c r="CI360" s="42" t="n"/>
      <c r="CJ360" s="42" t="n"/>
      <c r="CK360" s="42" t="n"/>
      <c r="CL360" s="42" t="n"/>
      <c r="CM360" s="42" t="n"/>
      <c r="CN360" s="42" t="n"/>
      <c r="CO360" s="42" t="n"/>
      <c r="CP360" s="42" t="n"/>
      <c r="CQ360" s="42" t="n"/>
      <c r="CR360" s="42" t="n"/>
      <c r="CS360" s="42" t="n"/>
      <c r="CT360" s="42" t="n"/>
      <c r="CU360" s="42" t="n"/>
      <c r="CV360" s="42" t="n"/>
      <c r="CW360" s="42" t="n"/>
      <c r="CX360" s="42" t="n"/>
    </row>
    <row r="361" ht="15.75" customHeight="1" s="255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42" t="n"/>
      <c r="AJ361" s="42" t="n"/>
      <c r="AK361" s="42" t="n"/>
      <c r="AL361" s="42" t="n"/>
      <c r="AM361" s="42" t="n"/>
      <c r="AN361" s="42" t="n"/>
      <c r="AO361" s="42" t="n"/>
      <c r="AP361" s="42" t="n"/>
      <c r="AQ361" s="42" t="n"/>
      <c r="AR361" s="42" t="n"/>
      <c r="AS361" s="42" t="n"/>
      <c r="AT361" s="42" t="n"/>
      <c r="AU361" s="42" t="n"/>
      <c r="AV361" s="42" t="n"/>
      <c r="AW361" s="42" t="n"/>
      <c r="AX361" s="42" t="n"/>
      <c r="AY361" s="42" t="n"/>
      <c r="AZ361" s="42" t="n"/>
      <c r="BA361" s="42" t="n"/>
      <c r="BB361" s="42" t="n"/>
      <c r="BC361" s="42" t="n"/>
      <c r="BD361" s="42" t="n"/>
      <c r="BE361" s="42" t="n"/>
      <c r="BF361" s="42" t="n"/>
      <c r="BG361" s="42" t="n"/>
      <c r="BH361" s="42" t="n"/>
      <c r="BI361" s="42" t="n"/>
      <c r="BJ361" s="42" t="n"/>
      <c r="BK361" s="42" t="n"/>
      <c r="BL361" s="42" t="n"/>
      <c r="BM361" s="42" t="n"/>
      <c r="BN361" s="42" t="n"/>
      <c r="BO361" s="42" t="n"/>
      <c r="BP361" s="42" t="n"/>
      <c r="BQ361" s="42" t="n"/>
      <c r="BR361" s="42" t="n"/>
      <c r="BS361" s="42" t="n"/>
      <c r="BT361" s="42" t="n"/>
      <c r="BU361" s="42" t="n"/>
      <c r="BV361" s="42" t="n"/>
      <c r="BW361" s="42" t="n"/>
      <c r="BX361" s="42" t="n"/>
      <c r="BY361" s="42" t="n"/>
      <c r="BZ361" s="42" t="n"/>
      <c r="CA361" s="42" t="n"/>
      <c r="CB361" s="42" t="n"/>
      <c r="CC361" s="42" t="n"/>
      <c r="CD361" s="42" t="n"/>
      <c r="CE361" s="42" t="n"/>
      <c r="CF361" s="42" t="n"/>
      <c r="CG361" s="42" t="n"/>
      <c r="CH361" s="42" t="n"/>
      <c r="CI361" s="42" t="n"/>
      <c r="CJ361" s="42" t="n"/>
      <c r="CK361" s="42" t="n"/>
      <c r="CL361" s="42" t="n"/>
      <c r="CM361" s="42" t="n"/>
      <c r="CN361" s="42" t="n"/>
      <c r="CO361" s="42" t="n"/>
      <c r="CP361" s="42" t="n"/>
      <c r="CQ361" s="42" t="n"/>
      <c r="CR361" s="42" t="n"/>
      <c r="CS361" s="42" t="n"/>
      <c r="CT361" s="42" t="n"/>
      <c r="CU361" s="42" t="n"/>
      <c r="CV361" s="42" t="n"/>
      <c r="CW361" s="42" t="n"/>
      <c r="CX361" s="42" t="n"/>
    </row>
    <row r="362" ht="15.75" customHeight="1" s="255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42" t="n"/>
      <c r="AJ362" s="42" t="n"/>
      <c r="AK362" s="42" t="n"/>
      <c r="AL362" s="42" t="n"/>
      <c r="AM362" s="42" t="n"/>
      <c r="AN362" s="42" t="n"/>
      <c r="AO362" s="42" t="n"/>
      <c r="AP362" s="42" t="n"/>
      <c r="AQ362" s="42" t="n"/>
      <c r="AR362" s="42" t="n"/>
      <c r="AS362" s="42" t="n"/>
      <c r="AT362" s="42" t="n"/>
      <c r="AU362" s="42" t="n"/>
      <c r="AV362" s="42" t="n"/>
      <c r="AW362" s="42" t="n"/>
      <c r="AX362" s="42" t="n"/>
      <c r="AY362" s="42" t="n"/>
      <c r="AZ362" s="42" t="n"/>
      <c r="BA362" s="42" t="n"/>
      <c r="BB362" s="42" t="n"/>
      <c r="BC362" s="42" t="n"/>
      <c r="BD362" s="42" t="n"/>
      <c r="BE362" s="42" t="n"/>
      <c r="BF362" s="42" t="n"/>
      <c r="BG362" s="42" t="n"/>
      <c r="BH362" s="42" t="n"/>
      <c r="BI362" s="42" t="n"/>
      <c r="BJ362" s="42" t="n"/>
      <c r="BK362" s="42" t="n"/>
      <c r="BL362" s="42" t="n"/>
      <c r="BM362" s="42" t="n"/>
      <c r="BN362" s="42" t="n"/>
      <c r="BO362" s="42" t="n"/>
      <c r="BP362" s="42" t="n"/>
      <c r="BQ362" s="42" t="n"/>
      <c r="BR362" s="42" t="n"/>
      <c r="BS362" s="42" t="n"/>
      <c r="BT362" s="42" t="n"/>
      <c r="BU362" s="42" t="n"/>
      <c r="BV362" s="42" t="n"/>
      <c r="BW362" s="42" t="n"/>
      <c r="BX362" s="42" t="n"/>
      <c r="BY362" s="42" t="n"/>
      <c r="BZ362" s="42" t="n"/>
      <c r="CA362" s="42" t="n"/>
      <c r="CB362" s="42" t="n"/>
      <c r="CC362" s="42" t="n"/>
      <c r="CD362" s="42" t="n"/>
      <c r="CE362" s="42" t="n"/>
      <c r="CF362" s="42" t="n"/>
      <c r="CG362" s="42" t="n"/>
      <c r="CH362" s="42" t="n"/>
      <c r="CI362" s="42" t="n"/>
      <c r="CJ362" s="42" t="n"/>
      <c r="CK362" s="42" t="n"/>
      <c r="CL362" s="42" t="n"/>
      <c r="CM362" s="42" t="n"/>
      <c r="CN362" s="42" t="n"/>
      <c r="CO362" s="42" t="n"/>
      <c r="CP362" s="42" t="n"/>
      <c r="CQ362" s="42" t="n"/>
      <c r="CR362" s="42" t="n"/>
      <c r="CS362" s="42" t="n"/>
      <c r="CT362" s="42" t="n"/>
      <c r="CU362" s="42" t="n"/>
      <c r="CV362" s="42" t="n"/>
      <c r="CW362" s="42" t="n"/>
      <c r="CX362" s="42" t="n"/>
    </row>
    <row r="363" ht="15.75" customHeight="1" s="255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42" t="n"/>
      <c r="AJ363" s="42" t="n"/>
      <c r="AK363" s="42" t="n"/>
      <c r="AL363" s="42" t="n"/>
      <c r="AM363" s="42" t="n"/>
      <c r="AN363" s="42" t="n"/>
      <c r="AO363" s="42" t="n"/>
      <c r="AP363" s="42" t="n"/>
      <c r="AQ363" s="42" t="n"/>
      <c r="AR363" s="42" t="n"/>
      <c r="AS363" s="42" t="n"/>
      <c r="AT363" s="42" t="n"/>
      <c r="AU363" s="42" t="n"/>
      <c r="AV363" s="42" t="n"/>
      <c r="AW363" s="42" t="n"/>
      <c r="AX363" s="42" t="n"/>
      <c r="AY363" s="42" t="n"/>
      <c r="AZ363" s="42" t="n"/>
      <c r="BA363" s="42" t="n"/>
      <c r="BB363" s="42" t="n"/>
      <c r="BC363" s="42" t="n"/>
      <c r="BD363" s="42" t="n"/>
      <c r="BE363" s="42" t="n"/>
      <c r="BF363" s="42" t="n"/>
      <c r="BG363" s="42" t="n"/>
      <c r="BH363" s="42" t="n"/>
      <c r="BI363" s="42" t="n"/>
      <c r="BJ363" s="42" t="n"/>
      <c r="BK363" s="42" t="n"/>
      <c r="BL363" s="42" t="n"/>
      <c r="BM363" s="42" t="n"/>
      <c r="BN363" s="42" t="n"/>
      <c r="BO363" s="42" t="n"/>
      <c r="BP363" s="42" t="n"/>
      <c r="BQ363" s="42" t="n"/>
      <c r="BR363" s="42" t="n"/>
      <c r="BS363" s="42" t="n"/>
      <c r="BT363" s="42" t="n"/>
      <c r="BU363" s="42" t="n"/>
      <c r="BV363" s="42" t="n"/>
      <c r="BW363" s="42" t="n"/>
      <c r="BX363" s="42" t="n"/>
      <c r="BY363" s="42" t="n"/>
      <c r="BZ363" s="42" t="n"/>
      <c r="CA363" s="42" t="n"/>
      <c r="CB363" s="42" t="n"/>
      <c r="CC363" s="42" t="n"/>
      <c r="CD363" s="42" t="n"/>
      <c r="CE363" s="42" t="n"/>
      <c r="CF363" s="42" t="n"/>
      <c r="CG363" s="42" t="n"/>
      <c r="CH363" s="42" t="n"/>
      <c r="CI363" s="42" t="n"/>
      <c r="CJ363" s="42" t="n"/>
      <c r="CK363" s="42" t="n"/>
      <c r="CL363" s="42" t="n"/>
      <c r="CM363" s="42" t="n"/>
      <c r="CN363" s="42" t="n"/>
      <c r="CO363" s="42" t="n"/>
      <c r="CP363" s="42" t="n"/>
      <c r="CQ363" s="42" t="n"/>
      <c r="CR363" s="42" t="n"/>
      <c r="CS363" s="42" t="n"/>
      <c r="CT363" s="42" t="n"/>
      <c r="CU363" s="42" t="n"/>
      <c r="CV363" s="42" t="n"/>
      <c r="CW363" s="42" t="n"/>
      <c r="CX363" s="42" t="n"/>
    </row>
    <row r="364" ht="15.75" customHeight="1" s="255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42" t="n"/>
      <c r="AJ364" s="42" t="n"/>
      <c r="AK364" s="42" t="n"/>
      <c r="AL364" s="42" t="n"/>
      <c r="AM364" s="42" t="n"/>
      <c r="AN364" s="42" t="n"/>
      <c r="AO364" s="42" t="n"/>
      <c r="AP364" s="42" t="n"/>
      <c r="AQ364" s="42" t="n"/>
      <c r="AR364" s="42" t="n"/>
      <c r="AS364" s="42" t="n"/>
      <c r="AT364" s="42" t="n"/>
      <c r="AU364" s="42" t="n"/>
      <c r="AV364" s="42" t="n"/>
      <c r="AW364" s="42" t="n"/>
      <c r="AX364" s="42" t="n"/>
      <c r="AY364" s="42" t="n"/>
      <c r="AZ364" s="42" t="n"/>
      <c r="BA364" s="42" t="n"/>
      <c r="BB364" s="42" t="n"/>
      <c r="BC364" s="42" t="n"/>
      <c r="BD364" s="42" t="n"/>
      <c r="BE364" s="42" t="n"/>
      <c r="BF364" s="42" t="n"/>
      <c r="BG364" s="42" t="n"/>
      <c r="BH364" s="42" t="n"/>
      <c r="BI364" s="42" t="n"/>
      <c r="BJ364" s="42" t="n"/>
      <c r="BK364" s="42" t="n"/>
      <c r="BL364" s="42" t="n"/>
      <c r="BM364" s="42" t="n"/>
      <c r="BN364" s="42" t="n"/>
      <c r="BO364" s="42" t="n"/>
      <c r="BP364" s="42" t="n"/>
      <c r="BQ364" s="42" t="n"/>
      <c r="BR364" s="42" t="n"/>
      <c r="BS364" s="42" t="n"/>
      <c r="BT364" s="42" t="n"/>
      <c r="BU364" s="42" t="n"/>
      <c r="BV364" s="42" t="n"/>
      <c r="BW364" s="42" t="n"/>
      <c r="BX364" s="42" t="n"/>
      <c r="BY364" s="42" t="n"/>
      <c r="BZ364" s="42" t="n"/>
      <c r="CA364" s="42" t="n"/>
      <c r="CB364" s="42" t="n"/>
      <c r="CC364" s="42" t="n"/>
      <c r="CD364" s="42" t="n"/>
      <c r="CE364" s="42" t="n"/>
      <c r="CF364" s="42" t="n"/>
      <c r="CG364" s="42" t="n"/>
      <c r="CH364" s="42" t="n"/>
      <c r="CI364" s="42" t="n"/>
      <c r="CJ364" s="42" t="n"/>
      <c r="CK364" s="42" t="n"/>
      <c r="CL364" s="42" t="n"/>
      <c r="CM364" s="42" t="n"/>
      <c r="CN364" s="42" t="n"/>
      <c r="CO364" s="42" t="n"/>
      <c r="CP364" s="42" t="n"/>
      <c r="CQ364" s="42" t="n"/>
      <c r="CR364" s="42" t="n"/>
      <c r="CS364" s="42" t="n"/>
      <c r="CT364" s="42" t="n"/>
      <c r="CU364" s="42" t="n"/>
      <c r="CV364" s="42" t="n"/>
      <c r="CW364" s="42" t="n"/>
      <c r="CX364" s="42" t="n"/>
    </row>
    <row r="365" ht="15.75" customHeight="1" s="25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42" t="n"/>
      <c r="AJ365" s="42" t="n"/>
      <c r="AK365" s="42" t="n"/>
      <c r="AL365" s="42" t="n"/>
      <c r="AM365" s="42" t="n"/>
      <c r="AN365" s="42" t="n"/>
      <c r="AO365" s="42" t="n"/>
      <c r="AP365" s="42" t="n"/>
      <c r="AQ365" s="42" t="n"/>
      <c r="AR365" s="42" t="n"/>
      <c r="AS365" s="42" t="n"/>
      <c r="AT365" s="42" t="n"/>
      <c r="AU365" s="42" t="n"/>
      <c r="AV365" s="42" t="n"/>
      <c r="AW365" s="42" t="n"/>
      <c r="AX365" s="42" t="n"/>
      <c r="AY365" s="42" t="n"/>
      <c r="AZ365" s="42" t="n"/>
      <c r="BA365" s="42" t="n"/>
      <c r="BB365" s="42" t="n"/>
      <c r="BC365" s="42" t="n"/>
      <c r="BD365" s="42" t="n"/>
      <c r="BE365" s="42" t="n"/>
      <c r="BF365" s="42" t="n"/>
      <c r="BG365" s="42" t="n"/>
      <c r="BH365" s="42" t="n"/>
      <c r="BI365" s="42" t="n"/>
      <c r="BJ365" s="42" t="n"/>
      <c r="BK365" s="42" t="n"/>
      <c r="BL365" s="42" t="n"/>
      <c r="BM365" s="42" t="n"/>
      <c r="BN365" s="42" t="n"/>
      <c r="BO365" s="42" t="n"/>
      <c r="BP365" s="42" t="n"/>
      <c r="BQ365" s="42" t="n"/>
      <c r="BR365" s="42" t="n"/>
      <c r="BS365" s="42" t="n"/>
      <c r="BT365" s="42" t="n"/>
      <c r="BU365" s="42" t="n"/>
      <c r="BV365" s="42" t="n"/>
      <c r="BW365" s="42" t="n"/>
      <c r="BX365" s="42" t="n"/>
      <c r="BY365" s="42" t="n"/>
      <c r="BZ365" s="42" t="n"/>
      <c r="CA365" s="42" t="n"/>
      <c r="CB365" s="42" t="n"/>
      <c r="CC365" s="42" t="n"/>
      <c r="CD365" s="42" t="n"/>
      <c r="CE365" s="42" t="n"/>
      <c r="CF365" s="42" t="n"/>
      <c r="CG365" s="42" t="n"/>
      <c r="CH365" s="42" t="n"/>
      <c r="CI365" s="42" t="n"/>
      <c r="CJ365" s="42" t="n"/>
      <c r="CK365" s="42" t="n"/>
      <c r="CL365" s="42" t="n"/>
      <c r="CM365" s="42" t="n"/>
      <c r="CN365" s="42" t="n"/>
      <c r="CO365" s="42" t="n"/>
      <c r="CP365" s="42" t="n"/>
      <c r="CQ365" s="42" t="n"/>
      <c r="CR365" s="42" t="n"/>
      <c r="CS365" s="42" t="n"/>
      <c r="CT365" s="42" t="n"/>
      <c r="CU365" s="42" t="n"/>
      <c r="CV365" s="42" t="n"/>
      <c r="CW365" s="42" t="n"/>
      <c r="CX365" s="42" t="n"/>
    </row>
    <row r="366" ht="15.75" customHeight="1" s="255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42" t="n"/>
      <c r="AJ366" s="42" t="n"/>
      <c r="AK366" s="42" t="n"/>
      <c r="AL366" s="42" t="n"/>
      <c r="AM366" s="42" t="n"/>
      <c r="AN366" s="42" t="n"/>
      <c r="AO366" s="42" t="n"/>
      <c r="AP366" s="42" t="n"/>
      <c r="AQ366" s="42" t="n"/>
      <c r="AR366" s="42" t="n"/>
      <c r="AS366" s="42" t="n"/>
      <c r="AT366" s="42" t="n"/>
      <c r="AU366" s="42" t="n"/>
      <c r="AV366" s="42" t="n"/>
      <c r="AW366" s="42" t="n"/>
      <c r="AX366" s="42" t="n"/>
      <c r="AY366" s="42" t="n"/>
      <c r="AZ366" s="42" t="n"/>
      <c r="BA366" s="42" t="n"/>
      <c r="BB366" s="42" t="n"/>
      <c r="BC366" s="42" t="n"/>
      <c r="BD366" s="42" t="n"/>
      <c r="BE366" s="42" t="n"/>
      <c r="BF366" s="42" t="n"/>
      <c r="BG366" s="42" t="n"/>
      <c r="BH366" s="42" t="n"/>
      <c r="BI366" s="42" t="n"/>
      <c r="BJ366" s="42" t="n"/>
      <c r="BK366" s="42" t="n"/>
      <c r="BL366" s="42" t="n"/>
      <c r="BM366" s="42" t="n"/>
      <c r="BN366" s="42" t="n"/>
      <c r="BO366" s="42" t="n"/>
      <c r="BP366" s="42" t="n"/>
      <c r="BQ366" s="42" t="n"/>
      <c r="BR366" s="42" t="n"/>
      <c r="BS366" s="42" t="n"/>
      <c r="BT366" s="42" t="n"/>
      <c r="BU366" s="42" t="n"/>
      <c r="BV366" s="42" t="n"/>
      <c r="BW366" s="42" t="n"/>
      <c r="BX366" s="42" t="n"/>
      <c r="BY366" s="42" t="n"/>
      <c r="BZ366" s="42" t="n"/>
      <c r="CA366" s="42" t="n"/>
      <c r="CB366" s="42" t="n"/>
      <c r="CC366" s="42" t="n"/>
      <c r="CD366" s="42" t="n"/>
      <c r="CE366" s="42" t="n"/>
      <c r="CF366" s="42" t="n"/>
      <c r="CG366" s="42" t="n"/>
      <c r="CH366" s="42" t="n"/>
      <c r="CI366" s="42" t="n"/>
      <c r="CJ366" s="42" t="n"/>
      <c r="CK366" s="42" t="n"/>
      <c r="CL366" s="42" t="n"/>
      <c r="CM366" s="42" t="n"/>
      <c r="CN366" s="42" t="n"/>
      <c r="CO366" s="42" t="n"/>
      <c r="CP366" s="42" t="n"/>
      <c r="CQ366" s="42" t="n"/>
      <c r="CR366" s="42" t="n"/>
      <c r="CS366" s="42" t="n"/>
      <c r="CT366" s="42" t="n"/>
      <c r="CU366" s="42" t="n"/>
      <c r="CV366" s="42" t="n"/>
      <c r="CW366" s="42" t="n"/>
      <c r="CX366" s="42" t="n"/>
    </row>
    <row r="367" ht="15.75" customHeight="1" s="255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42" t="n"/>
      <c r="AJ367" s="42" t="n"/>
      <c r="AK367" s="42" t="n"/>
      <c r="AL367" s="42" t="n"/>
      <c r="AM367" s="42" t="n"/>
      <c r="AN367" s="42" t="n"/>
      <c r="AO367" s="42" t="n"/>
      <c r="AP367" s="42" t="n"/>
      <c r="AQ367" s="42" t="n"/>
      <c r="AR367" s="42" t="n"/>
      <c r="AS367" s="42" t="n"/>
      <c r="AT367" s="42" t="n"/>
      <c r="AU367" s="42" t="n"/>
      <c r="AV367" s="42" t="n"/>
      <c r="AW367" s="42" t="n"/>
      <c r="AX367" s="42" t="n"/>
      <c r="AY367" s="42" t="n"/>
      <c r="AZ367" s="42" t="n"/>
      <c r="BA367" s="42" t="n"/>
      <c r="BB367" s="42" t="n"/>
      <c r="BC367" s="42" t="n"/>
      <c r="BD367" s="42" t="n"/>
      <c r="BE367" s="42" t="n"/>
      <c r="BF367" s="42" t="n"/>
      <c r="BG367" s="42" t="n"/>
      <c r="BH367" s="42" t="n"/>
      <c r="BI367" s="42" t="n"/>
      <c r="BJ367" s="42" t="n"/>
      <c r="BK367" s="42" t="n"/>
      <c r="BL367" s="42" t="n"/>
      <c r="BM367" s="42" t="n"/>
      <c r="BN367" s="42" t="n"/>
      <c r="BO367" s="42" t="n"/>
      <c r="BP367" s="42" t="n"/>
      <c r="BQ367" s="42" t="n"/>
      <c r="BR367" s="42" t="n"/>
      <c r="BS367" s="42" t="n"/>
      <c r="BT367" s="42" t="n"/>
      <c r="BU367" s="42" t="n"/>
      <c r="BV367" s="42" t="n"/>
      <c r="BW367" s="42" t="n"/>
      <c r="BX367" s="42" t="n"/>
      <c r="BY367" s="42" t="n"/>
      <c r="BZ367" s="42" t="n"/>
      <c r="CA367" s="42" t="n"/>
      <c r="CB367" s="42" t="n"/>
      <c r="CC367" s="42" t="n"/>
      <c r="CD367" s="42" t="n"/>
      <c r="CE367" s="42" t="n"/>
      <c r="CF367" s="42" t="n"/>
      <c r="CG367" s="42" t="n"/>
      <c r="CH367" s="42" t="n"/>
      <c r="CI367" s="42" t="n"/>
      <c r="CJ367" s="42" t="n"/>
      <c r="CK367" s="42" t="n"/>
      <c r="CL367" s="42" t="n"/>
      <c r="CM367" s="42" t="n"/>
      <c r="CN367" s="42" t="n"/>
      <c r="CO367" s="42" t="n"/>
      <c r="CP367" s="42" t="n"/>
      <c r="CQ367" s="42" t="n"/>
      <c r="CR367" s="42" t="n"/>
      <c r="CS367" s="42" t="n"/>
      <c r="CT367" s="42" t="n"/>
      <c r="CU367" s="42" t="n"/>
      <c r="CV367" s="42" t="n"/>
      <c r="CW367" s="42" t="n"/>
      <c r="CX367" s="42" t="n"/>
    </row>
    <row r="368" ht="15.75" customHeight="1" s="255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42" t="n"/>
      <c r="AJ368" s="42" t="n"/>
      <c r="AK368" s="42" t="n"/>
      <c r="AL368" s="42" t="n"/>
      <c r="AM368" s="42" t="n"/>
      <c r="AN368" s="42" t="n"/>
      <c r="AO368" s="42" t="n"/>
      <c r="AP368" s="42" t="n"/>
      <c r="AQ368" s="42" t="n"/>
      <c r="AR368" s="42" t="n"/>
      <c r="AS368" s="42" t="n"/>
      <c r="AT368" s="42" t="n"/>
      <c r="AU368" s="42" t="n"/>
      <c r="AV368" s="42" t="n"/>
      <c r="AW368" s="42" t="n"/>
      <c r="AX368" s="42" t="n"/>
      <c r="AY368" s="42" t="n"/>
      <c r="AZ368" s="42" t="n"/>
      <c r="BA368" s="42" t="n"/>
      <c r="BB368" s="42" t="n"/>
      <c r="BC368" s="42" t="n"/>
      <c r="BD368" s="42" t="n"/>
      <c r="BE368" s="42" t="n"/>
      <c r="BF368" s="42" t="n"/>
      <c r="BG368" s="42" t="n"/>
      <c r="BH368" s="42" t="n"/>
      <c r="BI368" s="42" t="n"/>
      <c r="BJ368" s="42" t="n"/>
      <c r="BK368" s="42" t="n"/>
      <c r="BL368" s="42" t="n"/>
      <c r="BM368" s="42" t="n"/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n"/>
      <c r="BZ368" s="42" t="n"/>
      <c r="CA368" s="42" t="n"/>
      <c r="CB368" s="42" t="n"/>
      <c r="CC368" s="42" t="n"/>
      <c r="CD368" s="42" t="n"/>
      <c r="CE368" s="42" t="n"/>
      <c r="CF368" s="42" t="n"/>
      <c r="CG368" s="42" t="n"/>
      <c r="CH368" s="42" t="n"/>
      <c r="CI368" s="42" t="n"/>
      <c r="CJ368" s="42" t="n"/>
      <c r="CK368" s="42" t="n"/>
      <c r="CL368" s="42" t="n"/>
      <c r="CM368" s="42" t="n"/>
      <c r="CN368" s="42" t="n"/>
      <c r="CO368" s="42" t="n"/>
      <c r="CP368" s="42" t="n"/>
      <c r="CQ368" s="42" t="n"/>
      <c r="CR368" s="42" t="n"/>
      <c r="CS368" s="42" t="n"/>
      <c r="CT368" s="42" t="n"/>
      <c r="CU368" s="42" t="n"/>
      <c r="CV368" s="42" t="n"/>
      <c r="CW368" s="42" t="n"/>
      <c r="CX368" s="42" t="n"/>
    </row>
    <row r="369" ht="15.75" customHeight="1" s="255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42" t="n"/>
      <c r="AJ369" s="42" t="n"/>
      <c r="AK369" s="42" t="n"/>
      <c r="AL369" s="42" t="n"/>
      <c r="AM369" s="42" t="n"/>
      <c r="AN369" s="42" t="n"/>
      <c r="AO369" s="42" t="n"/>
      <c r="AP369" s="42" t="n"/>
      <c r="AQ369" s="42" t="n"/>
      <c r="AR369" s="42" t="n"/>
      <c r="AS369" s="42" t="n"/>
      <c r="AT369" s="42" t="n"/>
      <c r="AU369" s="42" t="n"/>
      <c r="AV369" s="42" t="n"/>
      <c r="AW369" s="42" t="n"/>
      <c r="AX369" s="42" t="n"/>
      <c r="AY369" s="42" t="n"/>
      <c r="AZ369" s="42" t="n"/>
      <c r="BA369" s="42" t="n"/>
      <c r="BB369" s="42" t="n"/>
      <c r="BC369" s="42" t="n"/>
      <c r="BD369" s="42" t="n"/>
      <c r="BE369" s="42" t="n"/>
      <c r="BF369" s="42" t="n"/>
      <c r="BG369" s="42" t="n"/>
      <c r="BH369" s="42" t="n"/>
      <c r="BI369" s="42" t="n"/>
      <c r="BJ369" s="42" t="n"/>
      <c r="BK369" s="42" t="n"/>
      <c r="BL369" s="42" t="n"/>
      <c r="BM369" s="42" t="n"/>
      <c r="BN369" s="42" t="n"/>
      <c r="BO369" s="42" t="n"/>
      <c r="BP369" s="42" t="n"/>
      <c r="BQ369" s="42" t="n"/>
      <c r="BR369" s="42" t="n"/>
      <c r="BS369" s="42" t="n"/>
      <c r="BT369" s="42" t="n"/>
      <c r="BU369" s="42" t="n"/>
      <c r="BV369" s="42" t="n"/>
      <c r="BW369" s="42" t="n"/>
      <c r="BX369" s="42" t="n"/>
      <c r="BY369" s="42" t="n"/>
      <c r="BZ369" s="42" t="n"/>
      <c r="CA369" s="42" t="n"/>
      <c r="CB369" s="42" t="n"/>
      <c r="CC369" s="42" t="n"/>
      <c r="CD369" s="42" t="n"/>
      <c r="CE369" s="42" t="n"/>
      <c r="CF369" s="42" t="n"/>
      <c r="CG369" s="42" t="n"/>
      <c r="CH369" s="42" t="n"/>
      <c r="CI369" s="42" t="n"/>
      <c r="CJ369" s="42" t="n"/>
      <c r="CK369" s="42" t="n"/>
      <c r="CL369" s="42" t="n"/>
      <c r="CM369" s="42" t="n"/>
      <c r="CN369" s="42" t="n"/>
      <c r="CO369" s="42" t="n"/>
      <c r="CP369" s="42" t="n"/>
      <c r="CQ369" s="42" t="n"/>
      <c r="CR369" s="42" t="n"/>
      <c r="CS369" s="42" t="n"/>
      <c r="CT369" s="42" t="n"/>
      <c r="CU369" s="42" t="n"/>
      <c r="CV369" s="42" t="n"/>
      <c r="CW369" s="42" t="n"/>
      <c r="CX369" s="42" t="n"/>
    </row>
    <row r="370" ht="15.75" customHeight="1" s="255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42" t="n"/>
      <c r="AJ370" s="42" t="n"/>
      <c r="AK370" s="42" t="n"/>
      <c r="AL370" s="42" t="n"/>
      <c r="AM370" s="42" t="n"/>
      <c r="AN370" s="42" t="n"/>
      <c r="AO370" s="42" t="n"/>
      <c r="AP370" s="42" t="n"/>
      <c r="AQ370" s="42" t="n"/>
      <c r="AR370" s="42" t="n"/>
      <c r="AS370" s="42" t="n"/>
      <c r="AT370" s="42" t="n"/>
      <c r="AU370" s="42" t="n"/>
      <c r="AV370" s="42" t="n"/>
      <c r="AW370" s="42" t="n"/>
      <c r="AX370" s="42" t="n"/>
      <c r="AY370" s="42" t="n"/>
      <c r="AZ370" s="42" t="n"/>
      <c r="BA370" s="42" t="n"/>
      <c r="BB370" s="42" t="n"/>
      <c r="BC370" s="42" t="n"/>
      <c r="BD370" s="42" t="n"/>
      <c r="BE370" s="42" t="n"/>
      <c r="BF370" s="42" t="n"/>
      <c r="BG370" s="42" t="n"/>
      <c r="BH370" s="42" t="n"/>
      <c r="BI370" s="42" t="n"/>
      <c r="BJ370" s="42" t="n"/>
      <c r="BK370" s="42" t="n"/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42" t="n"/>
      <c r="CC370" s="42" t="n"/>
      <c r="CD370" s="42" t="n"/>
      <c r="CE370" s="42" t="n"/>
      <c r="CF370" s="42" t="n"/>
      <c r="CG370" s="42" t="n"/>
      <c r="CH370" s="42" t="n"/>
      <c r="CI370" s="42" t="n"/>
      <c r="CJ370" s="42" t="n"/>
      <c r="CK370" s="42" t="n"/>
      <c r="CL370" s="42" t="n"/>
      <c r="CM370" s="42" t="n"/>
      <c r="CN370" s="42" t="n"/>
      <c r="CO370" s="42" t="n"/>
      <c r="CP370" s="42" t="n"/>
      <c r="CQ370" s="42" t="n"/>
      <c r="CR370" s="42" t="n"/>
      <c r="CS370" s="42" t="n"/>
      <c r="CT370" s="42" t="n"/>
      <c r="CU370" s="42" t="n"/>
      <c r="CV370" s="42" t="n"/>
      <c r="CW370" s="42" t="n"/>
      <c r="CX370" s="42" t="n"/>
    </row>
    <row r="371" ht="15.75" customHeight="1" s="255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42" t="n"/>
      <c r="AJ371" s="42" t="n"/>
      <c r="AK371" s="42" t="n"/>
      <c r="AL371" s="42" t="n"/>
      <c r="AM371" s="42" t="n"/>
      <c r="AN371" s="42" t="n"/>
      <c r="AO371" s="42" t="n"/>
      <c r="AP371" s="42" t="n"/>
      <c r="AQ371" s="42" t="n"/>
      <c r="AR371" s="42" t="n"/>
      <c r="AS371" s="42" t="n"/>
      <c r="AT371" s="42" t="n"/>
      <c r="AU371" s="42" t="n"/>
      <c r="AV371" s="42" t="n"/>
      <c r="AW371" s="42" t="n"/>
      <c r="AX371" s="42" t="n"/>
      <c r="AY371" s="42" t="n"/>
      <c r="AZ371" s="42" t="n"/>
      <c r="BA371" s="42" t="n"/>
      <c r="BB371" s="42" t="n"/>
      <c r="BC371" s="42" t="n"/>
      <c r="BD371" s="42" t="n"/>
      <c r="BE371" s="42" t="n"/>
      <c r="BF371" s="42" t="n"/>
      <c r="BG371" s="42" t="n"/>
      <c r="BH371" s="42" t="n"/>
      <c r="BI371" s="42" t="n"/>
      <c r="BJ371" s="42" t="n"/>
      <c r="BK371" s="42" t="n"/>
      <c r="BL371" s="42" t="n"/>
      <c r="BM371" s="42" t="n"/>
      <c r="BN371" s="42" t="n"/>
      <c r="BO371" s="42" t="n"/>
      <c r="BP371" s="42" t="n"/>
      <c r="BQ371" s="42" t="n"/>
      <c r="BR371" s="42" t="n"/>
      <c r="BS371" s="42" t="n"/>
      <c r="BT371" s="42" t="n"/>
      <c r="BU371" s="42" t="n"/>
      <c r="BV371" s="42" t="n"/>
      <c r="BW371" s="42" t="n"/>
      <c r="BX371" s="42" t="n"/>
      <c r="BY371" s="42" t="n"/>
      <c r="BZ371" s="42" t="n"/>
      <c r="CA371" s="42" t="n"/>
      <c r="CB371" s="42" t="n"/>
      <c r="CC371" s="42" t="n"/>
      <c r="CD371" s="42" t="n"/>
      <c r="CE371" s="42" t="n"/>
      <c r="CF371" s="42" t="n"/>
      <c r="CG371" s="42" t="n"/>
      <c r="CH371" s="42" t="n"/>
      <c r="CI371" s="42" t="n"/>
      <c r="CJ371" s="42" t="n"/>
      <c r="CK371" s="42" t="n"/>
      <c r="CL371" s="42" t="n"/>
      <c r="CM371" s="42" t="n"/>
      <c r="CN371" s="42" t="n"/>
      <c r="CO371" s="42" t="n"/>
      <c r="CP371" s="42" t="n"/>
      <c r="CQ371" s="42" t="n"/>
      <c r="CR371" s="42" t="n"/>
      <c r="CS371" s="42" t="n"/>
      <c r="CT371" s="42" t="n"/>
      <c r="CU371" s="42" t="n"/>
      <c r="CV371" s="42" t="n"/>
      <c r="CW371" s="42" t="n"/>
      <c r="CX371" s="42" t="n"/>
    </row>
    <row r="372" ht="15.75" customHeight="1" s="255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42" t="n"/>
      <c r="AJ372" s="42" t="n"/>
      <c r="AK372" s="42" t="n"/>
      <c r="AL372" s="42" t="n"/>
      <c r="AM372" s="42" t="n"/>
      <c r="AN372" s="42" t="n"/>
      <c r="AO372" s="42" t="n"/>
      <c r="AP372" s="42" t="n"/>
      <c r="AQ372" s="42" t="n"/>
      <c r="AR372" s="42" t="n"/>
      <c r="AS372" s="42" t="n"/>
      <c r="AT372" s="42" t="n"/>
      <c r="AU372" s="42" t="n"/>
      <c r="AV372" s="42" t="n"/>
      <c r="AW372" s="42" t="n"/>
      <c r="AX372" s="42" t="n"/>
      <c r="AY372" s="42" t="n"/>
      <c r="AZ372" s="42" t="n"/>
      <c r="BA372" s="42" t="n"/>
      <c r="BB372" s="42" t="n"/>
      <c r="BC372" s="42" t="n"/>
      <c r="BD372" s="42" t="n"/>
      <c r="BE372" s="42" t="n"/>
      <c r="BF372" s="42" t="n"/>
      <c r="BG372" s="42" t="n"/>
      <c r="BH372" s="42" t="n"/>
      <c r="BI372" s="42" t="n"/>
      <c r="BJ372" s="42" t="n"/>
      <c r="BK372" s="42" t="n"/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42" t="n"/>
      <c r="CC372" s="42" t="n"/>
      <c r="CD372" s="42" t="n"/>
      <c r="CE372" s="42" t="n"/>
      <c r="CF372" s="42" t="n"/>
      <c r="CG372" s="42" t="n"/>
      <c r="CH372" s="42" t="n"/>
      <c r="CI372" s="42" t="n"/>
      <c r="CJ372" s="42" t="n"/>
      <c r="CK372" s="42" t="n"/>
      <c r="CL372" s="42" t="n"/>
      <c r="CM372" s="42" t="n"/>
      <c r="CN372" s="42" t="n"/>
      <c r="CO372" s="42" t="n"/>
      <c r="CP372" s="42" t="n"/>
      <c r="CQ372" s="42" t="n"/>
      <c r="CR372" s="42" t="n"/>
      <c r="CS372" s="42" t="n"/>
      <c r="CT372" s="42" t="n"/>
      <c r="CU372" s="42" t="n"/>
      <c r="CV372" s="42" t="n"/>
      <c r="CW372" s="42" t="n"/>
      <c r="CX372" s="42" t="n"/>
    </row>
    <row r="373" ht="15.75" customHeight="1" s="255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42" t="n"/>
      <c r="AJ373" s="42" t="n"/>
      <c r="AK373" s="42" t="n"/>
      <c r="AL373" s="42" t="n"/>
      <c r="AM373" s="42" t="n"/>
      <c r="AN373" s="42" t="n"/>
      <c r="AO373" s="42" t="n"/>
      <c r="AP373" s="42" t="n"/>
      <c r="AQ373" s="42" t="n"/>
      <c r="AR373" s="42" t="n"/>
      <c r="AS373" s="42" t="n"/>
      <c r="AT373" s="42" t="n"/>
      <c r="AU373" s="42" t="n"/>
      <c r="AV373" s="42" t="n"/>
      <c r="AW373" s="42" t="n"/>
      <c r="AX373" s="42" t="n"/>
      <c r="AY373" s="42" t="n"/>
      <c r="AZ373" s="42" t="n"/>
      <c r="BA373" s="42" t="n"/>
      <c r="BB373" s="42" t="n"/>
      <c r="BC373" s="42" t="n"/>
      <c r="BD373" s="42" t="n"/>
      <c r="BE373" s="42" t="n"/>
      <c r="BF373" s="42" t="n"/>
      <c r="BG373" s="42" t="n"/>
      <c r="BH373" s="42" t="n"/>
      <c r="BI373" s="42" t="n"/>
      <c r="BJ373" s="42" t="n"/>
      <c r="BK373" s="42" t="n"/>
      <c r="BL373" s="42" t="n"/>
      <c r="BM373" s="42" t="n"/>
      <c r="BN373" s="42" t="n"/>
      <c r="BO373" s="42" t="n"/>
      <c r="BP373" s="42" t="n"/>
      <c r="BQ373" s="42" t="n"/>
      <c r="BR373" s="42" t="n"/>
      <c r="BS373" s="42" t="n"/>
      <c r="BT373" s="42" t="n"/>
      <c r="BU373" s="42" t="n"/>
      <c r="BV373" s="42" t="n"/>
      <c r="BW373" s="42" t="n"/>
      <c r="BX373" s="42" t="n"/>
      <c r="BY373" s="42" t="n"/>
      <c r="BZ373" s="42" t="n"/>
      <c r="CA373" s="42" t="n"/>
      <c r="CB373" s="42" t="n"/>
      <c r="CC373" s="42" t="n"/>
      <c r="CD373" s="42" t="n"/>
      <c r="CE373" s="42" t="n"/>
      <c r="CF373" s="42" t="n"/>
      <c r="CG373" s="42" t="n"/>
      <c r="CH373" s="42" t="n"/>
      <c r="CI373" s="42" t="n"/>
      <c r="CJ373" s="42" t="n"/>
      <c r="CK373" s="42" t="n"/>
      <c r="CL373" s="42" t="n"/>
      <c r="CM373" s="42" t="n"/>
      <c r="CN373" s="42" t="n"/>
      <c r="CO373" s="42" t="n"/>
      <c r="CP373" s="42" t="n"/>
      <c r="CQ373" s="42" t="n"/>
      <c r="CR373" s="42" t="n"/>
      <c r="CS373" s="42" t="n"/>
      <c r="CT373" s="42" t="n"/>
      <c r="CU373" s="42" t="n"/>
      <c r="CV373" s="42" t="n"/>
      <c r="CW373" s="42" t="n"/>
      <c r="CX373" s="42" t="n"/>
    </row>
    <row r="374" ht="15.75" customHeight="1" s="255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42" t="n"/>
      <c r="AJ374" s="42" t="n"/>
      <c r="AK374" s="42" t="n"/>
      <c r="AL374" s="42" t="n"/>
      <c r="AM374" s="42" t="n"/>
      <c r="AN374" s="42" t="n"/>
      <c r="AO374" s="42" t="n"/>
      <c r="AP374" s="42" t="n"/>
      <c r="AQ374" s="42" t="n"/>
      <c r="AR374" s="42" t="n"/>
      <c r="AS374" s="42" t="n"/>
      <c r="AT374" s="42" t="n"/>
      <c r="AU374" s="42" t="n"/>
      <c r="AV374" s="42" t="n"/>
      <c r="AW374" s="42" t="n"/>
      <c r="AX374" s="42" t="n"/>
      <c r="AY374" s="42" t="n"/>
      <c r="AZ374" s="42" t="n"/>
      <c r="BA374" s="42" t="n"/>
      <c r="BB374" s="42" t="n"/>
      <c r="BC374" s="42" t="n"/>
      <c r="BD374" s="42" t="n"/>
      <c r="BE374" s="42" t="n"/>
      <c r="BF374" s="42" t="n"/>
      <c r="BG374" s="42" t="n"/>
      <c r="BH374" s="42" t="n"/>
      <c r="BI374" s="42" t="n"/>
      <c r="BJ374" s="42" t="n"/>
      <c r="BK374" s="42" t="n"/>
      <c r="BL374" s="42" t="n"/>
      <c r="BM374" s="42" t="n"/>
      <c r="BN374" s="42" t="n"/>
      <c r="BO374" s="42" t="n"/>
      <c r="BP374" s="42" t="n"/>
      <c r="BQ374" s="42" t="n"/>
      <c r="BR374" s="42" t="n"/>
      <c r="BS374" s="42" t="n"/>
      <c r="BT374" s="42" t="n"/>
      <c r="BU374" s="42" t="n"/>
      <c r="BV374" s="42" t="n"/>
      <c r="BW374" s="42" t="n"/>
      <c r="BX374" s="42" t="n"/>
      <c r="BY374" s="42" t="n"/>
      <c r="BZ374" s="42" t="n"/>
      <c r="CA374" s="42" t="n"/>
      <c r="CB374" s="42" t="n"/>
      <c r="CC374" s="42" t="n"/>
      <c r="CD374" s="42" t="n"/>
      <c r="CE374" s="42" t="n"/>
      <c r="CF374" s="42" t="n"/>
      <c r="CG374" s="42" t="n"/>
      <c r="CH374" s="42" t="n"/>
      <c r="CI374" s="42" t="n"/>
      <c r="CJ374" s="42" t="n"/>
      <c r="CK374" s="42" t="n"/>
      <c r="CL374" s="42" t="n"/>
      <c r="CM374" s="42" t="n"/>
      <c r="CN374" s="42" t="n"/>
      <c r="CO374" s="42" t="n"/>
      <c r="CP374" s="42" t="n"/>
      <c r="CQ374" s="42" t="n"/>
      <c r="CR374" s="42" t="n"/>
      <c r="CS374" s="42" t="n"/>
      <c r="CT374" s="42" t="n"/>
      <c r="CU374" s="42" t="n"/>
      <c r="CV374" s="42" t="n"/>
      <c r="CW374" s="42" t="n"/>
      <c r="CX374" s="42" t="n"/>
    </row>
    <row r="375" ht="15.75" customHeight="1" s="25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42" t="n"/>
      <c r="AJ375" s="42" t="n"/>
      <c r="AK375" s="42" t="n"/>
      <c r="AL375" s="42" t="n"/>
      <c r="AM375" s="42" t="n"/>
      <c r="AN375" s="42" t="n"/>
      <c r="AO375" s="42" t="n"/>
      <c r="AP375" s="42" t="n"/>
      <c r="AQ375" s="42" t="n"/>
      <c r="AR375" s="42" t="n"/>
      <c r="AS375" s="42" t="n"/>
      <c r="AT375" s="42" t="n"/>
      <c r="AU375" s="42" t="n"/>
      <c r="AV375" s="42" t="n"/>
      <c r="AW375" s="42" t="n"/>
      <c r="AX375" s="42" t="n"/>
      <c r="AY375" s="42" t="n"/>
      <c r="AZ375" s="42" t="n"/>
      <c r="BA375" s="42" t="n"/>
      <c r="BB375" s="42" t="n"/>
      <c r="BC375" s="42" t="n"/>
      <c r="BD375" s="42" t="n"/>
      <c r="BE375" s="42" t="n"/>
      <c r="BF375" s="42" t="n"/>
      <c r="BG375" s="42" t="n"/>
      <c r="BH375" s="42" t="n"/>
      <c r="BI375" s="42" t="n"/>
      <c r="BJ375" s="42" t="n"/>
      <c r="BK375" s="42" t="n"/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42" t="n"/>
      <c r="CC375" s="42" t="n"/>
      <c r="CD375" s="42" t="n"/>
      <c r="CE375" s="42" t="n"/>
      <c r="CF375" s="42" t="n"/>
      <c r="CG375" s="42" t="n"/>
      <c r="CH375" s="42" t="n"/>
      <c r="CI375" s="42" t="n"/>
      <c r="CJ375" s="42" t="n"/>
      <c r="CK375" s="42" t="n"/>
      <c r="CL375" s="42" t="n"/>
      <c r="CM375" s="42" t="n"/>
      <c r="CN375" s="42" t="n"/>
      <c r="CO375" s="42" t="n"/>
      <c r="CP375" s="42" t="n"/>
      <c r="CQ375" s="42" t="n"/>
      <c r="CR375" s="42" t="n"/>
      <c r="CS375" s="42" t="n"/>
      <c r="CT375" s="42" t="n"/>
      <c r="CU375" s="42" t="n"/>
      <c r="CV375" s="42" t="n"/>
      <c r="CW375" s="42" t="n"/>
      <c r="CX375" s="42" t="n"/>
    </row>
  </sheetData>
  <dataValidations count="1">
    <dataValidation sqref="B57 B65 B68 B92 B104 B115 B140 B143 B151 B160" showDropDown="0" showInputMessage="0" showErrorMessage="1" allowBlank="1" type="list">
      <formula1>"Marketing,Development,Operations,Capital Expenditures"</formula1>
    </dataValidation>
  </dataValidations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2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3"/>
  <sheetViews>
    <sheetView workbookViewId="0">
      <selection activeCell="A1" sqref="A1"/>
    </sheetView>
  </sheetViews>
  <sheetFormatPr baseColWidth="8" defaultColWidth="12.63" defaultRowHeight="15" customHeight="1"/>
  <cols>
    <col width="32.13" customWidth="1" style="255" min="1" max="1"/>
    <col width="4.38" customWidth="1" style="255" min="2" max="2"/>
    <col width="12.63" customWidth="1" style="255" min="3" max="6"/>
  </cols>
  <sheetData>
    <row r="1" ht="22.5" customHeight="1" s="255">
      <c r="A1" s="151">
        <f>Settings!B4</f>
        <v/>
      </c>
      <c r="B1" s="152" t="n"/>
      <c r="C1" s="153" t="n"/>
      <c r="D1" s="152" t="n"/>
      <c r="E1" s="152" t="n"/>
      <c r="F1" s="153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3" t="n"/>
      <c r="W1" s="153" t="n"/>
      <c r="X1" s="153" t="n"/>
      <c r="Y1" s="153" t="n"/>
      <c r="Z1" s="153" t="n"/>
      <c r="AA1" s="153" t="n"/>
      <c r="AB1" s="153" t="n"/>
      <c r="AC1" s="153" t="n"/>
      <c r="AD1" s="153" t="n"/>
      <c r="AE1" s="152" t="n"/>
      <c r="AF1" s="153" t="n"/>
      <c r="AG1" s="153" t="n"/>
      <c r="AH1" s="153" t="n"/>
      <c r="AI1" s="153" t="n"/>
      <c r="AJ1" s="153" t="n"/>
      <c r="AK1" s="153" t="n"/>
      <c r="AL1" s="153" t="n"/>
      <c r="AM1" s="153" t="n"/>
      <c r="AN1" s="153" t="n"/>
      <c r="AO1" s="153" t="n"/>
      <c r="AP1" s="153" t="n"/>
      <c r="AQ1" s="153" t="n"/>
      <c r="AR1" s="153" t="n"/>
      <c r="AS1" s="153" t="n"/>
      <c r="AT1" s="153" t="n"/>
      <c r="AU1" s="153" t="n"/>
      <c r="AV1" s="153" t="n"/>
      <c r="AW1" s="153" t="n"/>
      <c r="AX1" s="153" t="n"/>
      <c r="AY1" s="153" t="n"/>
      <c r="AZ1" s="153" t="n"/>
      <c r="BA1" s="153" t="n"/>
      <c r="BB1" s="153" t="n"/>
      <c r="BC1" s="153" t="n"/>
      <c r="BD1" s="153" t="n"/>
      <c r="BE1" s="153" t="n"/>
      <c r="BF1" s="153" t="n"/>
      <c r="BG1" s="153" t="n"/>
      <c r="BH1" s="153" t="n"/>
      <c r="BI1" s="153" t="n"/>
      <c r="BJ1" s="153" t="n"/>
      <c r="BK1" s="153" t="n"/>
      <c r="BL1" s="153" t="n"/>
      <c r="BM1" s="153" t="n"/>
      <c r="BN1" s="153" t="n"/>
      <c r="BO1" s="153" t="n"/>
      <c r="BP1" s="153" t="n"/>
      <c r="BQ1" s="153" t="n"/>
      <c r="BR1" s="153" t="n"/>
      <c r="BS1" s="153" t="n"/>
      <c r="BT1" s="153" t="n"/>
      <c r="BU1" s="153" t="n"/>
      <c r="BV1" s="153" t="n"/>
      <c r="BW1" s="153" t="n"/>
      <c r="BX1" s="153" t="n"/>
      <c r="BY1" s="153" t="n"/>
      <c r="BZ1" s="153" t="n"/>
      <c r="CA1" s="153" t="n"/>
      <c r="CB1" s="153" t="n"/>
      <c r="CC1" s="153" t="n"/>
      <c r="CD1" s="153" t="n"/>
      <c r="CE1" s="153" t="n"/>
      <c r="CF1" s="153" t="n"/>
      <c r="CG1" s="153" t="n"/>
      <c r="CH1" s="153" t="n"/>
      <c r="CI1" s="153" t="n"/>
      <c r="CJ1" s="153" t="n"/>
      <c r="CK1" s="153" t="n"/>
      <c r="CL1" s="153" t="n"/>
      <c r="CM1" s="153" t="n"/>
      <c r="CN1" s="153" t="n"/>
      <c r="CO1" s="153" t="n"/>
      <c r="CP1" s="153" t="n"/>
      <c r="CQ1" s="153" t="n"/>
      <c r="CR1" s="153" t="n"/>
      <c r="CS1" s="153" t="n"/>
      <c r="CT1" s="153" t="n"/>
      <c r="CU1" s="153" t="n"/>
      <c r="CV1" s="153" t="n"/>
      <c r="CW1" s="153" t="n"/>
    </row>
    <row r="2" ht="24" customHeight="1" s="255">
      <c r="A2" s="123" t="inlineStr">
        <is>
          <t>Month</t>
        </is>
      </c>
      <c r="B2" s="105" t="n"/>
      <c r="C2" s="125">
        <f>'Monthly forecast'!D2</f>
        <v/>
      </c>
      <c r="D2" s="126">
        <f>'Monthly forecast'!E2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15.75" customHeight="1" s="255">
      <c r="A4" s="167">
        <f>'Monthly forecast'!A15</f>
        <v/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2" t="n"/>
      <c r="CW4" s="42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42" t="inlineStr">
        <is>
          <t>Subscription price per month</t>
        </is>
      </c>
      <c r="B6" s="42" t="n"/>
      <c r="C6" s="154">
        <f>IF(C2&gt;=Projections!$D$28,Projections!$B$28,0)</f>
        <v/>
      </c>
      <c r="D6" s="154">
        <f>IF(D2&gt;=Projections!$D$28,Projections!$B$28,0)</f>
        <v/>
      </c>
      <c r="E6" s="154">
        <f>IF(E2&gt;=Projections!$D$28,Projections!$B$28,0)</f>
        <v/>
      </c>
      <c r="F6" s="154">
        <f>IF(F2&gt;=Projections!$D$28,Projections!$B$28,0)</f>
        <v/>
      </c>
      <c r="G6" s="154">
        <f>IF(G2&gt;=Projections!$D$28,Projections!$B$28,0)</f>
        <v/>
      </c>
      <c r="H6" s="154">
        <f>IF(H2&gt;=Projections!$D$28,Projections!$B$28,0)</f>
        <v/>
      </c>
      <c r="I6" s="154">
        <f>IF(I2&gt;=Projections!$D$28,Projections!$B$28,0)</f>
        <v/>
      </c>
      <c r="J6" s="154">
        <f>IF(J2&gt;=Projections!$D$28,Projections!$B$28,0)</f>
        <v/>
      </c>
      <c r="K6" s="154">
        <f>IF(K2&gt;=Projections!$D$28,Projections!$B$28,0)</f>
        <v/>
      </c>
      <c r="L6" s="154">
        <f>IF(L2&gt;=Projections!$D$28,Projections!$B$28,0)</f>
        <v/>
      </c>
      <c r="M6" s="154">
        <f>IF(M2&gt;=Projections!$D$28,Projections!$B$28,0)</f>
        <v/>
      </c>
      <c r="N6" s="154">
        <f>IF(N2&gt;=Projections!$D$28,Projections!$B$28,0)</f>
        <v/>
      </c>
      <c r="O6" s="154">
        <f>IF(O2&gt;=Projections!$D$28,Projections!$B$28,0)</f>
        <v/>
      </c>
      <c r="P6" s="154">
        <f>IF(P2&gt;=Projections!$D$28,Projections!$B$28,0)</f>
        <v/>
      </c>
      <c r="Q6" s="154">
        <f>IF(Q2&gt;=Projections!$D$28,Projections!$B$28,0)</f>
        <v/>
      </c>
      <c r="R6" s="154">
        <f>IF(R2&gt;=Projections!$D$28,Projections!$B$28,0)</f>
        <v/>
      </c>
      <c r="S6" s="154">
        <f>IF(S2&gt;=Projections!$D$28,Projections!$B$28,0)</f>
        <v/>
      </c>
      <c r="T6" s="154">
        <f>IF(T2&gt;=Projections!$D$28,Projections!$B$28,0)</f>
        <v/>
      </c>
      <c r="U6" s="154">
        <f>IF(U2&gt;=Projections!$D$28,Projections!$B$28,0)</f>
        <v/>
      </c>
      <c r="V6" s="154">
        <f>IF(V2&gt;=Projections!$D$28,Projections!$B$28,0)</f>
        <v/>
      </c>
      <c r="W6" s="154">
        <f>IF(W2&gt;=Projections!$D$28,Projections!$B$28,0)</f>
        <v/>
      </c>
      <c r="X6" s="154">
        <f>IF(X2&gt;=Projections!$D$28,Projections!$B$28,0)</f>
        <v/>
      </c>
      <c r="Y6" s="154">
        <f>IF(Y2&gt;=Projections!$D$28,Projections!$B$28,0)</f>
        <v/>
      </c>
      <c r="Z6" s="154">
        <f>IF(Z2&gt;=Projections!$D$28,Projections!$B$28,0)</f>
        <v/>
      </c>
      <c r="AA6" s="154">
        <f>IF(AA2&gt;=Projections!$D$28,Projections!$B$28,0)</f>
        <v/>
      </c>
      <c r="AB6" s="154">
        <f>IF(AB2&gt;=Projections!$D$28,Projections!$B$28,0)</f>
        <v/>
      </c>
      <c r="AC6" s="154">
        <f>IF(AC2&gt;=Projections!$D$28,Projections!$B$28,0)</f>
        <v/>
      </c>
      <c r="AD6" s="154">
        <f>IF(AD2&gt;=Projections!$D$28,Projections!$B$28,0)</f>
        <v/>
      </c>
      <c r="AE6" s="154">
        <f>IF(AE2&gt;=Projections!$D$28,Projections!$B$28,0)</f>
        <v/>
      </c>
      <c r="AF6" s="154">
        <f>IF(AF2&gt;=Projections!$D$28,Projections!$B$28,0)</f>
        <v/>
      </c>
      <c r="AG6" s="154">
        <f>IF(AG2&gt;=Projections!$D$28,Projections!$B$28,0)</f>
        <v/>
      </c>
      <c r="AH6" s="154">
        <f>IF(AH2&gt;=Projections!$D$28,Projections!$B$28,0)</f>
        <v/>
      </c>
      <c r="AI6" s="154">
        <f>IF(AI2&gt;=Projections!$D$28,Projections!$B$28,0)</f>
        <v/>
      </c>
      <c r="AJ6" s="154">
        <f>IF(AJ2&gt;=Projections!$D$28,Projections!$B$28,0)</f>
        <v/>
      </c>
      <c r="AK6" s="154">
        <f>IF(AK2&gt;=Projections!$D$28,Projections!$B$28,0)</f>
        <v/>
      </c>
      <c r="AL6" s="154">
        <f>IF(AL2&gt;=Projections!$D$28,Projections!$B$28,0)</f>
        <v/>
      </c>
      <c r="AM6" s="154">
        <f>IF(AM2&gt;=Projections!$D$28,Projections!$B$28,0)</f>
        <v/>
      </c>
      <c r="AN6" s="154">
        <f>IF(AN2&gt;=Projections!$D$28,Projections!$B$28,0)</f>
        <v/>
      </c>
      <c r="AO6" s="154">
        <f>IF(AO2&gt;=Projections!$D$28,Projections!$B$28,0)</f>
        <v/>
      </c>
      <c r="AP6" s="154">
        <f>IF(AP2&gt;=Projections!$D$28,Projections!$B$28,0)</f>
        <v/>
      </c>
      <c r="AQ6" s="154">
        <f>IF(AQ2&gt;=Projections!$D$28,Projections!$B$28,0)</f>
        <v/>
      </c>
      <c r="AR6" s="154">
        <f>IF(AR2&gt;=Projections!$D$28,Projections!$B$28,0)</f>
        <v/>
      </c>
      <c r="AS6" s="154">
        <f>IF(AS2&gt;=Projections!$D$28,Projections!$B$28,0)</f>
        <v/>
      </c>
      <c r="AT6" s="154">
        <f>IF(AT2&gt;=Projections!$D$28,Projections!$B$28,0)</f>
        <v/>
      </c>
      <c r="AU6" s="154">
        <f>IF(AU2&gt;=Projections!$D$28,Projections!$B$28,0)</f>
        <v/>
      </c>
      <c r="AV6" s="154">
        <f>IF(AV2&gt;=Projections!$D$28,Projections!$B$28,0)</f>
        <v/>
      </c>
      <c r="AW6" s="154">
        <f>IF(AW2&gt;=Projections!$D$28,Projections!$B$28,0)</f>
        <v/>
      </c>
      <c r="AX6" s="154">
        <f>IF(AX2&gt;=Projections!$D$28,Projections!$B$28,0)</f>
        <v/>
      </c>
      <c r="AY6" s="154">
        <f>IF(AY2&gt;=Projections!$D$28,Projections!$B$28,0)</f>
        <v/>
      </c>
      <c r="AZ6" s="154">
        <f>IF(AZ2&gt;=Projections!$D$28,Projections!$B$28,0)</f>
        <v/>
      </c>
      <c r="BA6" s="154">
        <f>IF(BA2&gt;=Projections!$D$28,Projections!$B$28,0)</f>
        <v/>
      </c>
      <c r="BB6" s="154">
        <f>IF(BB2&gt;=Projections!$D$28,Projections!$B$28,0)</f>
        <v/>
      </c>
      <c r="BC6" s="154">
        <f>IF(BC2&gt;=Projections!$D$28,Projections!$B$28,0)</f>
        <v/>
      </c>
      <c r="BD6" s="154">
        <f>IF(BD2&gt;=Projections!$D$28,Projections!$B$28,0)</f>
        <v/>
      </c>
      <c r="BE6" s="154">
        <f>IF(BE2&gt;=Projections!$D$28,Projections!$B$28,0)</f>
        <v/>
      </c>
      <c r="BF6" s="154">
        <f>IF(BF2&gt;=Projections!$D$28,Projections!$B$28,0)</f>
        <v/>
      </c>
      <c r="BG6" s="154">
        <f>IF(BG2&gt;=Projections!$D$28,Projections!$B$28,0)</f>
        <v/>
      </c>
      <c r="BH6" s="154">
        <f>IF(BH2&gt;=Projections!$D$28,Projections!$B$28,0)</f>
        <v/>
      </c>
      <c r="BI6" s="154">
        <f>IF(BI2&gt;=Projections!$D$28,Projections!$B$28,0)</f>
        <v/>
      </c>
      <c r="BJ6" s="154">
        <f>IF(BJ2&gt;=Projections!$D$28,Projections!$B$28,0)</f>
        <v/>
      </c>
      <c r="BK6" s="154">
        <f>IF(BK2&gt;=Projections!$D$28,Projections!$B$28,0)</f>
        <v/>
      </c>
      <c r="BL6" s="154">
        <f>IF(BL2&gt;=Projections!$D$28,Projections!$B$28,0)</f>
        <v/>
      </c>
      <c r="BM6" s="154">
        <f>IF(BM2&gt;=Projections!$D$28,Projections!$B$28,0)</f>
        <v/>
      </c>
      <c r="BN6" s="154">
        <f>IF(BN2&gt;=Projections!$D$28,Projections!$B$28,0)</f>
        <v/>
      </c>
      <c r="BO6" s="154">
        <f>IF(BO2&gt;=Projections!$D$28,Projections!$B$28,0)</f>
        <v/>
      </c>
      <c r="BP6" s="154">
        <f>IF(BP2&gt;=Projections!$D$28,Projections!$B$28,0)</f>
        <v/>
      </c>
      <c r="BQ6" s="154">
        <f>IF(BQ2&gt;=Projections!$D$28,Projections!$B$28,0)</f>
        <v/>
      </c>
      <c r="BR6" s="154">
        <f>IF(BR2&gt;=Projections!$D$28,Projections!$B$28,0)</f>
        <v/>
      </c>
      <c r="BS6" s="154">
        <f>IF(BS2&gt;=Projections!$D$28,Projections!$B$28,0)</f>
        <v/>
      </c>
      <c r="BT6" s="154">
        <f>IF(BT2&gt;=Projections!$D$28,Projections!$B$28,0)</f>
        <v/>
      </c>
      <c r="BU6" s="154">
        <f>IF(BU2&gt;=Projections!$D$28,Projections!$B$28,0)</f>
        <v/>
      </c>
      <c r="BV6" s="154">
        <f>IF(BV2&gt;=Projections!$D$28,Projections!$B$28,0)</f>
        <v/>
      </c>
      <c r="BW6" s="154">
        <f>IF(BW2&gt;=Projections!$D$28,Projections!$B$28,0)</f>
        <v/>
      </c>
      <c r="BX6" s="154">
        <f>IF(BX2&gt;=Projections!$D$28,Projections!$B$28,0)</f>
        <v/>
      </c>
      <c r="BY6" s="154">
        <f>IF(BY2&gt;=Projections!$D$28,Projections!$B$28,0)</f>
        <v/>
      </c>
      <c r="BZ6" s="154">
        <f>IF(BZ2&gt;=Projections!$D$28,Projections!$B$28,0)</f>
        <v/>
      </c>
      <c r="CA6" s="154">
        <f>IF(CA2&gt;=Projections!$D$28,Projections!$B$28,0)</f>
        <v/>
      </c>
      <c r="CB6" s="154">
        <f>IF(CB2&gt;=Projections!$D$28,Projections!$B$28,0)</f>
        <v/>
      </c>
      <c r="CC6" s="154">
        <f>IF(CC2&gt;=Projections!$D$28,Projections!$B$28,0)</f>
        <v/>
      </c>
      <c r="CD6" s="154">
        <f>IF(CD2&gt;=Projections!$D$28,Projections!$B$28,0)</f>
        <v/>
      </c>
      <c r="CE6" s="154">
        <f>IF(CE2&gt;=Projections!$D$28,Projections!$B$28,0)</f>
        <v/>
      </c>
      <c r="CF6" s="154">
        <f>IF(CF2&gt;=Projections!$D$28,Projections!$B$28,0)</f>
        <v/>
      </c>
      <c r="CG6" s="154">
        <f>IF(CG2&gt;=Projections!$D$28,Projections!$B$28,0)</f>
        <v/>
      </c>
      <c r="CH6" s="154">
        <f>IF(CH2&gt;=Projections!$D$28,Projections!$B$28,0)</f>
        <v/>
      </c>
      <c r="CI6" s="154">
        <f>IF(CI2&gt;=Projections!$D$28,Projections!$B$28,0)</f>
        <v/>
      </c>
      <c r="CJ6" s="154">
        <f>IF(CJ2&gt;=Projections!$D$28,Projections!$B$28,0)</f>
        <v/>
      </c>
      <c r="CK6" s="154">
        <f>IF(CK2&gt;=Projections!$D$28,Projections!$B$28,0)</f>
        <v/>
      </c>
      <c r="CL6" s="154">
        <f>IF(CL2&gt;=Projections!$D$28,Projections!$B$28,0)</f>
        <v/>
      </c>
      <c r="CM6" s="154">
        <f>IF(CM2&gt;=Projections!$D$28,Projections!$B$28,0)</f>
        <v/>
      </c>
      <c r="CN6" s="154">
        <f>IF(CN2&gt;=Projections!$D$28,Projections!$B$28,0)</f>
        <v/>
      </c>
      <c r="CO6" s="154">
        <f>IF(CO2&gt;=Projections!$D$28,Projections!$B$28,0)</f>
        <v/>
      </c>
      <c r="CP6" s="154">
        <f>IF(CP2&gt;=Projections!$D$28,Projections!$B$28,0)</f>
        <v/>
      </c>
      <c r="CQ6" s="154">
        <f>IF(CQ2&gt;=Projections!$D$28,Projections!$B$28,0)</f>
        <v/>
      </c>
      <c r="CR6" s="154">
        <f>IF(CR2&gt;=Projections!$D$28,Projections!$B$28,0)</f>
        <v/>
      </c>
      <c r="CS6" s="154">
        <f>IF(CS2&gt;=Projections!$D$28,Projections!$B$28,0)</f>
        <v/>
      </c>
      <c r="CT6" s="154">
        <f>IF(CT2&gt;=Projections!$D$28,Projections!$B$28,0)</f>
        <v/>
      </c>
      <c r="CU6" s="154">
        <f>IF(CU2&gt;=Projections!$D$28,Projections!$B$28,0)</f>
        <v/>
      </c>
      <c r="CV6" s="154">
        <f>IF(CV2&gt;=Projections!$D$28,Projections!$B$28,0)</f>
        <v/>
      </c>
      <c r="CW6" s="154">
        <f>IF(CW2&gt;=Projections!$D$28,Projections!$B$28,0)</f>
        <v/>
      </c>
    </row>
    <row r="7" ht="15.75" customHeight="1" s="255">
      <c r="A7" s="42" t="inlineStr">
        <is>
          <t>ARPPU</t>
        </is>
      </c>
      <c r="B7" s="42" t="n"/>
      <c r="C7" s="154">
        <f>C6</f>
        <v/>
      </c>
      <c r="D7" s="154">
        <f>D6</f>
        <v/>
      </c>
      <c r="E7" s="154">
        <f>E6</f>
        <v/>
      </c>
      <c r="F7" s="154">
        <f>F6</f>
        <v/>
      </c>
      <c r="G7" s="154">
        <f>G6</f>
        <v/>
      </c>
      <c r="H7" s="154">
        <f>H6</f>
        <v/>
      </c>
      <c r="I7" s="154">
        <f>I6</f>
        <v/>
      </c>
      <c r="J7" s="154">
        <f>J6</f>
        <v/>
      </c>
      <c r="K7" s="154">
        <f>K6</f>
        <v/>
      </c>
      <c r="L7" s="154">
        <f>L6</f>
        <v/>
      </c>
      <c r="M7" s="154">
        <f>M6</f>
        <v/>
      </c>
      <c r="N7" s="154">
        <f>N6</f>
        <v/>
      </c>
      <c r="O7" s="154">
        <f>O6</f>
        <v/>
      </c>
      <c r="P7" s="154">
        <f>P6</f>
        <v/>
      </c>
      <c r="Q7" s="154">
        <f>Q6</f>
        <v/>
      </c>
      <c r="R7" s="154">
        <f>R6</f>
        <v/>
      </c>
      <c r="S7" s="154">
        <f>S6</f>
        <v/>
      </c>
      <c r="T7" s="154">
        <f>T6</f>
        <v/>
      </c>
      <c r="U7" s="154">
        <f>U6</f>
        <v/>
      </c>
      <c r="V7" s="154">
        <f>V6</f>
        <v/>
      </c>
      <c r="W7" s="154">
        <f>W6</f>
        <v/>
      </c>
      <c r="X7" s="154">
        <f>X6</f>
        <v/>
      </c>
      <c r="Y7" s="154">
        <f>Y6</f>
        <v/>
      </c>
      <c r="Z7" s="154">
        <f>Z6</f>
        <v/>
      </c>
      <c r="AA7" s="154">
        <f>AA6</f>
        <v/>
      </c>
      <c r="AB7" s="154">
        <f>AB6</f>
        <v/>
      </c>
      <c r="AC7" s="154">
        <f>AC6</f>
        <v/>
      </c>
      <c r="AD7" s="154">
        <f>AD6</f>
        <v/>
      </c>
      <c r="AE7" s="154">
        <f>AE6</f>
        <v/>
      </c>
      <c r="AF7" s="154">
        <f>AF6</f>
        <v/>
      </c>
      <c r="AG7" s="154">
        <f>AG6</f>
        <v/>
      </c>
      <c r="AH7" s="154">
        <f>AH6</f>
        <v/>
      </c>
      <c r="AI7" s="154">
        <f>AI6</f>
        <v/>
      </c>
      <c r="AJ7" s="154">
        <f>AJ6</f>
        <v/>
      </c>
      <c r="AK7" s="154">
        <f>AK6</f>
        <v/>
      </c>
      <c r="AL7" s="154">
        <f>AL6</f>
        <v/>
      </c>
      <c r="AM7" s="154">
        <f>AM6</f>
        <v/>
      </c>
      <c r="AN7" s="154">
        <f>AN6</f>
        <v/>
      </c>
      <c r="AO7" s="154">
        <f>AO6</f>
        <v/>
      </c>
      <c r="AP7" s="154">
        <f>AP6</f>
        <v/>
      </c>
      <c r="AQ7" s="154">
        <f>AQ6</f>
        <v/>
      </c>
      <c r="AR7" s="154">
        <f>AR6</f>
        <v/>
      </c>
      <c r="AS7" s="154">
        <f>AS6</f>
        <v/>
      </c>
      <c r="AT7" s="154">
        <f>AT6</f>
        <v/>
      </c>
      <c r="AU7" s="154">
        <f>AU6</f>
        <v/>
      </c>
      <c r="AV7" s="154">
        <f>AV6</f>
        <v/>
      </c>
      <c r="AW7" s="154">
        <f>AW6</f>
        <v/>
      </c>
      <c r="AX7" s="154">
        <f>AX6</f>
        <v/>
      </c>
      <c r="AY7" s="154">
        <f>AY6</f>
        <v/>
      </c>
      <c r="AZ7" s="154">
        <f>AZ6</f>
        <v/>
      </c>
      <c r="BA7" s="154">
        <f>BA6</f>
        <v/>
      </c>
      <c r="BB7" s="154">
        <f>BB6</f>
        <v/>
      </c>
      <c r="BC7" s="154">
        <f>BC6</f>
        <v/>
      </c>
      <c r="BD7" s="154">
        <f>BD6</f>
        <v/>
      </c>
      <c r="BE7" s="154">
        <f>BE6</f>
        <v/>
      </c>
      <c r="BF7" s="154">
        <f>BF6</f>
        <v/>
      </c>
      <c r="BG7" s="154">
        <f>BG6</f>
        <v/>
      </c>
      <c r="BH7" s="154">
        <f>BH6</f>
        <v/>
      </c>
      <c r="BI7" s="154">
        <f>BI6</f>
        <v/>
      </c>
      <c r="BJ7" s="154">
        <f>BJ6</f>
        <v/>
      </c>
      <c r="BK7" s="154">
        <f>BK6</f>
        <v/>
      </c>
      <c r="BL7" s="154">
        <f>BL6</f>
        <v/>
      </c>
      <c r="BM7" s="154">
        <f>BM6</f>
        <v/>
      </c>
      <c r="BN7" s="154">
        <f>BN6</f>
        <v/>
      </c>
      <c r="BO7" s="154">
        <f>BO6</f>
        <v/>
      </c>
      <c r="BP7" s="154">
        <f>BP6</f>
        <v/>
      </c>
      <c r="BQ7" s="154">
        <f>BQ6</f>
        <v/>
      </c>
      <c r="BR7" s="154">
        <f>BR6</f>
        <v/>
      </c>
      <c r="BS7" s="154">
        <f>BS6</f>
        <v/>
      </c>
      <c r="BT7" s="154">
        <f>BT6</f>
        <v/>
      </c>
      <c r="BU7" s="154">
        <f>BU6</f>
        <v/>
      </c>
      <c r="BV7" s="154">
        <f>BV6</f>
        <v/>
      </c>
      <c r="BW7" s="154">
        <f>BW6</f>
        <v/>
      </c>
      <c r="BX7" s="154">
        <f>BX6</f>
        <v/>
      </c>
      <c r="BY7" s="154">
        <f>BY6</f>
        <v/>
      </c>
      <c r="BZ7" s="154">
        <f>BZ6</f>
        <v/>
      </c>
      <c r="CA7" s="154">
        <f>CA6</f>
        <v/>
      </c>
      <c r="CB7" s="154">
        <f>CB6</f>
        <v/>
      </c>
      <c r="CC7" s="154">
        <f>CC6</f>
        <v/>
      </c>
      <c r="CD7" s="154">
        <f>CD6</f>
        <v/>
      </c>
      <c r="CE7" s="154">
        <f>CE6</f>
        <v/>
      </c>
      <c r="CF7" s="154">
        <f>CF6</f>
        <v/>
      </c>
      <c r="CG7" s="154">
        <f>CG6</f>
        <v/>
      </c>
      <c r="CH7" s="154">
        <f>CH6</f>
        <v/>
      </c>
      <c r="CI7" s="154">
        <f>CI6</f>
        <v/>
      </c>
      <c r="CJ7" s="154">
        <f>CJ6</f>
        <v/>
      </c>
      <c r="CK7" s="154">
        <f>CK6</f>
        <v/>
      </c>
      <c r="CL7" s="154">
        <f>CL6</f>
        <v/>
      </c>
      <c r="CM7" s="154">
        <f>CM6</f>
        <v/>
      </c>
      <c r="CN7" s="154">
        <f>CN6</f>
        <v/>
      </c>
      <c r="CO7" s="154">
        <f>CO6</f>
        <v/>
      </c>
      <c r="CP7" s="154">
        <f>CP6</f>
        <v/>
      </c>
      <c r="CQ7" s="154">
        <f>CQ6</f>
        <v/>
      </c>
      <c r="CR7" s="154">
        <f>CR6</f>
        <v/>
      </c>
      <c r="CS7" s="154">
        <f>CS6</f>
        <v/>
      </c>
      <c r="CT7" s="154">
        <f>CT6</f>
        <v/>
      </c>
      <c r="CU7" s="154">
        <f>CU6</f>
        <v/>
      </c>
      <c r="CV7" s="154">
        <f>CV6</f>
        <v/>
      </c>
      <c r="CW7" s="154">
        <f>CW6</f>
        <v/>
      </c>
    </row>
    <row r="8" ht="15.75" customHeight="1" s="255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</row>
    <row r="9" ht="15.75" customHeight="1" s="255">
      <c r="A9" s="42" t="inlineStr">
        <is>
          <t>Churn</t>
        </is>
      </c>
      <c r="B9" s="42" t="n"/>
      <c r="C9" s="42">
        <f>'Monthly forecast'!D18</f>
        <v/>
      </c>
      <c r="D9" s="34">
        <f>'Monthly forecast'!E18</f>
        <v/>
      </c>
      <c r="E9" s="34">
        <f>'Monthly forecast'!F18</f>
        <v/>
      </c>
      <c r="F9" s="34">
        <f>'Monthly forecast'!G18</f>
        <v/>
      </c>
      <c r="G9" s="34">
        <f>'Monthly forecast'!H18</f>
        <v/>
      </c>
      <c r="H9" s="34">
        <f>'Monthly forecast'!I18</f>
        <v/>
      </c>
      <c r="I9" s="34">
        <f>'Monthly forecast'!J18</f>
        <v/>
      </c>
      <c r="J9" s="34">
        <f>'Monthly forecast'!K18</f>
        <v/>
      </c>
      <c r="K9" s="34">
        <f>'Monthly forecast'!L18</f>
        <v/>
      </c>
      <c r="L9" s="34">
        <f>'Monthly forecast'!M18</f>
        <v/>
      </c>
      <c r="M9" s="34">
        <f>'Monthly forecast'!N18</f>
        <v/>
      </c>
      <c r="N9" s="34">
        <f>'Monthly forecast'!O18</f>
        <v/>
      </c>
      <c r="O9" s="34">
        <f>'Monthly forecast'!P18</f>
        <v/>
      </c>
      <c r="P9" s="34">
        <f>'Monthly forecast'!Q18</f>
        <v/>
      </c>
      <c r="Q9" s="34">
        <f>'Monthly forecast'!R18</f>
        <v/>
      </c>
      <c r="R9" s="34">
        <f>'Monthly forecast'!S18</f>
        <v/>
      </c>
      <c r="S9" s="34">
        <f>'Monthly forecast'!T18</f>
        <v/>
      </c>
      <c r="T9" s="34">
        <f>'Monthly forecast'!U18</f>
        <v/>
      </c>
      <c r="U9" s="34">
        <f>'Monthly forecast'!V18</f>
        <v/>
      </c>
      <c r="V9" s="34">
        <f>'Monthly forecast'!W18</f>
        <v/>
      </c>
      <c r="W9" s="34">
        <f>'Monthly forecast'!X18</f>
        <v/>
      </c>
      <c r="X9" s="34">
        <f>'Monthly forecast'!Y18</f>
        <v/>
      </c>
      <c r="Y9" s="34">
        <f>'Monthly forecast'!Z18</f>
        <v/>
      </c>
      <c r="Z9" s="34">
        <f>'Monthly forecast'!AA18</f>
        <v/>
      </c>
      <c r="AA9" s="34">
        <f>'Monthly forecast'!AB18</f>
        <v/>
      </c>
      <c r="AB9" s="34">
        <f>'Monthly forecast'!AC18</f>
        <v/>
      </c>
      <c r="AC9" s="34">
        <f>'Monthly forecast'!AD18</f>
        <v/>
      </c>
      <c r="AD9" s="34">
        <f>'Monthly forecast'!AE18</f>
        <v/>
      </c>
      <c r="AE9" s="34">
        <f>'Monthly forecast'!AF18</f>
        <v/>
      </c>
      <c r="AF9" s="34">
        <f>'Monthly forecast'!AG18</f>
        <v/>
      </c>
      <c r="AG9" s="34">
        <f>'Monthly forecast'!AH18</f>
        <v/>
      </c>
      <c r="AH9" s="34">
        <f>'Monthly forecast'!AI18</f>
        <v/>
      </c>
      <c r="AI9" s="34">
        <f>'Monthly forecast'!AJ18</f>
        <v/>
      </c>
      <c r="AJ9" s="34">
        <f>'Monthly forecast'!AK18</f>
        <v/>
      </c>
      <c r="AK9" s="34">
        <f>'Monthly forecast'!AL18</f>
        <v/>
      </c>
      <c r="AL9" s="34">
        <f>'Monthly forecast'!AM18</f>
        <v/>
      </c>
      <c r="AM9" s="34">
        <f>'Monthly forecast'!AN18</f>
        <v/>
      </c>
      <c r="AN9" s="34">
        <f>'Monthly forecast'!AO18</f>
        <v/>
      </c>
      <c r="AO9" s="34">
        <f>'Monthly forecast'!AP18</f>
        <v/>
      </c>
      <c r="AP9" s="34">
        <f>'Monthly forecast'!AQ18</f>
        <v/>
      </c>
      <c r="AQ9" s="34">
        <f>'Monthly forecast'!AR18</f>
        <v/>
      </c>
      <c r="AR9" s="34">
        <f>'Monthly forecast'!AS18</f>
        <v/>
      </c>
      <c r="AS9" s="34">
        <f>'Monthly forecast'!AT18</f>
        <v/>
      </c>
      <c r="AT9" s="34">
        <f>'Monthly forecast'!AU18</f>
        <v/>
      </c>
      <c r="AU9" s="34">
        <f>'Monthly forecast'!AV18</f>
        <v/>
      </c>
      <c r="AV9" s="34">
        <f>'Monthly forecast'!AW18</f>
        <v/>
      </c>
      <c r="AW9" s="34">
        <f>'Monthly forecast'!AX18</f>
        <v/>
      </c>
      <c r="AX9" s="34">
        <f>'Monthly forecast'!AY18</f>
        <v/>
      </c>
      <c r="AY9" s="34">
        <f>'Monthly forecast'!AZ18</f>
        <v/>
      </c>
      <c r="AZ9" s="34">
        <f>'Monthly forecast'!BA18</f>
        <v/>
      </c>
      <c r="BA9" s="34">
        <f>'Monthly forecast'!BB18</f>
        <v/>
      </c>
      <c r="BB9" s="34">
        <f>'Monthly forecast'!BC18</f>
        <v/>
      </c>
      <c r="BC9" s="34">
        <f>'Monthly forecast'!BD18</f>
        <v/>
      </c>
      <c r="BD9" s="34">
        <f>'Monthly forecast'!BE18</f>
        <v/>
      </c>
      <c r="BE9" s="34">
        <f>'Monthly forecast'!BF18</f>
        <v/>
      </c>
      <c r="BF9" s="34">
        <f>'Monthly forecast'!BG18</f>
        <v/>
      </c>
      <c r="BG9" s="34">
        <f>'Monthly forecast'!BH18</f>
        <v/>
      </c>
      <c r="BH9" s="34">
        <f>'Monthly forecast'!BI18</f>
        <v/>
      </c>
      <c r="BI9" s="34">
        <f>'Monthly forecast'!BJ18</f>
        <v/>
      </c>
      <c r="BJ9" s="34">
        <f>'Monthly forecast'!BK18</f>
        <v/>
      </c>
      <c r="BK9" s="34">
        <f>'Monthly forecast'!BL18</f>
        <v/>
      </c>
      <c r="BL9" s="34">
        <f>'Monthly forecast'!BM18</f>
        <v/>
      </c>
      <c r="BM9" s="34">
        <f>'Monthly forecast'!BN18</f>
        <v/>
      </c>
      <c r="BN9" s="34">
        <f>'Monthly forecast'!BO18</f>
        <v/>
      </c>
      <c r="BO9" s="34">
        <f>'Monthly forecast'!BP18</f>
        <v/>
      </c>
      <c r="BP9" s="34">
        <f>'Monthly forecast'!BQ18</f>
        <v/>
      </c>
      <c r="BQ9" s="34">
        <f>'Monthly forecast'!BR18</f>
        <v/>
      </c>
      <c r="BR9" s="34">
        <f>'Monthly forecast'!BS18</f>
        <v/>
      </c>
      <c r="BS9" s="34">
        <f>'Monthly forecast'!BT18</f>
        <v/>
      </c>
      <c r="BT9" s="34">
        <f>'Monthly forecast'!BU18</f>
        <v/>
      </c>
      <c r="BU9" s="34">
        <f>'Monthly forecast'!BV18</f>
        <v/>
      </c>
      <c r="BV9" s="34">
        <f>'Monthly forecast'!BW18</f>
        <v/>
      </c>
      <c r="BW9" s="34">
        <f>'Monthly forecast'!BX18</f>
        <v/>
      </c>
      <c r="BX9" s="34">
        <f>'Monthly forecast'!BY18</f>
        <v/>
      </c>
      <c r="BY9" s="34">
        <f>'Monthly forecast'!BZ18</f>
        <v/>
      </c>
      <c r="BZ9" s="34">
        <f>'Monthly forecast'!CA18</f>
        <v/>
      </c>
      <c r="CA9" s="34">
        <f>'Monthly forecast'!CB18</f>
        <v/>
      </c>
      <c r="CB9" s="34">
        <f>'Monthly forecast'!CC18</f>
        <v/>
      </c>
      <c r="CC9" s="34">
        <f>'Monthly forecast'!CD18</f>
        <v/>
      </c>
      <c r="CD9" s="34">
        <f>'Monthly forecast'!CE18</f>
        <v/>
      </c>
      <c r="CE9" s="34">
        <f>'Monthly forecast'!CF18</f>
        <v/>
      </c>
      <c r="CF9" s="34">
        <f>'Monthly forecast'!CG18</f>
        <v/>
      </c>
      <c r="CG9" s="34">
        <f>'Monthly forecast'!CH18</f>
        <v/>
      </c>
      <c r="CH9" s="34">
        <f>'Monthly forecast'!CI18</f>
        <v/>
      </c>
      <c r="CI9" s="34">
        <f>'Monthly forecast'!CJ18</f>
        <v/>
      </c>
      <c r="CJ9" s="34">
        <f>'Monthly forecast'!CK18</f>
        <v/>
      </c>
      <c r="CK9" s="34">
        <f>'Monthly forecast'!CL18</f>
        <v/>
      </c>
      <c r="CL9" s="34">
        <f>'Monthly forecast'!CM18</f>
        <v/>
      </c>
      <c r="CM9" s="34">
        <f>'Monthly forecast'!CN18</f>
        <v/>
      </c>
      <c r="CN9" s="34">
        <f>'Monthly forecast'!CO18</f>
        <v/>
      </c>
      <c r="CO9" s="34">
        <f>'Monthly forecast'!CP18</f>
        <v/>
      </c>
      <c r="CP9" s="34">
        <f>'Monthly forecast'!CQ18</f>
        <v/>
      </c>
      <c r="CQ9" s="34">
        <f>'Monthly forecast'!CR18</f>
        <v/>
      </c>
      <c r="CR9" s="34">
        <f>'Monthly forecast'!CS18</f>
        <v/>
      </c>
      <c r="CS9" s="34">
        <f>'Monthly forecast'!CT18</f>
        <v/>
      </c>
      <c r="CT9" s="34">
        <f>'Monthly forecast'!CU18</f>
        <v/>
      </c>
      <c r="CU9" s="34">
        <f>'Monthly forecast'!CV18</f>
        <v/>
      </c>
      <c r="CV9" s="34">
        <f>'Monthly forecast'!CW18</f>
        <v/>
      </c>
      <c r="CW9" s="34">
        <f>'Monthly forecast'!CX18</f>
        <v/>
      </c>
    </row>
    <row r="10" ht="15.75" customHeight="1" s="255">
      <c r="A10" s="155" t="inlineStr">
        <is>
          <t>LT (Ilifetime)</t>
        </is>
      </c>
      <c r="B10" s="155" t="n"/>
      <c r="C10" s="156">
        <f>IFERROR(1/C9,0)</f>
        <v/>
      </c>
      <c r="D10" s="156">
        <f>IFERROR(1/D9,0)</f>
        <v/>
      </c>
      <c r="E10" s="156">
        <f>IFERROR(1/E9,0)</f>
        <v/>
      </c>
      <c r="F10" s="156">
        <f>IFERROR(1/F9,0)</f>
        <v/>
      </c>
      <c r="G10" s="156">
        <f>IFERROR(1/G9,0)</f>
        <v/>
      </c>
      <c r="H10" s="156">
        <f>IFERROR(1/H9,0)</f>
        <v/>
      </c>
      <c r="I10" s="156">
        <f>IFERROR(1/I9,0)</f>
        <v/>
      </c>
      <c r="J10" s="156">
        <f>IFERROR(1/J9,0)</f>
        <v/>
      </c>
      <c r="K10" s="156">
        <f>IFERROR(1/K9,0)</f>
        <v/>
      </c>
      <c r="L10" s="156">
        <f>IFERROR(1/L9,0)</f>
        <v/>
      </c>
      <c r="M10" s="156">
        <f>IFERROR(1/M9,0)</f>
        <v/>
      </c>
      <c r="N10" s="156">
        <f>IFERROR(1/N9,0)</f>
        <v/>
      </c>
      <c r="O10" s="156">
        <f>IFERROR(1/O9,0)</f>
        <v/>
      </c>
      <c r="P10" s="156">
        <f>IFERROR(1/P9,0)</f>
        <v/>
      </c>
      <c r="Q10" s="156">
        <f>IFERROR(1/Q9,0)</f>
        <v/>
      </c>
      <c r="R10" s="156">
        <f>IFERROR(1/R9,0)</f>
        <v/>
      </c>
      <c r="S10" s="156">
        <f>IFERROR(1/S9,0)</f>
        <v/>
      </c>
      <c r="T10" s="156">
        <f>IFERROR(1/T9,0)</f>
        <v/>
      </c>
      <c r="U10" s="156">
        <f>IFERROR(1/U9,0)</f>
        <v/>
      </c>
      <c r="V10" s="156">
        <f>IFERROR(1/V9,0)</f>
        <v/>
      </c>
      <c r="W10" s="156">
        <f>IFERROR(1/W9,0)</f>
        <v/>
      </c>
      <c r="X10" s="156">
        <f>IFERROR(1/X9,0)</f>
        <v/>
      </c>
      <c r="Y10" s="156">
        <f>IFERROR(1/Y9,0)</f>
        <v/>
      </c>
      <c r="Z10" s="156">
        <f>IFERROR(1/Z9,0)</f>
        <v/>
      </c>
      <c r="AA10" s="156">
        <f>IFERROR(1/AA9,0)</f>
        <v/>
      </c>
      <c r="AB10" s="156">
        <f>IFERROR(1/AB9,0)</f>
        <v/>
      </c>
      <c r="AC10" s="156">
        <f>IFERROR(1/AC9,0)</f>
        <v/>
      </c>
      <c r="AD10" s="156">
        <f>IFERROR(1/AD9,0)</f>
        <v/>
      </c>
      <c r="AE10" s="156">
        <f>IFERROR(1/AE9,0)</f>
        <v/>
      </c>
      <c r="AF10" s="156">
        <f>IFERROR(1/AF9,0)</f>
        <v/>
      </c>
      <c r="AG10" s="156">
        <f>IFERROR(1/AG9,0)</f>
        <v/>
      </c>
      <c r="AH10" s="156">
        <f>IFERROR(1/AH9,0)</f>
        <v/>
      </c>
      <c r="AI10" s="156">
        <f>IFERROR(1/AI9,0)</f>
        <v/>
      </c>
      <c r="AJ10" s="156">
        <f>IFERROR(1/AJ9,0)</f>
        <v/>
      </c>
      <c r="AK10" s="156">
        <f>IFERROR(1/AK9,0)</f>
        <v/>
      </c>
      <c r="AL10" s="156">
        <f>IFERROR(1/AL9,0)</f>
        <v/>
      </c>
      <c r="AM10" s="156">
        <f>IFERROR(1/AM9,0)</f>
        <v/>
      </c>
      <c r="AN10" s="156">
        <f>IFERROR(1/AN9,0)</f>
        <v/>
      </c>
      <c r="AO10" s="156">
        <f>IFERROR(1/AO9,0)</f>
        <v/>
      </c>
      <c r="AP10" s="156">
        <f>IFERROR(1/AP9,0)</f>
        <v/>
      </c>
      <c r="AQ10" s="156">
        <f>IFERROR(1/AQ9,0)</f>
        <v/>
      </c>
      <c r="AR10" s="156">
        <f>IFERROR(1/AR9,0)</f>
        <v/>
      </c>
      <c r="AS10" s="156">
        <f>IFERROR(1/AS9,0)</f>
        <v/>
      </c>
      <c r="AT10" s="156">
        <f>IFERROR(1/AT9,0)</f>
        <v/>
      </c>
      <c r="AU10" s="156">
        <f>IFERROR(1/AU9,0)</f>
        <v/>
      </c>
      <c r="AV10" s="156">
        <f>IFERROR(1/AV9,0)</f>
        <v/>
      </c>
      <c r="AW10" s="156">
        <f>IFERROR(1/AW9,0)</f>
        <v/>
      </c>
      <c r="AX10" s="156">
        <f>IFERROR(1/AX9,0)</f>
        <v/>
      </c>
      <c r="AY10" s="156">
        <f>IFERROR(1/AY9,0)</f>
        <v/>
      </c>
      <c r="AZ10" s="156">
        <f>IFERROR(1/AZ9,0)</f>
        <v/>
      </c>
      <c r="BA10" s="156">
        <f>IFERROR(1/BA9,0)</f>
        <v/>
      </c>
      <c r="BB10" s="156">
        <f>IFERROR(1/BB9,0)</f>
        <v/>
      </c>
      <c r="BC10" s="156">
        <f>IFERROR(1/BC9,0)</f>
        <v/>
      </c>
      <c r="BD10" s="156">
        <f>IFERROR(1/BD9,0)</f>
        <v/>
      </c>
      <c r="BE10" s="156">
        <f>IFERROR(1/BE9,0)</f>
        <v/>
      </c>
      <c r="BF10" s="156">
        <f>IFERROR(1/BF9,0)</f>
        <v/>
      </c>
      <c r="BG10" s="156">
        <f>IFERROR(1/BG9,0)</f>
        <v/>
      </c>
      <c r="BH10" s="156">
        <f>IFERROR(1/BH9,0)</f>
        <v/>
      </c>
      <c r="BI10" s="156">
        <f>IFERROR(1/BI9,0)</f>
        <v/>
      </c>
      <c r="BJ10" s="156">
        <f>IFERROR(1/BJ9,0)</f>
        <v/>
      </c>
      <c r="BK10" s="156">
        <f>IFERROR(1/BK9,0)</f>
        <v/>
      </c>
      <c r="BL10" s="156">
        <f>IFERROR(1/BL9,0)</f>
        <v/>
      </c>
      <c r="BM10" s="156">
        <f>IFERROR(1/BM9,0)</f>
        <v/>
      </c>
      <c r="BN10" s="156">
        <f>IFERROR(1/BN9,0)</f>
        <v/>
      </c>
      <c r="BO10" s="156">
        <f>IFERROR(1/BO9,0)</f>
        <v/>
      </c>
      <c r="BP10" s="156">
        <f>IFERROR(1/BP9,0)</f>
        <v/>
      </c>
      <c r="BQ10" s="156">
        <f>IFERROR(1/BQ9,0)</f>
        <v/>
      </c>
      <c r="BR10" s="156">
        <f>IFERROR(1/BR9,0)</f>
        <v/>
      </c>
      <c r="BS10" s="156">
        <f>IFERROR(1/BS9,0)</f>
        <v/>
      </c>
      <c r="BT10" s="156">
        <f>IFERROR(1/BT9,0)</f>
        <v/>
      </c>
      <c r="BU10" s="156">
        <f>IFERROR(1/BU9,0)</f>
        <v/>
      </c>
      <c r="BV10" s="156">
        <f>IFERROR(1/BV9,0)</f>
        <v/>
      </c>
      <c r="BW10" s="156">
        <f>IFERROR(1/BW9,0)</f>
        <v/>
      </c>
      <c r="BX10" s="156">
        <f>IFERROR(1/BX9,0)</f>
        <v/>
      </c>
      <c r="BY10" s="156">
        <f>IFERROR(1/BY9,0)</f>
        <v/>
      </c>
      <c r="BZ10" s="156">
        <f>IFERROR(1/BZ9,0)</f>
        <v/>
      </c>
      <c r="CA10" s="156">
        <f>IFERROR(1/CA9,0)</f>
        <v/>
      </c>
      <c r="CB10" s="156">
        <f>IFERROR(1/CB9,0)</f>
        <v/>
      </c>
      <c r="CC10" s="156">
        <f>IFERROR(1/CC9,0)</f>
        <v/>
      </c>
      <c r="CD10" s="156">
        <f>IFERROR(1/CD9,0)</f>
        <v/>
      </c>
      <c r="CE10" s="156">
        <f>IFERROR(1/CE9,0)</f>
        <v/>
      </c>
      <c r="CF10" s="156">
        <f>IFERROR(1/CF9,0)</f>
        <v/>
      </c>
      <c r="CG10" s="156">
        <f>IFERROR(1/CG9,0)</f>
        <v/>
      </c>
      <c r="CH10" s="156">
        <f>IFERROR(1/CH9,0)</f>
        <v/>
      </c>
      <c r="CI10" s="156">
        <f>IFERROR(1/CI9,0)</f>
        <v/>
      </c>
      <c r="CJ10" s="156">
        <f>IFERROR(1/CJ9,0)</f>
        <v/>
      </c>
      <c r="CK10" s="156">
        <f>IFERROR(1/CK9,0)</f>
        <v/>
      </c>
      <c r="CL10" s="156">
        <f>IFERROR(1/CL9,0)</f>
        <v/>
      </c>
      <c r="CM10" s="156">
        <f>IFERROR(1/CM9,0)</f>
        <v/>
      </c>
      <c r="CN10" s="156">
        <f>IFERROR(1/CN9,0)</f>
        <v/>
      </c>
      <c r="CO10" s="156">
        <f>IFERROR(1/CO9,0)</f>
        <v/>
      </c>
      <c r="CP10" s="156">
        <f>IFERROR(1/CP9,0)</f>
        <v/>
      </c>
      <c r="CQ10" s="156">
        <f>IFERROR(1/CQ9,0)</f>
        <v/>
      </c>
      <c r="CR10" s="156">
        <f>IFERROR(1/CR9,0)</f>
        <v/>
      </c>
      <c r="CS10" s="156">
        <f>IFERROR(1/CS9,0)</f>
        <v/>
      </c>
      <c r="CT10" s="156">
        <f>IFERROR(1/CT9,0)</f>
        <v/>
      </c>
      <c r="CU10" s="156">
        <f>IFERROR(1/CU9,0)</f>
        <v/>
      </c>
      <c r="CV10" s="156">
        <f>IFERROR(1/CV9,0)</f>
        <v/>
      </c>
      <c r="CW10" s="156">
        <f>IFERROR(1/CW9,0)</f>
        <v/>
      </c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  <c r="CF11" s="42" t="n"/>
      <c r="CG11" s="42" t="n"/>
      <c r="CH11" s="42" t="n"/>
      <c r="CI11" s="42" t="n"/>
      <c r="CJ11" s="42" t="n"/>
      <c r="CK11" s="42" t="n"/>
      <c r="CL11" s="42" t="n"/>
      <c r="CM11" s="42" t="n"/>
      <c r="CN11" s="42" t="n"/>
      <c r="CO11" s="42" t="n"/>
      <c r="CP11" s="42" t="n"/>
      <c r="CQ11" s="42" t="n"/>
      <c r="CR11" s="42" t="n"/>
      <c r="CS11" s="42" t="n"/>
      <c r="CT11" s="42" t="n"/>
      <c r="CU11" s="42" t="n"/>
      <c r="CV11" s="42" t="n"/>
      <c r="CW11" s="42" t="n"/>
    </row>
    <row r="12" ht="15.75" customHeight="1" s="255">
      <c r="A12" s="59" t="inlineStr">
        <is>
          <t>LTV</t>
        </is>
      </c>
      <c r="B12" s="59" t="n"/>
      <c r="C12" s="157">
        <f>C7*C10</f>
        <v/>
      </c>
      <c r="D12" s="158">
        <f>D7*D10</f>
        <v/>
      </c>
      <c r="E12" s="158">
        <f>E7*E10</f>
        <v/>
      </c>
      <c r="F12" s="158">
        <f>F7*F10</f>
        <v/>
      </c>
      <c r="G12" s="158">
        <f>G7*G10</f>
        <v/>
      </c>
      <c r="H12" s="158">
        <f>H7*H10</f>
        <v/>
      </c>
      <c r="I12" s="158">
        <f>I7*I10</f>
        <v/>
      </c>
      <c r="J12" s="158">
        <f>J7*J10</f>
        <v/>
      </c>
      <c r="K12" s="158">
        <f>K7*K10</f>
        <v/>
      </c>
      <c r="L12" s="158">
        <f>L7*L10</f>
        <v/>
      </c>
      <c r="M12" s="158">
        <f>M7*M10</f>
        <v/>
      </c>
      <c r="N12" s="158">
        <f>N7*N10</f>
        <v/>
      </c>
      <c r="O12" s="158">
        <f>O7*O10</f>
        <v/>
      </c>
      <c r="P12" s="158">
        <f>P7*P10</f>
        <v/>
      </c>
      <c r="Q12" s="158">
        <f>Q7*Q10</f>
        <v/>
      </c>
      <c r="R12" s="158">
        <f>R7*R10</f>
        <v/>
      </c>
      <c r="S12" s="158">
        <f>S7*S10</f>
        <v/>
      </c>
      <c r="T12" s="158">
        <f>T7*T10</f>
        <v/>
      </c>
      <c r="U12" s="158">
        <f>U7*U10</f>
        <v/>
      </c>
      <c r="V12" s="158">
        <f>V7*V10</f>
        <v/>
      </c>
      <c r="W12" s="158">
        <f>W7*W10</f>
        <v/>
      </c>
      <c r="X12" s="158">
        <f>X7*X10</f>
        <v/>
      </c>
      <c r="Y12" s="158">
        <f>Y7*Y10</f>
        <v/>
      </c>
      <c r="Z12" s="158">
        <f>Z7*Z10</f>
        <v/>
      </c>
      <c r="AA12" s="158">
        <f>AA7*AA10</f>
        <v/>
      </c>
      <c r="AB12" s="158">
        <f>AB7*AB10</f>
        <v/>
      </c>
      <c r="AC12" s="158">
        <f>AC7*AC10</f>
        <v/>
      </c>
      <c r="AD12" s="158">
        <f>AD7*AD10</f>
        <v/>
      </c>
      <c r="AE12" s="158">
        <f>AE7*AE10</f>
        <v/>
      </c>
      <c r="AF12" s="158">
        <f>AF7*AF10</f>
        <v/>
      </c>
      <c r="AG12" s="158">
        <f>AG7*AG10</f>
        <v/>
      </c>
      <c r="AH12" s="158">
        <f>AH7*AH10</f>
        <v/>
      </c>
      <c r="AI12" s="158">
        <f>AI7*AI10</f>
        <v/>
      </c>
      <c r="AJ12" s="158">
        <f>AJ7*AJ10</f>
        <v/>
      </c>
      <c r="AK12" s="158">
        <f>AK7*AK10</f>
        <v/>
      </c>
      <c r="AL12" s="158">
        <f>AL7*AL10</f>
        <v/>
      </c>
      <c r="AM12" s="158">
        <f>AM7*AM10</f>
        <v/>
      </c>
      <c r="AN12" s="158">
        <f>AN7*AN10</f>
        <v/>
      </c>
      <c r="AO12" s="158">
        <f>AO7*AO10</f>
        <v/>
      </c>
      <c r="AP12" s="158">
        <f>AP7*AP10</f>
        <v/>
      </c>
      <c r="AQ12" s="158">
        <f>AQ7*AQ10</f>
        <v/>
      </c>
      <c r="AR12" s="158">
        <f>AR7*AR10</f>
        <v/>
      </c>
      <c r="AS12" s="158">
        <f>AS7*AS10</f>
        <v/>
      </c>
      <c r="AT12" s="158">
        <f>AT7*AT10</f>
        <v/>
      </c>
      <c r="AU12" s="158">
        <f>AU7*AU10</f>
        <v/>
      </c>
      <c r="AV12" s="158">
        <f>AV7*AV10</f>
        <v/>
      </c>
      <c r="AW12" s="158">
        <f>AW7*AW10</f>
        <v/>
      </c>
      <c r="AX12" s="158">
        <f>AX7*AX10</f>
        <v/>
      </c>
      <c r="AY12" s="158">
        <f>AY7*AY10</f>
        <v/>
      </c>
      <c r="AZ12" s="158">
        <f>AZ7*AZ10</f>
        <v/>
      </c>
      <c r="BA12" s="158">
        <f>BA7*BA10</f>
        <v/>
      </c>
      <c r="BB12" s="158">
        <f>BB7*BB10</f>
        <v/>
      </c>
      <c r="BC12" s="158">
        <f>BC7*BC10</f>
        <v/>
      </c>
      <c r="BD12" s="158">
        <f>BD7*BD10</f>
        <v/>
      </c>
      <c r="BE12" s="158">
        <f>BE7*BE10</f>
        <v/>
      </c>
      <c r="BF12" s="158">
        <f>BF7*BF10</f>
        <v/>
      </c>
      <c r="BG12" s="158">
        <f>BG7*BG10</f>
        <v/>
      </c>
      <c r="BH12" s="158">
        <f>BH7*BH10</f>
        <v/>
      </c>
      <c r="BI12" s="158">
        <f>BI7*BI10</f>
        <v/>
      </c>
      <c r="BJ12" s="158">
        <f>BJ7*BJ10</f>
        <v/>
      </c>
      <c r="BK12" s="158">
        <f>BK7*BK10</f>
        <v/>
      </c>
      <c r="BL12" s="158">
        <f>BL7*BL10</f>
        <v/>
      </c>
      <c r="BM12" s="158">
        <f>BM7*BM10</f>
        <v/>
      </c>
      <c r="BN12" s="158">
        <f>BN7*BN10</f>
        <v/>
      </c>
      <c r="BO12" s="158">
        <f>BO7*BO10</f>
        <v/>
      </c>
      <c r="BP12" s="158">
        <f>BP7*BP10</f>
        <v/>
      </c>
      <c r="BQ12" s="158">
        <f>BQ7*BQ10</f>
        <v/>
      </c>
      <c r="BR12" s="158">
        <f>BR7*BR10</f>
        <v/>
      </c>
      <c r="BS12" s="158">
        <f>BS7*BS10</f>
        <v/>
      </c>
      <c r="BT12" s="158">
        <f>BT7*BT10</f>
        <v/>
      </c>
      <c r="BU12" s="158">
        <f>BU7*BU10</f>
        <v/>
      </c>
      <c r="BV12" s="158">
        <f>BV7*BV10</f>
        <v/>
      </c>
      <c r="BW12" s="158">
        <f>BW7*BW10</f>
        <v/>
      </c>
      <c r="BX12" s="158">
        <f>BX7*BX10</f>
        <v/>
      </c>
      <c r="BY12" s="158">
        <f>BY7*BY10</f>
        <v/>
      </c>
      <c r="BZ12" s="158">
        <f>BZ7*BZ10</f>
        <v/>
      </c>
      <c r="CA12" s="158">
        <f>CA7*CA10</f>
        <v/>
      </c>
      <c r="CB12" s="158">
        <f>CB7*CB10</f>
        <v/>
      </c>
      <c r="CC12" s="158">
        <f>CC7*CC10</f>
        <v/>
      </c>
      <c r="CD12" s="158">
        <f>CD7*CD10</f>
        <v/>
      </c>
      <c r="CE12" s="158">
        <f>CE7*CE10</f>
        <v/>
      </c>
      <c r="CF12" s="158">
        <f>CF7*CF10</f>
        <v/>
      </c>
      <c r="CG12" s="158">
        <f>CG7*CG10</f>
        <v/>
      </c>
      <c r="CH12" s="158">
        <f>CH7*CH10</f>
        <v/>
      </c>
      <c r="CI12" s="158">
        <f>CI7*CI10</f>
        <v/>
      </c>
      <c r="CJ12" s="158">
        <f>CJ7*CJ10</f>
        <v/>
      </c>
      <c r="CK12" s="158">
        <f>CK7*CK10</f>
        <v/>
      </c>
      <c r="CL12" s="158">
        <f>CL7*CL10</f>
        <v/>
      </c>
      <c r="CM12" s="158">
        <f>CM7*CM10</f>
        <v/>
      </c>
      <c r="CN12" s="158">
        <f>CN7*CN10</f>
        <v/>
      </c>
      <c r="CO12" s="158">
        <f>CO7*CO10</f>
        <v/>
      </c>
      <c r="CP12" s="158">
        <f>CP7*CP10</f>
        <v/>
      </c>
      <c r="CQ12" s="158">
        <f>CQ7*CQ10</f>
        <v/>
      </c>
      <c r="CR12" s="158">
        <f>CR7*CR10</f>
        <v/>
      </c>
      <c r="CS12" s="158">
        <f>CS7*CS10</f>
        <v/>
      </c>
      <c r="CT12" s="158">
        <f>CT7*CT10</f>
        <v/>
      </c>
      <c r="CU12" s="158">
        <f>CU7*CU10</f>
        <v/>
      </c>
      <c r="CV12" s="158">
        <f>CV7*CV10</f>
        <v/>
      </c>
      <c r="CW12" s="158">
        <f>CW7*CW10</f>
        <v/>
      </c>
    </row>
    <row r="13" ht="15.75" customHeight="1" s="255">
      <c r="A13" s="42" t="inlineStr">
        <is>
          <t>LTV 3 month</t>
        </is>
      </c>
      <c r="B13" s="42" t="n"/>
      <c r="C13" s="154">
        <f>C7*3</f>
        <v/>
      </c>
      <c r="D13" s="159">
        <f>D7*3</f>
        <v/>
      </c>
      <c r="E13" s="159">
        <f>E7*3</f>
        <v/>
      </c>
      <c r="F13" s="159">
        <f>F7*3</f>
        <v/>
      </c>
      <c r="G13" s="159">
        <f>G7*3</f>
        <v/>
      </c>
      <c r="H13" s="159">
        <f>H7*3</f>
        <v/>
      </c>
      <c r="I13" s="159">
        <f>I7*3</f>
        <v/>
      </c>
      <c r="J13" s="159">
        <f>J7*3</f>
        <v/>
      </c>
      <c r="K13" s="159">
        <f>K7*3</f>
        <v/>
      </c>
      <c r="L13" s="159">
        <f>L7*3</f>
        <v/>
      </c>
      <c r="M13" s="159">
        <f>M7*3</f>
        <v/>
      </c>
      <c r="N13" s="159">
        <f>N7*3</f>
        <v/>
      </c>
      <c r="O13" s="159">
        <f>O7*3</f>
        <v/>
      </c>
      <c r="P13" s="159">
        <f>P7*3</f>
        <v/>
      </c>
      <c r="Q13" s="159">
        <f>Q7*3</f>
        <v/>
      </c>
      <c r="R13" s="159">
        <f>R7*3</f>
        <v/>
      </c>
      <c r="S13" s="159">
        <f>S7*3</f>
        <v/>
      </c>
      <c r="T13" s="159">
        <f>T7*3</f>
        <v/>
      </c>
      <c r="U13" s="159">
        <f>U7*3</f>
        <v/>
      </c>
      <c r="V13" s="159">
        <f>V7*3</f>
        <v/>
      </c>
      <c r="W13" s="159">
        <f>W7*3</f>
        <v/>
      </c>
      <c r="X13" s="159">
        <f>X7*3</f>
        <v/>
      </c>
      <c r="Y13" s="159">
        <f>Y7*3</f>
        <v/>
      </c>
      <c r="Z13" s="159">
        <f>Z7*3</f>
        <v/>
      </c>
      <c r="AA13" s="159">
        <f>AA7*3</f>
        <v/>
      </c>
      <c r="AB13" s="159">
        <f>AB7*3</f>
        <v/>
      </c>
      <c r="AC13" s="159">
        <f>AC7*3</f>
        <v/>
      </c>
      <c r="AD13" s="159">
        <f>AD7*3</f>
        <v/>
      </c>
      <c r="AE13" s="159">
        <f>AE7*3</f>
        <v/>
      </c>
      <c r="AF13" s="159">
        <f>AF7*3</f>
        <v/>
      </c>
      <c r="AG13" s="159">
        <f>AG7*3</f>
        <v/>
      </c>
      <c r="AH13" s="159">
        <f>AH7*3</f>
        <v/>
      </c>
      <c r="AI13" s="159">
        <f>AI7*3</f>
        <v/>
      </c>
      <c r="AJ13" s="159">
        <f>AJ7*3</f>
        <v/>
      </c>
      <c r="AK13" s="159">
        <f>AK7*3</f>
        <v/>
      </c>
      <c r="AL13" s="159">
        <f>AL7*3</f>
        <v/>
      </c>
      <c r="AM13" s="159">
        <f>AM7*3</f>
        <v/>
      </c>
      <c r="AN13" s="159">
        <f>AN7*3</f>
        <v/>
      </c>
      <c r="AO13" s="159">
        <f>AO7*3</f>
        <v/>
      </c>
      <c r="AP13" s="159">
        <f>AP7*3</f>
        <v/>
      </c>
      <c r="AQ13" s="159">
        <f>AQ7*3</f>
        <v/>
      </c>
      <c r="AR13" s="159">
        <f>AR7*3</f>
        <v/>
      </c>
      <c r="AS13" s="159">
        <f>AS7*3</f>
        <v/>
      </c>
      <c r="AT13" s="159">
        <f>AT7*3</f>
        <v/>
      </c>
      <c r="AU13" s="159">
        <f>AU7*3</f>
        <v/>
      </c>
      <c r="AV13" s="159">
        <f>AV7*3</f>
        <v/>
      </c>
      <c r="AW13" s="159">
        <f>AW7*3</f>
        <v/>
      </c>
      <c r="AX13" s="159">
        <f>AX7*3</f>
        <v/>
      </c>
      <c r="AY13" s="159">
        <f>AY7*3</f>
        <v/>
      </c>
      <c r="AZ13" s="159">
        <f>AZ7*3</f>
        <v/>
      </c>
      <c r="BA13" s="159">
        <f>BA7*3</f>
        <v/>
      </c>
      <c r="BB13" s="159">
        <f>BB7*3</f>
        <v/>
      </c>
      <c r="BC13" s="159">
        <f>BC7*3</f>
        <v/>
      </c>
      <c r="BD13" s="159">
        <f>BD7*3</f>
        <v/>
      </c>
      <c r="BE13" s="159">
        <f>BE7*3</f>
        <v/>
      </c>
      <c r="BF13" s="159">
        <f>BF7*3</f>
        <v/>
      </c>
      <c r="BG13" s="159">
        <f>BG7*3</f>
        <v/>
      </c>
      <c r="BH13" s="159">
        <f>BH7*3</f>
        <v/>
      </c>
      <c r="BI13" s="159">
        <f>BI7*3</f>
        <v/>
      </c>
      <c r="BJ13" s="159">
        <f>BJ7*3</f>
        <v/>
      </c>
      <c r="BK13" s="159">
        <f>BK7*3</f>
        <v/>
      </c>
      <c r="BL13" s="159">
        <f>BL7*3</f>
        <v/>
      </c>
      <c r="BM13" s="159">
        <f>BM7*3</f>
        <v/>
      </c>
      <c r="BN13" s="159">
        <f>BN7*3</f>
        <v/>
      </c>
      <c r="BO13" s="159">
        <f>BO7*3</f>
        <v/>
      </c>
      <c r="BP13" s="159">
        <f>BP7*3</f>
        <v/>
      </c>
      <c r="BQ13" s="159">
        <f>BQ7*3</f>
        <v/>
      </c>
      <c r="BR13" s="159">
        <f>BR7*3</f>
        <v/>
      </c>
      <c r="BS13" s="159">
        <f>BS7*3</f>
        <v/>
      </c>
      <c r="BT13" s="159">
        <f>BT7*3</f>
        <v/>
      </c>
      <c r="BU13" s="159">
        <f>BU7*3</f>
        <v/>
      </c>
      <c r="BV13" s="159">
        <f>BV7*3</f>
        <v/>
      </c>
      <c r="BW13" s="159">
        <f>BW7*3</f>
        <v/>
      </c>
      <c r="BX13" s="159">
        <f>BX7*3</f>
        <v/>
      </c>
      <c r="BY13" s="159">
        <f>BY7*3</f>
        <v/>
      </c>
      <c r="BZ13" s="159">
        <f>BZ7*3</f>
        <v/>
      </c>
      <c r="CA13" s="159">
        <f>CA7*3</f>
        <v/>
      </c>
      <c r="CB13" s="159">
        <f>CB7*3</f>
        <v/>
      </c>
      <c r="CC13" s="159">
        <f>CC7*3</f>
        <v/>
      </c>
      <c r="CD13" s="159">
        <f>CD7*3</f>
        <v/>
      </c>
      <c r="CE13" s="159">
        <f>CE7*3</f>
        <v/>
      </c>
      <c r="CF13" s="159">
        <f>CF7*3</f>
        <v/>
      </c>
      <c r="CG13" s="159">
        <f>CG7*3</f>
        <v/>
      </c>
      <c r="CH13" s="159">
        <f>CH7*3</f>
        <v/>
      </c>
      <c r="CI13" s="159">
        <f>CI7*3</f>
        <v/>
      </c>
      <c r="CJ13" s="159">
        <f>CJ7*3</f>
        <v/>
      </c>
      <c r="CK13" s="159">
        <f>CK7*3</f>
        <v/>
      </c>
      <c r="CL13" s="159">
        <f>CL7*3</f>
        <v/>
      </c>
      <c r="CM13" s="159">
        <f>CM7*3</f>
        <v/>
      </c>
      <c r="CN13" s="159">
        <f>CN7*3</f>
        <v/>
      </c>
      <c r="CO13" s="159">
        <f>CO7*3</f>
        <v/>
      </c>
      <c r="CP13" s="159">
        <f>CP7*3</f>
        <v/>
      </c>
      <c r="CQ13" s="159">
        <f>CQ7*3</f>
        <v/>
      </c>
      <c r="CR13" s="159">
        <f>CR7*3</f>
        <v/>
      </c>
      <c r="CS13" s="159">
        <f>CS7*3</f>
        <v/>
      </c>
      <c r="CT13" s="159">
        <f>CT7*3</f>
        <v/>
      </c>
      <c r="CU13" s="159">
        <f>CU7*3</f>
        <v/>
      </c>
      <c r="CV13" s="159">
        <f>CV7*3</f>
        <v/>
      </c>
      <c r="CW13" s="159">
        <f>CW7*3</f>
        <v/>
      </c>
    </row>
    <row r="14" ht="15.75" customHeight="1" s="255">
      <c r="A14" s="42" t="inlineStr">
        <is>
          <t>LTV 6 month</t>
        </is>
      </c>
      <c r="B14" s="42" t="n"/>
      <c r="C14" s="154">
        <f>C7*6</f>
        <v/>
      </c>
      <c r="D14" s="159">
        <f>D7*6</f>
        <v/>
      </c>
      <c r="E14" s="159">
        <f>E7*6</f>
        <v/>
      </c>
      <c r="F14" s="159">
        <f>F7*6</f>
        <v/>
      </c>
      <c r="G14" s="159">
        <f>G7*6</f>
        <v/>
      </c>
      <c r="H14" s="159">
        <f>H7*6</f>
        <v/>
      </c>
      <c r="I14" s="159">
        <f>I7*6</f>
        <v/>
      </c>
      <c r="J14" s="159">
        <f>J7*6</f>
        <v/>
      </c>
      <c r="K14" s="159">
        <f>K7*6</f>
        <v/>
      </c>
      <c r="L14" s="159">
        <f>L7*6</f>
        <v/>
      </c>
      <c r="M14" s="159">
        <f>M7*6</f>
        <v/>
      </c>
      <c r="N14" s="159">
        <f>N7*6</f>
        <v/>
      </c>
      <c r="O14" s="159">
        <f>O7*6</f>
        <v/>
      </c>
      <c r="P14" s="159">
        <f>P7*6</f>
        <v/>
      </c>
      <c r="Q14" s="159">
        <f>Q7*6</f>
        <v/>
      </c>
      <c r="R14" s="159">
        <f>R7*6</f>
        <v/>
      </c>
      <c r="S14" s="159">
        <f>S7*6</f>
        <v/>
      </c>
      <c r="T14" s="159">
        <f>T7*6</f>
        <v/>
      </c>
      <c r="U14" s="159">
        <f>U7*6</f>
        <v/>
      </c>
      <c r="V14" s="159">
        <f>V7*6</f>
        <v/>
      </c>
      <c r="W14" s="159">
        <f>W7*6</f>
        <v/>
      </c>
      <c r="X14" s="159">
        <f>X7*6</f>
        <v/>
      </c>
      <c r="Y14" s="159">
        <f>Y7*6</f>
        <v/>
      </c>
      <c r="Z14" s="159">
        <f>Z7*6</f>
        <v/>
      </c>
      <c r="AA14" s="159">
        <f>AA7*6</f>
        <v/>
      </c>
      <c r="AB14" s="159">
        <f>AB7*6</f>
        <v/>
      </c>
      <c r="AC14" s="159">
        <f>AC7*6</f>
        <v/>
      </c>
      <c r="AD14" s="159">
        <f>AD7*6</f>
        <v/>
      </c>
      <c r="AE14" s="159">
        <f>AE7*6</f>
        <v/>
      </c>
      <c r="AF14" s="159">
        <f>AF7*6</f>
        <v/>
      </c>
      <c r="AG14" s="159">
        <f>AG7*6</f>
        <v/>
      </c>
      <c r="AH14" s="159">
        <f>AH7*6</f>
        <v/>
      </c>
      <c r="AI14" s="159">
        <f>AI7*6</f>
        <v/>
      </c>
      <c r="AJ14" s="159">
        <f>AJ7*6</f>
        <v/>
      </c>
      <c r="AK14" s="159">
        <f>AK7*6</f>
        <v/>
      </c>
      <c r="AL14" s="159">
        <f>AL7*6</f>
        <v/>
      </c>
      <c r="AM14" s="159">
        <f>AM7*6</f>
        <v/>
      </c>
      <c r="AN14" s="159">
        <f>AN7*6</f>
        <v/>
      </c>
      <c r="AO14" s="159">
        <f>AO7*6</f>
        <v/>
      </c>
      <c r="AP14" s="159">
        <f>AP7*6</f>
        <v/>
      </c>
      <c r="AQ14" s="159">
        <f>AQ7*6</f>
        <v/>
      </c>
      <c r="AR14" s="159">
        <f>AR7*6</f>
        <v/>
      </c>
      <c r="AS14" s="159">
        <f>AS7*6</f>
        <v/>
      </c>
      <c r="AT14" s="159">
        <f>AT7*6</f>
        <v/>
      </c>
      <c r="AU14" s="159">
        <f>AU7*6</f>
        <v/>
      </c>
      <c r="AV14" s="159">
        <f>AV7*6</f>
        <v/>
      </c>
      <c r="AW14" s="159">
        <f>AW7*6</f>
        <v/>
      </c>
      <c r="AX14" s="159">
        <f>AX7*6</f>
        <v/>
      </c>
      <c r="AY14" s="159">
        <f>AY7*6</f>
        <v/>
      </c>
      <c r="AZ14" s="159">
        <f>AZ7*6</f>
        <v/>
      </c>
      <c r="BA14" s="159">
        <f>BA7*6</f>
        <v/>
      </c>
      <c r="BB14" s="159">
        <f>BB7*6</f>
        <v/>
      </c>
      <c r="BC14" s="159">
        <f>BC7*6</f>
        <v/>
      </c>
      <c r="BD14" s="159">
        <f>BD7*6</f>
        <v/>
      </c>
      <c r="BE14" s="159">
        <f>BE7*6</f>
        <v/>
      </c>
      <c r="BF14" s="159">
        <f>BF7*6</f>
        <v/>
      </c>
      <c r="BG14" s="159">
        <f>BG7*6</f>
        <v/>
      </c>
      <c r="BH14" s="159">
        <f>BH7*6</f>
        <v/>
      </c>
      <c r="BI14" s="159">
        <f>BI7*6</f>
        <v/>
      </c>
      <c r="BJ14" s="159">
        <f>BJ7*6</f>
        <v/>
      </c>
      <c r="BK14" s="159">
        <f>BK7*6</f>
        <v/>
      </c>
      <c r="BL14" s="159">
        <f>BL7*6</f>
        <v/>
      </c>
      <c r="BM14" s="159">
        <f>BM7*6</f>
        <v/>
      </c>
      <c r="BN14" s="159">
        <f>BN7*6</f>
        <v/>
      </c>
      <c r="BO14" s="159">
        <f>BO7*6</f>
        <v/>
      </c>
      <c r="BP14" s="159">
        <f>BP7*6</f>
        <v/>
      </c>
      <c r="BQ14" s="159">
        <f>BQ7*6</f>
        <v/>
      </c>
      <c r="BR14" s="159">
        <f>BR7*6</f>
        <v/>
      </c>
      <c r="BS14" s="159">
        <f>BS7*6</f>
        <v/>
      </c>
      <c r="BT14" s="159">
        <f>BT7*6</f>
        <v/>
      </c>
      <c r="BU14" s="159">
        <f>BU7*6</f>
        <v/>
      </c>
      <c r="BV14" s="159">
        <f>BV7*6</f>
        <v/>
      </c>
      <c r="BW14" s="159">
        <f>BW7*6</f>
        <v/>
      </c>
      <c r="BX14" s="159">
        <f>BX7*6</f>
        <v/>
      </c>
      <c r="BY14" s="159">
        <f>BY7*6</f>
        <v/>
      </c>
      <c r="BZ14" s="159">
        <f>BZ7*6</f>
        <v/>
      </c>
      <c r="CA14" s="159">
        <f>CA7*6</f>
        <v/>
      </c>
      <c r="CB14" s="159">
        <f>CB7*6</f>
        <v/>
      </c>
      <c r="CC14" s="159">
        <f>CC7*6</f>
        <v/>
      </c>
      <c r="CD14" s="159">
        <f>CD7*6</f>
        <v/>
      </c>
      <c r="CE14" s="159">
        <f>CE7*6</f>
        <v/>
      </c>
      <c r="CF14" s="159">
        <f>CF7*6</f>
        <v/>
      </c>
      <c r="CG14" s="159">
        <f>CG7*6</f>
        <v/>
      </c>
      <c r="CH14" s="159">
        <f>CH7*6</f>
        <v/>
      </c>
      <c r="CI14" s="159">
        <f>CI7*6</f>
        <v/>
      </c>
      <c r="CJ14" s="159">
        <f>CJ7*6</f>
        <v/>
      </c>
      <c r="CK14" s="159">
        <f>CK7*6</f>
        <v/>
      </c>
      <c r="CL14" s="159">
        <f>CL7*6</f>
        <v/>
      </c>
      <c r="CM14" s="159">
        <f>CM7*6</f>
        <v/>
      </c>
      <c r="CN14" s="159">
        <f>CN7*6</f>
        <v/>
      </c>
      <c r="CO14" s="159">
        <f>CO7*6</f>
        <v/>
      </c>
      <c r="CP14" s="159">
        <f>CP7*6</f>
        <v/>
      </c>
      <c r="CQ14" s="159">
        <f>CQ7*6</f>
        <v/>
      </c>
      <c r="CR14" s="159">
        <f>CR7*6</f>
        <v/>
      </c>
      <c r="CS14" s="159">
        <f>CS7*6</f>
        <v/>
      </c>
      <c r="CT14" s="159">
        <f>CT7*6</f>
        <v/>
      </c>
      <c r="CU14" s="159">
        <f>CU7*6</f>
        <v/>
      </c>
      <c r="CV14" s="159">
        <f>CV7*6</f>
        <v/>
      </c>
      <c r="CW14" s="159">
        <f>CW7*6</f>
        <v/>
      </c>
    </row>
    <row r="15" ht="15.75" customHeight="1" s="255">
      <c r="A15" s="42" t="inlineStr">
        <is>
          <t>LTV 12 month</t>
        </is>
      </c>
      <c r="B15" s="42" t="n"/>
      <c r="C15" s="154">
        <f>C7*12</f>
        <v/>
      </c>
      <c r="D15" s="159">
        <f>D7*12</f>
        <v/>
      </c>
      <c r="E15" s="159">
        <f>E7*12</f>
        <v/>
      </c>
      <c r="F15" s="159">
        <f>F7*12</f>
        <v/>
      </c>
      <c r="G15" s="159">
        <f>G7*12</f>
        <v/>
      </c>
      <c r="H15" s="159">
        <f>H7*12</f>
        <v/>
      </c>
      <c r="I15" s="159">
        <f>I7*12</f>
        <v/>
      </c>
      <c r="J15" s="159">
        <f>J7*12</f>
        <v/>
      </c>
      <c r="K15" s="159">
        <f>K7*12</f>
        <v/>
      </c>
      <c r="L15" s="159">
        <f>L7*12</f>
        <v/>
      </c>
      <c r="M15" s="159">
        <f>M7*12</f>
        <v/>
      </c>
      <c r="N15" s="159">
        <f>N7*12</f>
        <v/>
      </c>
      <c r="O15" s="159">
        <f>O7*12</f>
        <v/>
      </c>
      <c r="P15" s="159">
        <f>P7*12</f>
        <v/>
      </c>
      <c r="Q15" s="159">
        <f>Q7*12</f>
        <v/>
      </c>
      <c r="R15" s="159">
        <f>R7*12</f>
        <v/>
      </c>
      <c r="S15" s="159">
        <f>S7*12</f>
        <v/>
      </c>
      <c r="T15" s="159">
        <f>T7*12</f>
        <v/>
      </c>
      <c r="U15" s="159">
        <f>U7*12</f>
        <v/>
      </c>
      <c r="V15" s="159">
        <f>V7*12</f>
        <v/>
      </c>
      <c r="W15" s="159">
        <f>W7*12</f>
        <v/>
      </c>
      <c r="X15" s="159">
        <f>X7*12</f>
        <v/>
      </c>
      <c r="Y15" s="159">
        <f>Y7*12</f>
        <v/>
      </c>
      <c r="Z15" s="159">
        <f>Z7*12</f>
        <v/>
      </c>
      <c r="AA15" s="159">
        <f>AA7*12</f>
        <v/>
      </c>
      <c r="AB15" s="159">
        <f>AB7*12</f>
        <v/>
      </c>
      <c r="AC15" s="159">
        <f>AC7*12</f>
        <v/>
      </c>
      <c r="AD15" s="159">
        <f>AD7*12</f>
        <v/>
      </c>
      <c r="AE15" s="159">
        <f>AE7*12</f>
        <v/>
      </c>
      <c r="AF15" s="159">
        <f>AF7*12</f>
        <v/>
      </c>
      <c r="AG15" s="159">
        <f>AG7*12</f>
        <v/>
      </c>
      <c r="AH15" s="159">
        <f>AH7*12</f>
        <v/>
      </c>
      <c r="AI15" s="159">
        <f>AI7*12</f>
        <v/>
      </c>
      <c r="AJ15" s="159">
        <f>AJ7*12</f>
        <v/>
      </c>
      <c r="AK15" s="159">
        <f>AK7*12</f>
        <v/>
      </c>
      <c r="AL15" s="159">
        <f>AL7*12</f>
        <v/>
      </c>
      <c r="AM15" s="159">
        <f>AM7*12</f>
        <v/>
      </c>
      <c r="AN15" s="159">
        <f>AN7*12</f>
        <v/>
      </c>
      <c r="AO15" s="159">
        <f>AO7*12</f>
        <v/>
      </c>
      <c r="AP15" s="159">
        <f>AP7*12</f>
        <v/>
      </c>
      <c r="AQ15" s="159">
        <f>AQ7*12</f>
        <v/>
      </c>
      <c r="AR15" s="159">
        <f>AR7*12</f>
        <v/>
      </c>
      <c r="AS15" s="159">
        <f>AS7*12</f>
        <v/>
      </c>
      <c r="AT15" s="159">
        <f>AT7*12</f>
        <v/>
      </c>
      <c r="AU15" s="159">
        <f>AU7*12</f>
        <v/>
      </c>
      <c r="AV15" s="159">
        <f>AV7*12</f>
        <v/>
      </c>
      <c r="AW15" s="159">
        <f>AW7*12</f>
        <v/>
      </c>
      <c r="AX15" s="159">
        <f>AX7*12</f>
        <v/>
      </c>
      <c r="AY15" s="159">
        <f>AY7*12</f>
        <v/>
      </c>
      <c r="AZ15" s="159">
        <f>AZ7*12</f>
        <v/>
      </c>
      <c r="BA15" s="159">
        <f>BA7*12</f>
        <v/>
      </c>
      <c r="BB15" s="159">
        <f>BB7*12</f>
        <v/>
      </c>
      <c r="BC15" s="159">
        <f>BC7*12</f>
        <v/>
      </c>
      <c r="BD15" s="159">
        <f>BD7*12</f>
        <v/>
      </c>
      <c r="BE15" s="159">
        <f>BE7*12</f>
        <v/>
      </c>
      <c r="BF15" s="159">
        <f>BF7*12</f>
        <v/>
      </c>
      <c r="BG15" s="159">
        <f>BG7*12</f>
        <v/>
      </c>
      <c r="BH15" s="159">
        <f>BH7*12</f>
        <v/>
      </c>
      <c r="BI15" s="159">
        <f>BI7*12</f>
        <v/>
      </c>
      <c r="BJ15" s="159">
        <f>BJ7*12</f>
        <v/>
      </c>
      <c r="BK15" s="159">
        <f>BK7*12</f>
        <v/>
      </c>
      <c r="BL15" s="159">
        <f>BL7*12</f>
        <v/>
      </c>
      <c r="BM15" s="159">
        <f>BM7*12</f>
        <v/>
      </c>
      <c r="BN15" s="159">
        <f>BN7*12</f>
        <v/>
      </c>
      <c r="BO15" s="159">
        <f>BO7*12</f>
        <v/>
      </c>
      <c r="BP15" s="159">
        <f>BP7*12</f>
        <v/>
      </c>
      <c r="BQ15" s="159">
        <f>BQ7*12</f>
        <v/>
      </c>
      <c r="BR15" s="159">
        <f>BR7*12</f>
        <v/>
      </c>
      <c r="BS15" s="159">
        <f>BS7*12</f>
        <v/>
      </c>
      <c r="BT15" s="159">
        <f>BT7*12</f>
        <v/>
      </c>
      <c r="BU15" s="159">
        <f>BU7*12</f>
        <v/>
      </c>
      <c r="BV15" s="159">
        <f>BV7*12</f>
        <v/>
      </c>
      <c r="BW15" s="159">
        <f>BW7*12</f>
        <v/>
      </c>
      <c r="BX15" s="159">
        <f>BX7*12</f>
        <v/>
      </c>
      <c r="BY15" s="159">
        <f>BY7*12</f>
        <v/>
      </c>
      <c r="BZ15" s="159">
        <f>BZ7*12</f>
        <v/>
      </c>
      <c r="CA15" s="159">
        <f>CA7*12</f>
        <v/>
      </c>
      <c r="CB15" s="159">
        <f>CB7*12</f>
        <v/>
      </c>
      <c r="CC15" s="159">
        <f>CC7*12</f>
        <v/>
      </c>
      <c r="CD15" s="159">
        <f>CD7*12</f>
        <v/>
      </c>
      <c r="CE15" s="159">
        <f>CE7*12</f>
        <v/>
      </c>
      <c r="CF15" s="159">
        <f>CF7*12</f>
        <v/>
      </c>
      <c r="CG15" s="159">
        <f>CG7*12</f>
        <v/>
      </c>
      <c r="CH15" s="159">
        <f>CH7*12</f>
        <v/>
      </c>
      <c r="CI15" s="159">
        <f>CI7*12</f>
        <v/>
      </c>
      <c r="CJ15" s="159">
        <f>CJ7*12</f>
        <v/>
      </c>
      <c r="CK15" s="159">
        <f>CK7*12</f>
        <v/>
      </c>
      <c r="CL15" s="159">
        <f>CL7*12</f>
        <v/>
      </c>
      <c r="CM15" s="159">
        <f>CM7*12</f>
        <v/>
      </c>
      <c r="CN15" s="159">
        <f>CN7*12</f>
        <v/>
      </c>
      <c r="CO15" s="159">
        <f>CO7*12</f>
        <v/>
      </c>
      <c r="CP15" s="159">
        <f>CP7*12</f>
        <v/>
      </c>
      <c r="CQ15" s="159">
        <f>CQ7*12</f>
        <v/>
      </c>
      <c r="CR15" s="159">
        <f>CR7*12</f>
        <v/>
      </c>
      <c r="CS15" s="159">
        <f>CS7*12</f>
        <v/>
      </c>
      <c r="CT15" s="159">
        <f>CT7*12</f>
        <v/>
      </c>
      <c r="CU15" s="159">
        <f>CU7*12</f>
        <v/>
      </c>
      <c r="CV15" s="159">
        <f>CV7*12</f>
        <v/>
      </c>
      <c r="CW15" s="159">
        <f>CW7*12</f>
        <v/>
      </c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59" t="inlineStr">
        <is>
          <t>pCAC (CAC paid channels)</t>
        </is>
      </c>
      <c r="B17" s="59" t="n"/>
      <c r="C17" s="160" t="n"/>
      <c r="D17" s="158">
        <f>'Monthly forecast'!E10/Projections!$B$36</f>
        <v/>
      </c>
      <c r="E17" s="158">
        <f>'Monthly forecast'!F10/Projections!$B$36</f>
        <v/>
      </c>
      <c r="F17" s="158">
        <f>'Monthly forecast'!G10/Projections!$B$36</f>
        <v/>
      </c>
      <c r="G17" s="158">
        <f>'Monthly forecast'!H10/Projections!$B$36</f>
        <v/>
      </c>
      <c r="H17" s="158">
        <f>'Monthly forecast'!I10/Projections!$B$36</f>
        <v/>
      </c>
      <c r="I17" s="158">
        <f>'Monthly forecast'!J10/Projections!$B$36</f>
        <v/>
      </c>
      <c r="J17" s="158">
        <f>'Monthly forecast'!K10/Projections!$B$36</f>
        <v/>
      </c>
      <c r="K17" s="158">
        <f>'Monthly forecast'!L10/Projections!$B$36</f>
        <v/>
      </c>
      <c r="L17" s="158">
        <f>'Monthly forecast'!M10/Projections!$B$36</f>
        <v/>
      </c>
      <c r="M17" s="158">
        <f>'Monthly forecast'!N10/Projections!$B$36</f>
        <v/>
      </c>
      <c r="N17" s="158">
        <f>'Monthly forecast'!O10/Projections!$B$36</f>
        <v/>
      </c>
      <c r="O17" s="158">
        <f>'Monthly forecast'!P10/Projections!$B$36</f>
        <v/>
      </c>
      <c r="P17" s="158">
        <f>'Monthly forecast'!Q10/Projections!$B$36</f>
        <v/>
      </c>
      <c r="Q17" s="158">
        <f>'Monthly forecast'!R10/Projections!$B$36</f>
        <v/>
      </c>
      <c r="R17" s="158">
        <f>'Monthly forecast'!S10/Projections!$B$36</f>
        <v/>
      </c>
      <c r="S17" s="158">
        <f>'Monthly forecast'!T10/Projections!$B$36</f>
        <v/>
      </c>
      <c r="T17" s="158">
        <f>'Monthly forecast'!U10/Projections!$B$36</f>
        <v/>
      </c>
      <c r="U17" s="158">
        <f>'Monthly forecast'!V10/Projections!$B$36</f>
        <v/>
      </c>
      <c r="V17" s="158">
        <f>'Monthly forecast'!W10/Projections!$B$36</f>
        <v/>
      </c>
      <c r="W17" s="158">
        <f>'Monthly forecast'!X10/Projections!$B$36</f>
        <v/>
      </c>
      <c r="X17" s="158">
        <f>'Monthly forecast'!Y10/Projections!$B$36</f>
        <v/>
      </c>
      <c r="Y17" s="158">
        <f>'Monthly forecast'!Z10/Projections!$B$36</f>
        <v/>
      </c>
      <c r="Z17" s="158">
        <f>'Monthly forecast'!AA10/Projections!$B$36</f>
        <v/>
      </c>
      <c r="AA17" s="158">
        <f>'Monthly forecast'!AB10/Projections!$B$36</f>
        <v/>
      </c>
      <c r="AB17" s="158">
        <f>'Monthly forecast'!AC10/Projections!$B$36</f>
        <v/>
      </c>
      <c r="AC17" s="158">
        <f>'Monthly forecast'!AD10/Projections!$B$36</f>
        <v/>
      </c>
      <c r="AD17" s="158">
        <f>'Monthly forecast'!AE10/Projections!$B$36</f>
        <v/>
      </c>
      <c r="AE17" s="158">
        <f>'Monthly forecast'!AF10/Projections!$B$36</f>
        <v/>
      </c>
      <c r="AF17" s="158">
        <f>'Monthly forecast'!AG10/Projections!$B$36</f>
        <v/>
      </c>
      <c r="AG17" s="158">
        <f>'Monthly forecast'!AH10/Projections!$B$36</f>
        <v/>
      </c>
      <c r="AH17" s="158">
        <f>'Monthly forecast'!AI10/Projections!$B$36</f>
        <v/>
      </c>
      <c r="AI17" s="158">
        <f>'Monthly forecast'!AJ10/Projections!$B$36</f>
        <v/>
      </c>
      <c r="AJ17" s="158">
        <f>'Monthly forecast'!AK10/Projections!$B$36</f>
        <v/>
      </c>
      <c r="AK17" s="158">
        <f>'Monthly forecast'!AL10/Projections!$B$36</f>
        <v/>
      </c>
      <c r="AL17" s="158">
        <f>'Monthly forecast'!AM10/Projections!$B$36</f>
        <v/>
      </c>
      <c r="AM17" s="158">
        <f>'Monthly forecast'!AN10/Projections!$B$36</f>
        <v/>
      </c>
      <c r="AN17" s="158">
        <f>'Monthly forecast'!AO10/Projections!$B$36</f>
        <v/>
      </c>
      <c r="AO17" s="158">
        <f>'Monthly forecast'!AP10/Projections!$B$36</f>
        <v/>
      </c>
      <c r="AP17" s="158">
        <f>'Monthly forecast'!AQ10/Projections!$B$36</f>
        <v/>
      </c>
      <c r="AQ17" s="158">
        <f>'Monthly forecast'!AR10/Projections!$B$36</f>
        <v/>
      </c>
      <c r="AR17" s="158">
        <f>'Monthly forecast'!AS10/Projections!$B$36</f>
        <v/>
      </c>
      <c r="AS17" s="158">
        <f>'Monthly forecast'!AT10/Projections!$B$36</f>
        <v/>
      </c>
      <c r="AT17" s="158">
        <f>'Monthly forecast'!AU10/Projections!$B$36</f>
        <v/>
      </c>
      <c r="AU17" s="158">
        <f>'Monthly forecast'!AV10/Projections!$B$36</f>
        <v/>
      </c>
      <c r="AV17" s="158">
        <f>'Monthly forecast'!AW10/Projections!$B$36</f>
        <v/>
      </c>
      <c r="AW17" s="158">
        <f>'Monthly forecast'!AX10/Projections!$B$36</f>
        <v/>
      </c>
      <c r="AX17" s="158">
        <f>'Monthly forecast'!AY10/Projections!$B$36</f>
        <v/>
      </c>
      <c r="AY17" s="158">
        <f>'Monthly forecast'!AZ10/Projections!$B$36</f>
        <v/>
      </c>
      <c r="AZ17" s="158">
        <f>'Monthly forecast'!BA10/Projections!$B$36</f>
        <v/>
      </c>
      <c r="BA17" s="158">
        <f>'Monthly forecast'!BB10/Projections!$B$36</f>
        <v/>
      </c>
      <c r="BB17" s="158">
        <f>'Monthly forecast'!BC10/Projections!$B$36</f>
        <v/>
      </c>
      <c r="BC17" s="158">
        <f>'Monthly forecast'!BD10/Projections!$B$36</f>
        <v/>
      </c>
      <c r="BD17" s="158">
        <f>'Monthly forecast'!BE10/Projections!$B$36</f>
        <v/>
      </c>
      <c r="BE17" s="158">
        <f>'Monthly forecast'!BF10/Projections!$B$36</f>
        <v/>
      </c>
      <c r="BF17" s="158">
        <f>'Monthly forecast'!BG10/Projections!$B$36</f>
        <v/>
      </c>
      <c r="BG17" s="158">
        <f>'Monthly forecast'!BH10/Projections!$B$36</f>
        <v/>
      </c>
      <c r="BH17" s="158">
        <f>'Monthly forecast'!BI10/Projections!$B$36</f>
        <v/>
      </c>
      <c r="BI17" s="158">
        <f>'Monthly forecast'!BJ10/Projections!$B$36</f>
        <v/>
      </c>
      <c r="BJ17" s="158">
        <f>'Monthly forecast'!BK10/Projections!$B$36</f>
        <v/>
      </c>
      <c r="BK17" s="158">
        <f>'Monthly forecast'!BL10/Projections!$B$36</f>
        <v/>
      </c>
      <c r="BL17" s="158">
        <f>'Monthly forecast'!BM10/Projections!$B$36</f>
        <v/>
      </c>
      <c r="BM17" s="158">
        <f>'Monthly forecast'!BN10/Projections!$B$36</f>
        <v/>
      </c>
      <c r="BN17" s="158">
        <f>'Monthly forecast'!BO10/Projections!$B$36</f>
        <v/>
      </c>
      <c r="BO17" s="158">
        <f>'Monthly forecast'!BP10/Projections!$B$36</f>
        <v/>
      </c>
      <c r="BP17" s="158">
        <f>'Monthly forecast'!BQ10/Projections!$B$36</f>
        <v/>
      </c>
      <c r="BQ17" s="158">
        <f>'Monthly forecast'!BR10/Projections!$B$36</f>
        <v/>
      </c>
      <c r="BR17" s="158">
        <f>'Monthly forecast'!BS10/Projections!$B$36</f>
        <v/>
      </c>
      <c r="BS17" s="158">
        <f>'Monthly forecast'!BT10/Projections!$B$36</f>
        <v/>
      </c>
      <c r="BT17" s="158">
        <f>'Monthly forecast'!BU10/Projections!$B$36</f>
        <v/>
      </c>
      <c r="BU17" s="158">
        <f>'Monthly forecast'!BV10/Projections!$B$36</f>
        <v/>
      </c>
      <c r="BV17" s="158">
        <f>'Monthly forecast'!BW10/Projections!$B$36</f>
        <v/>
      </c>
      <c r="BW17" s="158">
        <f>'Monthly forecast'!BX10/Projections!$B$36</f>
        <v/>
      </c>
      <c r="BX17" s="158">
        <f>'Monthly forecast'!BY10/Projections!$B$36</f>
        <v/>
      </c>
      <c r="BY17" s="158">
        <f>'Monthly forecast'!BZ10/Projections!$B$36</f>
        <v/>
      </c>
      <c r="BZ17" s="158">
        <f>'Monthly forecast'!CA10/Projections!$B$36</f>
        <v/>
      </c>
      <c r="CA17" s="158">
        <f>'Monthly forecast'!CB10/Projections!$B$36</f>
        <v/>
      </c>
      <c r="CB17" s="158">
        <f>'Monthly forecast'!CC10/Projections!$B$36</f>
        <v/>
      </c>
      <c r="CC17" s="158">
        <f>'Monthly forecast'!CD10/Projections!$B$36</f>
        <v/>
      </c>
      <c r="CD17" s="158">
        <f>'Monthly forecast'!CE10/Projections!$B$36</f>
        <v/>
      </c>
      <c r="CE17" s="158">
        <f>'Monthly forecast'!CF10/Projections!$B$36</f>
        <v/>
      </c>
      <c r="CF17" s="158">
        <f>'Monthly forecast'!CG10/Projections!$B$36</f>
        <v/>
      </c>
      <c r="CG17" s="158">
        <f>'Monthly forecast'!CH10/Projections!$B$36</f>
        <v/>
      </c>
      <c r="CH17" s="158">
        <f>'Monthly forecast'!CI10/Projections!$B$36</f>
        <v/>
      </c>
      <c r="CI17" s="158">
        <f>'Monthly forecast'!CJ10/Projections!$B$36</f>
        <v/>
      </c>
      <c r="CJ17" s="158">
        <f>'Monthly forecast'!CK10/Projections!$B$36</f>
        <v/>
      </c>
      <c r="CK17" s="158">
        <f>'Monthly forecast'!CL10/Projections!$B$36</f>
        <v/>
      </c>
      <c r="CL17" s="158">
        <f>'Monthly forecast'!CM10/Projections!$B$36</f>
        <v/>
      </c>
      <c r="CM17" s="158">
        <f>'Monthly forecast'!CN10/Projections!$B$36</f>
        <v/>
      </c>
      <c r="CN17" s="158">
        <f>'Monthly forecast'!CO10/Projections!$B$36</f>
        <v/>
      </c>
      <c r="CO17" s="158">
        <f>'Monthly forecast'!CP10/Projections!$B$36</f>
        <v/>
      </c>
      <c r="CP17" s="158">
        <f>'Monthly forecast'!CQ10/Projections!$B$36</f>
        <v/>
      </c>
      <c r="CQ17" s="158">
        <f>'Monthly forecast'!CR10/Projections!$B$36</f>
        <v/>
      </c>
      <c r="CR17" s="158">
        <f>'Monthly forecast'!CS10/Projections!$B$36</f>
        <v/>
      </c>
      <c r="CS17" s="158">
        <f>'Monthly forecast'!CT10/Projections!$B$36</f>
        <v/>
      </c>
      <c r="CT17" s="158">
        <f>'Monthly forecast'!CU10/Projections!$B$36</f>
        <v/>
      </c>
      <c r="CU17" s="158">
        <f>'Monthly forecast'!CV10/Projections!$B$36</f>
        <v/>
      </c>
      <c r="CV17" s="158">
        <f>'Monthly forecast'!CW10/Projections!$B$36</f>
        <v/>
      </c>
      <c r="CW17" s="158">
        <f>'Monthly forecast'!CX10/Projections!$B$36</f>
        <v/>
      </c>
    </row>
    <row r="18" ht="15.75" customHeight="1" s="255">
      <c r="A18" s="161" t="inlineStr">
        <is>
          <t>LTV/CAC</t>
        </is>
      </c>
      <c r="B18" s="42" t="n"/>
      <c r="C18" s="42" t="n"/>
      <c r="D18" s="162">
        <f>D12/D$17</f>
        <v/>
      </c>
      <c r="E18" s="162">
        <f>E12/E$17</f>
        <v/>
      </c>
      <c r="F18" s="162">
        <f>F12/F$17</f>
        <v/>
      </c>
      <c r="G18" s="162">
        <f>G12/G$17</f>
        <v/>
      </c>
      <c r="H18" s="162">
        <f>H12/H$17</f>
        <v/>
      </c>
      <c r="I18" s="162">
        <f>I12/I$17</f>
        <v/>
      </c>
      <c r="J18" s="162">
        <f>J12/J$17</f>
        <v/>
      </c>
      <c r="K18" s="162">
        <f>K12/K$17</f>
        <v/>
      </c>
      <c r="L18" s="162">
        <f>L12/L$17</f>
        <v/>
      </c>
      <c r="M18" s="162">
        <f>M12/M$17</f>
        <v/>
      </c>
      <c r="N18" s="162">
        <f>N12/N$17</f>
        <v/>
      </c>
      <c r="O18" s="162">
        <f>O12/O$17</f>
        <v/>
      </c>
      <c r="P18" s="162">
        <f>P12/P$17</f>
        <v/>
      </c>
      <c r="Q18" s="162">
        <f>Q12/Q$17</f>
        <v/>
      </c>
      <c r="R18" s="162">
        <f>R12/R$17</f>
        <v/>
      </c>
      <c r="S18" s="162">
        <f>S12/S$17</f>
        <v/>
      </c>
      <c r="T18" s="162">
        <f>T12/T$17</f>
        <v/>
      </c>
      <c r="U18" s="162">
        <f>U12/U$17</f>
        <v/>
      </c>
      <c r="V18" s="162">
        <f>V12/V$17</f>
        <v/>
      </c>
      <c r="W18" s="162">
        <f>W12/W$17</f>
        <v/>
      </c>
      <c r="X18" s="162">
        <f>X12/X$17</f>
        <v/>
      </c>
      <c r="Y18" s="162">
        <f>Y12/Y$17</f>
        <v/>
      </c>
      <c r="Z18" s="162">
        <f>Z12/Z$17</f>
        <v/>
      </c>
      <c r="AA18" s="162">
        <f>AA12/AA$17</f>
        <v/>
      </c>
      <c r="AB18" s="162">
        <f>AB12/AB$17</f>
        <v/>
      </c>
      <c r="AC18" s="162">
        <f>AC12/AC$17</f>
        <v/>
      </c>
      <c r="AD18" s="162">
        <f>AD12/AD$17</f>
        <v/>
      </c>
      <c r="AE18" s="162">
        <f>AE12/AE$17</f>
        <v/>
      </c>
      <c r="AF18" s="162">
        <f>AF12/AF$17</f>
        <v/>
      </c>
      <c r="AG18" s="162">
        <f>AG12/AG$17</f>
        <v/>
      </c>
      <c r="AH18" s="162">
        <f>AH12/AH$17</f>
        <v/>
      </c>
      <c r="AI18" s="162">
        <f>AI12/AI$17</f>
        <v/>
      </c>
      <c r="AJ18" s="162">
        <f>AJ12/AJ$17</f>
        <v/>
      </c>
      <c r="AK18" s="162">
        <f>AK12/AK$17</f>
        <v/>
      </c>
      <c r="AL18" s="162">
        <f>AL12/AL$17</f>
        <v/>
      </c>
      <c r="AM18" s="162">
        <f>AM12/AM$17</f>
        <v/>
      </c>
      <c r="AN18" s="162">
        <f>AN12/AN$17</f>
        <v/>
      </c>
      <c r="AO18" s="162">
        <f>AO12/AO$17</f>
        <v/>
      </c>
      <c r="AP18" s="162">
        <f>AP12/AP$17</f>
        <v/>
      </c>
      <c r="AQ18" s="162">
        <f>AQ12/AQ$17</f>
        <v/>
      </c>
      <c r="AR18" s="162">
        <f>AR12/AR$17</f>
        <v/>
      </c>
      <c r="AS18" s="162">
        <f>AS12/AS$17</f>
        <v/>
      </c>
      <c r="AT18" s="162">
        <f>AT12/AT$17</f>
        <v/>
      </c>
      <c r="AU18" s="162">
        <f>AU12/AU$17</f>
        <v/>
      </c>
      <c r="AV18" s="162">
        <f>AV12/AV$17</f>
        <v/>
      </c>
      <c r="AW18" s="162">
        <f>AW12/AW$17</f>
        <v/>
      </c>
      <c r="AX18" s="162">
        <f>AX12/AX$17</f>
        <v/>
      </c>
      <c r="AY18" s="162">
        <f>AY12/AY$17</f>
        <v/>
      </c>
      <c r="AZ18" s="162">
        <f>AZ12/AZ$17</f>
        <v/>
      </c>
      <c r="BA18" s="162">
        <f>BA12/BA$17</f>
        <v/>
      </c>
      <c r="BB18" s="162">
        <f>BB12/BB$17</f>
        <v/>
      </c>
      <c r="BC18" s="162">
        <f>BC12/BC$17</f>
        <v/>
      </c>
      <c r="BD18" s="162">
        <f>BD12/BD$17</f>
        <v/>
      </c>
      <c r="BE18" s="162">
        <f>BE12/BE$17</f>
        <v/>
      </c>
      <c r="BF18" s="162">
        <f>BF12/BF$17</f>
        <v/>
      </c>
      <c r="BG18" s="162">
        <f>BG12/BG$17</f>
        <v/>
      </c>
      <c r="BH18" s="162">
        <f>BH12/BH$17</f>
        <v/>
      </c>
      <c r="BI18" s="162">
        <f>BI12/BI$17</f>
        <v/>
      </c>
      <c r="BJ18" s="162">
        <f>BJ12/BJ$17</f>
        <v/>
      </c>
      <c r="BK18" s="162">
        <f>BK12/BK$17</f>
        <v/>
      </c>
      <c r="BL18" s="162">
        <f>BL12/BL$17</f>
        <v/>
      </c>
      <c r="BM18" s="162">
        <f>BM12/BM$17</f>
        <v/>
      </c>
      <c r="BN18" s="162">
        <f>BN12/BN$17</f>
        <v/>
      </c>
      <c r="BO18" s="162">
        <f>BO12/BO$17</f>
        <v/>
      </c>
      <c r="BP18" s="162">
        <f>BP12/BP$17</f>
        <v/>
      </c>
      <c r="BQ18" s="162">
        <f>BQ12/BQ$17</f>
        <v/>
      </c>
      <c r="BR18" s="162">
        <f>BR12/BR$17</f>
        <v/>
      </c>
      <c r="BS18" s="162">
        <f>BS12/BS$17</f>
        <v/>
      </c>
      <c r="BT18" s="162">
        <f>BT12/BT$17</f>
        <v/>
      </c>
      <c r="BU18" s="162">
        <f>BU12/BU$17</f>
        <v/>
      </c>
      <c r="BV18" s="162">
        <f>BV12/BV$17</f>
        <v/>
      </c>
      <c r="BW18" s="162">
        <f>BW12/BW$17</f>
        <v/>
      </c>
      <c r="BX18" s="162">
        <f>BX12/BX$17</f>
        <v/>
      </c>
      <c r="BY18" s="162">
        <f>BY12/BY$17</f>
        <v/>
      </c>
      <c r="BZ18" s="162">
        <f>BZ12/BZ$17</f>
        <v/>
      </c>
      <c r="CA18" s="162">
        <f>CA12/CA$17</f>
        <v/>
      </c>
      <c r="CB18" s="162">
        <f>CB12/CB$17</f>
        <v/>
      </c>
      <c r="CC18" s="162">
        <f>CC12/CC$17</f>
        <v/>
      </c>
      <c r="CD18" s="162">
        <f>CD12/CD$17</f>
        <v/>
      </c>
      <c r="CE18" s="162">
        <f>CE12/CE$17</f>
        <v/>
      </c>
      <c r="CF18" s="162">
        <f>CF12/CF$17</f>
        <v/>
      </c>
      <c r="CG18" s="162">
        <f>CG12/CG$17</f>
        <v/>
      </c>
      <c r="CH18" s="162">
        <f>CH12/CH$17</f>
        <v/>
      </c>
      <c r="CI18" s="162">
        <f>CI12/CI$17</f>
        <v/>
      </c>
      <c r="CJ18" s="162">
        <f>CJ12/CJ$17</f>
        <v/>
      </c>
      <c r="CK18" s="162">
        <f>CK12/CK$17</f>
        <v/>
      </c>
      <c r="CL18" s="162">
        <f>CL12/CL$17</f>
        <v/>
      </c>
      <c r="CM18" s="162">
        <f>CM12/CM$17</f>
        <v/>
      </c>
      <c r="CN18" s="162">
        <f>CN12/CN$17</f>
        <v/>
      </c>
      <c r="CO18" s="162">
        <f>CO12/CO$17</f>
        <v/>
      </c>
      <c r="CP18" s="162">
        <f>CP12/CP$17</f>
        <v/>
      </c>
      <c r="CQ18" s="162">
        <f>CQ12/CQ$17</f>
        <v/>
      </c>
      <c r="CR18" s="162">
        <f>CR12/CR$17</f>
        <v/>
      </c>
      <c r="CS18" s="162">
        <f>CS12/CS$17</f>
        <v/>
      </c>
      <c r="CT18" s="162">
        <f>CT12/CT$17</f>
        <v/>
      </c>
      <c r="CU18" s="162">
        <f>CU12/CU$17</f>
        <v/>
      </c>
      <c r="CV18" s="162">
        <f>CV12/CV$17</f>
        <v/>
      </c>
      <c r="CW18" s="162">
        <f>CW12/CW$17</f>
        <v/>
      </c>
    </row>
    <row r="19" ht="15.75" customHeight="1" s="255">
      <c r="A19" s="42" t="inlineStr">
        <is>
          <t>LTV 3 month/CAC</t>
        </is>
      </c>
      <c r="B19" s="42" t="n"/>
      <c r="C19" s="42" t="n"/>
      <c r="D19" s="163">
        <f>D13/D$17</f>
        <v/>
      </c>
      <c r="E19" s="163">
        <f>E13/E$17</f>
        <v/>
      </c>
      <c r="F19" s="163">
        <f>F13/F$17</f>
        <v/>
      </c>
      <c r="G19" s="163">
        <f>G13/G$17</f>
        <v/>
      </c>
      <c r="H19" s="163">
        <f>H13/H$17</f>
        <v/>
      </c>
      <c r="I19" s="163">
        <f>I13/I$17</f>
        <v/>
      </c>
      <c r="J19" s="163">
        <f>J13/J$17</f>
        <v/>
      </c>
      <c r="K19" s="163">
        <f>K13/K$17</f>
        <v/>
      </c>
      <c r="L19" s="163">
        <f>L13/L$17</f>
        <v/>
      </c>
      <c r="M19" s="163">
        <f>M13/M$17</f>
        <v/>
      </c>
      <c r="N19" s="163">
        <f>N13/N$17</f>
        <v/>
      </c>
      <c r="O19" s="163">
        <f>O13/O$17</f>
        <v/>
      </c>
      <c r="P19" s="163">
        <f>P13/P$17</f>
        <v/>
      </c>
      <c r="Q19" s="163">
        <f>Q13/Q$17</f>
        <v/>
      </c>
      <c r="R19" s="163">
        <f>R13/R$17</f>
        <v/>
      </c>
      <c r="S19" s="163">
        <f>S13/S$17</f>
        <v/>
      </c>
      <c r="T19" s="163">
        <f>T13/T$17</f>
        <v/>
      </c>
      <c r="U19" s="163">
        <f>U13/U$17</f>
        <v/>
      </c>
      <c r="V19" s="163">
        <f>V13/V$17</f>
        <v/>
      </c>
      <c r="W19" s="163">
        <f>W13/W$17</f>
        <v/>
      </c>
      <c r="X19" s="163">
        <f>X13/X$17</f>
        <v/>
      </c>
      <c r="Y19" s="163">
        <f>Y13/Y$17</f>
        <v/>
      </c>
      <c r="Z19" s="163">
        <f>Z13/Z$17</f>
        <v/>
      </c>
      <c r="AA19" s="163">
        <f>AA13/AA$17</f>
        <v/>
      </c>
      <c r="AB19" s="163">
        <f>AB13/AB$17</f>
        <v/>
      </c>
      <c r="AC19" s="163">
        <f>AC13/AC$17</f>
        <v/>
      </c>
      <c r="AD19" s="163">
        <f>AD13/AD$17</f>
        <v/>
      </c>
      <c r="AE19" s="163">
        <f>AE13/AE$17</f>
        <v/>
      </c>
      <c r="AF19" s="163">
        <f>AF13/AF$17</f>
        <v/>
      </c>
      <c r="AG19" s="163">
        <f>AG13/AG$17</f>
        <v/>
      </c>
      <c r="AH19" s="163">
        <f>AH13/AH$17</f>
        <v/>
      </c>
      <c r="AI19" s="163">
        <f>AI13/AI$17</f>
        <v/>
      </c>
      <c r="AJ19" s="163">
        <f>AJ13/AJ$17</f>
        <v/>
      </c>
      <c r="AK19" s="163">
        <f>AK13/AK$17</f>
        <v/>
      </c>
      <c r="AL19" s="163">
        <f>AL13/AL$17</f>
        <v/>
      </c>
      <c r="AM19" s="163">
        <f>AM13/AM$17</f>
        <v/>
      </c>
      <c r="AN19" s="163">
        <f>AN13/AN$17</f>
        <v/>
      </c>
      <c r="AO19" s="163">
        <f>AO13/AO$17</f>
        <v/>
      </c>
      <c r="AP19" s="163">
        <f>AP13/AP$17</f>
        <v/>
      </c>
      <c r="AQ19" s="163">
        <f>AQ13/AQ$17</f>
        <v/>
      </c>
      <c r="AR19" s="163">
        <f>AR13/AR$17</f>
        <v/>
      </c>
      <c r="AS19" s="163">
        <f>AS13/AS$17</f>
        <v/>
      </c>
      <c r="AT19" s="163">
        <f>AT13/AT$17</f>
        <v/>
      </c>
      <c r="AU19" s="163">
        <f>AU13/AU$17</f>
        <v/>
      </c>
      <c r="AV19" s="163">
        <f>AV13/AV$17</f>
        <v/>
      </c>
      <c r="AW19" s="163">
        <f>AW13/AW$17</f>
        <v/>
      </c>
      <c r="AX19" s="163">
        <f>AX13/AX$17</f>
        <v/>
      </c>
      <c r="AY19" s="163">
        <f>AY13/AY$17</f>
        <v/>
      </c>
      <c r="AZ19" s="163">
        <f>AZ13/AZ$17</f>
        <v/>
      </c>
      <c r="BA19" s="163">
        <f>BA13/BA$17</f>
        <v/>
      </c>
      <c r="BB19" s="163">
        <f>BB13/BB$17</f>
        <v/>
      </c>
      <c r="BC19" s="163">
        <f>BC13/BC$17</f>
        <v/>
      </c>
      <c r="BD19" s="163">
        <f>BD13/BD$17</f>
        <v/>
      </c>
      <c r="BE19" s="163">
        <f>BE13/BE$17</f>
        <v/>
      </c>
      <c r="BF19" s="163">
        <f>BF13/BF$17</f>
        <v/>
      </c>
      <c r="BG19" s="163">
        <f>BG13/BG$17</f>
        <v/>
      </c>
      <c r="BH19" s="163">
        <f>BH13/BH$17</f>
        <v/>
      </c>
      <c r="BI19" s="163">
        <f>BI13/BI$17</f>
        <v/>
      </c>
      <c r="BJ19" s="163">
        <f>BJ13/BJ$17</f>
        <v/>
      </c>
      <c r="BK19" s="163">
        <f>BK13/BK$17</f>
        <v/>
      </c>
      <c r="BL19" s="163">
        <f>BL13/BL$17</f>
        <v/>
      </c>
      <c r="BM19" s="163">
        <f>BM13/BM$17</f>
        <v/>
      </c>
      <c r="BN19" s="163">
        <f>BN13/BN$17</f>
        <v/>
      </c>
      <c r="BO19" s="163">
        <f>BO13/BO$17</f>
        <v/>
      </c>
      <c r="BP19" s="163">
        <f>BP13/BP$17</f>
        <v/>
      </c>
      <c r="BQ19" s="163">
        <f>BQ13/BQ$17</f>
        <v/>
      </c>
      <c r="BR19" s="163">
        <f>BR13/BR$17</f>
        <v/>
      </c>
      <c r="BS19" s="163">
        <f>BS13/BS$17</f>
        <v/>
      </c>
      <c r="BT19" s="163">
        <f>BT13/BT$17</f>
        <v/>
      </c>
      <c r="BU19" s="163">
        <f>BU13/BU$17</f>
        <v/>
      </c>
      <c r="BV19" s="163">
        <f>BV13/BV$17</f>
        <v/>
      </c>
      <c r="BW19" s="163">
        <f>BW13/BW$17</f>
        <v/>
      </c>
      <c r="BX19" s="163">
        <f>BX13/BX$17</f>
        <v/>
      </c>
      <c r="BY19" s="163">
        <f>BY13/BY$17</f>
        <v/>
      </c>
      <c r="BZ19" s="163">
        <f>BZ13/BZ$17</f>
        <v/>
      </c>
      <c r="CA19" s="163">
        <f>CA13/CA$17</f>
        <v/>
      </c>
      <c r="CB19" s="163">
        <f>CB13/CB$17</f>
        <v/>
      </c>
      <c r="CC19" s="163">
        <f>CC13/CC$17</f>
        <v/>
      </c>
      <c r="CD19" s="163">
        <f>CD13/CD$17</f>
        <v/>
      </c>
      <c r="CE19" s="163">
        <f>CE13/CE$17</f>
        <v/>
      </c>
      <c r="CF19" s="163">
        <f>CF13/CF$17</f>
        <v/>
      </c>
      <c r="CG19" s="163">
        <f>CG13/CG$17</f>
        <v/>
      </c>
      <c r="CH19" s="163">
        <f>CH13/CH$17</f>
        <v/>
      </c>
      <c r="CI19" s="163">
        <f>CI13/CI$17</f>
        <v/>
      </c>
      <c r="CJ19" s="163">
        <f>CJ13/CJ$17</f>
        <v/>
      </c>
      <c r="CK19" s="163">
        <f>CK13/CK$17</f>
        <v/>
      </c>
      <c r="CL19" s="163">
        <f>CL13/CL$17</f>
        <v/>
      </c>
      <c r="CM19" s="163">
        <f>CM13/CM$17</f>
        <v/>
      </c>
      <c r="CN19" s="163">
        <f>CN13/CN$17</f>
        <v/>
      </c>
      <c r="CO19" s="163">
        <f>CO13/CO$17</f>
        <v/>
      </c>
      <c r="CP19" s="163">
        <f>CP13/CP$17</f>
        <v/>
      </c>
      <c r="CQ19" s="163">
        <f>CQ13/CQ$17</f>
        <v/>
      </c>
      <c r="CR19" s="163">
        <f>CR13/CR$17</f>
        <v/>
      </c>
      <c r="CS19" s="163">
        <f>CS13/CS$17</f>
        <v/>
      </c>
      <c r="CT19" s="163">
        <f>CT13/CT$17</f>
        <v/>
      </c>
      <c r="CU19" s="163">
        <f>CU13/CU$17</f>
        <v/>
      </c>
      <c r="CV19" s="163">
        <f>CV13/CV$17</f>
        <v/>
      </c>
      <c r="CW19" s="163">
        <f>CW13/CW$17</f>
        <v/>
      </c>
    </row>
    <row r="20" ht="15.75" customHeight="1" s="255">
      <c r="A20" s="42" t="inlineStr">
        <is>
          <t>LTV 6 month/CAC</t>
        </is>
      </c>
      <c r="B20" s="42" t="n"/>
      <c r="C20" s="42" t="n"/>
      <c r="D20" s="163">
        <f>D14/D$17</f>
        <v/>
      </c>
      <c r="E20" s="163">
        <f>E14/E$17</f>
        <v/>
      </c>
      <c r="F20" s="163">
        <f>F14/F$17</f>
        <v/>
      </c>
      <c r="G20" s="163">
        <f>G14/G$17</f>
        <v/>
      </c>
      <c r="H20" s="163">
        <f>H14/H$17</f>
        <v/>
      </c>
      <c r="I20" s="163">
        <f>I14/I$17</f>
        <v/>
      </c>
      <c r="J20" s="163">
        <f>J14/J$17</f>
        <v/>
      </c>
      <c r="K20" s="163">
        <f>K14/K$17</f>
        <v/>
      </c>
      <c r="L20" s="163">
        <f>L14/L$17</f>
        <v/>
      </c>
      <c r="M20" s="163">
        <f>M14/M$17</f>
        <v/>
      </c>
      <c r="N20" s="163">
        <f>N14/N$17</f>
        <v/>
      </c>
      <c r="O20" s="163">
        <f>O14/O$17</f>
        <v/>
      </c>
      <c r="P20" s="163">
        <f>P14/P$17</f>
        <v/>
      </c>
      <c r="Q20" s="163">
        <f>Q14/Q$17</f>
        <v/>
      </c>
      <c r="R20" s="163">
        <f>R14/R$17</f>
        <v/>
      </c>
      <c r="S20" s="163">
        <f>S14/S$17</f>
        <v/>
      </c>
      <c r="T20" s="163">
        <f>T14/T$17</f>
        <v/>
      </c>
      <c r="U20" s="163">
        <f>U14/U$17</f>
        <v/>
      </c>
      <c r="V20" s="163">
        <f>V14/V$17</f>
        <v/>
      </c>
      <c r="W20" s="163">
        <f>W14/W$17</f>
        <v/>
      </c>
      <c r="X20" s="163">
        <f>X14/X$17</f>
        <v/>
      </c>
      <c r="Y20" s="163">
        <f>Y14/Y$17</f>
        <v/>
      </c>
      <c r="Z20" s="163">
        <f>Z14/Z$17</f>
        <v/>
      </c>
      <c r="AA20" s="163">
        <f>AA14/AA$17</f>
        <v/>
      </c>
      <c r="AB20" s="163">
        <f>AB14/AB$17</f>
        <v/>
      </c>
      <c r="AC20" s="163">
        <f>AC14/AC$17</f>
        <v/>
      </c>
      <c r="AD20" s="163">
        <f>AD14/AD$17</f>
        <v/>
      </c>
      <c r="AE20" s="163">
        <f>AE14/AE$17</f>
        <v/>
      </c>
      <c r="AF20" s="163">
        <f>AF14/AF$17</f>
        <v/>
      </c>
      <c r="AG20" s="163">
        <f>AG14/AG$17</f>
        <v/>
      </c>
      <c r="AH20" s="163">
        <f>AH14/AH$17</f>
        <v/>
      </c>
      <c r="AI20" s="163">
        <f>AI14/AI$17</f>
        <v/>
      </c>
      <c r="AJ20" s="163">
        <f>AJ14/AJ$17</f>
        <v/>
      </c>
      <c r="AK20" s="163">
        <f>AK14/AK$17</f>
        <v/>
      </c>
      <c r="AL20" s="163">
        <f>AL14/AL$17</f>
        <v/>
      </c>
      <c r="AM20" s="163">
        <f>AM14/AM$17</f>
        <v/>
      </c>
      <c r="AN20" s="163">
        <f>AN14/AN$17</f>
        <v/>
      </c>
      <c r="AO20" s="163">
        <f>AO14/AO$17</f>
        <v/>
      </c>
      <c r="AP20" s="163">
        <f>AP14/AP$17</f>
        <v/>
      </c>
      <c r="AQ20" s="163">
        <f>AQ14/AQ$17</f>
        <v/>
      </c>
      <c r="AR20" s="163">
        <f>AR14/AR$17</f>
        <v/>
      </c>
      <c r="AS20" s="163">
        <f>AS14/AS$17</f>
        <v/>
      </c>
      <c r="AT20" s="163">
        <f>AT14/AT$17</f>
        <v/>
      </c>
      <c r="AU20" s="163">
        <f>AU14/AU$17</f>
        <v/>
      </c>
      <c r="AV20" s="163">
        <f>AV14/AV$17</f>
        <v/>
      </c>
      <c r="AW20" s="163">
        <f>AW14/AW$17</f>
        <v/>
      </c>
      <c r="AX20" s="163">
        <f>AX14/AX$17</f>
        <v/>
      </c>
      <c r="AY20" s="163">
        <f>AY14/AY$17</f>
        <v/>
      </c>
      <c r="AZ20" s="163">
        <f>AZ14/AZ$17</f>
        <v/>
      </c>
      <c r="BA20" s="163">
        <f>BA14/BA$17</f>
        <v/>
      </c>
      <c r="BB20" s="163">
        <f>BB14/BB$17</f>
        <v/>
      </c>
      <c r="BC20" s="163">
        <f>BC14/BC$17</f>
        <v/>
      </c>
      <c r="BD20" s="163">
        <f>BD14/BD$17</f>
        <v/>
      </c>
      <c r="BE20" s="163">
        <f>BE14/BE$17</f>
        <v/>
      </c>
      <c r="BF20" s="163">
        <f>BF14/BF$17</f>
        <v/>
      </c>
      <c r="BG20" s="163">
        <f>BG14/BG$17</f>
        <v/>
      </c>
      <c r="BH20" s="163">
        <f>BH14/BH$17</f>
        <v/>
      </c>
      <c r="BI20" s="163">
        <f>BI14/BI$17</f>
        <v/>
      </c>
      <c r="BJ20" s="163">
        <f>BJ14/BJ$17</f>
        <v/>
      </c>
      <c r="BK20" s="163">
        <f>BK14/BK$17</f>
        <v/>
      </c>
      <c r="BL20" s="163">
        <f>BL14/BL$17</f>
        <v/>
      </c>
      <c r="BM20" s="163">
        <f>BM14/BM$17</f>
        <v/>
      </c>
      <c r="BN20" s="163">
        <f>BN14/BN$17</f>
        <v/>
      </c>
      <c r="BO20" s="163">
        <f>BO14/BO$17</f>
        <v/>
      </c>
      <c r="BP20" s="163">
        <f>BP14/BP$17</f>
        <v/>
      </c>
      <c r="BQ20" s="163">
        <f>BQ14/BQ$17</f>
        <v/>
      </c>
      <c r="BR20" s="163">
        <f>BR14/BR$17</f>
        <v/>
      </c>
      <c r="BS20" s="163">
        <f>BS14/BS$17</f>
        <v/>
      </c>
      <c r="BT20" s="163">
        <f>BT14/BT$17</f>
        <v/>
      </c>
      <c r="BU20" s="163">
        <f>BU14/BU$17</f>
        <v/>
      </c>
      <c r="BV20" s="163">
        <f>BV14/BV$17</f>
        <v/>
      </c>
      <c r="BW20" s="163">
        <f>BW14/BW$17</f>
        <v/>
      </c>
      <c r="BX20" s="163">
        <f>BX14/BX$17</f>
        <v/>
      </c>
      <c r="BY20" s="163">
        <f>BY14/BY$17</f>
        <v/>
      </c>
      <c r="BZ20" s="163">
        <f>BZ14/BZ$17</f>
        <v/>
      </c>
      <c r="CA20" s="163">
        <f>CA14/CA$17</f>
        <v/>
      </c>
      <c r="CB20" s="163">
        <f>CB14/CB$17</f>
        <v/>
      </c>
      <c r="CC20" s="163">
        <f>CC14/CC$17</f>
        <v/>
      </c>
      <c r="CD20" s="163">
        <f>CD14/CD$17</f>
        <v/>
      </c>
      <c r="CE20" s="163">
        <f>CE14/CE$17</f>
        <v/>
      </c>
      <c r="CF20" s="163">
        <f>CF14/CF$17</f>
        <v/>
      </c>
      <c r="CG20" s="163">
        <f>CG14/CG$17</f>
        <v/>
      </c>
      <c r="CH20" s="163">
        <f>CH14/CH$17</f>
        <v/>
      </c>
      <c r="CI20" s="163">
        <f>CI14/CI$17</f>
        <v/>
      </c>
      <c r="CJ20" s="163">
        <f>CJ14/CJ$17</f>
        <v/>
      </c>
      <c r="CK20" s="163">
        <f>CK14/CK$17</f>
        <v/>
      </c>
      <c r="CL20" s="163">
        <f>CL14/CL$17</f>
        <v/>
      </c>
      <c r="CM20" s="163">
        <f>CM14/CM$17</f>
        <v/>
      </c>
      <c r="CN20" s="163">
        <f>CN14/CN$17</f>
        <v/>
      </c>
      <c r="CO20" s="163">
        <f>CO14/CO$17</f>
        <v/>
      </c>
      <c r="CP20" s="163">
        <f>CP14/CP$17</f>
        <v/>
      </c>
      <c r="CQ20" s="163">
        <f>CQ14/CQ$17</f>
        <v/>
      </c>
      <c r="CR20" s="163">
        <f>CR14/CR$17</f>
        <v/>
      </c>
      <c r="CS20" s="163">
        <f>CS14/CS$17</f>
        <v/>
      </c>
      <c r="CT20" s="163">
        <f>CT14/CT$17</f>
        <v/>
      </c>
      <c r="CU20" s="163">
        <f>CU14/CU$17</f>
        <v/>
      </c>
      <c r="CV20" s="163">
        <f>CV14/CV$17</f>
        <v/>
      </c>
      <c r="CW20" s="163">
        <f>CW14/CW$17</f>
        <v/>
      </c>
    </row>
    <row r="21" ht="15.75" customHeight="1" s="255">
      <c r="A21" s="42" t="inlineStr">
        <is>
          <t>LTV 12 month/CAC</t>
        </is>
      </c>
      <c r="B21" s="42" t="n"/>
      <c r="C21" s="42" t="n"/>
      <c r="D21" s="163">
        <f>D15/D$17</f>
        <v/>
      </c>
      <c r="E21" s="163">
        <f>E15/E$17</f>
        <v/>
      </c>
      <c r="F21" s="163">
        <f>F15/F$17</f>
        <v/>
      </c>
      <c r="G21" s="163">
        <f>G15/G$17</f>
        <v/>
      </c>
      <c r="H21" s="163">
        <f>H15/H$17</f>
        <v/>
      </c>
      <c r="I21" s="163">
        <f>I15/I$17</f>
        <v/>
      </c>
      <c r="J21" s="163">
        <f>J15/J$17</f>
        <v/>
      </c>
      <c r="K21" s="163">
        <f>K15/K$17</f>
        <v/>
      </c>
      <c r="L21" s="163">
        <f>L15/L$17</f>
        <v/>
      </c>
      <c r="M21" s="163">
        <f>M15/M$17</f>
        <v/>
      </c>
      <c r="N21" s="163">
        <f>N15/N$17</f>
        <v/>
      </c>
      <c r="O21" s="163">
        <f>O15/O$17</f>
        <v/>
      </c>
      <c r="P21" s="163">
        <f>P15/P$17</f>
        <v/>
      </c>
      <c r="Q21" s="163">
        <f>Q15/Q$17</f>
        <v/>
      </c>
      <c r="R21" s="163">
        <f>R15/R$17</f>
        <v/>
      </c>
      <c r="S21" s="163">
        <f>S15/S$17</f>
        <v/>
      </c>
      <c r="T21" s="163">
        <f>T15/T$17</f>
        <v/>
      </c>
      <c r="U21" s="163">
        <f>U15/U$17</f>
        <v/>
      </c>
      <c r="V21" s="163">
        <f>V15/V$17</f>
        <v/>
      </c>
      <c r="W21" s="163">
        <f>W15/W$17</f>
        <v/>
      </c>
      <c r="X21" s="163">
        <f>X15/X$17</f>
        <v/>
      </c>
      <c r="Y21" s="163">
        <f>Y15/Y$17</f>
        <v/>
      </c>
      <c r="Z21" s="163">
        <f>Z15/Z$17</f>
        <v/>
      </c>
      <c r="AA21" s="163">
        <f>AA15/AA$17</f>
        <v/>
      </c>
      <c r="AB21" s="163">
        <f>AB15/AB$17</f>
        <v/>
      </c>
      <c r="AC21" s="163">
        <f>AC15/AC$17</f>
        <v/>
      </c>
      <c r="AD21" s="163">
        <f>AD15/AD$17</f>
        <v/>
      </c>
      <c r="AE21" s="163">
        <f>AE15/AE$17</f>
        <v/>
      </c>
      <c r="AF21" s="163">
        <f>AF15/AF$17</f>
        <v/>
      </c>
      <c r="AG21" s="163">
        <f>AG15/AG$17</f>
        <v/>
      </c>
      <c r="AH21" s="163">
        <f>AH15/AH$17</f>
        <v/>
      </c>
      <c r="AI21" s="163">
        <f>AI15/AI$17</f>
        <v/>
      </c>
      <c r="AJ21" s="163">
        <f>AJ15/AJ$17</f>
        <v/>
      </c>
      <c r="AK21" s="163">
        <f>AK15/AK$17</f>
        <v/>
      </c>
      <c r="AL21" s="163">
        <f>AL15/AL$17</f>
        <v/>
      </c>
      <c r="AM21" s="163">
        <f>AM15/AM$17</f>
        <v/>
      </c>
      <c r="AN21" s="163">
        <f>AN15/AN$17</f>
        <v/>
      </c>
      <c r="AO21" s="163">
        <f>AO15/AO$17</f>
        <v/>
      </c>
      <c r="AP21" s="163">
        <f>AP15/AP$17</f>
        <v/>
      </c>
      <c r="AQ21" s="163">
        <f>AQ15/AQ$17</f>
        <v/>
      </c>
      <c r="AR21" s="163">
        <f>AR15/AR$17</f>
        <v/>
      </c>
      <c r="AS21" s="163">
        <f>AS15/AS$17</f>
        <v/>
      </c>
      <c r="AT21" s="163">
        <f>AT15/AT$17</f>
        <v/>
      </c>
      <c r="AU21" s="163">
        <f>AU15/AU$17</f>
        <v/>
      </c>
      <c r="AV21" s="163">
        <f>AV15/AV$17</f>
        <v/>
      </c>
      <c r="AW21" s="163">
        <f>AW15/AW$17</f>
        <v/>
      </c>
      <c r="AX21" s="163">
        <f>AX15/AX$17</f>
        <v/>
      </c>
      <c r="AY21" s="163">
        <f>AY15/AY$17</f>
        <v/>
      </c>
      <c r="AZ21" s="163">
        <f>AZ15/AZ$17</f>
        <v/>
      </c>
      <c r="BA21" s="163">
        <f>BA15/BA$17</f>
        <v/>
      </c>
      <c r="BB21" s="163">
        <f>BB15/BB$17</f>
        <v/>
      </c>
      <c r="BC21" s="163">
        <f>BC15/BC$17</f>
        <v/>
      </c>
      <c r="BD21" s="163">
        <f>BD15/BD$17</f>
        <v/>
      </c>
      <c r="BE21" s="163">
        <f>BE15/BE$17</f>
        <v/>
      </c>
      <c r="BF21" s="163">
        <f>BF15/BF$17</f>
        <v/>
      </c>
      <c r="BG21" s="163">
        <f>BG15/BG$17</f>
        <v/>
      </c>
      <c r="BH21" s="163">
        <f>BH15/BH$17</f>
        <v/>
      </c>
      <c r="BI21" s="163">
        <f>BI15/BI$17</f>
        <v/>
      </c>
      <c r="BJ21" s="163">
        <f>BJ15/BJ$17</f>
        <v/>
      </c>
      <c r="BK21" s="163">
        <f>BK15/BK$17</f>
        <v/>
      </c>
      <c r="BL21" s="163">
        <f>BL15/BL$17</f>
        <v/>
      </c>
      <c r="BM21" s="163">
        <f>BM15/BM$17</f>
        <v/>
      </c>
      <c r="BN21" s="163">
        <f>BN15/BN$17</f>
        <v/>
      </c>
      <c r="BO21" s="163">
        <f>BO15/BO$17</f>
        <v/>
      </c>
      <c r="BP21" s="163">
        <f>BP15/BP$17</f>
        <v/>
      </c>
      <c r="BQ21" s="163">
        <f>BQ15/BQ$17</f>
        <v/>
      </c>
      <c r="BR21" s="163">
        <f>BR15/BR$17</f>
        <v/>
      </c>
      <c r="BS21" s="163">
        <f>BS15/BS$17</f>
        <v/>
      </c>
      <c r="BT21" s="163">
        <f>BT15/BT$17</f>
        <v/>
      </c>
      <c r="BU21" s="163">
        <f>BU15/BU$17</f>
        <v/>
      </c>
      <c r="BV21" s="163">
        <f>BV15/BV$17</f>
        <v/>
      </c>
      <c r="BW21" s="163">
        <f>BW15/BW$17</f>
        <v/>
      </c>
      <c r="BX21" s="163">
        <f>BX15/BX$17</f>
        <v/>
      </c>
      <c r="BY21" s="163">
        <f>BY15/BY$17</f>
        <v/>
      </c>
      <c r="BZ21" s="163">
        <f>BZ15/BZ$17</f>
        <v/>
      </c>
      <c r="CA21" s="163">
        <f>CA15/CA$17</f>
        <v/>
      </c>
      <c r="CB21" s="163">
        <f>CB15/CB$17</f>
        <v/>
      </c>
      <c r="CC21" s="163">
        <f>CC15/CC$17</f>
        <v/>
      </c>
      <c r="CD21" s="163">
        <f>CD15/CD$17</f>
        <v/>
      </c>
      <c r="CE21" s="163">
        <f>CE15/CE$17</f>
        <v/>
      </c>
      <c r="CF21" s="163">
        <f>CF15/CF$17</f>
        <v/>
      </c>
      <c r="CG21" s="163">
        <f>CG15/CG$17</f>
        <v/>
      </c>
      <c r="CH21" s="163">
        <f>CH15/CH$17</f>
        <v/>
      </c>
      <c r="CI21" s="163">
        <f>CI15/CI$17</f>
        <v/>
      </c>
      <c r="CJ21" s="163">
        <f>CJ15/CJ$17</f>
        <v/>
      </c>
      <c r="CK21" s="163">
        <f>CK15/CK$17</f>
        <v/>
      </c>
      <c r="CL21" s="163">
        <f>CL15/CL$17</f>
        <v/>
      </c>
      <c r="CM21" s="163">
        <f>CM15/CM$17</f>
        <v/>
      </c>
      <c r="CN21" s="163">
        <f>CN15/CN$17</f>
        <v/>
      </c>
      <c r="CO21" s="163">
        <f>CO15/CO$17</f>
        <v/>
      </c>
      <c r="CP21" s="163">
        <f>CP15/CP$17</f>
        <v/>
      </c>
      <c r="CQ21" s="163">
        <f>CQ15/CQ$17</f>
        <v/>
      </c>
      <c r="CR21" s="163">
        <f>CR15/CR$17</f>
        <v/>
      </c>
      <c r="CS21" s="163">
        <f>CS15/CS$17</f>
        <v/>
      </c>
      <c r="CT21" s="163">
        <f>CT15/CT$17</f>
        <v/>
      </c>
      <c r="CU21" s="163">
        <f>CU15/CU$17</f>
        <v/>
      </c>
      <c r="CV21" s="163">
        <f>CV15/CV$17</f>
        <v/>
      </c>
      <c r="CW21" s="163">
        <f>CW15/CW$17</f>
        <v/>
      </c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</row>
    <row r="24" ht="15.75" customHeight="1" s="255">
      <c r="A24" s="167">
        <f>'Monthly forecast'!A24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</row>
    <row r="26" ht="15.75" customHeight="1" s="255">
      <c r="A26" s="42" t="inlineStr">
        <is>
          <t>Subscription price per month</t>
        </is>
      </c>
      <c r="B26" s="42" t="n"/>
      <c r="C26" s="154">
        <f>IF(C2&gt;=Projections!$D$28,Projections!$B$28,0)</f>
        <v/>
      </c>
      <c r="D26" s="154">
        <f>IF(D2&gt;=Projections!$D$28,Projections!$B$28,0)</f>
        <v/>
      </c>
      <c r="E26" s="154">
        <f>IF(E2&gt;=Projections!$D$28,Projections!$B$28,0)</f>
        <v/>
      </c>
      <c r="F26" s="154">
        <f>IF(F2&gt;=Projections!$D$28,Projections!$B$28,0)</f>
        <v/>
      </c>
      <c r="G26" s="154">
        <f>IF(G2&gt;=Projections!$D$28,Projections!$B$28,0)</f>
        <v/>
      </c>
      <c r="H26" s="154">
        <f>IF(H2&gt;=Projections!$D$28,Projections!$B$28,0)</f>
        <v/>
      </c>
      <c r="I26" s="154">
        <f>IF(I2&gt;=Projections!$D$28,Projections!$B$28,0)</f>
        <v/>
      </c>
      <c r="J26" s="154">
        <f>IF(J2&gt;=Projections!$D$28,Projections!$B$28,0)</f>
        <v/>
      </c>
      <c r="K26" s="154">
        <f>IF(K2&gt;=Projections!$D$28,Projections!$B$28,0)</f>
        <v/>
      </c>
      <c r="L26" s="154">
        <f>IF(L2&gt;=Projections!$D$28,Projections!$B$28,0)</f>
        <v/>
      </c>
      <c r="M26" s="154">
        <f>IF(M2&gt;=Projections!$D$28,Projections!$B$28,0)</f>
        <v/>
      </c>
      <c r="N26" s="154">
        <f>IF(N2&gt;=Projections!$D$28,Projections!$B$28,0)</f>
        <v/>
      </c>
      <c r="O26" s="154">
        <f>IF(O2&gt;=Projections!$D$28,Projections!$B$28,0)</f>
        <v/>
      </c>
      <c r="P26" s="154">
        <f>IF(P2&gt;=Projections!$D$28,Projections!$B$28,0)</f>
        <v/>
      </c>
      <c r="Q26" s="154">
        <f>IF(Q2&gt;=Projections!$D$28,Projections!$B$28,0)</f>
        <v/>
      </c>
      <c r="R26" s="154">
        <f>IF(R2&gt;=Projections!$D$28,Projections!$B$28,0)</f>
        <v/>
      </c>
      <c r="S26" s="154">
        <f>IF(S2&gt;=Projections!$D$28,Projections!$B$28,0)</f>
        <v/>
      </c>
      <c r="T26" s="154">
        <f>IF(T2&gt;=Projections!$D$28,Projections!$B$28,0)</f>
        <v/>
      </c>
      <c r="U26" s="154">
        <f>IF(U2&gt;=Projections!$D$28,Projections!$B$28,0)</f>
        <v/>
      </c>
      <c r="V26" s="154">
        <f>IF(V2&gt;=Projections!$D$28,Projections!$B$28,0)</f>
        <v/>
      </c>
      <c r="W26" s="154">
        <f>IF(W2&gt;=Projections!$D$28,Projections!$B$28,0)</f>
        <v/>
      </c>
      <c r="X26" s="154">
        <f>IF(X2&gt;=Projections!$D$28,Projections!$B$28,0)</f>
        <v/>
      </c>
      <c r="Y26" s="154">
        <f>IF(Y2&gt;=Projections!$D$28,Projections!$B$28,0)</f>
        <v/>
      </c>
      <c r="Z26" s="154">
        <f>IF(Z2&gt;=Projections!$D$28,Projections!$B$28,0)</f>
        <v/>
      </c>
      <c r="AA26" s="154">
        <f>IF(AA2&gt;=Projections!$D$28,Projections!$B$28,0)</f>
        <v/>
      </c>
      <c r="AB26" s="154">
        <f>IF(AB2&gt;=Projections!$D$28,Projections!$B$28,0)</f>
        <v/>
      </c>
      <c r="AC26" s="154">
        <f>IF(AC2&gt;=Projections!$D$28,Projections!$B$28,0)</f>
        <v/>
      </c>
      <c r="AD26" s="154">
        <f>IF(AD2&gt;=Projections!$D$28,Projections!$B$28,0)</f>
        <v/>
      </c>
      <c r="AE26" s="154">
        <f>IF(AE2&gt;=Projections!$D$28,Projections!$B$28,0)</f>
        <v/>
      </c>
      <c r="AF26" s="154">
        <f>IF(AF2&gt;=Projections!$D$28,Projections!$B$28,0)</f>
        <v/>
      </c>
      <c r="AG26" s="154">
        <f>IF(AG2&gt;=Projections!$D$28,Projections!$B$28,0)</f>
        <v/>
      </c>
      <c r="AH26" s="154">
        <f>IF(AH2&gt;=Projections!$D$28,Projections!$B$28,0)</f>
        <v/>
      </c>
      <c r="AI26" s="154">
        <f>IF(AI2&gt;=Projections!$D$28,Projections!$B$28,0)</f>
        <v/>
      </c>
      <c r="AJ26" s="154">
        <f>IF(AJ2&gt;=Projections!$D$28,Projections!$B$28,0)</f>
        <v/>
      </c>
      <c r="AK26" s="154">
        <f>IF(AK2&gt;=Projections!$D$28,Projections!$B$28,0)</f>
        <v/>
      </c>
      <c r="AL26" s="154">
        <f>IF(AL2&gt;=Projections!$D$28,Projections!$B$28,0)</f>
        <v/>
      </c>
      <c r="AM26" s="154">
        <f>IF(AM2&gt;=Projections!$D$28,Projections!$B$28,0)</f>
        <v/>
      </c>
      <c r="AN26" s="154">
        <f>IF(AN2&gt;=Projections!$D$28,Projections!$B$28,0)</f>
        <v/>
      </c>
      <c r="AO26" s="154">
        <f>IF(AO2&gt;=Projections!$D$28,Projections!$B$28,0)</f>
        <v/>
      </c>
      <c r="AP26" s="154">
        <f>IF(AP2&gt;=Projections!$D$28,Projections!$B$28,0)</f>
        <v/>
      </c>
      <c r="AQ26" s="154">
        <f>IF(AQ2&gt;=Projections!$D$28,Projections!$B$28,0)</f>
        <v/>
      </c>
      <c r="AR26" s="154">
        <f>IF(AR2&gt;=Projections!$D$28,Projections!$B$28,0)</f>
        <v/>
      </c>
      <c r="AS26" s="154">
        <f>IF(AS2&gt;=Projections!$D$28,Projections!$B$28,0)</f>
        <v/>
      </c>
      <c r="AT26" s="154">
        <f>IF(AT2&gt;=Projections!$D$28,Projections!$B$28,0)</f>
        <v/>
      </c>
      <c r="AU26" s="154">
        <f>IF(AU2&gt;=Projections!$D$28,Projections!$B$28,0)</f>
        <v/>
      </c>
      <c r="AV26" s="154">
        <f>IF(AV2&gt;=Projections!$D$28,Projections!$B$28,0)</f>
        <v/>
      </c>
      <c r="AW26" s="154">
        <f>IF(AW2&gt;=Projections!$D$28,Projections!$B$28,0)</f>
        <v/>
      </c>
      <c r="AX26" s="154">
        <f>IF(AX2&gt;=Projections!$D$28,Projections!$B$28,0)</f>
        <v/>
      </c>
      <c r="AY26" s="154">
        <f>IF(AY2&gt;=Projections!$D$28,Projections!$B$28,0)</f>
        <v/>
      </c>
      <c r="AZ26" s="154">
        <f>IF(AZ2&gt;=Projections!$D$28,Projections!$B$28,0)</f>
        <v/>
      </c>
      <c r="BA26" s="154">
        <f>IF(BA2&gt;=Projections!$D$28,Projections!$B$28,0)</f>
        <v/>
      </c>
      <c r="BB26" s="154">
        <f>IF(BB2&gt;=Projections!$D$28,Projections!$B$28,0)</f>
        <v/>
      </c>
      <c r="BC26" s="154">
        <f>IF(BC2&gt;=Projections!$D$28,Projections!$B$28,0)</f>
        <v/>
      </c>
      <c r="BD26" s="154">
        <f>IF(BD2&gt;=Projections!$D$28,Projections!$B$28,0)</f>
        <v/>
      </c>
      <c r="BE26" s="154">
        <f>IF(BE2&gt;=Projections!$D$28,Projections!$B$28,0)</f>
        <v/>
      </c>
      <c r="BF26" s="154">
        <f>IF(BF2&gt;=Projections!$D$28,Projections!$B$28,0)</f>
        <v/>
      </c>
      <c r="BG26" s="154">
        <f>IF(BG2&gt;=Projections!$D$28,Projections!$B$28,0)</f>
        <v/>
      </c>
      <c r="BH26" s="154">
        <f>IF(BH2&gt;=Projections!$D$28,Projections!$B$28,0)</f>
        <v/>
      </c>
      <c r="BI26" s="154">
        <f>IF(BI2&gt;=Projections!$D$28,Projections!$B$28,0)</f>
        <v/>
      </c>
      <c r="BJ26" s="154">
        <f>IF(BJ2&gt;=Projections!$D$28,Projections!$B$28,0)</f>
        <v/>
      </c>
      <c r="BK26" s="154">
        <f>IF(BK2&gt;=Projections!$D$28,Projections!$B$28,0)</f>
        <v/>
      </c>
      <c r="BL26" s="154">
        <f>IF(BL2&gt;=Projections!$D$28,Projections!$B$28,0)</f>
        <v/>
      </c>
      <c r="BM26" s="154">
        <f>IF(BM2&gt;=Projections!$D$28,Projections!$B$28,0)</f>
        <v/>
      </c>
      <c r="BN26" s="154">
        <f>IF(BN2&gt;=Projections!$D$28,Projections!$B$28,0)</f>
        <v/>
      </c>
      <c r="BO26" s="154">
        <f>IF(BO2&gt;=Projections!$D$28,Projections!$B$28,0)</f>
        <v/>
      </c>
      <c r="BP26" s="154">
        <f>IF(BP2&gt;=Projections!$D$28,Projections!$B$28,0)</f>
        <v/>
      </c>
      <c r="BQ26" s="154">
        <f>IF(BQ2&gt;=Projections!$D$28,Projections!$B$28,0)</f>
        <v/>
      </c>
      <c r="BR26" s="154">
        <f>IF(BR2&gt;=Projections!$D$28,Projections!$B$28,0)</f>
        <v/>
      </c>
      <c r="BS26" s="154">
        <f>IF(BS2&gt;=Projections!$D$28,Projections!$B$28,0)</f>
        <v/>
      </c>
      <c r="BT26" s="154">
        <f>IF(BT2&gt;=Projections!$D$28,Projections!$B$28,0)</f>
        <v/>
      </c>
      <c r="BU26" s="154">
        <f>IF(BU2&gt;=Projections!$D$28,Projections!$B$28,0)</f>
        <v/>
      </c>
      <c r="BV26" s="154">
        <f>IF(BV2&gt;=Projections!$D$28,Projections!$B$28,0)</f>
        <v/>
      </c>
      <c r="BW26" s="154">
        <f>IF(BW2&gt;=Projections!$D$28,Projections!$B$28,0)</f>
        <v/>
      </c>
      <c r="BX26" s="154">
        <f>IF(BX2&gt;=Projections!$D$28,Projections!$B$28,0)</f>
        <v/>
      </c>
      <c r="BY26" s="154">
        <f>IF(BY2&gt;=Projections!$D$28,Projections!$B$28,0)</f>
        <v/>
      </c>
      <c r="BZ26" s="154">
        <f>IF(BZ2&gt;=Projections!$D$28,Projections!$B$28,0)</f>
        <v/>
      </c>
      <c r="CA26" s="154">
        <f>IF(CA2&gt;=Projections!$D$28,Projections!$B$28,0)</f>
        <v/>
      </c>
      <c r="CB26" s="154">
        <f>IF(CB2&gt;=Projections!$D$28,Projections!$B$28,0)</f>
        <v/>
      </c>
      <c r="CC26" s="154">
        <f>IF(CC2&gt;=Projections!$D$28,Projections!$B$28,0)</f>
        <v/>
      </c>
      <c r="CD26" s="154">
        <f>IF(CD2&gt;=Projections!$D$28,Projections!$B$28,0)</f>
        <v/>
      </c>
      <c r="CE26" s="154">
        <f>IF(CE2&gt;=Projections!$D$28,Projections!$B$28,0)</f>
        <v/>
      </c>
      <c r="CF26" s="154">
        <f>IF(CF2&gt;=Projections!$D$28,Projections!$B$28,0)</f>
        <v/>
      </c>
      <c r="CG26" s="154">
        <f>IF(CG2&gt;=Projections!$D$28,Projections!$B$28,0)</f>
        <v/>
      </c>
      <c r="CH26" s="154">
        <f>IF(CH2&gt;=Projections!$D$28,Projections!$B$28,0)</f>
        <v/>
      </c>
      <c r="CI26" s="154">
        <f>IF(CI2&gt;=Projections!$D$28,Projections!$B$28,0)</f>
        <v/>
      </c>
      <c r="CJ26" s="154">
        <f>IF(CJ2&gt;=Projections!$D$28,Projections!$B$28,0)</f>
        <v/>
      </c>
      <c r="CK26" s="154">
        <f>IF(CK2&gt;=Projections!$D$28,Projections!$B$28,0)</f>
        <v/>
      </c>
      <c r="CL26" s="154">
        <f>IF(CL2&gt;=Projections!$D$28,Projections!$B$28,0)</f>
        <v/>
      </c>
      <c r="CM26" s="154">
        <f>IF(CM2&gt;=Projections!$D$28,Projections!$B$28,0)</f>
        <v/>
      </c>
      <c r="CN26" s="154">
        <f>IF(CN2&gt;=Projections!$D$28,Projections!$B$28,0)</f>
        <v/>
      </c>
      <c r="CO26" s="154">
        <f>IF(CO2&gt;=Projections!$D$28,Projections!$B$28,0)</f>
        <v/>
      </c>
      <c r="CP26" s="154">
        <f>IF(CP2&gt;=Projections!$D$28,Projections!$B$28,0)</f>
        <v/>
      </c>
      <c r="CQ26" s="154">
        <f>IF(CQ2&gt;=Projections!$D$28,Projections!$B$28,0)</f>
        <v/>
      </c>
      <c r="CR26" s="154">
        <f>IF(CR2&gt;=Projections!$D$28,Projections!$B$28,0)</f>
        <v/>
      </c>
      <c r="CS26" s="154">
        <f>IF(CS2&gt;=Projections!$D$28,Projections!$B$28,0)</f>
        <v/>
      </c>
      <c r="CT26" s="154">
        <f>IF(CT2&gt;=Projections!$D$28,Projections!$B$28,0)</f>
        <v/>
      </c>
      <c r="CU26" s="154">
        <f>IF(CU2&gt;=Projections!$D$28,Projections!$B$28,0)</f>
        <v/>
      </c>
      <c r="CV26" s="154">
        <f>IF(CV2&gt;=Projections!$D$28,Projections!$B$28,0)</f>
        <v/>
      </c>
      <c r="CW26" s="154">
        <f>IF(CW2&gt;=Projections!$D$28,Projections!$B$28,0)</f>
        <v/>
      </c>
    </row>
    <row r="27" ht="15.75" customHeight="1" s="255">
      <c r="A27" s="42" t="inlineStr">
        <is>
          <t>ARPPU</t>
        </is>
      </c>
      <c r="B27" s="42" t="n"/>
      <c r="C27" s="154">
        <f>C26</f>
        <v/>
      </c>
      <c r="D27" s="154">
        <f>D26</f>
        <v/>
      </c>
      <c r="E27" s="154">
        <f>E26</f>
        <v/>
      </c>
      <c r="F27" s="154">
        <f>F26</f>
        <v/>
      </c>
      <c r="G27" s="154">
        <f>G26</f>
        <v/>
      </c>
      <c r="H27" s="154">
        <f>H26</f>
        <v/>
      </c>
      <c r="I27" s="154">
        <f>I26</f>
        <v/>
      </c>
      <c r="J27" s="154">
        <f>J26</f>
        <v/>
      </c>
      <c r="K27" s="154">
        <f>K26</f>
        <v/>
      </c>
      <c r="L27" s="154">
        <f>L26</f>
        <v/>
      </c>
      <c r="M27" s="154">
        <f>M26</f>
        <v/>
      </c>
      <c r="N27" s="154">
        <f>N26</f>
        <v/>
      </c>
      <c r="O27" s="154">
        <f>O26</f>
        <v/>
      </c>
      <c r="P27" s="154">
        <f>P26</f>
        <v/>
      </c>
      <c r="Q27" s="154">
        <f>Q26</f>
        <v/>
      </c>
      <c r="R27" s="154">
        <f>R26</f>
        <v/>
      </c>
      <c r="S27" s="154">
        <f>S26</f>
        <v/>
      </c>
      <c r="T27" s="154">
        <f>T26</f>
        <v/>
      </c>
      <c r="U27" s="154">
        <f>U26</f>
        <v/>
      </c>
      <c r="V27" s="154">
        <f>V26</f>
        <v/>
      </c>
      <c r="W27" s="154">
        <f>W26</f>
        <v/>
      </c>
      <c r="X27" s="154">
        <f>X26</f>
        <v/>
      </c>
      <c r="Y27" s="154">
        <f>Y26</f>
        <v/>
      </c>
      <c r="Z27" s="154">
        <f>Z26</f>
        <v/>
      </c>
      <c r="AA27" s="154">
        <f>AA26</f>
        <v/>
      </c>
      <c r="AB27" s="154">
        <f>AB26</f>
        <v/>
      </c>
      <c r="AC27" s="154">
        <f>AC26</f>
        <v/>
      </c>
      <c r="AD27" s="154">
        <f>AD26</f>
        <v/>
      </c>
      <c r="AE27" s="154">
        <f>AE26</f>
        <v/>
      </c>
      <c r="AF27" s="154">
        <f>AF26</f>
        <v/>
      </c>
      <c r="AG27" s="154">
        <f>AG26</f>
        <v/>
      </c>
      <c r="AH27" s="154">
        <f>AH26</f>
        <v/>
      </c>
      <c r="AI27" s="154">
        <f>AI26</f>
        <v/>
      </c>
      <c r="AJ27" s="154">
        <f>AJ26</f>
        <v/>
      </c>
      <c r="AK27" s="154">
        <f>AK26</f>
        <v/>
      </c>
      <c r="AL27" s="154">
        <f>AL26</f>
        <v/>
      </c>
      <c r="AM27" s="154">
        <f>AM26</f>
        <v/>
      </c>
      <c r="AN27" s="154">
        <f>AN26</f>
        <v/>
      </c>
      <c r="AO27" s="154">
        <f>AO26</f>
        <v/>
      </c>
      <c r="AP27" s="154">
        <f>AP26</f>
        <v/>
      </c>
      <c r="AQ27" s="154">
        <f>AQ26</f>
        <v/>
      </c>
      <c r="AR27" s="154">
        <f>AR26</f>
        <v/>
      </c>
      <c r="AS27" s="154">
        <f>AS26</f>
        <v/>
      </c>
      <c r="AT27" s="154">
        <f>AT26</f>
        <v/>
      </c>
      <c r="AU27" s="154">
        <f>AU26</f>
        <v/>
      </c>
      <c r="AV27" s="154">
        <f>AV26</f>
        <v/>
      </c>
      <c r="AW27" s="154">
        <f>AW26</f>
        <v/>
      </c>
      <c r="AX27" s="154">
        <f>AX26</f>
        <v/>
      </c>
      <c r="AY27" s="154">
        <f>AY26</f>
        <v/>
      </c>
      <c r="AZ27" s="154">
        <f>AZ26</f>
        <v/>
      </c>
      <c r="BA27" s="154">
        <f>BA26</f>
        <v/>
      </c>
      <c r="BB27" s="154">
        <f>BB26</f>
        <v/>
      </c>
      <c r="BC27" s="154">
        <f>BC26</f>
        <v/>
      </c>
      <c r="BD27" s="154">
        <f>BD26</f>
        <v/>
      </c>
      <c r="BE27" s="154">
        <f>BE26</f>
        <v/>
      </c>
      <c r="BF27" s="154">
        <f>BF26</f>
        <v/>
      </c>
      <c r="BG27" s="154">
        <f>BG26</f>
        <v/>
      </c>
      <c r="BH27" s="154">
        <f>BH26</f>
        <v/>
      </c>
      <c r="BI27" s="154">
        <f>BI26</f>
        <v/>
      </c>
      <c r="BJ27" s="154">
        <f>BJ26</f>
        <v/>
      </c>
      <c r="BK27" s="154">
        <f>BK26</f>
        <v/>
      </c>
      <c r="BL27" s="154">
        <f>BL26</f>
        <v/>
      </c>
      <c r="BM27" s="154">
        <f>BM26</f>
        <v/>
      </c>
      <c r="BN27" s="154">
        <f>BN26</f>
        <v/>
      </c>
      <c r="BO27" s="154">
        <f>BO26</f>
        <v/>
      </c>
      <c r="BP27" s="154">
        <f>BP26</f>
        <v/>
      </c>
      <c r="BQ27" s="154">
        <f>BQ26</f>
        <v/>
      </c>
      <c r="BR27" s="154">
        <f>BR26</f>
        <v/>
      </c>
      <c r="BS27" s="154">
        <f>BS26</f>
        <v/>
      </c>
      <c r="BT27" s="154">
        <f>BT26</f>
        <v/>
      </c>
      <c r="BU27" s="154">
        <f>BU26</f>
        <v/>
      </c>
      <c r="BV27" s="154">
        <f>BV26</f>
        <v/>
      </c>
      <c r="BW27" s="154">
        <f>BW26</f>
        <v/>
      </c>
      <c r="BX27" s="154">
        <f>BX26</f>
        <v/>
      </c>
      <c r="BY27" s="154">
        <f>BY26</f>
        <v/>
      </c>
      <c r="BZ27" s="154">
        <f>BZ26</f>
        <v/>
      </c>
      <c r="CA27" s="154">
        <f>CA26</f>
        <v/>
      </c>
      <c r="CB27" s="154">
        <f>CB26</f>
        <v/>
      </c>
      <c r="CC27" s="154">
        <f>CC26</f>
        <v/>
      </c>
      <c r="CD27" s="154">
        <f>CD26</f>
        <v/>
      </c>
      <c r="CE27" s="154">
        <f>CE26</f>
        <v/>
      </c>
      <c r="CF27" s="154">
        <f>CF26</f>
        <v/>
      </c>
      <c r="CG27" s="154">
        <f>CG26</f>
        <v/>
      </c>
      <c r="CH27" s="154">
        <f>CH26</f>
        <v/>
      </c>
      <c r="CI27" s="154">
        <f>CI26</f>
        <v/>
      </c>
      <c r="CJ27" s="154">
        <f>CJ26</f>
        <v/>
      </c>
      <c r="CK27" s="154">
        <f>CK26</f>
        <v/>
      </c>
      <c r="CL27" s="154">
        <f>CL26</f>
        <v/>
      </c>
      <c r="CM27" s="154">
        <f>CM26</f>
        <v/>
      </c>
      <c r="CN27" s="154">
        <f>CN26</f>
        <v/>
      </c>
      <c r="CO27" s="154">
        <f>CO26</f>
        <v/>
      </c>
      <c r="CP27" s="154">
        <f>CP26</f>
        <v/>
      </c>
      <c r="CQ27" s="154">
        <f>CQ26</f>
        <v/>
      </c>
      <c r="CR27" s="154">
        <f>CR26</f>
        <v/>
      </c>
      <c r="CS27" s="154">
        <f>CS26</f>
        <v/>
      </c>
      <c r="CT27" s="154">
        <f>CT26</f>
        <v/>
      </c>
      <c r="CU27" s="154">
        <f>CU26</f>
        <v/>
      </c>
      <c r="CV27" s="154">
        <f>CV26</f>
        <v/>
      </c>
      <c r="CW27" s="154">
        <f>CW26</f>
        <v/>
      </c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  <c r="BP28" s="42" t="n"/>
      <c r="BQ28" s="42" t="n"/>
      <c r="BR28" s="42" t="n"/>
      <c r="BS28" s="42" t="n"/>
      <c r="BT28" s="42" t="n"/>
      <c r="BU28" s="42" t="n"/>
      <c r="BV28" s="42" t="n"/>
      <c r="BW28" s="42" t="n"/>
      <c r="BX28" s="42" t="n"/>
      <c r="BY28" s="42" t="n"/>
      <c r="BZ28" s="42" t="n"/>
      <c r="CA28" s="42" t="n"/>
      <c r="CB28" s="42" t="n"/>
      <c r="CC28" s="42" t="n"/>
      <c r="CD28" s="42" t="n"/>
      <c r="CE28" s="42" t="n"/>
      <c r="CF28" s="42" t="n"/>
      <c r="CG28" s="42" t="n"/>
      <c r="CH28" s="42" t="n"/>
      <c r="CI28" s="42" t="n"/>
      <c r="CJ28" s="42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42" t="n"/>
      <c r="CT28" s="42" t="n"/>
      <c r="CU28" s="42" t="n"/>
      <c r="CV28" s="42" t="n"/>
      <c r="CW28" s="42" t="n"/>
    </row>
    <row r="29" ht="15.75" customHeight="1" s="255">
      <c r="A29" s="42" t="inlineStr">
        <is>
          <t>Churn</t>
        </is>
      </c>
      <c r="B29" s="42" t="n"/>
      <c r="C29" s="42">
        <f>'Monthly forecast'!D38</f>
        <v/>
      </c>
      <c r="D29" s="34">
        <f>'Monthly forecast'!E29</f>
        <v/>
      </c>
      <c r="E29" s="34">
        <f>'Monthly forecast'!F29</f>
        <v/>
      </c>
      <c r="F29" s="34">
        <f>'Monthly forecast'!G29</f>
        <v/>
      </c>
      <c r="G29" s="34">
        <f>'Monthly forecast'!H29</f>
        <v/>
      </c>
      <c r="H29" s="34">
        <f>'Monthly forecast'!I29</f>
        <v/>
      </c>
      <c r="I29" s="34">
        <f>'Monthly forecast'!J29</f>
        <v/>
      </c>
      <c r="J29" s="34">
        <f>'Monthly forecast'!K29</f>
        <v/>
      </c>
      <c r="K29" s="34">
        <f>'Monthly forecast'!L29</f>
        <v/>
      </c>
      <c r="L29" s="34">
        <f>'Monthly forecast'!M29</f>
        <v/>
      </c>
      <c r="M29" s="34">
        <f>'Monthly forecast'!N29</f>
        <v/>
      </c>
      <c r="N29" s="34">
        <f>'Monthly forecast'!O29</f>
        <v/>
      </c>
      <c r="O29" s="34">
        <f>'Monthly forecast'!P29</f>
        <v/>
      </c>
      <c r="P29" s="34">
        <f>'Monthly forecast'!Q29</f>
        <v/>
      </c>
      <c r="Q29" s="34">
        <f>'Monthly forecast'!R29</f>
        <v/>
      </c>
      <c r="R29" s="34">
        <f>'Monthly forecast'!S29</f>
        <v/>
      </c>
      <c r="S29" s="34">
        <f>'Monthly forecast'!T29</f>
        <v/>
      </c>
      <c r="T29" s="34">
        <f>'Monthly forecast'!U29</f>
        <v/>
      </c>
      <c r="U29" s="34">
        <f>'Monthly forecast'!V29</f>
        <v/>
      </c>
      <c r="V29" s="34">
        <f>'Monthly forecast'!W29</f>
        <v/>
      </c>
      <c r="W29" s="34">
        <f>'Monthly forecast'!X29</f>
        <v/>
      </c>
      <c r="X29" s="34">
        <f>'Monthly forecast'!Y29</f>
        <v/>
      </c>
      <c r="Y29" s="34">
        <f>'Monthly forecast'!Z29</f>
        <v/>
      </c>
      <c r="Z29" s="34">
        <f>'Monthly forecast'!AA29</f>
        <v/>
      </c>
      <c r="AA29" s="34">
        <f>'Monthly forecast'!AB29</f>
        <v/>
      </c>
      <c r="AB29" s="34">
        <f>'Monthly forecast'!AC29</f>
        <v/>
      </c>
      <c r="AC29" s="34">
        <f>'Monthly forecast'!AD29</f>
        <v/>
      </c>
      <c r="AD29" s="34">
        <f>'Monthly forecast'!AE29</f>
        <v/>
      </c>
      <c r="AE29" s="34">
        <f>'Monthly forecast'!AF29</f>
        <v/>
      </c>
      <c r="AF29" s="34">
        <f>'Monthly forecast'!AG29</f>
        <v/>
      </c>
      <c r="AG29" s="34">
        <f>'Monthly forecast'!AH29</f>
        <v/>
      </c>
      <c r="AH29" s="34">
        <f>'Monthly forecast'!AI29</f>
        <v/>
      </c>
      <c r="AI29" s="34">
        <f>'Monthly forecast'!AJ29</f>
        <v/>
      </c>
      <c r="AJ29" s="34">
        <f>'Monthly forecast'!AK29</f>
        <v/>
      </c>
      <c r="AK29" s="34">
        <f>'Monthly forecast'!AL29</f>
        <v/>
      </c>
      <c r="AL29" s="34">
        <f>'Monthly forecast'!AM29</f>
        <v/>
      </c>
      <c r="AM29" s="34">
        <f>'Monthly forecast'!AN29</f>
        <v/>
      </c>
      <c r="AN29" s="34">
        <f>'Monthly forecast'!AO29</f>
        <v/>
      </c>
      <c r="AO29" s="34">
        <f>'Monthly forecast'!AP29</f>
        <v/>
      </c>
      <c r="AP29" s="34">
        <f>'Monthly forecast'!AQ29</f>
        <v/>
      </c>
      <c r="AQ29" s="34">
        <f>'Monthly forecast'!AR29</f>
        <v/>
      </c>
      <c r="AR29" s="34">
        <f>'Monthly forecast'!AS29</f>
        <v/>
      </c>
      <c r="AS29" s="34">
        <f>'Monthly forecast'!AT29</f>
        <v/>
      </c>
      <c r="AT29" s="34">
        <f>'Monthly forecast'!AU29</f>
        <v/>
      </c>
      <c r="AU29" s="34">
        <f>'Monthly forecast'!AV29</f>
        <v/>
      </c>
      <c r="AV29" s="34">
        <f>'Monthly forecast'!AW29</f>
        <v/>
      </c>
      <c r="AW29" s="34">
        <f>'Monthly forecast'!AX29</f>
        <v/>
      </c>
      <c r="AX29" s="34">
        <f>'Monthly forecast'!AY29</f>
        <v/>
      </c>
      <c r="AY29" s="34">
        <f>'Monthly forecast'!AZ29</f>
        <v/>
      </c>
      <c r="AZ29" s="34">
        <f>'Monthly forecast'!BA29</f>
        <v/>
      </c>
      <c r="BA29" s="34">
        <f>'Monthly forecast'!BB29</f>
        <v/>
      </c>
      <c r="BB29" s="34">
        <f>'Monthly forecast'!BC29</f>
        <v/>
      </c>
      <c r="BC29" s="34">
        <f>'Monthly forecast'!BD29</f>
        <v/>
      </c>
      <c r="BD29" s="34">
        <f>'Monthly forecast'!BE29</f>
        <v/>
      </c>
      <c r="BE29" s="34">
        <f>'Monthly forecast'!BF29</f>
        <v/>
      </c>
      <c r="BF29" s="34">
        <f>'Monthly forecast'!BG29</f>
        <v/>
      </c>
      <c r="BG29" s="34">
        <f>'Monthly forecast'!BH29</f>
        <v/>
      </c>
      <c r="BH29" s="34">
        <f>'Monthly forecast'!BI29</f>
        <v/>
      </c>
      <c r="BI29" s="34">
        <f>'Monthly forecast'!BJ29</f>
        <v/>
      </c>
      <c r="BJ29" s="34">
        <f>'Monthly forecast'!BK29</f>
        <v/>
      </c>
      <c r="BK29" s="34">
        <f>'Monthly forecast'!BL29</f>
        <v/>
      </c>
      <c r="BL29" s="34">
        <f>'Monthly forecast'!BM29</f>
        <v/>
      </c>
      <c r="BM29" s="34">
        <f>'Monthly forecast'!BN29</f>
        <v/>
      </c>
      <c r="BN29" s="34">
        <f>'Monthly forecast'!BO29</f>
        <v/>
      </c>
      <c r="BO29" s="34">
        <f>'Monthly forecast'!BP29</f>
        <v/>
      </c>
      <c r="BP29" s="34">
        <f>'Monthly forecast'!BQ29</f>
        <v/>
      </c>
      <c r="BQ29" s="34">
        <f>'Monthly forecast'!BR29</f>
        <v/>
      </c>
      <c r="BR29" s="34">
        <f>'Monthly forecast'!BS29</f>
        <v/>
      </c>
      <c r="BS29" s="34">
        <f>'Monthly forecast'!BT29</f>
        <v/>
      </c>
      <c r="BT29" s="34">
        <f>'Monthly forecast'!BU29</f>
        <v/>
      </c>
      <c r="BU29" s="34">
        <f>'Monthly forecast'!BV29</f>
        <v/>
      </c>
      <c r="BV29" s="34">
        <f>'Monthly forecast'!BW29</f>
        <v/>
      </c>
      <c r="BW29" s="34">
        <f>'Monthly forecast'!BX29</f>
        <v/>
      </c>
      <c r="BX29" s="34">
        <f>'Monthly forecast'!BY29</f>
        <v/>
      </c>
      <c r="BY29" s="34">
        <f>'Monthly forecast'!BZ29</f>
        <v/>
      </c>
      <c r="BZ29" s="34">
        <f>'Monthly forecast'!CA29</f>
        <v/>
      </c>
      <c r="CA29" s="34">
        <f>'Monthly forecast'!CB29</f>
        <v/>
      </c>
      <c r="CB29" s="34">
        <f>'Monthly forecast'!CC29</f>
        <v/>
      </c>
      <c r="CC29" s="34">
        <f>'Monthly forecast'!CD29</f>
        <v/>
      </c>
      <c r="CD29" s="34">
        <f>'Monthly forecast'!CE29</f>
        <v/>
      </c>
      <c r="CE29" s="34">
        <f>'Monthly forecast'!CF29</f>
        <v/>
      </c>
      <c r="CF29" s="34">
        <f>'Monthly forecast'!CG29</f>
        <v/>
      </c>
      <c r="CG29" s="34">
        <f>'Monthly forecast'!CH29</f>
        <v/>
      </c>
      <c r="CH29" s="34">
        <f>'Monthly forecast'!CI29</f>
        <v/>
      </c>
      <c r="CI29" s="34">
        <f>'Monthly forecast'!CJ29</f>
        <v/>
      </c>
      <c r="CJ29" s="34">
        <f>'Monthly forecast'!CK29</f>
        <v/>
      </c>
      <c r="CK29" s="34">
        <f>'Monthly forecast'!CL29</f>
        <v/>
      </c>
      <c r="CL29" s="34">
        <f>'Monthly forecast'!CM29</f>
        <v/>
      </c>
      <c r="CM29" s="34">
        <f>'Monthly forecast'!CN29</f>
        <v/>
      </c>
      <c r="CN29" s="34">
        <f>'Monthly forecast'!CO29</f>
        <v/>
      </c>
      <c r="CO29" s="34">
        <f>'Monthly forecast'!CP29</f>
        <v/>
      </c>
      <c r="CP29" s="34">
        <f>'Monthly forecast'!CQ29</f>
        <v/>
      </c>
      <c r="CQ29" s="34">
        <f>'Monthly forecast'!CR29</f>
        <v/>
      </c>
      <c r="CR29" s="34">
        <f>'Monthly forecast'!CS29</f>
        <v/>
      </c>
      <c r="CS29" s="34">
        <f>'Monthly forecast'!CT29</f>
        <v/>
      </c>
      <c r="CT29" s="34">
        <f>'Monthly forecast'!CU29</f>
        <v/>
      </c>
      <c r="CU29" s="34">
        <f>'Monthly forecast'!CV29</f>
        <v/>
      </c>
      <c r="CV29" s="34">
        <f>'Monthly forecast'!CW29</f>
        <v/>
      </c>
      <c r="CW29" s="34">
        <f>'Monthly forecast'!CX29</f>
        <v/>
      </c>
    </row>
    <row r="30" ht="15.75" customHeight="1" s="255">
      <c r="A30" s="155" t="inlineStr">
        <is>
          <t>LT (Ilifetime)</t>
        </is>
      </c>
      <c r="B30" s="155" t="n"/>
      <c r="C30" s="156">
        <f>IFERROR(1/C29,0)</f>
        <v/>
      </c>
      <c r="D30" s="156">
        <f>IFERROR(1/D29,0)</f>
        <v/>
      </c>
      <c r="E30" s="156">
        <f>IFERROR(1/E29,0)</f>
        <v/>
      </c>
      <c r="F30" s="156">
        <f>IFERROR(1/F29,0)</f>
        <v/>
      </c>
      <c r="G30" s="156">
        <f>IFERROR(1/G29,0)</f>
        <v/>
      </c>
      <c r="H30" s="156">
        <f>IFERROR(1/H29,0)</f>
        <v/>
      </c>
      <c r="I30" s="156">
        <f>IFERROR(1/I29,0)</f>
        <v/>
      </c>
      <c r="J30" s="156">
        <f>IFERROR(1/J29,0)</f>
        <v/>
      </c>
      <c r="K30" s="156">
        <f>IFERROR(1/K29,0)</f>
        <v/>
      </c>
      <c r="L30" s="156">
        <f>IFERROR(1/L29,0)</f>
        <v/>
      </c>
      <c r="M30" s="156">
        <f>IFERROR(1/M29,0)</f>
        <v/>
      </c>
      <c r="N30" s="156">
        <f>IFERROR(1/N29,0)</f>
        <v/>
      </c>
      <c r="O30" s="156">
        <f>IFERROR(1/O29,0)</f>
        <v/>
      </c>
      <c r="P30" s="156">
        <f>IFERROR(1/P29,0)</f>
        <v/>
      </c>
      <c r="Q30" s="156">
        <f>IFERROR(1/Q29,0)</f>
        <v/>
      </c>
      <c r="R30" s="156">
        <f>IFERROR(1/R29,0)</f>
        <v/>
      </c>
      <c r="S30" s="156">
        <f>IFERROR(1/S29,0)</f>
        <v/>
      </c>
      <c r="T30" s="156">
        <f>IFERROR(1/T29,0)</f>
        <v/>
      </c>
      <c r="U30" s="156">
        <f>IFERROR(1/U29,0)</f>
        <v/>
      </c>
      <c r="V30" s="156">
        <f>IFERROR(1/V29,0)</f>
        <v/>
      </c>
      <c r="W30" s="156">
        <f>IFERROR(1/W29,0)</f>
        <v/>
      </c>
      <c r="X30" s="156">
        <f>IFERROR(1/X29,0)</f>
        <v/>
      </c>
      <c r="Y30" s="156">
        <f>IFERROR(1/Y29,0)</f>
        <v/>
      </c>
      <c r="Z30" s="156">
        <f>IFERROR(1/Z29,0)</f>
        <v/>
      </c>
      <c r="AA30" s="156">
        <f>IFERROR(1/AA29,0)</f>
        <v/>
      </c>
      <c r="AB30" s="156">
        <f>IFERROR(1/AB29,0)</f>
        <v/>
      </c>
      <c r="AC30" s="156">
        <f>IFERROR(1/AC29,0)</f>
        <v/>
      </c>
      <c r="AD30" s="156">
        <f>IFERROR(1/AD29,0)</f>
        <v/>
      </c>
      <c r="AE30" s="156">
        <f>IFERROR(1/AE29,0)</f>
        <v/>
      </c>
      <c r="AF30" s="156">
        <f>IFERROR(1/AF29,0)</f>
        <v/>
      </c>
      <c r="AG30" s="156">
        <f>IFERROR(1/AG29,0)</f>
        <v/>
      </c>
      <c r="AH30" s="156">
        <f>IFERROR(1/AH29,0)</f>
        <v/>
      </c>
      <c r="AI30" s="156">
        <f>IFERROR(1/AI29,0)</f>
        <v/>
      </c>
      <c r="AJ30" s="156">
        <f>IFERROR(1/AJ29,0)</f>
        <v/>
      </c>
      <c r="AK30" s="156">
        <f>IFERROR(1/AK29,0)</f>
        <v/>
      </c>
      <c r="AL30" s="156">
        <f>IFERROR(1/AL29,0)</f>
        <v/>
      </c>
      <c r="AM30" s="156">
        <f>IFERROR(1/AM29,0)</f>
        <v/>
      </c>
      <c r="AN30" s="156">
        <f>IFERROR(1/AN29,0)</f>
        <v/>
      </c>
      <c r="AO30" s="156">
        <f>IFERROR(1/AO29,0)</f>
        <v/>
      </c>
      <c r="AP30" s="156">
        <f>IFERROR(1/AP29,0)</f>
        <v/>
      </c>
      <c r="AQ30" s="156">
        <f>IFERROR(1/AQ29,0)</f>
        <v/>
      </c>
      <c r="AR30" s="156">
        <f>IFERROR(1/AR29,0)</f>
        <v/>
      </c>
      <c r="AS30" s="156">
        <f>IFERROR(1/AS29,0)</f>
        <v/>
      </c>
      <c r="AT30" s="156">
        <f>IFERROR(1/AT29,0)</f>
        <v/>
      </c>
      <c r="AU30" s="156">
        <f>IFERROR(1/AU29,0)</f>
        <v/>
      </c>
      <c r="AV30" s="156">
        <f>IFERROR(1/AV29,0)</f>
        <v/>
      </c>
      <c r="AW30" s="156">
        <f>IFERROR(1/AW29,0)</f>
        <v/>
      </c>
      <c r="AX30" s="156">
        <f>IFERROR(1/AX29,0)</f>
        <v/>
      </c>
      <c r="AY30" s="156">
        <f>IFERROR(1/AY29,0)</f>
        <v/>
      </c>
      <c r="AZ30" s="156">
        <f>IFERROR(1/AZ29,0)</f>
        <v/>
      </c>
      <c r="BA30" s="156">
        <f>IFERROR(1/BA29,0)</f>
        <v/>
      </c>
      <c r="BB30" s="156">
        <f>IFERROR(1/BB29,0)</f>
        <v/>
      </c>
      <c r="BC30" s="156">
        <f>IFERROR(1/BC29,0)</f>
        <v/>
      </c>
      <c r="BD30" s="156">
        <f>IFERROR(1/BD29,0)</f>
        <v/>
      </c>
      <c r="BE30" s="156">
        <f>IFERROR(1/BE29,0)</f>
        <v/>
      </c>
      <c r="BF30" s="156">
        <f>IFERROR(1/BF29,0)</f>
        <v/>
      </c>
      <c r="BG30" s="156">
        <f>IFERROR(1/BG29,0)</f>
        <v/>
      </c>
      <c r="BH30" s="156">
        <f>IFERROR(1/BH29,0)</f>
        <v/>
      </c>
      <c r="BI30" s="156">
        <f>IFERROR(1/BI29,0)</f>
        <v/>
      </c>
      <c r="BJ30" s="156">
        <f>IFERROR(1/BJ29,0)</f>
        <v/>
      </c>
      <c r="BK30" s="156">
        <f>IFERROR(1/BK29,0)</f>
        <v/>
      </c>
      <c r="BL30" s="156">
        <f>IFERROR(1/BL29,0)</f>
        <v/>
      </c>
      <c r="BM30" s="156">
        <f>IFERROR(1/BM29,0)</f>
        <v/>
      </c>
      <c r="BN30" s="156">
        <f>IFERROR(1/BN29,0)</f>
        <v/>
      </c>
      <c r="BO30" s="156">
        <f>IFERROR(1/BO29,0)</f>
        <v/>
      </c>
      <c r="BP30" s="156">
        <f>IFERROR(1/BP29,0)</f>
        <v/>
      </c>
      <c r="BQ30" s="156">
        <f>IFERROR(1/BQ29,0)</f>
        <v/>
      </c>
      <c r="BR30" s="156">
        <f>IFERROR(1/BR29,0)</f>
        <v/>
      </c>
      <c r="BS30" s="156">
        <f>IFERROR(1/BS29,0)</f>
        <v/>
      </c>
      <c r="BT30" s="156">
        <f>IFERROR(1/BT29,0)</f>
        <v/>
      </c>
      <c r="BU30" s="156">
        <f>IFERROR(1/BU29,0)</f>
        <v/>
      </c>
      <c r="BV30" s="156">
        <f>IFERROR(1/BV29,0)</f>
        <v/>
      </c>
      <c r="BW30" s="156">
        <f>IFERROR(1/BW29,0)</f>
        <v/>
      </c>
      <c r="BX30" s="156">
        <f>IFERROR(1/BX29,0)</f>
        <v/>
      </c>
      <c r="BY30" s="156">
        <f>IFERROR(1/BY29,0)</f>
        <v/>
      </c>
      <c r="BZ30" s="156">
        <f>IFERROR(1/BZ29,0)</f>
        <v/>
      </c>
      <c r="CA30" s="156">
        <f>IFERROR(1/CA29,0)</f>
        <v/>
      </c>
      <c r="CB30" s="156">
        <f>IFERROR(1/CB29,0)</f>
        <v/>
      </c>
      <c r="CC30" s="156">
        <f>IFERROR(1/CC29,0)</f>
        <v/>
      </c>
      <c r="CD30" s="156">
        <f>IFERROR(1/CD29,0)</f>
        <v/>
      </c>
      <c r="CE30" s="156">
        <f>IFERROR(1/CE29,0)</f>
        <v/>
      </c>
      <c r="CF30" s="156">
        <f>IFERROR(1/CF29,0)</f>
        <v/>
      </c>
      <c r="CG30" s="156">
        <f>IFERROR(1/CG29,0)</f>
        <v/>
      </c>
      <c r="CH30" s="156">
        <f>IFERROR(1/CH29,0)</f>
        <v/>
      </c>
      <c r="CI30" s="156">
        <f>IFERROR(1/CI29,0)</f>
        <v/>
      </c>
      <c r="CJ30" s="156">
        <f>IFERROR(1/CJ29,0)</f>
        <v/>
      </c>
      <c r="CK30" s="156">
        <f>IFERROR(1/CK29,0)</f>
        <v/>
      </c>
      <c r="CL30" s="156">
        <f>IFERROR(1/CL29,0)</f>
        <v/>
      </c>
      <c r="CM30" s="156">
        <f>IFERROR(1/CM29,0)</f>
        <v/>
      </c>
      <c r="CN30" s="156">
        <f>IFERROR(1/CN29,0)</f>
        <v/>
      </c>
      <c r="CO30" s="156">
        <f>IFERROR(1/CO29,0)</f>
        <v/>
      </c>
      <c r="CP30" s="156">
        <f>IFERROR(1/CP29,0)</f>
        <v/>
      </c>
      <c r="CQ30" s="156">
        <f>IFERROR(1/CQ29,0)</f>
        <v/>
      </c>
      <c r="CR30" s="156">
        <f>IFERROR(1/CR29,0)</f>
        <v/>
      </c>
      <c r="CS30" s="156">
        <f>IFERROR(1/CS29,0)</f>
        <v/>
      </c>
      <c r="CT30" s="156">
        <f>IFERROR(1/CT29,0)</f>
        <v/>
      </c>
      <c r="CU30" s="156">
        <f>IFERROR(1/CU29,0)</f>
        <v/>
      </c>
      <c r="CV30" s="156">
        <f>IFERROR(1/CV29,0)</f>
        <v/>
      </c>
      <c r="CW30" s="156">
        <f>IFERROR(1/CW29,0)</f>
        <v/>
      </c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15.75" customHeight="1" s="255">
      <c r="A32" s="59" t="inlineStr">
        <is>
          <t>LTV</t>
        </is>
      </c>
      <c r="B32" s="59" t="n"/>
      <c r="C32" s="157">
        <f>C27*C30</f>
        <v/>
      </c>
      <c r="D32" s="158">
        <f>D27*D30</f>
        <v/>
      </c>
      <c r="E32" s="158">
        <f>E27*E30</f>
        <v/>
      </c>
      <c r="F32" s="158">
        <f>F27*F30</f>
        <v/>
      </c>
      <c r="G32" s="158">
        <f>G27*G30</f>
        <v/>
      </c>
      <c r="H32" s="158">
        <f>H27*H30</f>
        <v/>
      </c>
      <c r="I32" s="158">
        <f>I27*I30</f>
        <v/>
      </c>
      <c r="J32" s="158">
        <f>J27*J30</f>
        <v/>
      </c>
      <c r="K32" s="158">
        <f>K27*K30</f>
        <v/>
      </c>
      <c r="L32" s="158">
        <f>L27*L30</f>
        <v/>
      </c>
      <c r="M32" s="158">
        <f>M27*M30</f>
        <v/>
      </c>
      <c r="N32" s="158">
        <f>N27*N30</f>
        <v/>
      </c>
      <c r="O32" s="158">
        <f>O27*O30</f>
        <v/>
      </c>
      <c r="P32" s="158">
        <f>P27*P30</f>
        <v/>
      </c>
      <c r="Q32" s="158">
        <f>Q27*Q30</f>
        <v/>
      </c>
      <c r="R32" s="158">
        <f>R27*R30</f>
        <v/>
      </c>
      <c r="S32" s="158">
        <f>S27*S30</f>
        <v/>
      </c>
      <c r="T32" s="158">
        <f>T27*T30</f>
        <v/>
      </c>
      <c r="U32" s="158">
        <f>U27*U30</f>
        <v/>
      </c>
      <c r="V32" s="158">
        <f>V27*V30</f>
        <v/>
      </c>
      <c r="W32" s="158">
        <f>W27*W30</f>
        <v/>
      </c>
      <c r="X32" s="158">
        <f>X27*X30</f>
        <v/>
      </c>
      <c r="Y32" s="158">
        <f>Y27*Y30</f>
        <v/>
      </c>
      <c r="Z32" s="158">
        <f>Z27*Z30</f>
        <v/>
      </c>
      <c r="AA32" s="158">
        <f>AA27*AA30</f>
        <v/>
      </c>
      <c r="AB32" s="158">
        <f>AB27*AB30</f>
        <v/>
      </c>
      <c r="AC32" s="158">
        <f>AC27*AC30</f>
        <v/>
      </c>
      <c r="AD32" s="158">
        <f>AD27*AD30</f>
        <v/>
      </c>
      <c r="AE32" s="158">
        <f>AE27*AE30</f>
        <v/>
      </c>
      <c r="AF32" s="158">
        <f>AF27*AF30</f>
        <v/>
      </c>
      <c r="AG32" s="158">
        <f>AG27*AG30</f>
        <v/>
      </c>
      <c r="AH32" s="158">
        <f>AH27*AH30</f>
        <v/>
      </c>
      <c r="AI32" s="158">
        <f>AI27*AI30</f>
        <v/>
      </c>
      <c r="AJ32" s="158">
        <f>AJ27*AJ30</f>
        <v/>
      </c>
      <c r="AK32" s="158">
        <f>AK27*AK30</f>
        <v/>
      </c>
      <c r="AL32" s="158">
        <f>AL27*AL30</f>
        <v/>
      </c>
      <c r="AM32" s="158">
        <f>AM27*AM30</f>
        <v/>
      </c>
      <c r="AN32" s="158">
        <f>AN27*AN30</f>
        <v/>
      </c>
      <c r="AO32" s="158">
        <f>AO27*AO30</f>
        <v/>
      </c>
      <c r="AP32" s="158">
        <f>AP27*AP30</f>
        <v/>
      </c>
      <c r="AQ32" s="158">
        <f>AQ27*AQ30</f>
        <v/>
      </c>
      <c r="AR32" s="158">
        <f>AR27*AR30</f>
        <v/>
      </c>
      <c r="AS32" s="158">
        <f>AS27*AS30</f>
        <v/>
      </c>
      <c r="AT32" s="158">
        <f>AT27*AT30</f>
        <v/>
      </c>
      <c r="AU32" s="158">
        <f>AU27*AU30</f>
        <v/>
      </c>
      <c r="AV32" s="158">
        <f>AV27*AV30</f>
        <v/>
      </c>
      <c r="AW32" s="158">
        <f>AW27*AW30</f>
        <v/>
      </c>
      <c r="AX32" s="158">
        <f>AX27*AX30</f>
        <v/>
      </c>
      <c r="AY32" s="158">
        <f>AY27*AY30</f>
        <v/>
      </c>
      <c r="AZ32" s="158">
        <f>AZ27*AZ30</f>
        <v/>
      </c>
      <c r="BA32" s="158">
        <f>BA27*BA30</f>
        <v/>
      </c>
      <c r="BB32" s="158">
        <f>BB27*BB30</f>
        <v/>
      </c>
      <c r="BC32" s="158">
        <f>BC27*BC30</f>
        <v/>
      </c>
      <c r="BD32" s="158">
        <f>BD27*BD30</f>
        <v/>
      </c>
      <c r="BE32" s="158">
        <f>BE27*BE30</f>
        <v/>
      </c>
      <c r="BF32" s="158">
        <f>BF27*BF30</f>
        <v/>
      </c>
      <c r="BG32" s="158">
        <f>BG27*BG30</f>
        <v/>
      </c>
      <c r="BH32" s="158">
        <f>BH27*BH30</f>
        <v/>
      </c>
      <c r="BI32" s="158">
        <f>BI27*BI30</f>
        <v/>
      </c>
      <c r="BJ32" s="158">
        <f>BJ27*BJ30</f>
        <v/>
      </c>
      <c r="BK32" s="158">
        <f>BK27*BK30</f>
        <v/>
      </c>
      <c r="BL32" s="158">
        <f>BL27*BL30</f>
        <v/>
      </c>
      <c r="BM32" s="158">
        <f>BM27*BM30</f>
        <v/>
      </c>
      <c r="BN32" s="158">
        <f>BN27*BN30</f>
        <v/>
      </c>
      <c r="BO32" s="158">
        <f>BO27*BO30</f>
        <v/>
      </c>
      <c r="BP32" s="158">
        <f>BP27*BP30</f>
        <v/>
      </c>
      <c r="BQ32" s="158">
        <f>BQ27*BQ30</f>
        <v/>
      </c>
      <c r="BR32" s="158">
        <f>BR27*BR30</f>
        <v/>
      </c>
      <c r="BS32" s="158">
        <f>BS27*BS30</f>
        <v/>
      </c>
      <c r="BT32" s="158">
        <f>BT27*BT30</f>
        <v/>
      </c>
      <c r="BU32" s="158">
        <f>BU27*BU30</f>
        <v/>
      </c>
      <c r="BV32" s="158">
        <f>BV27*BV30</f>
        <v/>
      </c>
      <c r="BW32" s="158">
        <f>BW27*BW30</f>
        <v/>
      </c>
      <c r="BX32" s="158">
        <f>BX27*BX30</f>
        <v/>
      </c>
      <c r="BY32" s="158">
        <f>BY27*BY30</f>
        <v/>
      </c>
      <c r="BZ32" s="158">
        <f>BZ27*BZ30</f>
        <v/>
      </c>
      <c r="CA32" s="158">
        <f>CA27*CA30</f>
        <v/>
      </c>
      <c r="CB32" s="158">
        <f>CB27*CB30</f>
        <v/>
      </c>
      <c r="CC32" s="158">
        <f>CC27*CC30</f>
        <v/>
      </c>
      <c r="CD32" s="158">
        <f>CD27*CD30</f>
        <v/>
      </c>
      <c r="CE32" s="158">
        <f>CE27*CE30</f>
        <v/>
      </c>
      <c r="CF32" s="158">
        <f>CF27*CF30</f>
        <v/>
      </c>
      <c r="CG32" s="158">
        <f>CG27*CG30</f>
        <v/>
      </c>
      <c r="CH32" s="158">
        <f>CH27*CH30</f>
        <v/>
      </c>
      <c r="CI32" s="158">
        <f>CI27*CI30</f>
        <v/>
      </c>
      <c r="CJ32" s="158">
        <f>CJ27*CJ30</f>
        <v/>
      </c>
      <c r="CK32" s="158">
        <f>CK27*CK30</f>
        <v/>
      </c>
      <c r="CL32" s="158">
        <f>CL27*CL30</f>
        <v/>
      </c>
      <c r="CM32" s="158">
        <f>CM27*CM30</f>
        <v/>
      </c>
      <c r="CN32" s="158">
        <f>CN27*CN30</f>
        <v/>
      </c>
      <c r="CO32" s="158">
        <f>CO27*CO30</f>
        <v/>
      </c>
      <c r="CP32" s="158">
        <f>CP27*CP30</f>
        <v/>
      </c>
      <c r="CQ32" s="158">
        <f>CQ27*CQ30</f>
        <v/>
      </c>
      <c r="CR32" s="158">
        <f>CR27*CR30</f>
        <v/>
      </c>
      <c r="CS32" s="158">
        <f>CS27*CS30</f>
        <v/>
      </c>
      <c r="CT32" s="158">
        <f>CT27*CT30</f>
        <v/>
      </c>
      <c r="CU32" s="158">
        <f>CU27*CU30</f>
        <v/>
      </c>
      <c r="CV32" s="158">
        <f>CV27*CV30</f>
        <v/>
      </c>
      <c r="CW32" s="158">
        <f>CW27*CW30</f>
        <v/>
      </c>
    </row>
    <row r="33" ht="15.75" customHeight="1" s="255">
      <c r="A33" s="42" t="inlineStr">
        <is>
          <t>LTV 3 month</t>
        </is>
      </c>
      <c r="B33" s="42" t="n"/>
      <c r="C33" s="154">
        <f>C27*3</f>
        <v/>
      </c>
      <c r="D33" s="159">
        <f>D27*3</f>
        <v/>
      </c>
      <c r="E33" s="159">
        <f>E27*3</f>
        <v/>
      </c>
      <c r="F33" s="159">
        <f>F27*3</f>
        <v/>
      </c>
      <c r="G33" s="159">
        <f>G27*3</f>
        <v/>
      </c>
      <c r="H33" s="159">
        <f>H27*3</f>
        <v/>
      </c>
      <c r="I33" s="159">
        <f>I27*3</f>
        <v/>
      </c>
      <c r="J33" s="159">
        <f>J27*3</f>
        <v/>
      </c>
      <c r="K33" s="159">
        <f>K27*3</f>
        <v/>
      </c>
      <c r="L33" s="159">
        <f>L27*3</f>
        <v/>
      </c>
      <c r="M33" s="159">
        <f>M27*3</f>
        <v/>
      </c>
      <c r="N33" s="159">
        <f>N27*3</f>
        <v/>
      </c>
      <c r="O33" s="159">
        <f>O27*3</f>
        <v/>
      </c>
      <c r="P33" s="159">
        <f>P27*3</f>
        <v/>
      </c>
      <c r="Q33" s="159">
        <f>Q27*3</f>
        <v/>
      </c>
      <c r="R33" s="159">
        <f>R27*3</f>
        <v/>
      </c>
      <c r="S33" s="159">
        <f>S27*3</f>
        <v/>
      </c>
      <c r="T33" s="159">
        <f>T27*3</f>
        <v/>
      </c>
      <c r="U33" s="159">
        <f>U27*3</f>
        <v/>
      </c>
      <c r="V33" s="159">
        <f>V27*3</f>
        <v/>
      </c>
      <c r="W33" s="159">
        <f>W27*3</f>
        <v/>
      </c>
      <c r="X33" s="159">
        <f>X27*3</f>
        <v/>
      </c>
      <c r="Y33" s="159">
        <f>Y27*3</f>
        <v/>
      </c>
      <c r="Z33" s="159">
        <f>Z27*3</f>
        <v/>
      </c>
      <c r="AA33" s="159">
        <f>AA27*3</f>
        <v/>
      </c>
      <c r="AB33" s="159">
        <f>AB27*3</f>
        <v/>
      </c>
      <c r="AC33" s="159">
        <f>AC27*3</f>
        <v/>
      </c>
      <c r="AD33" s="159">
        <f>AD27*3</f>
        <v/>
      </c>
      <c r="AE33" s="159">
        <f>AE27*3</f>
        <v/>
      </c>
      <c r="AF33" s="159">
        <f>AF27*3</f>
        <v/>
      </c>
      <c r="AG33" s="159">
        <f>AG27*3</f>
        <v/>
      </c>
      <c r="AH33" s="159">
        <f>AH27*3</f>
        <v/>
      </c>
      <c r="AI33" s="159">
        <f>AI27*3</f>
        <v/>
      </c>
      <c r="AJ33" s="159">
        <f>AJ27*3</f>
        <v/>
      </c>
      <c r="AK33" s="159">
        <f>AK27*3</f>
        <v/>
      </c>
      <c r="AL33" s="159">
        <f>AL27*3</f>
        <v/>
      </c>
      <c r="AM33" s="159">
        <f>AM27*3</f>
        <v/>
      </c>
      <c r="AN33" s="159">
        <f>AN27*3</f>
        <v/>
      </c>
      <c r="AO33" s="159">
        <f>AO27*3</f>
        <v/>
      </c>
      <c r="AP33" s="159">
        <f>AP27*3</f>
        <v/>
      </c>
      <c r="AQ33" s="159">
        <f>AQ27*3</f>
        <v/>
      </c>
      <c r="AR33" s="159">
        <f>AR27*3</f>
        <v/>
      </c>
      <c r="AS33" s="159">
        <f>AS27*3</f>
        <v/>
      </c>
      <c r="AT33" s="159">
        <f>AT27*3</f>
        <v/>
      </c>
      <c r="AU33" s="159">
        <f>AU27*3</f>
        <v/>
      </c>
      <c r="AV33" s="159">
        <f>AV27*3</f>
        <v/>
      </c>
      <c r="AW33" s="159">
        <f>AW27*3</f>
        <v/>
      </c>
      <c r="AX33" s="159">
        <f>AX27*3</f>
        <v/>
      </c>
      <c r="AY33" s="159">
        <f>AY27*3</f>
        <v/>
      </c>
      <c r="AZ33" s="159">
        <f>AZ27*3</f>
        <v/>
      </c>
      <c r="BA33" s="159">
        <f>BA27*3</f>
        <v/>
      </c>
      <c r="BB33" s="159">
        <f>BB27*3</f>
        <v/>
      </c>
      <c r="BC33" s="159">
        <f>BC27*3</f>
        <v/>
      </c>
      <c r="BD33" s="159">
        <f>BD27*3</f>
        <v/>
      </c>
      <c r="BE33" s="159">
        <f>BE27*3</f>
        <v/>
      </c>
      <c r="BF33" s="159">
        <f>BF27*3</f>
        <v/>
      </c>
      <c r="BG33" s="159">
        <f>BG27*3</f>
        <v/>
      </c>
      <c r="BH33" s="159">
        <f>BH27*3</f>
        <v/>
      </c>
      <c r="BI33" s="159">
        <f>BI27*3</f>
        <v/>
      </c>
      <c r="BJ33" s="159">
        <f>BJ27*3</f>
        <v/>
      </c>
      <c r="BK33" s="159">
        <f>BK27*3</f>
        <v/>
      </c>
      <c r="BL33" s="159">
        <f>BL27*3</f>
        <v/>
      </c>
      <c r="BM33" s="159">
        <f>BM27*3</f>
        <v/>
      </c>
      <c r="BN33" s="159">
        <f>BN27*3</f>
        <v/>
      </c>
      <c r="BO33" s="159">
        <f>BO27*3</f>
        <v/>
      </c>
      <c r="BP33" s="159">
        <f>BP27*3</f>
        <v/>
      </c>
      <c r="BQ33" s="159">
        <f>BQ27*3</f>
        <v/>
      </c>
      <c r="BR33" s="159">
        <f>BR27*3</f>
        <v/>
      </c>
      <c r="BS33" s="159">
        <f>BS27*3</f>
        <v/>
      </c>
      <c r="BT33" s="159">
        <f>BT27*3</f>
        <v/>
      </c>
      <c r="BU33" s="159">
        <f>BU27*3</f>
        <v/>
      </c>
      <c r="BV33" s="159">
        <f>BV27*3</f>
        <v/>
      </c>
      <c r="BW33" s="159">
        <f>BW27*3</f>
        <v/>
      </c>
      <c r="BX33" s="159">
        <f>BX27*3</f>
        <v/>
      </c>
      <c r="BY33" s="159">
        <f>BY27*3</f>
        <v/>
      </c>
      <c r="BZ33" s="159">
        <f>BZ27*3</f>
        <v/>
      </c>
      <c r="CA33" s="159">
        <f>CA27*3</f>
        <v/>
      </c>
      <c r="CB33" s="159">
        <f>CB27*3</f>
        <v/>
      </c>
      <c r="CC33" s="159">
        <f>CC27*3</f>
        <v/>
      </c>
      <c r="CD33" s="159">
        <f>CD27*3</f>
        <v/>
      </c>
      <c r="CE33" s="159">
        <f>CE27*3</f>
        <v/>
      </c>
      <c r="CF33" s="159">
        <f>CF27*3</f>
        <v/>
      </c>
      <c r="CG33" s="159">
        <f>CG27*3</f>
        <v/>
      </c>
      <c r="CH33" s="159">
        <f>CH27*3</f>
        <v/>
      </c>
      <c r="CI33" s="159">
        <f>CI27*3</f>
        <v/>
      </c>
      <c r="CJ33" s="159">
        <f>CJ27*3</f>
        <v/>
      </c>
      <c r="CK33" s="159">
        <f>CK27*3</f>
        <v/>
      </c>
      <c r="CL33" s="159">
        <f>CL27*3</f>
        <v/>
      </c>
      <c r="CM33" s="159">
        <f>CM27*3</f>
        <v/>
      </c>
      <c r="CN33" s="159">
        <f>CN27*3</f>
        <v/>
      </c>
      <c r="CO33" s="159">
        <f>CO27*3</f>
        <v/>
      </c>
      <c r="CP33" s="159">
        <f>CP27*3</f>
        <v/>
      </c>
      <c r="CQ33" s="159">
        <f>CQ27*3</f>
        <v/>
      </c>
      <c r="CR33" s="159">
        <f>CR27*3</f>
        <v/>
      </c>
      <c r="CS33" s="159">
        <f>CS27*3</f>
        <v/>
      </c>
      <c r="CT33" s="159">
        <f>CT27*3</f>
        <v/>
      </c>
      <c r="CU33" s="159">
        <f>CU27*3</f>
        <v/>
      </c>
      <c r="CV33" s="159">
        <f>CV27*3</f>
        <v/>
      </c>
      <c r="CW33" s="159">
        <f>CW27*3</f>
        <v/>
      </c>
    </row>
    <row r="34" ht="15.75" customHeight="1" s="255">
      <c r="A34" s="42" t="inlineStr">
        <is>
          <t>LTV 6 month</t>
        </is>
      </c>
      <c r="B34" s="42" t="n"/>
      <c r="C34" s="154">
        <f>C27*6</f>
        <v/>
      </c>
      <c r="D34" s="159">
        <f>D27*6</f>
        <v/>
      </c>
      <c r="E34" s="159">
        <f>E27*6</f>
        <v/>
      </c>
      <c r="F34" s="159">
        <f>F27*6</f>
        <v/>
      </c>
      <c r="G34" s="159">
        <f>G27*6</f>
        <v/>
      </c>
      <c r="H34" s="159">
        <f>H27*6</f>
        <v/>
      </c>
      <c r="I34" s="159">
        <f>I27*6</f>
        <v/>
      </c>
      <c r="J34" s="159">
        <f>J27*6</f>
        <v/>
      </c>
      <c r="K34" s="159">
        <f>K27*6</f>
        <v/>
      </c>
      <c r="L34" s="159">
        <f>L27*6</f>
        <v/>
      </c>
      <c r="M34" s="159">
        <f>M27*6</f>
        <v/>
      </c>
      <c r="N34" s="159">
        <f>N27*6</f>
        <v/>
      </c>
      <c r="O34" s="159">
        <f>O27*6</f>
        <v/>
      </c>
      <c r="P34" s="159">
        <f>P27*6</f>
        <v/>
      </c>
      <c r="Q34" s="159">
        <f>Q27*6</f>
        <v/>
      </c>
      <c r="R34" s="159">
        <f>R27*6</f>
        <v/>
      </c>
      <c r="S34" s="159">
        <f>S27*6</f>
        <v/>
      </c>
      <c r="T34" s="159">
        <f>T27*6</f>
        <v/>
      </c>
      <c r="U34" s="159">
        <f>U27*6</f>
        <v/>
      </c>
      <c r="V34" s="159">
        <f>V27*6</f>
        <v/>
      </c>
      <c r="W34" s="159">
        <f>W27*6</f>
        <v/>
      </c>
      <c r="X34" s="159">
        <f>X27*6</f>
        <v/>
      </c>
      <c r="Y34" s="159">
        <f>Y27*6</f>
        <v/>
      </c>
      <c r="Z34" s="159">
        <f>Z27*6</f>
        <v/>
      </c>
      <c r="AA34" s="159">
        <f>AA27*6</f>
        <v/>
      </c>
      <c r="AB34" s="159">
        <f>AB27*6</f>
        <v/>
      </c>
      <c r="AC34" s="159">
        <f>AC27*6</f>
        <v/>
      </c>
      <c r="AD34" s="159">
        <f>AD27*6</f>
        <v/>
      </c>
      <c r="AE34" s="159">
        <f>AE27*6</f>
        <v/>
      </c>
      <c r="AF34" s="159">
        <f>AF27*6</f>
        <v/>
      </c>
      <c r="AG34" s="159">
        <f>AG27*6</f>
        <v/>
      </c>
      <c r="AH34" s="159">
        <f>AH27*6</f>
        <v/>
      </c>
      <c r="AI34" s="159">
        <f>AI27*6</f>
        <v/>
      </c>
      <c r="AJ34" s="159">
        <f>AJ27*6</f>
        <v/>
      </c>
      <c r="AK34" s="159">
        <f>AK27*6</f>
        <v/>
      </c>
      <c r="AL34" s="159">
        <f>AL27*6</f>
        <v/>
      </c>
      <c r="AM34" s="159">
        <f>AM27*6</f>
        <v/>
      </c>
      <c r="AN34" s="159">
        <f>AN27*6</f>
        <v/>
      </c>
      <c r="AO34" s="159">
        <f>AO27*6</f>
        <v/>
      </c>
      <c r="AP34" s="159">
        <f>AP27*6</f>
        <v/>
      </c>
      <c r="AQ34" s="159">
        <f>AQ27*6</f>
        <v/>
      </c>
      <c r="AR34" s="159">
        <f>AR27*6</f>
        <v/>
      </c>
      <c r="AS34" s="159">
        <f>AS27*6</f>
        <v/>
      </c>
      <c r="AT34" s="159">
        <f>AT27*6</f>
        <v/>
      </c>
      <c r="AU34" s="159">
        <f>AU27*6</f>
        <v/>
      </c>
      <c r="AV34" s="159">
        <f>AV27*6</f>
        <v/>
      </c>
      <c r="AW34" s="159">
        <f>AW27*6</f>
        <v/>
      </c>
      <c r="AX34" s="159">
        <f>AX27*6</f>
        <v/>
      </c>
      <c r="AY34" s="159">
        <f>AY27*6</f>
        <v/>
      </c>
      <c r="AZ34" s="159">
        <f>AZ27*6</f>
        <v/>
      </c>
      <c r="BA34" s="159">
        <f>BA27*6</f>
        <v/>
      </c>
      <c r="BB34" s="159">
        <f>BB27*6</f>
        <v/>
      </c>
      <c r="BC34" s="159">
        <f>BC27*6</f>
        <v/>
      </c>
      <c r="BD34" s="159">
        <f>BD27*6</f>
        <v/>
      </c>
      <c r="BE34" s="159">
        <f>BE27*6</f>
        <v/>
      </c>
      <c r="BF34" s="159">
        <f>BF27*6</f>
        <v/>
      </c>
      <c r="BG34" s="159">
        <f>BG27*6</f>
        <v/>
      </c>
      <c r="BH34" s="159">
        <f>BH27*6</f>
        <v/>
      </c>
      <c r="BI34" s="159">
        <f>BI27*6</f>
        <v/>
      </c>
      <c r="BJ34" s="159">
        <f>BJ27*6</f>
        <v/>
      </c>
      <c r="BK34" s="159">
        <f>BK27*6</f>
        <v/>
      </c>
      <c r="BL34" s="159">
        <f>BL27*6</f>
        <v/>
      </c>
      <c r="BM34" s="159">
        <f>BM27*6</f>
        <v/>
      </c>
      <c r="BN34" s="159">
        <f>BN27*6</f>
        <v/>
      </c>
      <c r="BO34" s="159">
        <f>BO27*6</f>
        <v/>
      </c>
      <c r="BP34" s="159">
        <f>BP27*6</f>
        <v/>
      </c>
      <c r="BQ34" s="159">
        <f>BQ27*6</f>
        <v/>
      </c>
      <c r="BR34" s="159">
        <f>BR27*6</f>
        <v/>
      </c>
      <c r="BS34" s="159">
        <f>BS27*6</f>
        <v/>
      </c>
      <c r="BT34" s="159">
        <f>BT27*6</f>
        <v/>
      </c>
      <c r="BU34" s="159">
        <f>BU27*6</f>
        <v/>
      </c>
      <c r="BV34" s="159">
        <f>BV27*6</f>
        <v/>
      </c>
      <c r="BW34" s="159">
        <f>BW27*6</f>
        <v/>
      </c>
      <c r="BX34" s="159">
        <f>BX27*6</f>
        <v/>
      </c>
      <c r="BY34" s="159">
        <f>BY27*6</f>
        <v/>
      </c>
      <c r="BZ34" s="159">
        <f>BZ27*6</f>
        <v/>
      </c>
      <c r="CA34" s="159">
        <f>CA27*6</f>
        <v/>
      </c>
      <c r="CB34" s="159">
        <f>CB27*6</f>
        <v/>
      </c>
      <c r="CC34" s="159">
        <f>CC27*6</f>
        <v/>
      </c>
      <c r="CD34" s="159">
        <f>CD27*6</f>
        <v/>
      </c>
      <c r="CE34" s="159">
        <f>CE27*6</f>
        <v/>
      </c>
      <c r="CF34" s="159">
        <f>CF27*6</f>
        <v/>
      </c>
      <c r="CG34" s="159">
        <f>CG27*6</f>
        <v/>
      </c>
      <c r="CH34" s="159">
        <f>CH27*6</f>
        <v/>
      </c>
      <c r="CI34" s="159">
        <f>CI27*6</f>
        <v/>
      </c>
      <c r="CJ34" s="159">
        <f>CJ27*6</f>
        <v/>
      </c>
      <c r="CK34" s="159">
        <f>CK27*6</f>
        <v/>
      </c>
      <c r="CL34" s="159">
        <f>CL27*6</f>
        <v/>
      </c>
      <c r="CM34" s="159">
        <f>CM27*6</f>
        <v/>
      </c>
      <c r="CN34" s="159">
        <f>CN27*6</f>
        <v/>
      </c>
      <c r="CO34" s="159">
        <f>CO27*6</f>
        <v/>
      </c>
      <c r="CP34" s="159">
        <f>CP27*6</f>
        <v/>
      </c>
      <c r="CQ34" s="159">
        <f>CQ27*6</f>
        <v/>
      </c>
      <c r="CR34" s="159">
        <f>CR27*6</f>
        <v/>
      </c>
      <c r="CS34" s="159">
        <f>CS27*6</f>
        <v/>
      </c>
      <c r="CT34" s="159">
        <f>CT27*6</f>
        <v/>
      </c>
      <c r="CU34" s="159">
        <f>CU27*6</f>
        <v/>
      </c>
      <c r="CV34" s="159">
        <f>CV27*6</f>
        <v/>
      </c>
      <c r="CW34" s="159">
        <f>CW27*6</f>
        <v/>
      </c>
    </row>
    <row r="35" ht="15.75" customHeight="1" s="255">
      <c r="A35" s="42" t="inlineStr">
        <is>
          <t>LTV 12 month</t>
        </is>
      </c>
      <c r="B35" s="42" t="n"/>
      <c r="C35" s="154">
        <f>C27*12</f>
        <v/>
      </c>
      <c r="D35" s="159">
        <f>D27*12</f>
        <v/>
      </c>
      <c r="E35" s="159">
        <f>E27*12</f>
        <v/>
      </c>
      <c r="F35" s="159">
        <f>F27*12</f>
        <v/>
      </c>
      <c r="G35" s="159">
        <f>G27*12</f>
        <v/>
      </c>
      <c r="H35" s="159">
        <f>H27*12</f>
        <v/>
      </c>
      <c r="I35" s="159">
        <f>I27*12</f>
        <v/>
      </c>
      <c r="J35" s="159">
        <f>J27*12</f>
        <v/>
      </c>
      <c r="K35" s="159">
        <f>K27*12</f>
        <v/>
      </c>
      <c r="L35" s="159">
        <f>L27*12</f>
        <v/>
      </c>
      <c r="M35" s="159">
        <f>M27*12</f>
        <v/>
      </c>
      <c r="N35" s="159">
        <f>N27*12</f>
        <v/>
      </c>
      <c r="O35" s="159">
        <f>O27*12</f>
        <v/>
      </c>
      <c r="P35" s="159">
        <f>P27*12</f>
        <v/>
      </c>
      <c r="Q35" s="159">
        <f>Q27*12</f>
        <v/>
      </c>
      <c r="R35" s="159">
        <f>R27*12</f>
        <v/>
      </c>
      <c r="S35" s="159">
        <f>S27*12</f>
        <v/>
      </c>
      <c r="T35" s="159">
        <f>T27*12</f>
        <v/>
      </c>
      <c r="U35" s="159">
        <f>U27*12</f>
        <v/>
      </c>
      <c r="V35" s="159">
        <f>V27*12</f>
        <v/>
      </c>
      <c r="W35" s="159">
        <f>W27*12</f>
        <v/>
      </c>
      <c r="X35" s="159">
        <f>X27*12</f>
        <v/>
      </c>
      <c r="Y35" s="159">
        <f>Y27*12</f>
        <v/>
      </c>
      <c r="Z35" s="159">
        <f>Z27*12</f>
        <v/>
      </c>
      <c r="AA35" s="159">
        <f>AA27*12</f>
        <v/>
      </c>
      <c r="AB35" s="159">
        <f>AB27*12</f>
        <v/>
      </c>
      <c r="AC35" s="159">
        <f>AC27*12</f>
        <v/>
      </c>
      <c r="AD35" s="159">
        <f>AD27*12</f>
        <v/>
      </c>
      <c r="AE35" s="159">
        <f>AE27*12</f>
        <v/>
      </c>
      <c r="AF35" s="159">
        <f>AF27*12</f>
        <v/>
      </c>
      <c r="AG35" s="159">
        <f>AG27*12</f>
        <v/>
      </c>
      <c r="AH35" s="159">
        <f>AH27*12</f>
        <v/>
      </c>
      <c r="AI35" s="159">
        <f>AI27*12</f>
        <v/>
      </c>
      <c r="AJ35" s="159">
        <f>AJ27*12</f>
        <v/>
      </c>
      <c r="AK35" s="159">
        <f>AK27*12</f>
        <v/>
      </c>
      <c r="AL35" s="159">
        <f>AL27*12</f>
        <v/>
      </c>
      <c r="AM35" s="159">
        <f>AM27*12</f>
        <v/>
      </c>
      <c r="AN35" s="159">
        <f>AN27*12</f>
        <v/>
      </c>
      <c r="AO35" s="159">
        <f>AO27*12</f>
        <v/>
      </c>
      <c r="AP35" s="159">
        <f>AP27*12</f>
        <v/>
      </c>
      <c r="AQ35" s="159">
        <f>AQ27*12</f>
        <v/>
      </c>
      <c r="AR35" s="159">
        <f>AR27*12</f>
        <v/>
      </c>
      <c r="AS35" s="159">
        <f>AS27*12</f>
        <v/>
      </c>
      <c r="AT35" s="159">
        <f>AT27*12</f>
        <v/>
      </c>
      <c r="AU35" s="159">
        <f>AU27*12</f>
        <v/>
      </c>
      <c r="AV35" s="159">
        <f>AV27*12</f>
        <v/>
      </c>
      <c r="AW35" s="159">
        <f>AW27*12</f>
        <v/>
      </c>
      <c r="AX35" s="159">
        <f>AX27*12</f>
        <v/>
      </c>
      <c r="AY35" s="159">
        <f>AY27*12</f>
        <v/>
      </c>
      <c r="AZ35" s="159">
        <f>AZ27*12</f>
        <v/>
      </c>
      <c r="BA35" s="159">
        <f>BA27*12</f>
        <v/>
      </c>
      <c r="BB35" s="159">
        <f>BB27*12</f>
        <v/>
      </c>
      <c r="BC35" s="159">
        <f>BC27*12</f>
        <v/>
      </c>
      <c r="BD35" s="159">
        <f>BD27*12</f>
        <v/>
      </c>
      <c r="BE35" s="159">
        <f>BE27*12</f>
        <v/>
      </c>
      <c r="BF35" s="159">
        <f>BF27*12</f>
        <v/>
      </c>
      <c r="BG35" s="159">
        <f>BG27*12</f>
        <v/>
      </c>
      <c r="BH35" s="159">
        <f>BH27*12</f>
        <v/>
      </c>
      <c r="BI35" s="159">
        <f>BI27*12</f>
        <v/>
      </c>
      <c r="BJ35" s="159">
        <f>BJ27*12</f>
        <v/>
      </c>
      <c r="BK35" s="159">
        <f>BK27*12</f>
        <v/>
      </c>
      <c r="BL35" s="159">
        <f>BL27*12</f>
        <v/>
      </c>
      <c r="BM35" s="159">
        <f>BM27*12</f>
        <v/>
      </c>
      <c r="BN35" s="159">
        <f>BN27*12</f>
        <v/>
      </c>
      <c r="BO35" s="159">
        <f>BO27*12</f>
        <v/>
      </c>
      <c r="BP35" s="159">
        <f>BP27*12</f>
        <v/>
      </c>
      <c r="BQ35" s="159">
        <f>BQ27*12</f>
        <v/>
      </c>
      <c r="BR35" s="159">
        <f>BR27*12</f>
        <v/>
      </c>
      <c r="BS35" s="159">
        <f>BS27*12</f>
        <v/>
      </c>
      <c r="BT35" s="159">
        <f>BT27*12</f>
        <v/>
      </c>
      <c r="BU35" s="159">
        <f>BU27*12</f>
        <v/>
      </c>
      <c r="BV35" s="159">
        <f>BV27*12</f>
        <v/>
      </c>
      <c r="BW35" s="159">
        <f>BW27*12</f>
        <v/>
      </c>
      <c r="BX35" s="159">
        <f>BX27*12</f>
        <v/>
      </c>
      <c r="BY35" s="159">
        <f>BY27*12</f>
        <v/>
      </c>
      <c r="BZ35" s="159">
        <f>BZ27*12</f>
        <v/>
      </c>
      <c r="CA35" s="159">
        <f>CA27*12</f>
        <v/>
      </c>
      <c r="CB35" s="159">
        <f>CB27*12</f>
        <v/>
      </c>
      <c r="CC35" s="159">
        <f>CC27*12</f>
        <v/>
      </c>
      <c r="CD35" s="159">
        <f>CD27*12</f>
        <v/>
      </c>
      <c r="CE35" s="159">
        <f>CE27*12</f>
        <v/>
      </c>
      <c r="CF35" s="159">
        <f>CF27*12</f>
        <v/>
      </c>
      <c r="CG35" s="159">
        <f>CG27*12</f>
        <v/>
      </c>
      <c r="CH35" s="159">
        <f>CH27*12</f>
        <v/>
      </c>
      <c r="CI35" s="159">
        <f>CI27*12</f>
        <v/>
      </c>
      <c r="CJ35" s="159">
        <f>CJ27*12</f>
        <v/>
      </c>
      <c r="CK35" s="159">
        <f>CK27*12</f>
        <v/>
      </c>
      <c r="CL35" s="159">
        <f>CL27*12</f>
        <v/>
      </c>
      <c r="CM35" s="159">
        <f>CM27*12</f>
        <v/>
      </c>
      <c r="CN35" s="159">
        <f>CN27*12</f>
        <v/>
      </c>
      <c r="CO35" s="159">
        <f>CO27*12</f>
        <v/>
      </c>
      <c r="CP35" s="159">
        <f>CP27*12</f>
        <v/>
      </c>
      <c r="CQ35" s="159">
        <f>CQ27*12</f>
        <v/>
      </c>
      <c r="CR35" s="159">
        <f>CR27*12</f>
        <v/>
      </c>
      <c r="CS35" s="159">
        <f>CS27*12</f>
        <v/>
      </c>
      <c r="CT35" s="159">
        <f>CT27*12</f>
        <v/>
      </c>
      <c r="CU35" s="159">
        <f>CU27*12</f>
        <v/>
      </c>
      <c r="CV35" s="159">
        <f>CV27*12</f>
        <v/>
      </c>
      <c r="CW35" s="159">
        <f>CW27*12</f>
        <v/>
      </c>
    </row>
    <row r="36" ht="15.75" customHeight="1" s="255">
      <c r="A36" s="42" t="n"/>
      <c r="B36" s="42" t="n"/>
      <c r="C36" s="42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59" t="n"/>
      <c r="BA36" s="159" t="n"/>
      <c r="BB36" s="159" t="n"/>
      <c r="BC36" s="159" t="n"/>
      <c r="BD36" s="159" t="n"/>
      <c r="BE36" s="159" t="n"/>
      <c r="BF36" s="159" t="n"/>
      <c r="BG36" s="159" t="n"/>
      <c r="BH36" s="159" t="n"/>
      <c r="BI36" s="159" t="n"/>
      <c r="BJ36" s="159" t="n"/>
      <c r="BK36" s="159" t="n"/>
      <c r="BL36" s="159" t="n"/>
      <c r="BM36" s="159" t="n"/>
      <c r="BN36" s="159" t="n"/>
      <c r="BO36" s="159" t="n"/>
      <c r="BP36" s="159" t="n"/>
      <c r="BQ36" s="159" t="n"/>
      <c r="BR36" s="159" t="n"/>
      <c r="BS36" s="159" t="n"/>
      <c r="BT36" s="159" t="n"/>
      <c r="BU36" s="159" t="n"/>
      <c r="BV36" s="159" t="n"/>
      <c r="BW36" s="159" t="n"/>
      <c r="BX36" s="159" t="n"/>
      <c r="BY36" s="159" t="n"/>
      <c r="BZ36" s="159" t="n"/>
      <c r="CA36" s="159" t="n"/>
      <c r="CB36" s="159" t="n"/>
      <c r="CC36" s="159" t="n"/>
      <c r="CD36" s="159" t="n"/>
      <c r="CE36" s="159" t="n"/>
      <c r="CF36" s="159" t="n"/>
      <c r="CG36" s="159" t="n"/>
      <c r="CH36" s="159" t="n"/>
      <c r="CI36" s="159" t="n"/>
      <c r="CJ36" s="159" t="n"/>
      <c r="CK36" s="159" t="n"/>
      <c r="CL36" s="159" t="n"/>
      <c r="CM36" s="159" t="n"/>
      <c r="CN36" s="159" t="n"/>
      <c r="CO36" s="159" t="n"/>
      <c r="CP36" s="159" t="n"/>
      <c r="CQ36" s="159" t="n"/>
      <c r="CR36" s="159" t="n"/>
      <c r="CS36" s="159" t="n"/>
      <c r="CT36" s="159" t="n"/>
      <c r="CU36" s="159" t="n"/>
      <c r="CV36" s="159" t="n"/>
      <c r="CW36" s="159" t="n"/>
    </row>
    <row r="37" ht="15.75" customHeight="1" s="255">
      <c r="A37" s="42" t="inlineStr">
        <is>
          <t>Marketing Costs</t>
        </is>
      </c>
      <c r="B37" s="42" t="n"/>
      <c r="C37" s="42" t="n"/>
      <c r="D37" s="159">
        <f>'Monthly forecast'!E10/Projections!$B$45/Projections!$B$50</f>
        <v/>
      </c>
      <c r="E37" s="159">
        <f>'Monthly forecast'!F10/Projections!$B$45/Projections!$B$50</f>
        <v/>
      </c>
      <c r="F37" s="159">
        <f>'Monthly forecast'!G10/Projections!$B$45/Projections!$B$50</f>
        <v/>
      </c>
      <c r="G37" s="159">
        <f>'Monthly forecast'!H10/Projections!$B$45/Projections!$B$50</f>
        <v/>
      </c>
      <c r="H37" s="159">
        <f>'Monthly forecast'!I10/Projections!$B$45/Projections!$B$50</f>
        <v/>
      </c>
      <c r="I37" s="159">
        <f>'Monthly forecast'!J10/Projections!$B$45/Projections!$B$50</f>
        <v/>
      </c>
      <c r="J37" s="159">
        <f>'Monthly forecast'!K10/Projections!$B$45/Projections!$B$50</f>
        <v/>
      </c>
      <c r="K37" s="159">
        <f>'Monthly forecast'!L10/Projections!$B$45/Projections!$B$50</f>
        <v/>
      </c>
      <c r="L37" s="159">
        <f>'Monthly forecast'!M10/Projections!$B$45/Projections!$B$50</f>
        <v/>
      </c>
      <c r="M37" s="159">
        <f>'Monthly forecast'!N10/Projections!$B$45/Projections!$B$50</f>
        <v/>
      </c>
      <c r="N37" s="159">
        <f>'Monthly forecast'!O10/Projections!$B$45/Projections!$B$50</f>
        <v/>
      </c>
      <c r="O37" s="159">
        <f>'Monthly forecast'!P10/Projections!$B$45/Projections!$B$50</f>
        <v/>
      </c>
      <c r="P37" s="159">
        <f>'Monthly forecast'!Q10/Projections!$B$45/Projections!$B$50</f>
        <v/>
      </c>
      <c r="Q37" s="159">
        <f>'Monthly forecast'!R10/Projections!$B$45/Projections!$B$50</f>
        <v/>
      </c>
      <c r="R37" s="159">
        <f>'Monthly forecast'!S10/Projections!$B$45/Projections!$B$50</f>
        <v/>
      </c>
      <c r="S37" s="159">
        <f>'Monthly forecast'!T10/Projections!$B$45/Projections!$B$50</f>
        <v/>
      </c>
      <c r="T37" s="159">
        <f>'Monthly forecast'!U10/Projections!$B$45/Projections!$B$50</f>
        <v/>
      </c>
      <c r="U37" s="159">
        <f>'Monthly forecast'!V10/Projections!$B$45/Projections!$B$50</f>
        <v/>
      </c>
      <c r="V37" s="159">
        <f>'Monthly forecast'!W10/Projections!$B$45/Projections!$B$50</f>
        <v/>
      </c>
      <c r="W37" s="159">
        <f>'Monthly forecast'!X10/Projections!$B$45/Projections!$B$50</f>
        <v/>
      </c>
      <c r="X37" s="159">
        <f>'Monthly forecast'!Y10/Projections!$B$45/Projections!$B$50</f>
        <v/>
      </c>
      <c r="Y37" s="159">
        <f>'Monthly forecast'!Z10/Projections!$B$45/Projections!$B$50</f>
        <v/>
      </c>
      <c r="Z37" s="159">
        <f>'Monthly forecast'!AA10/Projections!$B$45/Projections!$B$50</f>
        <v/>
      </c>
      <c r="AA37" s="159">
        <f>'Monthly forecast'!AB10/Projections!$B$45/Projections!$B$50</f>
        <v/>
      </c>
      <c r="AB37" s="159">
        <f>'Monthly forecast'!AC10/Projections!$B$45/Projections!$B$50</f>
        <v/>
      </c>
      <c r="AC37" s="159">
        <f>'Monthly forecast'!AD10/Projections!$B$45/Projections!$B$50</f>
        <v/>
      </c>
      <c r="AD37" s="159">
        <f>'Monthly forecast'!AE10/Projections!$B$45/Projections!$B$50</f>
        <v/>
      </c>
      <c r="AE37" s="159">
        <f>'Monthly forecast'!AF10/Projections!$B$45/Projections!$B$50</f>
        <v/>
      </c>
      <c r="AF37" s="159">
        <f>'Monthly forecast'!AG10/Projections!$B$45/Projections!$B$50</f>
        <v/>
      </c>
      <c r="AG37" s="159">
        <f>'Monthly forecast'!AH10/Projections!$B$45/Projections!$B$50</f>
        <v/>
      </c>
      <c r="AH37" s="159">
        <f>'Monthly forecast'!AI10/Projections!$B$45/Projections!$B$50</f>
        <v/>
      </c>
      <c r="AI37" s="159">
        <f>'Monthly forecast'!AJ10/Projections!$B$45/Projections!$B$50</f>
        <v/>
      </c>
      <c r="AJ37" s="159">
        <f>'Monthly forecast'!AK10/Projections!$B$45/Projections!$B$50</f>
        <v/>
      </c>
      <c r="AK37" s="159">
        <f>'Monthly forecast'!AL10/Projections!$B$45/Projections!$B$50</f>
        <v/>
      </c>
      <c r="AL37" s="159">
        <f>'Monthly forecast'!AM10/Projections!$B$45/Projections!$B$50</f>
        <v/>
      </c>
      <c r="AM37" s="159">
        <f>'Monthly forecast'!AN10/Projections!$B$45/Projections!$B$50</f>
        <v/>
      </c>
      <c r="AN37" s="159">
        <f>'Monthly forecast'!AO10/Projections!$B$45/Projections!$B$50</f>
        <v/>
      </c>
      <c r="AO37" s="159">
        <f>'Monthly forecast'!AP10/Projections!$B$45/Projections!$B$50</f>
        <v/>
      </c>
      <c r="AP37" s="159">
        <f>'Monthly forecast'!AQ10/Projections!$B$45/Projections!$B$50</f>
        <v/>
      </c>
      <c r="AQ37" s="159">
        <f>'Monthly forecast'!AR10/Projections!$B$45/Projections!$B$50</f>
        <v/>
      </c>
      <c r="AR37" s="159">
        <f>'Monthly forecast'!AS10/Projections!$B$45/Projections!$B$50</f>
        <v/>
      </c>
      <c r="AS37" s="159">
        <f>'Monthly forecast'!AT10/Projections!$B$45/Projections!$B$50</f>
        <v/>
      </c>
      <c r="AT37" s="159">
        <f>'Monthly forecast'!AU10/Projections!$B$45/Projections!$B$50</f>
        <v/>
      </c>
      <c r="AU37" s="159">
        <f>'Monthly forecast'!AV10/Projections!$B$45/Projections!$B$50</f>
        <v/>
      </c>
      <c r="AV37" s="159">
        <f>'Monthly forecast'!AW10/Projections!$B$45/Projections!$B$50</f>
        <v/>
      </c>
      <c r="AW37" s="159">
        <f>'Monthly forecast'!AX10/Projections!$B$45/Projections!$B$50</f>
        <v/>
      </c>
      <c r="AX37" s="159">
        <f>'Monthly forecast'!AY10/Projections!$B$45/Projections!$B$50</f>
        <v/>
      </c>
      <c r="AY37" s="159">
        <f>'Monthly forecast'!AZ10/Projections!$B$45/Projections!$B$50</f>
        <v/>
      </c>
      <c r="AZ37" s="159">
        <f>'Monthly forecast'!BA10/Projections!$B$45/Projections!$B$50</f>
        <v/>
      </c>
      <c r="BA37" s="159">
        <f>'Monthly forecast'!BB10/Projections!$B$45/Projections!$B$50</f>
        <v/>
      </c>
      <c r="BB37" s="159">
        <f>'Monthly forecast'!BC10/Projections!$B$45/Projections!$B$50</f>
        <v/>
      </c>
      <c r="BC37" s="159">
        <f>'Monthly forecast'!BD10/Projections!$B$45/Projections!$B$50</f>
        <v/>
      </c>
      <c r="BD37" s="159">
        <f>'Monthly forecast'!BE10/Projections!$B$45/Projections!$B$50</f>
        <v/>
      </c>
      <c r="BE37" s="159">
        <f>'Monthly forecast'!BF10/Projections!$B$45/Projections!$B$50</f>
        <v/>
      </c>
      <c r="BF37" s="159">
        <f>'Monthly forecast'!BG10/Projections!$B$45/Projections!$B$50</f>
        <v/>
      </c>
      <c r="BG37" s="159">
        <f>'Monthly forecast'!BH10/Projections!$B$45/Projections!$B$50</f>
        <v/>
      </c>
      <c r="BH37" s="159">
        <f>'Monthly forecast'!BI10/Projections!$B$45/Projections!$B$50</f>
        <v/>
      </c>
      <c r="BI37" s="159">
        <f>'Monthly forecast'!BJ10/Projections!$B$45/Projections!$B$50</f>
        <v/>
      </c>
      <c r="BJ37" s="159">
        <f>'Monthly forecast'!BK10/Projections!$B$45/Projections!$B$50</f>
        <v/>
      </c>
      <c r="BK37" s="159">
        <f>'Monthly forecast'!BL10/Projections!$B$45/Projections!$B$50</f>
        <v/>
      </c>
      <c r="BL37" s="159">
        <f>'Monthly forecast'!BM10/Projections!$B$45/Projections!$B$50</f>
        <v/>
      </c>
      <c r="BM37" s="159">
        <f>'Monthly forecast'!BN10/Projections!$B$45/Projections!$B$50</f>
        <v/>
      </c>
      <c r="BN37" s="159">
        <f>'Monthly forecast'!BO10/Projections!$B$45/Projections!$B$50</f>
        <v/>
      </c>
      <c r="BO37" s="159">
        <f>'Monthly forecast'!BP10/Projections!$B$45/Projections!$B$50</f>
        <v/>
      </c>
      <c r="BP37" s="159">
        <f>'Monthly forecast'!BQ10/Projections!$B$45/Projections!$B$50</f>
        <v/>
      </c>
      <c r="BQ37" s="159">
        <f>'Monthly forecast'!BR10/Projections!$B$45/Projections!$B$50</f>
        <v/>
      </c>
      <c r="BR37" s="159">
        <f>'Monthly forecast'!BS10/Projections!$B$45/Projections!$B$50</f>
        <v/>
      </c>
      <c r="BS37" s="159">
        <f>'Monthly forecast'!BT10/Projections!$B$45/Projections!$B$50</f>
        <v/>
      </c>
      <c r="BT37" s="159">
        <f>'Monthly forecast'!BU10/Projections!$B$45/Projections!$B$50</f>
        <v/>
      </c>
      <c r="BU37" s="159">
        <f>'Monthly forecast'!BV10/Projections!$B$45/Projections!$B$50</f>
        <v/>
      </c>
      <c r="BV37" s="159">
        <f>'Monthly forecast'!BW10/Projections!$B$45/Projections!$B$50</f>
        <v/>
      </c>
      <c r="BW37" s="159">
        <f>'Monthly forecast'!BX10/Projections!$B$45/Projections!$B$50</f>
        <v/>
      </c>
      <c r="BX37" s="159">
        <f>'Monthly forecast'!BY10/Projections!$B$45/Projections!$B$50</f>
        <v/>
      </c>
      <c r="BY37" s="159">
        <f>'Monthly forecast'!BZ10/Projections!$B$45/Projections!$B$50</f>
        <v/>
      </c>
      <c r="BZ37" s="159">
        <f>'Monthly forecast'!CA10/Projections!$B$45/Projections!$B$50</f>
        <v/>
      </c>
      <c r="CA37" s="159">
        <f>'Monthly forecast'!CB10/Projections!$B$45/Projections!$B$50</f>
        <v/>
      </c>
      <c r="CB37" s="159">
        <f>'Monthly forecast'!CC10/Projections!$B$45/Projections!$B$50</f>
        <v/>
      </c>
      <c r="CC37" s="159">
        <f>'Monthly forecast'!CD10/Projections!$B$45/Projections!$B$50</f>
        <v/>
      </c>
      <c r="CD37" s="159">
        <f>'Monthly forecast'!CE10/Projections!$B$45/Projections!$B$50</f>
        <v/>
      </c>
      <c r="CE37" s="159">
        <f>'Monthly forecast'!CF10/Projections!$B$45/Projections!$B$50</f>
        <v/>
      </c>
      <c r="CF37" s="159">
        <f>'Monthly forecast'!CG10/Projections!$B$45/Projections!$B$50</f>
        <v/>
      </c>
      <c r="CG37" s="159">
        <f>'Monthly forecast'!CH10/Projections!$B$45/Projections!$B$50</f>
        <v/>
      </c>
      <c r="CH37" s="159">
        <f>'Monthly forecast'!CI10/Projections!$B$45/Projections!$B$50</f>
        <v/>
      </c>
      <c r="CI37" s="159">
        <f>'Monthly forecast'!CJ10/Projections!$B$45/Projections!$B$50</f>
        <v/>
      </c>
      <c r="CJ37" s="159">
        <f>'Monthly forecast'!CK10/Projections!$B$45/Projections!$B$50</f>
        <v/>
      </c>
      <c r="CK37" s="159">
        <f>'Monthly forecast'!CL10/Projections!$B$45/Projections!$B$50</f>
        <v/>
      </c>
      <c r="CL37" s="159">
        <f>'Monthly forecast'!CM10/Projections!$B$45/Projections!$B$50</f>
        <v/>
      </c>
      <c r="CM37" s="159">
        <f>'Monthly forecast'!CN10/Projections!$B$45/Projections!$B$50</f>
        <v/>
      </c>
      <c r="CN37" s="159">
        <f>'Monthly forecast'!CO10/Projections!$B$45/Projections!$B$50</f>
        <v/>
      </c>
      <c r="CO37" s="159">
        <f>'Monthly forecast'!CP10/Projections!$B$45/Projections!$B$50</f>
        <v/>
      </c>
      <c r="CP37" s="159">
        <f>'Monthly forecast'!CQ10/Projections!$B$45/Projections!$B$50</f>
        <v/>
      </c>
      <c r="CQ37" s="159">
        <f>'Monthly forecast'!CR10/Projections!$B$45/Projections!$B$50</f>
        <v/>
      </c>
      <c r="CR37" s="159">
        <f>'Monthly forecast'!CS10/Projections!$B$45/Projections!$B$50</f>
        <v/>
      </c>
      <c r="CS37" s="159">
        <f>'Monthly forecast'!CT10/Projections!$B$45/Projections!$B$50</f>
        <v/>
      </c>
      <c r="CT37" s="159">
        <f>'Monthly forecast'!CU10/Projections!$B$45/Projections!$B$50</f>
        <v/>
      </c>
      <c r="CU37" s="159">
        <f>'Monthly forecast'!CV10/Projections!$B$45/Projections!$B$50</f>
        <v/>
      </c>
      <c r="CV37" s="159">
        <f>'Monthly forecast'!CW10/Projections!$B$45/Projections!$B$50</f>
        <v/>
      </c>
      <c r="CW37" s="159">
        <f>'Monthly forecast'!CX10/Projections!$B$45/Projections!$B$50</f>
        <v/>
      </c>
    </row>
    <row r="38" ht="15.75" customHeight="1" s="255">
      <c r="A38" s="42" t="inlineStr">
        <is>
          <t>Cost of Inbound Sales Managers team</t>
        </is>
      </c>
      <c r="B38" s="42" t="n"/>
      <c r="C38" s="42" t="n"/>
      <c r="D38" s="159">
        <f>'Monthly forecast'!E83/(Projections!$B$49*Projections!$B$50)</f>
        <v/>
      </c>
      <c r="E38" s="159">
        <f>'Monthly forecast'!F83/(Projections!$B$49*Projections!$B$50)</f>
        <v/>
      </c>
      <c r="F38" s="159">
        <f>'Monthly forecast'!G83/(Projections!$B$49*Projections!$B$50)</f>
        <v/>
      </c>
      <c r="G38" s="159">
        <f>'Monthly forecast'!H83/(Projections!$B$49*Projections!$B$50)</f>
        <v/>
      </c>
      <c r="H38" s="159">
        <f>'Monthly forecast'!I83/(Projections!$B$49*Projections!$B$50)</f>
        <v/>
      </c>
      <c r="I38" s="159">
        <f>'Monthly forecast'!J83/(Projections!$B$49*Projections!$B$50)</f>
        <v/>
      </c>
      <c r="J38" s="159">
        <f>'Monthly forecast'!K83/(Projections!$B$49*Projections!$B$50)</f>
        <v/>
      </c>
      <c r="K38" s="159">
        <f>'Monthly forecast'!L83/(Projections!$B$49*Projections!$B$50)</f>
        <v/>
      </c>
      <c r="L38" s="159">
        <f>'Monthly forecast'!M83/(Projections!$B$49*Projections!$B$50)</f>
        <v/>
      </c>
      <c r="M38" s="159">
        <f>'Monthly forecast'!N83/(Projections!$B$49*Projections!$B$50)</f>
        <v/>
      </c>
      <c r="N38" s="159">
        <f>'Monthly forecast'!O83/(Projections!$B$49*Projections!$B$50)</f>
        <v/>
      </c>
      <c r="O38" s="159">
        <f>'Monthly forecast'!P83/(Projections!$B$49*Projections!$B$50)</f>
        <v/>
      </c>
      <c r="P38" s="159">
        <f>'Monthly forecast'!Q83/(Projections!$B$49*Projections!$B$50)</f>
        <v/>
      </c>
      <c r="Q38" s="159">
        <f>'Monthly forecast'!R83/(Projections!$B$49*Projections!$B$50)</f>
        <v/>
      </c>
      <c r="R38" s="159">
        <f>'Monthly forecast'!S83/(Projections!$B$49*Projections!$B$50)</f>
        <v/>
      </c>
      <c r="S38" s="159">
        <f>'Monthly forecast'!T83/(Projections!$B$49*Projections!$B$50)</f>
        <v/>
      </c>
      <c r="T38" s="159">
        <f>'Monthly forecast'!U83/(Projections!$B$49*Projections!$B$50)</f>
        <v/>
      </c>
      <c r="U38" s="159">
        <f>'Monthly forecast'!V83/(Projections!$B$49*Projections!$B$50)</f>
        <v/>
      </c>
      <c r="V38" s="159">
        <f>'Monthly forecast'!W83/(Projections!$B$49*Projections!$B$50)</f>
        <v/>
      </c>
      <c r="W38" s="159">
        <f>'Monthly forecast'!X83/(Projections!$B$49*Projections!$B$50)</f>
        <v/>
      </c>
      <c r="X38" s="159">
        <f>'Monthly forecast'!Y83/(Projections!$B$49*Projections!$B$50)</f>
        <v/>
      </c>
      <c r="Y38" s="159">
        <f>'Monthly forecast'!Z83/(Projections!$B$49*Projections!$B$50)</f>
        <v/>
      </c>
      <c r="Z38" s="159">
        <f>'Monthly forecast'!AA83/(Projections!$B$49*Projections!$B$50)</f>
        <v/>
      </c>
      <c r="AA38" s="159">
        <f>'Monthly forecast'!AB83/(Projections!$B$49*Projections!$B$50)</f>
        <v/>
      </c>
      <c r="AB38" s="159">
        <f>'Monthly forecast'!AC83/(Projections!$B$49*Projections!$B$50)</f>
        <v/>
      </c>
      <c r="AC38" s="159">
        <f>'Monthly forecast'!AD83/(Projections!$B$49*Projections!$B$50)</f>
        <v/>
      </c>
      <c r="AD38" s="159">
        <f>'Monthly forecast'!AE83/(Projections!$B$49*Projections!$B$50)</f>
        <v/>
      </c>
      <c r="AE38" s="159">
        <f>'Monthly forecast'!AF83/(Projections!$B$49*Projections!$B$50)</f>
        <v/>
      </c>
      <c r="AF38" s="159">
        <f>'Monthly forecast'!AG83/(Projections!$B$49*Projections!$B$50)</f>
        <v/>
      </c>
      <c r="AG38" s="159">
        <f>'Monthly forecast'!AH83/(Projections!$B$49*Projections!$B$50)</f>
        <v/>
      </c>
      <c r="AH38" s="159">
        <f>'Monthly forecast'!AI83/(Projections!$B$49*Projections!$B$50)</f>
        <v/>
      </c>
      <c r="AI38" s="159">
        <f>'Monthly forecast'!AJ83/(Projections!$B$49*Projections!$B$50)</f>
        <v/>
      </c>
      <c r="AJ38" s="159">
        <f>'Monthly forecast'!AK83/(Projections!$B$49*Projections!$B$50)</f>
        <v/>
      </c>
      <c r="AK38" s="159">
        <f>'Monthly forecast'!AL83/(Projections!$B$49*Projections!$B$50)</f>
        <v/>
      </c>
      <c r="AL38" s="159">
        <f>'Monthly forecast'!AM83/(Projections!$B$49*Projections!$B$50)</f>
        <v/>
      </c>
      <c r="AM38" s="159">
        <f>'Monthly forecast'!AN83/(Projections!$B$49*Projections!$B$50)</f>
        <v/>
      </c>
      <c r="AN38" s="159">
        <f>'Monthly forecast'!AO83/(Projections!$B$49*Projections!$B$50)</f>
        <v/>
      </c>
      <c r="AO38" s="159">
        <f>'Monthly forecast'!AP83/(Projections!$B$49*Projections!$B$50)</f>
        <v/>
      </c>
      <c r="AP38" s="159">
        <f>'Monthly forecast'!AQ83/(Projections!$B$49*Projections!$B$50)</f>
        <v/>
      </c>
      <c r="AQ38" s="159">
        <f>'Monthly forecast'!AR83/(Projections!$B$49*Projections!$B$50)</f>
        <v/>
      </c>
      <c r="AR38" s="159">
        <f>'Monthly forecast'!AS83/(Projections!$B$49*Projections!$B$50)</f>
        <v/>
      </c>
      <c r="AS38" s="159">
        <f>'Monthly forecast'!AT83/(Projections!$B$49*Projections!$B$50)</f>
        <v/>
      </c>
      <c r="AT38" s="159">
        <f>'Monthly forecast'!AU83/(Projections!$B$49*Projections!$B$50)</f>
        <v/>
      </c>
      <c r="AU38" s="159">
        <f>'Monthly forecast'!AV83/(Projections!$B$49*Projections!$B$50)</f>
        <v/>
      </c>
      <c r="AV38" s="159">
        <f>'Monthly forecast'!AW83/(Projections!$B$49*Projections!$B$50)</f>
        <v/>
      </c>
      <c r="AW38" s="159">
        <f>'Monthly forecast'!AX83/(Projections!$B$49*Projections!$B$50)</f>
        <v/>
      </c>
      <c r="AX38" s="159">
        <f>'Monthly forecast'!AY83/(Projections!$B$49*Projections!$B$50)</f>
        <v/>
      </c>
      <c r="AY38" s="159">
        <f>'Monthly forecast'!AZ83/(Projections!$B$49*Projections!$B$50)</f>
        <v/>
      </c>
      <c r="AZ38" s="159">
        <f>'Monthly forecast'!BA83/(Projections!$B$49*Projections!$B$50)</f>
        <v/>
      </c>
      <c r="BA38" s="159">
        <f>'Monthly forecast'!BB83/(Projections!$B$49*Projections!$B$50)</f>
        <v/>
      </c>
      <c r="BB38" s="159">
        <f>'Monthly forecast'!BC83/(Projections!$B$49*Projections!$B$50)</f>
        <v/>
      </c>
      <c r="BC38" s="159">
        <f>'Monthly forecast'!BD83/(Projections!$B$49*Projections!$B$50)</f>
        <v/>
      </c>
      <c r="BD38" s="159">
        <f>'Monthly forecast'!BE83/(Projections!$B$49*Projections!$B$50)</f>
        <v/>
      </c>
      <c r="BE38" s="159">
        <f>'Monthly forecast'!BF83/(Projections!$B$49*Projections!$B$50)</f>
        <v/>
      </c>
      <c r="BF38" s="159">
        <f>'Monthly forecast'!BG83/(Projections!$B$49*Projections!$B$50)</f>
        <v/>
      </c>
      <c r="BG38" s="159">
        <f>'Monthly forecast'!BH83/(Projections!$B$49*Projections!$B$50)</f>
        <v/>
      </c>
      <c r="BH38" s="159">
        <f>'Monthly forecast'!BI83/(Projections!$B$49*Projections!$B$50)</f>
        <v/>
      </c>
      <c r="BI38" s="159">
        <f>'Monthly forecast'!BJ83/(Projections!$B$49*Projections!$B$50)</f>
        <v/>
      </c>
      <c r="BJ38" s="159">
        <f>'Monthly forecast'!BK83/(Projections!$B$49*Projections!$B$50)</f>
        <v/>
      </c>
      <c r="BK38" s="159">
        <f>'Monthly forecast'!BL83/(Projections!$B$49*Projections!$B$50)</f>
        <v/>
      </c>
      <c r="BL38" s="159">
        <f>'Monthly forecast'!BM83/(Projections!$B$49*Projections!$B$50)</f>
        <v/>
      </c>
      <c r="BM38" s="159">
        <f>'Monthly forecast'!BN83/(Projections!$B$49*Projections!$B$50)</f>
        <v/>
      </c>
      <c r="BN38" s="159">
        <f>'Monthly forecast'!BO83/(Projections!$B$49*Projections!$B$50)</f>
        <v/>
      </c>
      <c r="BO38" s="159">
        <f>'Monthly forecast'!BP83/(Projections!$B$49*Projections!$B$50)</f>
        <v/>
      </c>
      <c r="BP38" s="159">
        <f>'Monthly forecast'!BQ83/(Projections!$B$49*Projections!$B$50)</f>
        <v/>
      </c>
      <c r="BQ38" s="159">
        <f>'Monthly forecast'!BR83/(Projections!$B$49*Projections!$B$50)</f>
        <v/>
      </c>
      <c r="BR38" s="159">
        <f>'Monthly forecast'!BS83/(Projections!$B$49*Projections!$B$50)</f>
        <v/>
      </c>
      <c r="BS38" s="159">
        <f>'Monthly forecast'!BT83/(Projections!$B$49*Projections!$B$50)</f>
        <v/>
      </c>
      <c r="BT38" s="159">
        <f>'Monthly forecast'!BU83/(Projections!$B$49*Projections!$B$50)</f>
        <v/>
      </c>
      <c r="BU38" s="159">
        <f>'Monthly forecast'!BV83/(Projections!$B$49*Projections!$B$50)</f>
        <v/>
      </c>
      <c r="BV38" s="159">
        <f>'Monthly forecast'!BW83/(Projections!$B$49*Projections!$B$50)</f>
        <v/>
      </c>
      <c r="BW38" s="159">
        <f>'Monthly forecast'!BX83/(Projections!$B$49*Projections!$B$50)</f>
        <v/>
      </c>
      <c r="BX38" s="159">
        <f>'Monthly forecast'!BY83/(Projections!$B$49*Projections!$B$50)</f>
        <v/>
      </c>
      <c r="BY38" s="159">
        <f>'Monthly forecast'!BZ83/(Projections!$B$49*Projections!$B$50)</f>
        <v/>
      </c>
      <c r="BZ38" s="159">
        <f>'Monthly forecast'!CA83/(Projections!$B$49*Projections!$B$50)</f>
        <v/>
      </c>
      <c r="CA38" s="159">
        <f>'Monthly forecast'!CB83/(Projections!$B$49*Projections!$B$50)</f>
        <v/>
      </c>
      <c r="CB38" s="159">
        <f>'Monthly forecast'!CC83/(Projections!$B$49*Projections!$B$50)</f>
        <v/>
      </c>
      <c r="CC38" s="159">
        <f>'Monthly forecast'!CD83/(Projections!$B$49*Projections!$B$50)</f>
        <v/>
      </c>
      <c r="CD38" s="159">
        <f>'Monthly forecast'!CE83/(Projections!$B$49*Projections!$B$50)</f>
        <v/>
      </c>
      <c r="CE38" s="159">
        <f>'Monthly forecast'!CF83/(Projections!$B$49*Projections!$B$50)</f>
        <v/>
      </c>
      <c r="CF38" s="159">
        <f>'Monthly forecast'!CG83/(Projections!$B$49*Projections!$B$50)</f>
        <v/>
      </c>
      <c r="CG38" s="159">
        <f>'Monthly forecast'!CH83/(Projections!$B$49*Projections!$B$50)</f>
        <v/>
      </c>
      <c r="CH38" s="159">
        <f>'Monthly forecast'!CI83/(Projections!$B$49*Projections!$B$50)</f>
        <v/>
      </c>
      <c r="CI38" s="159">
        <f>'Monthly forecast'!CJ83/(Projections!$B$49*Projections!$B$50)</f>
        <v/>
      </c>
      <c r="CJ38" s="159">
        <f>'Monthly forecast'!CK83/(Projections!$B$49*Projections!$B$50)</f>
        <v/>
      </c>
      <c r="CK38" s="159">
        <f>'Monthly forecast'!CL83/(Projections!$B$49*Projections!$B$50)</f>
        <v/>
      </c>
      <c r="CL38" s="159">
        <f>'Monthly forecast'!CM83/(Projections!$B$49*Projections!$B$50)</f>
        <v/>
      </c>
      <c r="CM38" s="159">
        <f>'Monthly forecast'!CN83/(Projections!$B$49*Projections!$B$50)</f>
        <v/>
      </c>
      <c r="CN38" s="159">
        <f>'Monthly forecast'!CO83/(Projections!$B$49*Projections!$B$50)</f>
        <v/>
      </c>
      <c r="CO38" s="159">
        <f>'Monthly forecast'!CP83/(Projections!$B$49*Projections!$B$50)</f>
        <v/>
      </c>
      <c r="CP38" s="159">
        <f>'Monthly forecast'!CQ83/(Projections!$B$49*Projections!$B$50)</f>
        <v/>
      </c>
      <c r="CQ38" s="159">
        <f>'Monthly forecast'!CR83/(Projections!$B$49*Projections!$B$50)</f>
        <v/>
      </c>
      <c r="CR38" s="159">
        <f>'Monthly forecast'!CS83/(Projections!$B$49*Projections!$B$50)</f>
        <v/>
      </c>
      <c r="CS38" s="159">
        <f>'Monthly forecast'!CT83/(Projections!$B$49*Projections!$B$50)</f>
        <v/>
      </c>
      <c r="CT38" s="159">
        <f>'Monthly forecast'!CU83/(Projections!$B$49*Projections!$B$50)</f>
        <v/>
      </c>
      <c r="CU38" s="159">
        <f>'Monthly forecast'!CV83/(Projections!$B$49*Projections!$B$50)</f>
        <v/>
      </c>
      <c r="CV38" s="159">
        <f>'Monthly forecast'!CW83/(Projections!$B$49*Projections!$B$50)</f>
        <v/>
      </c>
      <c r="CW38" s="159">
        <f>'Monthly forecast'!CX83/(Projections!$B$49*Projections!$B$50)</f>
        <v/>
      </c>
    </row>
    <row r="39" ht="15.75" customHeight="1" s="255">
      <c r="A39" s="59" t="inlineStr">
        <is>
          <t>CAC</t>
        </is>
      </c>
      <c r="B39" s="59" t="n"/>
      <c r="C39" s="59" t="n"/>
      <c r="D39" s="158">
        <f>D37+D38</f>
        <v/>
      </c>
      <c r="E39" s="158">
        <f>E37+E38</f>
        <v/>
      </c>
      <c r="F39" s="158">
        <f>F37+F38</f>
        <v/>
      </c>
      <c r="G39" s="158">
        <f>G37+G38</f>
        <v/>
      </c>
      <c r="H39" s="158">
        <f>H37+H38</f>
        <v/>
      </c>
      <c r="I39" s="158">
        <f>I37+I38</f>
        <v/>
      </c>
      <c r="J39" s="158">
        <f>J37+J38</f>
        <v/>
      </c>
      <c r="K39" s="158">
        <f>K37+K38</f>
        <v/>
      </c>
      <c r="L39" s="158">
        <f>L37+L38</f>
        <v/>
      </c>
      <c r="M39" s="158">
        <f>M37+M38</f>
        <v/>
      </c>
      <c r="N39" s="158">
        <f>N37+N38</f>
        <v/>
      </c>
      <c r="O39" s="158">
        <f>O37+O38</f>
        <v/>
      </c>
      <c r="P39" s="158">
        <f>P37+P38</f>
        <v/>
      </c>
      <c r="Q39" s="158">
        <f>Q37+Q38</f>
        <v/>
      </c>
      <c r="R39" s="158">
        <f>R37+R38</f>
        <v/>
      </c>
      <c r="S39" s="158">
        <f>S37+S38</f>
        <v/>
      </c>
      <c r="T39" s="158">
        <f>T37+T38</f>
        <v/>
      </c>
      <c r="U39" s="158">
        <f>U37+U38</f>
        <v/>
      </c>
      <c r="V39" s="158">
        <f>V37+V38</f>
        <v/>
      </c>
      <c r="W39" s="158">
        <f>W37+W38</f>
        <v/>
      </c>
      <c r="X39" s="158">
        <f>X37+X38</f>
        <v/>
      </c>
      <c r="Y39" s="158">
        <f>Y37+Y38</f>
        <v/>
      </c>
      <c r="Z39" s="158">
        <f>Z37+Z38</f>
        <v/>
      </c>
      <c r="AA39" s="158">
        <f>AA37+AA38</f>
        <v/>
      </c>
      <c r="AB39" s="158">
        <f>AB37+AB38</f>
        <v/>
      </c>
      <c r="AC39" s="158">
        <f>AC37+AC38</f>
        <v/>
      </c>
      <c r="AD39" s="158">
        <f>AD37+AD38</f>
        <v/>
      </c>
      <c r="AE39" s="158">
        <f>AE37+AE38</f>
        <v/>
      </c>
      <c r="AF39" s="158">
        <f>AF37+AF38</f>
        <v/>
      </c>
      <c r="AG39" s="158">
        <f>AG37+AG38</f>
        <v/>
      </c>
      <c r="AH39" s="158">
        <f>AH37+AH38</f>
        <v/>
      </c>
      <c r="AI39" s="158">
        <f>AI37+AI38</f>
        <v/>
      </c>
      <c r="AJ39" s="158">
        <f>AJ37+AJ38</f>
        <v/>
      </c>
      <c r="AK39" s="158">
        <f>AK37+AK38</f>
        <v/>
      </c>
      <c r="AL39" s="158">
        <f>AL37+AL38</f>
        <v/>
      </c>
      <c r="AM39" s="158">
        <f>AM37+AM38</f>
        <v/>
      </c>
      <c r="AN39" s="158">
        <f>AN37+AN38</f>
        <v/>
      </c>
      <c r="AO39" s="158">
        <f>AO37+AO38</f>
        <v/>
      </c>
      <c r="AP39" s="158">
        <f>AP37+AP38</f>
        <v/>
      </c>
      <c r="AQ39" s="158">
        <f>AQ37+AQ38</f>
        <v/>
      </c>
      <c r="AR39" s="158">
        <f>AR37+AR38</f>
        <v/>
      </c>
      <c r="AS39" s="158">
        <f>AS37+AS38</f>
        <v/>
      </c>
      <c r="AT39" s="158">
        <f>AT37+AT38</f>
        <v/>
      </c>
      <c r="AU39" s="158">
        <f>AU37+AU38</f>
        <v/>
      </c>
      <c r="AV39" s="158">
        <f>AV37+AV38</f>
        <v/>
      </c>
      <c r="AW39" s="158">
        <f>AW37+AW38</f>
        <v/>
      </c>
      <c r="AX39" s="158">
        <f>AX37+AX38</f>
        <v/>
      </c>
      <c r="AY39" s="158">
        <f>AY37+AY38</f>
        <v/>
      </c>
      <c r="AZ39" s="158">
        <f>AZ37+AZ38</f>
        <v/>
      </c>
      <c r="BA39" s="158">
        <f>BA37+BA38</f>
        <v/>
      </c>
      <c r="BB39" s="158">
        <f>BB37+BB38</f>
        <v/>
      </c>
      <c r="BC39" s="158">
        <f>BC37+BC38</f>
        <v/>
      </c>
      <c r="BD39" s="158">
        <f>BD37+BD38</f>
        <v/>
      </c>
      <c r="BE39" s="158">
        <f>BE37+BE38</f>
        <v/>
      </c>
      <c r="BF39" s="158">
        <f>BF37+BF38</f>
        <v/>
      </c>
      <c r="BG39" s="158">
        <f>BG37+BG38</f>
        <v/>
      </c>
      <c r="BH39" s="158">
        <f>BH37+BH38</f>
        <v/>
      </c>
      <c r="BI39" s="158">
        <f>BI37+BI38</f>
        <v/>
      </c>
      <c r="BJ39" s="158">
        <f>BJ37+BJ38</f>
        <v/>
      </c>
      <c r="BK39" s="158">
        <f>BK37+BK38</f>
        <v/>
      </c>
      <c r="BL39" s="158">
        <f>BL37+BL38</f>
        <v/>
      </c>
      <c r="BM39" s="158">
        <f>BM37+BM38</f>
        <v/>
      </c>
      <c r="BN39" s="158">
        <f>BN37+BN38</f>
        <v/>
      </c>
      <c r="BO39" s="158">
        <f>BO37+BO38</f>
        <v/>
      </c>
      <c r="BP39" s="158">
        <f>BP37+BP38</f>
        <v/>
      </c>
      <c r="BQ39" s="158">
        <f>BQ37+BQ38</f>
        <v/>
      </c>
      <c r="BR39" s="158">
        <f>BR37+BR38</f>
        <v/>
      </c>
      <c r="BS39" s="158">
        <f>BS37+BS38</f>
        <v/>
      </c>
      <c r="BT39" s="158">
        <f>BT37+BT38</f>
        <v/>
      </c>
      <c r="BU39" s="158">
        <f>BU37+BU38</f>
        <v/>
      </c>
      <c r="BV39" s="158">
        <f>BV37+BV38</f>
        <v/>
      </c>
      <c r="BW39" s="158">
        <f>BW37+BW38</f>
        <v/>
      </c>
      <c r="BX39" s="158">
        <f>BX37+BX38</f>
        <v/>
      </c>
      <c r="BY39" s="158">
        <f>BY37+BY38</f>
        <v/>
      </c>
      <c r="BZ39" s="158">
        <f>BZ37+BZ38</f>
        <v/>
      </c>
      <c r="CA39" s="158">
        <f>CA37+CA38</f>
        <v/>
      </c>
      <c r="CB39" s="158">
        <f>CB37+CB38</f>
        <v/>
      </c>
      <c r="CC39" s="158">
        <f>CC37+CC38</f>
        <v/>
      </c>
      <c r="CD39" s="158">
        <f>CD37+CD38</f>
        <v/>
      </c>
      <c r="CE39" s="158">
        <f>CE37+CE38</f>
        <v/>
      </c>
      <c r="CF39" s="158">
        <f>CF37+CF38</f>
        <v/>
      </c>
      <c r="CG39" s="158">
        <f>CG37+CG38</f>
        <v/>
      </c>
      <c r="CH39" s="158">
        <f>CH37+CH38</f>
        <v/>
      </c>
      <c r="CI39" s="158">
        <f>CI37+CI38</f>
        <v/>
      </c>
      <c r="CJ39" s="158">
        <f>CJ37+CJ38</f>
        <v/>
      </c>
      <c r="CK39" s="158">
        <f>CK37+CK38</f>
        <v/>
      </c>
      <c r="CL39" s="158">
        <f>CL37+CL38</f>
        <v/>
      </c>
      <c r="CM39" s="158">
        <f>CM37+CM38</f>
        <v/>
      </c>
      <c r="CN39" s="158">
        <f>CN37+CN38</f>
        <v/>
      </c>
      <c r="CO39" s="158">
        <f>CO37+CO38</f>
        <v/>
      </c>
      <c r="CP39" s="158">
        <f>CP37+CP38</f>
        <v/>
      </c>
      <c r="CQ39" s="158">
        <f>CQ37+CQ38</f>
        <v/>
      </c>
      <c r="CR39" s="158">
        <f>CR37+CR38</f>
        <v/>
      </c>
      <c r="CS39" s="158">
        <f>CS37+CS38</f>
        <v/>
      </c>
      <c r="CT39" s="158">
        <f>CT37+CT38</f>
        <v/>
      </c>
      <c r="CU39" s="158">
        <f>CU37+CU38</f>
        <v/>
      </c>
      <c r="CV39" s="158">
        <f>CV37+CV38</f>
        <v/>
      </c>
      <c r="CW39" s="158">
        <f>CW37+CW38</f>
        <v/>
      </c>
    </row>
    <row r="40" ht="15.75" customHeight="1" s="255">
      <c r="A40" s="164" t="n"/>
      <c r="B40" s="42" t="n"/>
      <c r="C40" s="42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  <c r="BZ40" s="163" t="n"/>
      <c r="CA40" s="163" t="n"/>
      <c r="CB40" s="163" t="n"/>
      <c r="CC40" s="163" t="n"/>
      <c r="CD40" s="163" t="n"/>
      <c r="CE40" s="163" t="n"/>
      <c r="CF40" s="163" t="n"/>
      <c r="CG40" s="163" t="n"/>
      <c r="CH40" s="163" t="n"/>
      <c r="CI40" s="163" t="n"/>
      <c r="CJ40" s="163" t="n"/>
      <c r="CK40" s="163" t="n"/>
      <c r="CL40" s="163" t="n"/>
      <c r="CM40" s="163" t="n"/>
      <c r="CN40" s="163" t="n"/>
      <c r="CO40" s="163" t="n"/>
      <c r="CP40" s="163" t="n"/>
      <c r="CQ40" s="163" t="n"/>
      <c r="CR40" s="163" t="n"/>
      <c r="CS40" s="163" t="n"/>
      <c r="CT40" s="163" t="n"/>
      <c r="CU40" s="163" t="n"/>
      <c r="CV40" s="163" t="n"/>
      <c r="CW40" s="165" t="n"/>
    </row>
    <row r="41" ht="15.75" customHeight="1" s="255">
      <c r="A41" s="161" t="inlineStr">
        <is>
          <t>LTV/CAC</t>
        </is>
      </c>
      <c r="B41" s="59" t="n"/>
      <c r="C41" s="59" t="n"/>
      <c r="D41" s="162">
        <f>D32/D39</f>
        <v/>
      </c>
      <c r="E41" s="162">
        <f>E32/E39</f>
        <v/>
      </c>
      <c r="F41" s="162">
        <f>F32/F39</f>
        <v/>
      </c>
      <c r="G41" s="162">
        <f>G32/G39</f>
        <v/>
      </c>
      <c r="H41" s="162">
        <f>H32/H39</f>
        <v/>
      </c>
      <c r="I41" s="162">
        <f>I32/I39</f>
        <v/>
      </c>
      <c r="J41" s="162">
        <f>J32/J39</f>
        <v/>
      </c>
      <c r="K41" s="162">
        <f>K32/K39</f>
        <v/>
      </c>
      <c r="L41" s="162">
        <f>L32/L39</f>
        <v/>
      </c>
      <c r="M41" s="162">
        <f>M32/M39</f>
        <v/>
      </c>
      <c r="N41" s="162">
        <f>N32/N39</f>
        <v/>
      </c>
      <c r="O41" s="162">
        <f>O32/O39</f>
        <v/>
      </c>
      <c r="P41" s="162">
        <f>P32/P39</f>
        <v/>
      </c>
      <c r="Q41" s="162">
        <f>Q32/Q39</f>
        <v/>
      </c>
      <c r="R41" s="162">
        <f>R32/R39</f>
        <v/>
      </c>
      <c r="S41" s="162">
        <f>S32/S39</f>
        <v/>
      </c>
      <c r="T41" s="162">
        <f>T32/T39</f>
        <v/>
      </c>
      <c r="U41" s="162">
        <f>U32/U39</f>
        <v/>
      </c>
      <c r="V41" s="162">
        <f>V32/V39</f>
        <v/>
      </c>
      <c r="W41" s="162">
        <f>W32/W39</f>
        <v/>
      </c>
      <c r="X41" s="162">
        <f>X32/X39</f>
        <v/>
      </c>
      <c r="Y41" s="162">
        <f>Y32/Y39</f>
        <v/>
      </c>
      <c r="Z41" s="162">
        <f>Z32/Z39</f>
        <v/>
      </c>
      <c r="AA41" s="162">
        <f>AA32/AA39</f>
        <v/>
      </c>
      <c r="AB41" s="162">
        <f>AB32/AB39</f>
        <v/>
      </c>
      <c r="AC41" s="162">
        <f>AC32/AC39</f>
        <v/>
      </c>
      <c r="AD41" s="162">
        <f>AD32/AD39</f>
        <v/>
      </c>
      <c r="AE41" s="162">
        <f>AE32/AE39</f>
        <v/>
      </c>
      <c r="AF41" s="162">
        <f>AF32/AF39</f>
        <v/>
      </c>
      <c r="AG41" s="162">
        <f>AG32/AG39</f>
        <v/>
      </c>
      <c r="AH41" s="162">
        <f>AH32/AH39</f>
        <v/>
      </c>
      <c r="AI41" s="162">
        <f>AI32/AI39</f>
        <v/>
      </c>
      <c r="AJ41" s="162">
        <f>AJ32/AJ39</f>
        <v/>
      </c>
      <c r="AK41" s="162">
        <f>AK32/AK39</f>
        <v/>
      </c>
      <c r="AL41" s="162">
        <f>AL32/AL39</f>
        <v/>
      </c>
      <c r="AM41" s="162">
        <f>AM32/AM39</f>
        <v/>
      </c>
      <c r="AN41" s="162">
        <f>AN32/AN39</f>
        <v/>
      </c>
      <c r="AO41" s="162">
        <f>AO32/AO39</f>
        <v/>
      </c>
      <c r="AP41" s="162">
        <f>AP32/AP39</f>
        <v/>
      </c>
      <c r="AQ41" s="162">
        <f>AQ32/AQ39</f>
        <v/>
      </c>
      <c r="AR41" s="162">
        <f>AR32/AR39</f>
        <v/>
      </c>
      <c r="AS41" s="162">
        <f>AS32/AS39</f>
        <v/>
      </c>
      <c r="AT41" s="162">
        <f>AT32/AT39</f>
        <v/>
      </c>
      <c r="AU41" s="162">
        <f>AU32/AU39</f>
        <v/>
      </c>
      <c r="AV41" s="162">
        <f>AV32/AV39</f>
        <v/>
      </c>
      <c r="AW41" s="162">
        <f>AW32/AW39</f>
        <v/>
      </c>
      <c r="AX41" s="162">
        <f>AX32/AX39</f>
        <v/>
      </c>
      <c r="AY41" s="162">
        <f>AY32/AY39</f>
        <v/>
      </c>
      <c r="AZ41" s="162">
        <f>AZ32/AZ39</f>
        <v/>
      </c>
      <c r="BA41" s="162">
        <f>BA32/BA39</f>
        <v/>
      </c>
      <c r="BB41" s="162">
        <f>BB32/BB39</f>
        <v/>
      </c>
      <c r="BC41" s="162">
        <f>BC32/BC39</f>
        <v/>
      </c>
      <c r="BD41" s="162">
        <f>BD32/BD39</f>
        <v/>
      </c>
      <c r="BE41" s="162">
        <f>BE32/BE39</f>
        <v/>
      </c>
      <c r="BF41" s="162">
        <f>BF32/BF39</f>
        <v/>
      </c>
      <c r="BG41" s="162">
        <f>BG32/BG39</f>
        <v/>
      </c>
      <c r="BH41" s="162">
        <f>BH32/BH39</f>
        <v/>
      </c>
      <c r="BI41" s="162">
        <f>BI32/BI39</f>
        <v/>
      </c>
      <c r="BJ41" s="162">
        <f>BJ32/BJ39</f>
        <v/>
      </c>
      <c r="BK41" s="162">
        <f>BK32/BK39</f>
        <v/>
      </c>
      <c r="BL41" s="162">
        <f>BL32/BL39</f>
        <v/>
      </c>
      <c r="BM41" s="162">
        <f>BM32/BM39</f>
        <v/>
      </c>
      <c r="BN41" s="162">
        <f>BN32/BN39</f>
        <v/>
      </c>
      <c r="BO41" s="162">
        <f>BO32/BO39</f>
        <v/>
      </c>
      <c r="BP41" s="162">
        <f>BP32/BP39</f>
        <v/>
      </c>
      <c r="BQ41" s="162">
        <f>BQ32/BQ39</f>
        <v/>
      </c>
      <c r="BR41" s="162">
        <f>BR32/BR39</f>
        <v/>
      </c>
      <c r="BS41" s="162">
        <f>BS32/BS39</f>
        <v/>
      </c>
      <c r="BT41" s="162">
        <f>BT32/BT39</f>
        <v/>
      </c>
      <c r="BU41" s="162">
        <f>BU32/BU39</f>
        <v/>
      </c>
      <c r="BV41" s="162">
        <f>BV32/BV39</f>
        <v/>
      </c>
      <c r="BW41" s="162">
        <f>BW32/BW39</f>
        <v/>
      </c>
      <c r="BX41" s="162">
        <f>BX32/BX39</f>
        <v/>
      </c>
      <c r="BY41" s="162">
        <f>BY32/BY39</f>
        <v/>
      </c>
      <c r="BZ41" s="162">
        <f>BZ32/BZ39</f>
        <v/>
      </c>
      <c r="CA41" s="162">
        <f>CA32/CA39</f>
        <v/>
      </c>
      <c r="CB41" s="162">
        <f>CB32/CB39</f>
        <v/>
      </c>
      <c r="CC41" s="162">
        <f>CC32/CC39</f>
        <v/>
      </c>
      <c r="CD41" s="162">
        <f>CD32/CD39</f>
        <v/>
      </c>
      <c r="CE41" s="162">
        <f>CE32/CE39</f>
        <v/>
      </c>
      <c r="CF41" s="162">
        <f>CF32/CF39</f>
        <v/>
      </c>
      <c r="CG41" s="162">
        <f>CG32/CG39</f>
        <v/>
      </c>
      <c r="CH41" s="162">
        <f>CH32/CH39</f>
        <v/>
      </c>
      <c r="CI41" s="162">
        <f>CI32/CI39</f>
        <v/>
      </c>
      <c r="CJ41" s="162">
        <f>CJ32/CJ39</f>
        <v/>
      </c>
      <c r="CK41" s="162">
        <f>CK32/CK39</f>
        <v/>
      </c>
      <c r="CL41" s="162">
        <f>CL32/CL39</f>
        <v/>
      </c>
      <c r="CM41" s="162">
        <f>CM32/CM39</f>
        <v/>
      </c>
      <c r="CN41" s="162">
        <f>CN32/CN39</f>
        <v/>
      </c>
      <c r="CO41" s="162">
        <f>CO32/CO39</f>
        <v/>
      </c>
      <c r="CP41" s="162">
        <f>CP32/CP39</f>
        <v/>
      </c>
      <c r="CQ41" s="162">
        <f>CQ32/CQ39</f>
        <v/>
      </c>
      <c r="CR41" s="162">
        <f>CR32/CR39</f>
        <v/>
      </c>
      <c r="CS41" s="162">
        <f>CS32/CS39</f>
        <v/>
      </c>
      <c r="CT41" s="162">
        <f>CT32/CT39</f>
        <v/>
      </c>
      <c r="CU41" s="162">
        <f>CU32/CU39</f>
        <v/>
      </c>
      <c r="CV41" s="162">
        <f>CV32/CV39</f>
        <v/>
      </c>
      <c r="CW41" s="166" t="n"/>
    </row>
    <row r="42" ht="15.75" customHeight="1" s="255">
      <c r="A42" s="42" t="inlineStr">
        <is>
          <t>LTV 3 month/CAC</t>
        </is>
      </c>
      <c r="B42" s="42" t="n"/>
      <c r="C42" s="42" t="n"/>
      <c r="D42" s="163">
        <f>D33/D$39</f>
        <v/>
      </c>
      <c r="E42" s="163">
        <f>E33/E$39</f>
        <v/>
      </c>
      <c r="F42" s="163">
        <f>F33/F$39</f>
        <v/>
      </c>
      <c r="G42" s="163">
        <f>G33/G$39</f>
        <v/>
      </c>
      <c r="H42" s="163">
        <f>H33/H$39</f>
        <v/>
      </c>
      <c r="I42" s="163">
        <f>I33/I$39</f>
        <v/>
      </c>
      <c r="J42" s="163">
        <f>J33/J$39</f>
        <v/>
      </c>
      <c r="K42" s="163">
        <f>K33/K$39</f>
        <v/>
      </c>
      <c r="L42" s="163">
        <f>L33/L$39</f>
        <v/>
      </c>
      <c r="M42" s="163">
        <f>M33/M$39</f>
        <v/>
      </c>
      <c r="N42" s="163">
        <f>N33/N$39</f>
        <v/>
      </c>
      <c r="O42" s="163">
        <f>O33/O$39</f>
        <v/>
      </c>
      <c r="P42" s="163">
        <f>P33/P$39</f>
        <v/>
      </c>
      <c r="Q42" s="163">
        <f>Q33/Q$39</f>
        <v/>
      </c>
      <c r="R42" s="163">
        <f>R33/R$39</f>
        <v/>
      </c>
      <c r="S42" s="163">
        <f>S33/S$39</f>
        <v/>
      </c>
      <c r="T42" s="163">
        <f>T33/T$39</f>
        <v/>
      </c>
      <c r="U42" s="163">
        <f>U33/U$39</f>
        <v/>
      </c>
      <c r="V42" s="163">
        <f>V33/V$39</f>
        <v/>
      </c>
      <c r="W42" s="163">
        <f>W33/W$39</f>
        <v/>
      </c>
      <c r="X42" s="163">
        <f>X33/X$39</f>
        <v/>
      </c>
      <c r="Y42" s="163">
        <f>Y33/Y$39</f>
        <v/>
      </c>
      <c r="Z42" s="163">
        <f>Z33/Z$39</f>
        <v/>
      </c>
      <c r="AA42" s="163">
        <f>AA33/AA$39</f>
        <v/>
      </c>
      <c r="AB42" s="163">
        <f>AB33/AB$39</f>
        <v/>
      </c>
      <c r="AC42" s="163">
        <f>AC33/AC$39</f>
        <v/>
      </c>
      <c r="AD42" s="163">
        <f>AD33/AD$39</f>
        <v/>
      </c>
      <c r="AE42" s="163">
        <f>AE33/AE$39</f>
        <v/>
      </c>
      <c r="AF42" s="163">
        <f>AF33/AF$39</f>
        <v/>
      </c>
      <c r="AG42" s="163">
        <f>AG33/AG$39</f>
        <v/>
      </c>
      <c r="AH42" s="163">
        <f>AH33/AH$39</f>
        <v/>
      </c>
      <c r="AI42" s="163">
        <f>AI33/AI$39</f>
        <v/>
      </c>
      <c r="AJ42" s="163">
        <f>AJ33/AJ$39</f>
        <v/>
      </c>
      <c r="AK42" s="163">
        <f>AK33/AK$39</f>
        <v/>
      </c>
      <c r="AL42" s="163">
        <f>AL33/AL$39</f>
        <v/>
      </c>
      <c r="AM42" s="163">
        <f>AM33/AM$39</f>
        <v/>
      </c>
      <c r="AN42" s="163">
        <f>AN33/AN$39</f>
        <v/>
      </c>
      <c r="AO42" s="163">
        <f>AO33/AO$39</f>
        <v/>
      </c>
      <c r="AP42" s="163">
        <f>AP33/AP$39</f>
        <v/>
      </c>
      <c r="AQ42" s="163">
        <f>AQ33/AQ$39</f>
        <v/>
      </c>
      <c r="AR42" s="163">
        <f>AR33/AR$39</f>
        <v/>
      </c>
      <c r="AS42" s="163">
        <f>AS33/AS$39</f>
        <v/>
      </c>
      <c r="AT42" s="163">
        <f>AT33/AT$39</f>
        <v/>
      </c>
      <c r="AU42" s="163">
        <f>AU33/AU$39</f>
        <v/>
      </c>
      <c r="AV42" s="163">
        <f>AV33/AV$39</f>
        <v/>
      </c>
      <c r="AW42" s="163">
        <f>AW33/AW$39</f>
        <v/>
      </c>
      <c r="AX42" s="163">
        <f>AX33/AX$39</f>
        <v/>
      </c>
      <c r="AY42" s="163">
        <f>AY33/AY$39</f>
        <v/>
      </c>
      <c r="AZ42" s="163">
        <f>AZ33/AZ$39</f>
        <v/>
      </c>
      <c r="BA42" s="163">
        <f>BA33/BA$39</f>
        <v/>
      </c>
      <c r="BB42" s="163">
        <f>BB33/BB$39</f>
        <v/>
      </c>
      <c r="BC42" s="163">
        <f>BC33/BC$39</f>
        <v/>
      </c>
      <c r="BD42" s="163">
        <f>BD33/BD$39</f>
        <v/>
      </c>
      <c r="BE42" s="163">
        <f>BE33/BE$39</f>
        <v/>
      </c>
      <c r="BF42" s="163">
        <f>BF33/BF$39</f>
        <v/>
      </c>
      <c r="BG42" s="163">
        <f>BG33/BG$39</f>
        <v/>
      </c>
      <c r="BH42" s="163">
        <f>BH33/BH$39</f>
        <v/>
      </c>
      <c r="BI42" s="163">
        <f>BI33/BI$39</f>
        <v/>
      </c>
      <c r="BJ42" s="163">
        <f>BJ33/BJ$39</f>
        <v/>
      </c>
      <c r="BK42" s="163">
        <f>BK33/BK$39</f>
        <v/>
      </c>
      <c r="BL42" s="163">
        <f>BL33/BL$39</f>
        <v/>
      </c>
      <c r="BM42" s="163">
        <f>BM33/BM$39</f>
        <v/>
      </c>
      <c r="BN42" s="163">
        <f>BN33/BN$39</f>
        <v/>
      </c>
      <c r="BO42" s="163">
        <f>BO33/BO$39</f>
        <v/>
      </c>
      <c r="BP42" s="163">
        <f>BP33/BP$39</f>
        <v/>
      </c>
      <c r="BQ42" s="163">
        <f>BQ33/BQ$39</f>
        <v/>
      </c>
      <c r="BR42" s="163">
        <f>BR33/BR$39</f>
        <v/>
      </c>
      <c r="BS42" s="163">
        <f>BS33/BS$39</f>
        <v/>
      </c>
      <c r="BT42" s="163">
        <f>BT33/BT$39</f>
        <v/>
      </c>
      <c r="BU42" s="163">
        <f>BU33/BU$39</f>
        <v/>
      </c>
      <c r="BV42" s="163">
        <f>BV33/BV$39</f>
        <v/>
      </c>
      <c r="BW42" s="163">
        <f>BW33/BW$39</f>
        <v/>
      </c>
      <c r="BX42" s="163">
        <f>BX33/BX$39</f>
        <v/>
      </c>
      <c r="BY42" s="163">
        <f>BY33/BY$39</f>
        <v/>
      </c>
      <c r="BZ42" s="163">
        <f>BZ33/BZ$39</f>
        <v/>
      </c>
      <c r="CA42" s="163">
        <f>CA33/CA$39</f>
        <v/>
      </c>
      <c r="CB42" s="163">
        <f>CB33/CB$39</f>
        <v/>
      </c>
      <c r="CC42" s="163">
        <f>CC33/CC$39</f>
        <v/>
      </c>
      <c r="CD42" s="163">
        <f>CD33/CD$39</f>
        <v/>
      </c>
      <c r="CE42" s="163">
        <f>CE33/CE$39</f>
        <v/>
      </c>
      <c r="CF42" s="163">
        <f>CF33/CF$39</f>
        <v/>
      </c>
      <c r="CG42" s="163">
        <f>CG33/CG$39</f>
        <v/>
      </c>
      <c r="CH42" s="163">
        <f>CH33/CH$39</f>
        <v/>
      </c>
      <c r="CI42" s="163">
        <f>CI33/CI$39</f>
        <v/>
      </c>
      <c r="CJ42" s="163">
        <f>CJ33/CJ$39</f>
        <v/>
      </c>
      <c r="CK42" s="163">
        <f>CK33/CK$39</f>
        <v/>
      </c>
      <c r="CL42" s="163">
        <f>CL33/CL$39</f>
        <v/>
      </c>
      <c r="CM42" s="163">
        <f>CM33/CM$39</f>
        <v/>
      </c>
      <c r="CN42" s="163">
        <f>CN33/CN$39</f>
        <v/>
      </c>
      <c r="CO42" s="163">
        <f>CO33/CO$39</f>
        <v/>
      </c>
      <c r="CP42" s="163">
        <f>CP33/CP$39</f>
        <v/>
      </c>
      <c r="CQ42" s="163">
        <f>CQ33/CQ$39</f>
        <v/>
      </c>
      <c r="CR42" s="163">
        <f>CR33/CR$39</f>
        <v/>
      </c>
      <c r="CS42" s="163">
        <f>CS33/CS$39</f>
        <v/>
      </c>
      <c r="CT42" s="163">
        <f>CT33/CT$39</f>
        <v/>
      </c>
      <c r="CU42" s="163">
        <f>CU33/CU$39</f>
        <v/>
      </c>
      <c r="CV42" s="163">
        <f>CV33/CV$39</f>
        <v/>
      </c>
      <c r="CW42" s="163">
        <f>CW33/CW$39</f>
        <v/>
      </c>
    </row>
    <row r="43" ht="15.75" customHeight="1" s="255">
      <c r="A43" s="42" t="inlineStr">
        <is>
          <t>LTV 6 month/CAC</t>
        </is>
      </c>
      <c r="B43" s="42" t="n"/>
      <c r="C43" s="42" t="n"/>
      <c r="D43" s="163">
        <f>D34/D$39</f>
        <v/>
      </c>
      <c r="E43" s="163">
        <f>E34/E$39</f>
        <v/>
      </c>
      <c r="F43" s="163">
        <f>F34/F$39</f>
        <v/>
      </c>
      <c r="G43" s="163">
        <f>G34/G$39</f>
        <v/>
      </c>
      <c r="H43" s="163">
        <f>H34/H$39</f>
        <v/>
      </c>
      <c r="I43" s="163">
        <f>I34/I$39</f>
        <v/>
      </c>
      <c r="J43" s="163">
        <f>J34/J$39</f>
        <v/>
      </c>
      <c r="K43" s="163">
        <f>K34/K$39</f>
        <v/>
      </c>
      <c r="L43" s="163">
        <f>L34/L$39</f>
        <v/>
      </c>
      <c r="M43" s="163">
        <f>M34/M$39</f>
        <v/>
      </c>
      <c r="N43" s="163">
        <f>N34/N$39</f>
        <v/>
      </c>
      <c r="O43" s="163">
        <f>O34/O$39</f>
        <v/>
      </c>
      <c r="P43" s="163">
        <f>P34/P$39</f>
        <v/>
      </c>
      <c r="Q43" s="163">
        <f>Q34/Q$39</f>
        <v/>
      </c>
      <c r="R43" s="163">
        <f>R34/R$39</f>
        <v/>
      </c>
      <c r="S43" s="163">
        <f>S34/S$39</f>
        <v/>
      </c>
      <c r="T43" s="163">
        <f>T34/T$39</f>
        <v/>
      </c>
      <c r="U43" s="163">
        <f>U34/U$39</f>
        <v/>
      </c>
      <c r="V43" s="163">
        <f>V34/V$39</f>
        <v/>
      </c>
      <c r="W43" s="163">
        <f>W34/W$39</f>
        <v/>
      </c>
      <c r="X43" s="163">
        <f>X34/X$39</f>
        <v/>
      </c>
      <c r="Y43" s="163">
        <f>Y34/Y$39</f>
        <v/>
      </c>
      <c r="Z43" s="163">
        <f>Z34/Z$39</f>
        <v/>
      </c>
      <c r="AA43" s="163">
        <f>AA34/AA$39</f>
        <v/>
      </c>
      <c r="AB43" s="163">
        <f>AB34/AB$39</f>
        <v/>
      </c>
      <c r="AC43" s="163">
        <f>AC34/AC$39</f>
        <v/>
      </c>
      <c r="AD43" s="163">
        <f>AD34/AD$39</f>
        <v/>
      </c>
      <c r="AE43" s="163">
        <f>AE34/AE$39</f>
        <v/>
      </c>
      <c r="AF43" s="163">
        <f>AF34/AF$39</f>
        <v/>
      </c>
      <c r="AG43" s="163">
        <f>AG34/AG$39</f>
        <v/>
      </c>
      <c r="AH43" s="163">
        <f>AH34/AH$39</f>
        <v/>
      </c>
      <c r="AI43" s="163">
        <f>AI34/AI$39</f>
        <v/>
      </c>
      <c r="AJ43" s="163">
        <f>AJ34/AJ$39</f>
        <v/>
      </c>
      <c r="AK43" s="163">
        <f>AK34/AK$39</f>
        <v/>
      </c>
      <c r="AL43" s="163">
        <f>AL34/AL$39</f>
        <v/>
      </c>
      <c r="AM43" s="163">
        <f>AM34/AM$39</f>
        <v/>
      </c>
      <c r="AN43" s="163">
        <f>AN34/AN$39</f>
        <v/>
      </c>
      <c r="AO43" s="163">
        <f>AO34/AO$39</f>
        <v/>
      </c>
      <c r="AP43" s="163">
        <f>AP34/AP$39</f>
        <v/>
      </c>
      <c r="AQ43" s="163">
        <f>AQ34/AQ$39</f>
        <v/>
      </c>
      <c r="AR43" s="163">
        <f>AR34/AR$39</f>
        <v/>
      </c>
      <c r="AS43" s="163">
        <f>AS34/AS$39</f>
        <v/>
      </c>
      <c r="AT43" s="163">
        <f>AT34/AT$39</f>
        <v/>
      </c>
      <c r="AU43" s="163">
        <f>AU34/AU$39</f>
        <v/>
      </c>
      <c r="AV43" s="163">
        <f>AV34/AV$39</f>
        <v/>
      </c>
      <c r="AW43" s="163">
        <f>AW34/AW$39</f>
        <v/>
      </c>
      <c r="AX43" s="163">
        <f>AX34/AX$39</f>
        <v/>
      </c>
      <c r="AY43" s="163">
        <f>AY34/AY$39</f>
        <v/>
      </c>
      <c r="AZ43" s="163">
        <f>AZ34/AZ$39</f>
        <v/>
      </c>
      <c r="BA43" s="163">
        <f>BA34/BA$39</f>
        <v/>
      </c>
      <c r="BB43" s="163">
        <f>BB34/BB$39</f>
        <v/>
      </c>
      <c r="BC43" s="163">
        <f>BC34/BC$39</f>
        <v/>
      </c>
      <c r="BD43" s="163">
        <f>BD34/BD$39</f>
        <v/>
      </c>
      <c r="BE43" s="163">
        <f>BE34/BE$39</f>
        <v/>
      </c>
      <c r="BF43" s="163">
        <f>BF34/BF$39</f>
        <v/>
      </c>
      <c r="BG43" s="163">
        <f>BG34/BG$39</f>
        <v/>
      </c>
      <c r="BH43" s="163">
        <f>BH34/BH$39</f>
        <v/>
      </c>
      <c r="BI43" s="163">
        <f>BI34/BI$39</f>
        <v/>
      </c>
      <c r="BJ43" s="163">
        <f>BJ34/BJ$39</f>
        <v/>
      </c>
      <c r="BK43" s="163">
        <f>BK34/BK$39</f>
        <v/>
      </c>
      <c r="BL43" s="163">
        <f>BL34/BL$39</f>
        <v/>
      </c>
      <c r="BM43" s="163">
        <f>BM34/BM$39</f>
        <v/>
      </c>
      <c r="BN43" s="163">
        <f>BN34/BN$39</f>
        <v/>
      </c>
      <c r="BO43" s="163">
        <f>BO34/BO$39</f>
        <v/>
      </c>
      <c r="BP43" s="163">
        <f>BP34/BP$39</f>
        <v/>
      </c>
      <c r="BQ43" s="163">
        <f>BQ34/BQ$39</f>
        <v/>
      </c>
      <c r="BR43" s="163">
        <f>BR34/BR$39</f>
        <v/>
      </c>
      <c r="BS43" s="163">
        <f>BS34/BS$39</f>
        <v/>
      </c>
      <c r="BT43" s="163">
        <f>BT34/BT$39</f>
        <v/>
      </c>
      <c r="BU43" s="163">
        <f>BU34/BU$39</f>
        <v/>
      </c>
      <c r="BV43" s="163">
        <f>BV34/BV$39</f>
        <v/>
      </c>
      <c r="BW43" s="163">
        <f>BW34/BW$39</f>
        <v/>
      </c>
      <c r="BX43" s="163">
        <f>BX34/BX$39</f>
        <v/>
      </c>
      <c r="BY43" s="163">
        <f>BY34/BY$39</f>
        <v/>
      </c>
      <c r="BZ43" s="163">
        <f>BZ34/BZ$39</f>
        <v/>
      </c>
      <c r="CA43" s="163">
        <f>CA34/CA$39</f>
        <v/>
      </c>
      <c r="CB43" s="163">
        <f>CB34/CB$39</f>
        <v/>
      </c>
      <c r="CC43" s="163">
        <f>CC34/CC$39</f>
        <v/>
      </c>
      <c r="CD43" s="163">
        <f>CD34/CD$39</f>
        <v/>
      </c>
      <c r="CE43" s="163">
        <f>CE34/CE$39</f>
        <v/>
      </c>
      <c r="CF43" s="163">
        <f>CF34/CF$39</f>
        <v/>
      </c>
      <c r="CG43" s="163">
        <f>CG34/CG$39</f>
        <v/>
      </c>
      <c r="CH43" s="163">
        <f>CH34/CH$39</f>
        <v/>
      </c>
      <c r="CI43" s="163">
        <f>CI34/CI$39</f>
        <v/>
      </c>
      <c r="CJ43" s="163">
        <f>CJ34/CJ$39</f>
        <v/>
      </c>
      <c r="CK43" s="163">
        <f>CK34/CK$39</f>
        <v/>
      </c>
      <c r="CL43" s="163">
        <f>CL34/CL$39</f>
        <v/>
      </c>
      <c r="CM43" s="163">
        <f>CM34/CM$39</f>
        <v/>
      </c>
      <c r="CN43" s="163">
        <f>CN34/CN$39</f>
        <v/>
      </c>
      <c r="CO43" s="163">
        <f>CO34/CO$39</f>
        <v/>
      </c>
      <c r="CP43" s="163">
        <f>CP34/CP$39</f>
        <v/>
      </c>
      <c r="CQ43" s="163">
        <f>CQ34/CQ$39</f>
        <v/>
      </c>
      <c r="CR43" s="163">
        <f>CR34/CR$39</f>
        <v/>
      </c>
      <c r="CS43" s="163">
        <f>CS34/CS$39</f>
        <v/>
      </c>
      <c r="CT43" s="163">
        <f>CT34/CT$39</f>
        <v/>
      </c>
      <c r="CU43" s="163">
        <f>CU34/CU$39</f>
        <v/>
      </c>
      <c r="CV43" s="163">
        <f>CV34/CV$39</f>
        <v/>
      </c>
      <c r="CW43" s="163">
        <f>CW34/CW$39</f>
        <v/>
      </c>
    </row>
    <row r="44" ht="15.75" customHeight="1" s="255">
      <c r="A44" s="42" t="inlineStr">
        <is>
          <t>LTV 12 month/CAC</t>
        </is>
      </c>
      <c r="B44" s="42" t="n"/>
      <c r="C44" s="42" t="n"/>
      <c r="D44" s="163">
        <f>D35/D$39</f>
        <v/>
      </c>
      <c r="E44" s="163">
        <f>E35/E$39</f>
        <v/>
      </c>
      <c r="F44" s="163">
        <f>F35/F$39</f>
        <v/>
      </c>
      <c r="G44" s="163">
        <f>G35/G$39</f>
        <v/>
      </c>
      <c r="H44" s="163">
        <f>H35/H$39</f>
        <v/>
      </c>
      <c r="I44" s="163">
        <f>I35/I$39</f>
        <v/>
      </c>
      <c r="J44" s="163">
        <f>J35/J$39</f>
        <v/>
      </c>
      <c r="K44" s="163">
        <f>K35/K$39</f>
        <v/>
      </c>
      <c r="L44" s="163">
        <f>L35/L$39</f>
        <v/>
      </c>
      <c r="M44" s="163">
        <f>M35/M$39</f>
        <v/>
      </c>
      <c r="N44" s="163">
        <f>N35/N$39</f>
        <v/>
      </c>
      <c r="O44" s="163">
        <f>O35/O$39</f>
        <v/>
      </c>
      <c r="P44" s="163">
        <f>P35/P$39</f>
        <v/>
      </c>
      <c r="Q44" s="163">
        <f>Q35/Q$39</f>
        <v/>
      </c>
      <c r="R44" s="163">
        <f>R35/R$39</f>
        <v/>
      </c>
      <c r="S44" s="163">
        <f>S35/S$39</f>
        <v/>
      </c>
      <c r="T44" s="163">
        <f>T35/T$39</f>
        <v/>
      </c>
      <c r="U44" s="163">
        <f>U35/U$39</f>
        <v/>
      </c>
      <c r="V44" s="163">
        <f>V35/V$39</f>
        <v/>
      </c>
      <c r="W44" s="163">
        <f>W35/W$39</f>
        <v/>
      </c>
      <c r="X44" s="163">
        <f>X35/X$39</f>
        <v/>
      </c>
      <c r="Y44" s="163">
        <f>Y35/Y$39</f>
        <v/>
      </c>
      <c r="Z44" s="163">
        <f>Z35/Z$39</f>
        <v/>
      </c>
      <c r="AA44" s="163">
        <f>AA35/AA$39</f>
        <v/>
      </c>
      <c r="AB44" s="163">
        <f>AB35/AB$39</f>
        <v/>
      </c>
      <c r="AC44" s="163">
        <f>AC35/AC$39</f>
        <v/>
      </c>
      <c r="AD44" s="163">
        <f>AD35/AD$39</f>
        <v/>
      </c>
      <c r="AE44" s="163">
        <f>AE35/AE$39</f>
        <v/>
      </c>
      <c r="AF44" s="163">
        <f>AF35/AF$39</f>
        <v/>
      </c>
      <c r="AG44" s="163">
        <f>AG35/AG$39</f>
        <v/>
      </c>
      <c r="AH44" s="163">
        <f>AH35/AH$39</f>
        <v/>
      </c>
      <c r="AI44" s="163">
        <f>AI35/AI$39</f>
        <v/>
      </c>
      <c r="AJ44" s="163">
        <f>AJ35/AJ$39</f>
        <v/>
      </c>
      <c r="AK44" s="163">
        <f>AK35/AK$39</f>
        <v/>
      </c>
      <c r="AL44" s="163">
        <f>AL35/AL$39</f>
        <v/>
      </c>
      <c r="AM44" s="163">
        <f>AM35/AM$39</f>
        <v/>
      </c>
      <c r="AN44" s="163">
        <f>AN35/AN$39</f>
        <v/>
      </c>
      <c r="AO44" s="163">
        <f>AO35/AO$39</f>
        <v/>
      </c>
      <c r="AP44" s="163">
        <f>AP35/AP$39</f>
        <v/>
      </c>
      <c r="AQ44" s="163">
        <f>AQ35/AQ$39</f>
        <v/>
      </c>
      <c r="AR44" s="163">
        <f>AR35/AR$39</f>
        <v/>
      </c>
      <c r="AS44" s="163">
        <f>AS35/AS$39</f>
        <v/>
      </c>
      <c r="AT44" s="163">
        <f>AT35/AT$39</f>
        <v/>
      </c>
      <c r="AU44" s="163">
        <f>AU35/AU$39</f>
        <v/>
      </c>
      <c r="AV44" s="163">
        <f>AV35/AV$39</f>
        <v/>
      </c>
      <c r="AW44" s="163">
        <f>AW35/AW$39</f>
        <v/>
      </c>
      <c r="AX44" s="163">
        <f>AX35/AX$39</f>
        <v/>
      </c>
      <c r="AY44" s="163">
        <f>AY35/AY$39</f>
        <v/>
      </c>
      <c r="AZ44" s="163">
        <f>AZ35/AZ$39</f>
        <v/>
      </c>
      <c r="BA44" s="163">
        <f>BA35/BA$39</f>
        <v/>
      </c>
      <c r="BB44" s="163">
        <f>BB35/BB$39</f>
        <v/>
      </c>
      <c r="BC44" s="163">
        <f>BC35/BC$39</f>
        <v/>
      </c>
      <c r="BD44" s="163">
        <f>BD35/BD$39</f>
        <v/>
      </c>
      <c r="BE44" s="163">
        <f>BE35/BE$39</f>
        <v/>
      </c>
      <c r="BF44" s="163">
        <f>BF35/BF$39</f>
        <v/>
      </c>
      <c r="BG44" s="163">
        <f>BG35/BG$39</f>
        <v/>
      </c>
      <c r="BH44" s="163">
        <f>BH35/BH$39</f>
        <v/>
      </c>
      <c r="BI44" s="163">
        <f>BI35/BI$39</f>
        <v/>
      </c>
      <c r="BJ44" s="163">
        <f>BJ35/BJ$39</f>
        <v/>
      </c>
      <c r="BK44" s="163">
        <f>BK35/BK$39</f>
        <v/>
      </c>
      <c r="BL44" s="163">
        <f>BL35/BL$39</f>
        <v/>
      </c>
      <c r="BM44" s="163">
        <f>BM35/BM$39</f>
        <v/>
      </c>
      <c r="BN44" s="163">
        <f>BN35/BN$39</f>
        <v/>
      </c>
      <c r="BO44" s="163">
        <f>BO35/BO$39</f>
        <v/>
      </c>
      <c r="BP44" s="163">
        <f>BP35/BP$39</f>
        <v/>
      </c>
      <c r="BQ44" s="163">
        <f>BQ35/BQ$39</f>
        <v/>
      </c>
      <c r="BR44" s="163">
        <f>BR35/BR$39</f>
        <v/>
      </c>
      <c r="BS44" s="163">
        <f>BS35/BS$39</f>
        <v/>
      </c>
      <c r="BT44" s="163">
        <f>BT35/BT$39</f>
        <v/>
      </c>
      <c r="BU44" s="163">
        <f>BU35/BU$39</f>
        <v/>
      </c>
      <c r="BV44" s="163">
        <f>BV35/BV$39</f>
        <v/>
      </c>
      <c r="BW44" s="163">
        <f>BW35/BW$39</f>
        <v/>
      </c>
      <c r="BX44" s="163">
        <f>BX35/BX$39</f>
        <v/>
      </c>
      <c r="BY44" s="163">
        <f>BY35/BY$39</f>
        <v/>
      </c>
      <c r="BZ44" s="163">
        <f>BZ35/BZ$39</f>
        <v/>
      </c>
      <c r="CA44" s="163">
        <f>CA35/CA$39</f>
        <v/>
      </c>
      <c r="CB44" s="163">
        <f>CB35/CB$39</f>
        <v/>
      </c>
      <c r="CC44" s="163">
        <f>CC35/CC$39</f>
        <v/>
      </c>
      <c r="CD44" s="163">
        <f>CD35/CD$39</f>
        <v/>
      </c>
      <c r="CE44" s="163">
        <f>CE35/CE$39</f>
        <v/>
      </c>
      <c r="CF44" s="163">
        <f>CF35/CF$39</f>
        <v/>
      </c>
      <c r="CG44" s="163">
        <f>CG35/CG$39</f>
        <v/>
      </c>
      <c r="CH44" s="163">
        <f>CH35/CH$39</f>
        <v/>
      </c>
      <c r="CI44" s="163">
        <f>CI35/CI$39</f>
        <v/>
      </c>
      <c r="CJ44" s="163">
        <f>CJ35/CJ$39</f>
        <v/>
      </c>
      <c r="CK44" s="163">
        <f>CK35/CK$39</f>
        <v/>
      </c>
      <c r="CL44" s="163">
        <f>CL35/CL$39</f>
        <v/>
      </c>
      <c r="CM44" s="163">
        <f>CM35/CM$39</f>
        <v/>
      </c>
      <c r="CN44" s="163">
        <f>CN35/CN$39</f>
        <v/>
      </c>
      <c r="CO44" s="163">
        <f>CO35/CO$39</f>
        <v/>
      </c>
      <c r="CP44" s="163">
        <f>CP35/CP$39</f>
        <v/>
      </c>
      <c r="CQ44" s="163">
        <f>CQ35/CQ$39</f>
        <v/>
      </c>
      <c r="CR44" s="163">
        <f>CR35/CR$39</f>
        <v/>
      </c>
      <c r="CS44" s="163">
        <f>CS35/CS$39</f>
        <v/>
      </c>
      <c r="CT44" s="163">
        <f>CT35/CT$39</f>
        <v/>
      </c>
      <c r="CU44" s="163">
        <f>CU35/CU$39</f>
        <v/>
      </c>
      <c r="CV44" s="163">
        <f>CV35/CV$39</f>
        <v/>
      </c>
      <c r="CW44" s="163">
        <f>CW35/CW$39</f>
        <v/>
      </c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  <c r="CF45" s="42" t="n"/>
      <c r="CG45" s="42" t="n"/>
      <c r="CH45" s="42" t="n"/>
      <c r="CI45" s="42" t="n"/>
      <c r="CJ45" s="42" t="n"/>
      <c r="CK45" s="42" t="n"/>
      <c r="CL45" s="42" t="n"/>
      <c r="CM45" s="42" t="n"/>
      <c r="CN45" s="42" t="n"/>
      <c r="CO45" s="42" t="n"/>
      <c r="CP45" s="42" t="n"/>
      <c r="CQ45" s="42" t="n"/>
      <c r="CR45" s="42" t="n"/>
      <c r="CS45" s="42" t="n"/>
      <c r="CT45" s="42" t="n"/>
      <c r="CU45" s="42" t="n"/>
      <c r="CV45" s="42" t="n"/>
      <c r="CW45" s="42" t="n"/>
    </row>
    <row r="46" ht="15.75" customHeight="1" s="255">
      <c r="A46" s="167">
        <f>'Monthly forecast'!A35</f>
        <v/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</row>
    <row r="48" ht="15.75" customHeight="1" s="255">
      <c r="A48" s="42" t="inlineStr">
        <is>
          <t>Subscription price per month</t>
        </is>
      </c>
      <c r="B48" s="42" t="n"/>
      <c r="C48" s="154">
        <f>IF(C2&gt;=Projections!$D$28,Projections!$B$28,0)</f>
        <v/>
      </c>
      <c r="D48" s="154">
        <f>IF(D2&gt;=Projections!$D$28,Projections!$B$28,0)</f>
        <v/>
      </c>
      <c r="E48" s="154">
        <f>IF(E2&gt;=Projections!$D$28,Projections!$B$28,0)</f>
        <v/>
      </c>
      <c r="F48" s="154">
        <f>IF(F2&gt;=Projections!$D$28,Projections!$B$28,0)</f>
        <v/>
      </c>
      <c r="G48" s="154">
        <f>IF(G2&gt;=Projections!$D$28,Projections!$B$28,0)</f>
        <v/>
      </c>
      <c r="H48" s="154">
        <f>IF(H2&gt;=Projections!$D$28,Projections!$B$28,0)</f>
        <v/>
      </c>
      <c r="I48" s="154">
        <f>IF(I2&gt;=Projections!$D$28,Projections!$B$28,0)</f>
        <v/>
      </c>
      <c r="J48" s="154">
        <f>IF(J2&gt;=Projections!$D$28,Projections!$B$28,0)</f>
        <v/>
      </c>
      <c r="K48" s="154">
        <f>IF(K2&gt;=Projections!$D$28,Projections!$B$28,0)</f>
        <v/>
      </c>
      <c r="L48" s="154">
        <f>IF(L2&gt;=Projections!$D$28,Projections!$B$28,0)</f>
        <v/>
      </c>
      <c r="M48" s="154">
        <f>IF(M2&gt;=Projections!$D$28,Projections!$B$28,0)</f>
        <v/>
      </c>
      <c r="N48" s="154">
        <f>IF(N2&gt;=Projections!$D$28,Projections!$B$28,0)</f>
        <v/>
      </c>
      <c r="O48" s="154">
        <f>IF(O2&gt;=Projections!$D$28,Projections!$B$28,0)</f>
        <v/>
      </c>
      <c r="P48" s="154">
        <f>IF(P2&gt;=Projections!$D$28,Projections!$B$28,0)</f>
        <v/>
      </c>
      <c r="Q48" s="154">
        <f>IF(Q2&gt;=Projections!$D$28,Projections!$B$28,0)</f>
        <v/>
      </c>
      <c r="R48" s="154">
        <f>IF(R2&gt;=Projections!$D$28,Projections!$B$28,0)</f>
        <v/>
      </c>
      <c r="S48" s="154">
        <f>IF(S2&gt;=Projections!$D$28,Projections!$B$28,0)</f>
        <v/>
      </c>
      <c r="T48" s="154">
        <f>IF(T2&gt;=Projections!$D$28,Projections!$B$28,0)</f>
        <v/>
      </c>
      <c r="U48" s="154">
        <f>IF(U2&gt;=Projections!$D$28,Projections!$B$28,0)</f>
        <v/>
      </c>
      <c r="V48" s="154">
        <f>IF(V2&gt;=Projections!$D$28,Projections!$B$28,0)</f>
        <v/>
      </c>
      <c r="W48" s="154">
        <f>IF(W2&gt;=Projections!$D$28,Projections!$B$28,0)</f>
        <v/>
      </c>
      <c r="X48" s="154">
        <f>IF(X2&gt;=Projections!$D$28,Projections!$B$28,0)</f>
        <v/>
      </c>
      <c r="Y48" s="154">
        <f>IF(Y2&gt;=Projections!$D$28,Projections!$B$28,0)</f>
        <v/>
      </c>
      <c r="Z48" s="154">
        <f>IF(Z2&gt;=Projections!$D$28,Projections!$B$28,0)</f>
        <v/>
      </c>
      <c r="AA48" s="154">
        <f>IF(AA2&gt;=Projections!$D$28,Projections!$B$28,0)</f>
        <v/>
      </c>
      <c r="AB48" s="154">
        <f>IF(AB2&gt;=Projections!$D$28,Projections!$B$28,0)</f>
        <v/>
      </c>
      <c r="AC48" s="154">
        <f>IF(AC2&gt;=Projections!$D$28,Projections!$B$28,0)</f>
        <v/>
      </c>
      <c r="AD48" s="154">
        <f>IF(AD2&gt;=Projections!$D$28,Projections!$B$28,0)</f>
        <v/>
      </c>
      <c r="AE48" s="154">
        <f>IF(AE2&gt;=Projections!$D$28,Projections!$B$28,0)</f>
        <v/>
      </c>
      <c r="AF48" s="154">
        <f>IF(AF2&gt;=Projections!$D$28,Projections!$B$28,0)</f>
        <v/>
      </c>
      <c r="AG48" s="154">
        <f>IF(AG2&gt;=Projections!$D$28,Projections!$B$28,0)</f>
        <v/>
      </c>
      <c r="AH48" s="154">
        <f>IF(AH2&gt;=Projections!$D$28,Projections!$B$28,0)</f>
        <v/>
      </c>
      <c r="AI48" s="154">
        <f>IF(AI2&gt;=Projections!$D$28,Projections!$B$28,0)</f>
        <v/>
      </c>
      <c r="AJ48" s="154">
        <f>IF(AJ2&gt;=Projections!$D$28,Projections!$B$28,0)</f>
        <v/>
      </c>
      <c r="AK48" s="154">
        <f>IF(AK2&gt;=Projections!$D$28,Projections!$B$28,0)</f>
        <v/>
      </c>
      <c r="AL48" s="154">
        <f>IF(AL2&gt;=Projections!$D$28,Projections!$B$28,0)</f>
        <v/>
      </c>
      <c r="AM48" s="154">
        <f>IF(AM2&gt;=Projections!$D$28,Projections!$B$28,0)</f>
        <v/>
      </c>
      <c r="AN48" s="154">
        <f>IF(AN2&gt;=Projections!$D$28,Projections!$B$28,0)</f>
        <v/>
      </c>
      <c r="AO48" s="154">
        <f>IF(AO2&gt;=Projections!$D$28,Projections!$B$28,0)</f>
        <v/>
      </c>
      <c r="AP48" s="154">
        <f>IF(AP2&gt;=Projections!$D$28,Projections!$B$28,0)</f>
        <v/>
      </c>
      <c r="AQ48" s="154">
        <f>IF(AQ2&gt;=Projections!$D$28,Projections!$B$28,0)</f>
        <v/>
      </c>
      <c r="AR48" s="154">
        <f>IF(AR2&gt;=Projections!$D$28,Projections!$B$28,0)</f>
        <v/>
      </c>
      <c r="AS48" s="154">
        <f>IF(AS2&gt;=Projections!$D$28,Projections!$B$28,0)</f>
        <v/>
      </c>
      <c r="AT48" s="154">
        <f>IF(AT2&gt;=Projections!$D$28,Projections!$B$28,0)</f>
        <v/>
      </c>
      <c r="AU48" s="154">
        <f>IF(AU2&gt;=Projections!$D$28,Projections!$B$28,0)</f>
        <v/>
      </c>
      <c r="AV48" s="154">
        <f>IF(AV2&gt;=Projections!$D$28,Projections!$B$28,0)</f>
        <v/>
      </c>
      <c r="AW48" s="154">
        <f>IF(AW2&gt;=Projections!$D$28,Projections!$B$28,0)</f>
        <v/>
      </c>
      <c r="AX48" s="154">
        <f>IF(AX2&gt;=Projections!$D$28,Projections!$B$28,0)</f>
        <v/>
      </c>
      <c r="AY48" s="154">
        <f>IF(AY2&gt;=Projections!$D$28,Projections!$B$28,0)</f>
        <v/>
      </c>
      <c r="AZ48" s="154">
        <f>IF(AZ2&gt;=Projections!$D$28,Projections!$B$28,0)</f>
        <v/>
      </c>
      <c r="BA48" s="154">
        <f>IF(BA2&gt;=Projections!$D$28,Projections!$B$28,0)</f>
        <v/>
      </c>
      <c r="BB48" s="154">
        <f>IF(BB2&gt;=Projections!$D$28,Projections!$B$28,0)</f>
        <v/>
      </c>
      <c r="BC48" s="154">
        <f>IF(BC2&gt;=Projections!$D$28,Projections!$B$28,0)</f>
        <v/>
      </c>
      <c r="BD48" s="154">
        <f>IF(BD2&gt;=Projections!$D$28,Projections!$B$28,0)</f>
        <v/>
      </c>
      <c r="BE48" s="154">
        <f>IF(BE2&gt;=Projections!$D$28,Projections!$B$28,0)</f>
        <v/>
      </c>
      <c r="BF48" s="154">
        <f>IF(BF2&gt;=Projections!$D$28,Projections!$B$28,0)</f>
        <v/>
      </c>
      <c r="BG48" s="154">
        <f>IF(BG2&gt;=Projections!$D$28,Projections!$B$28,0)</f>
        <v/>
      </c>
      <c r="BH48" s="154">
        <f>IF(BH2&gt;=Projections!$D$28,Projections!$B$28,0)</f>
        <v/>
      </c>
      <c r="BI48" s="154">
        <f>IF(BI2&gt;=Projections!$D$28,Projections!$B$28,0)</f>
        <v/>
      </c>
      <c r="BJ48" s="154">
        <f>IF(BJ2&gt;=Projections!$D$28,Projections!$B$28,0)</f>
        <v/>
      </c>
      <c r="BK48" s="154">
        <f>IF(BK2&gt;=Projections!$D$28,Projections!$B$28,0)</f>
        <v/>
      </c>
      <c r="BL48" s="154">
        <f>IF(BL2&gt;=Projections!$D$28,Projections!$B$28,0)</f>
        <v/>
      </c>
      <c r="BM48" s="154">
        <f>IF(BM2&gt;=Projections!$D$28,Projections!$B$28,0)</f>
        <v/>
      </c>
      <c r="BN48" s="154">
        <f>IF(BN2&gt;=Projections!$D$28,Projections!$B$28,0)</f>
        <v/>
      </c>
      <c r="BO48" s="154">
        <f>IF(BO2&gt;=Projections!$D$28,Projections!$B$28,0)</f>
        <v/>
      </c>
      <c r="BP48" s="154">
        <f>IF(BP2&gt;=Projections!$D$28,Projections!$B$28,0)</f>
        <v/>
      </c>
      <c r="BQ48" s="154">
        <f>IF(BQ2&gt;=Projections!$D$28,Projections!$B$28,0)</f>
        <v/>
      </c>
      <c r="BR48" s="154">
        <f>IF(BR2&gt;=Projections!$D$28,Projections!$B$28,0)</f>
        <v/>
      </c>
      <c r="BS48" s="154">
        <f>IF(BS2&gt;=Projections!$D$28,Projections!$B$28,0)</f>
        <v/>
      </c>
      <c r="BT48" s="154">
        <f>IF(BT2&gt;=Projections!$D$28,Projections!$B$28,0)</f>
        <v/>
      </c>
      <c r="BU48" s="154">
        <f>IF(BU2&gt;=Projections!$D$28,Projections!$B$28,0)</f>
        <v/>
      </c>
      <c r="BV48" s="154">
        <f>IF(BV2&gt;=Projections!$D$28,Projections!$B$28,0)</f>
        <v/>
      </c>
      <c r="BW48" s="154">
        <f>IF(BW2&gt;=Projections!$D$28,Projections!$B$28,0)</f>
        <v/>
      </c>
      <c r="BX48" s="154">
        <f>IF(BX2&gt;=Projections!$D$28,Projections!$B$28,0)</f>
        <v/>
      </c>
      <c r="BY48" s="154">
        <f>IF(BY2&gt;=Projections!$D$28,Projections!$B$28,0)</f>
        <v/>
      </c>
      <c r="BZ48" s="154">
        <f>IF(BZ2&gt;=Projections!$D$28,Projections!$B$28,0)</f>
        <v/>
      </c>
      <c r="CA48" s="154">
        <f>IF(CA2&gt;=Projections!$D$28,Projections!$B$28,0)</f>
        <v/>
      </c>
      <c r="CB48" s="154">
        <f>IF(CB2&gt;=Projections!$D$28,Projections!$B$28,0)</f>
        <v/>
      </c>
      <c r="CC48" s="154">
        <f>IF(CC2&gt;=Projections!$D$28,Projections!$B$28,0)</f>
        <v/>
      </c>
      <c r="CD48" s="154">
        <f>IF(CD2&gt;=Projections!$D$28,Projections!$B$28,0)</f>
        <v/>
      </c>
      <c r="CE48" s="154">
        <f>IF(CE2&gt;=Projections!$D$28,Projections!$B$28,0)</f>
        <v/>
      </c>
      <c r="CF48" s="154">
        <f>IF(CF2&gt;=Projections!$D$28,Projections!$B$28,0)</f>
        <v/>
      </c>
      <c r="CG48" s="154">
        <f>IF(CG2&gt;=Projections!$D$28,Projections!$B$28,0)</f>
        <v/>
      </c>
      <c r="CH48" s="154">
        <f>IF(CH2&gt;=Projections!$D$28,Projections!$B$28,0)</f>
        <v/>
      </c>
      <c r="CI48" s="154">
        <f>IF(CI2&gt;=Projections!$D$28,Projections!$B$28,0)</f>
        <v/>
      </c>
      <c r="CJ48" s="154">
        <f>IF(CJ2&gt;=Projections!$D$28,Projections!$B$28,0)</f>
        <v/>
      </c>
      <c r="CK48" s="154">
        <f>IF(CK2&gt;=Projections!$D$28,Projections!$B$28,0)</f>
        <v/>
      </c>
      <c r="CL48" s="154">
        <f>IF(CL2&gt;=Projections!$D$28,Projections!$B$28,0)</f>
        <v/>
      </c>
      <c r="CM48" s="154">
        <f>IF(CM2&gt;=Projections!$D$28,Projections!$B$28,0)</f>
        <v/>
      </c>
      <c r="CN48" s="154">
        <f>IF(CN2&gt;=Projections!$D$28,Projections!$B$28,0)</f>
        <v/>
      </c>
      <c r="CO48" s="154">
        <f>IF(CO2&gt;=Projections!$D$28,Projections!$B$28,0)</f>
        <v/>
      </c>
      <c r="CP48" s="154">
        <f>IF(CP2&gt;=Projections!$D$28,Projections!$B$28,0)</f>
        <v/>
      </c>
      <c r="CQ48" s="154">
        <f>IF(CQ2&gt;=Projections!$D$28,Projections!$B$28,0)</f>
        <v/>
      </c>
      <c r="CR48" s="154">
        <f>IF(CR2&gt;=Projections!$D$28,Projections!$B$28,0)</f>
        <v/>
      </c>
      <c r="CS48" s="154">
        <f>IF(CS2&gt;=Projections!$D$28,Projections!$B$28,0)</f>
        <v/>
      </c>
      <c r="CT48" s="154">
        <f>IF(CT2&gt;=Projections!$D$28,Projections!$B$28,0)</f>
        <v/>
      </c>
      <c r="CU48" s="154">
        <f>IF(CU2&gt;=Projections!$D$28,Projections!$B$28,0)</f>
        <v/>
      </c>
      <c r="CV48" s="154">
        <f>IF(CV2&gt;=Projections!$D$28,Projections!$B$28,0)</f>
        <v/>
      </c>
      <c r="CW48" s="154">
        <f>IF(CW2&gt;=Projections!$D$28,Projections!$B$28,0)</f>
        <v/>
      </c>
    </row>
    <row r="49" ht="15.75" customHeight="1" s="255">
      <c r="A49" s="42" t="inlineStr">
        <is>
          <t>ARPPU</t>
        </is>
      </c>
      <c r="B49" s="42" t="n"/>
      <c r="C49" s="154">
        <f>C48</f>
        <v/>
      </c>
      <c r="D49" s="154">
        <f>D48</f>
        <v/>
      </c>
      <c r="E49" s="154">
        <f>E48</f>
        <v/>
      </c>
      <c r="F49" s="154">
        <f>F48</f>
        <v/>
      </c>
      <c r="G49" s="154">
        <f>G48</f>
        <v/>
      </c>
      <c r="H49" s="154">
        <f>H48</f>
        <v/>
      </c>
      <c r="I49" s="154">
        <f>I48</f>
        <v/>
      </c>
      <c r="J49" s="154">
        <f>J48</f>
        <v/>
      </c>
      <c r="K49" s="154">
        <f>K48</f>
        <v/>
      </c>
      <c r="L49" s="154">
        <f>L48</f>
        <v/>
      </c>
      <c r="M49" s="154">
        <f>M48</f>
        <v/>
      </c>
      <c r="N49" s="154">
        <f>N48</f>
        <v/>
      </c>
      <c r="O49" s="154">
        <f>O48</f>
        <v/>
      </c>
      <c r="P49" s="154">
        <f>P48</f>
        <v/>
      </c>
      <c r="Q49" s="154">
        <f>Q48</f>
        <v/>
      </c>
      <c r="R49" s="154">
        <f>R48</f>
        <v/>
      </c>
      <c r="S49" s="154">
        <f>S48</f>
        <v/>
      </c>
      <c r="T49" s="154">
        <f>T48</f>
        <v/>
      </c>
      <c r="U49" s="154">
        <f>U48</f>
        <v/>
      </c>
      <c r="V49" s="154">
        <f>V48</f>
        <v/>
      </c>
      <c r="W49" s="154">
        <f>W48</f>
        <v/>
      </c>
      <c r="X49" s="154">
        <f>X48</f>
        <v/>
      </c>
      <c r="Y49" s="154">
        <f>Y48</f>
        <v/>
      </c>
      <c r="Z49" s="154">
        <f>Z48</f>
        <v/>
      </c>
      <c r="AA49" s="154">
        <f>AA48</f>
        <v/>
      </c>
      <c r="AB49" s="154">
        <f>AB48</f>
        <v/>
      </c>
      <c r="AC49" s="154">
        <f>AC48</f>
        <v/>
      </c>
      <c r="AD49" s="154">
        <f>AD48</f>
        <v/>
      </c>
      <c r="AE49" s="154">
        <f>AE48</f>
        <v/>
      </c>
      <c r="AF49" s="154">
        <f>AF48</f>
        <v/>
      </c>
      <c r="AG49" s="154">
        <f>AG48</f>
        <v/>
      </c>
      <c r="AH49" s="154">
        <f>AH48</f>
        <v/>
      </c>
      <c r="AI49" s="154">
        <f>AI48</f>
        <v/>
      </c>
      <c r="AJ49" s="154">
        <f>AJ48</f>
        <v/>
      </c>
      <c r="AK49" s="154">
        <f>AK48</f>
        <v/>
      </c>
      <c r="AL49" s="154">
        <f>AL48</f>
        <v/>
      </c>
      <c r="AM49" s="154">
        <f>AM48</f>
        <v/>
      </c>
      <c r="AN49" s="154">
        <f>AN48</f>
        <v/>
      </c>
      <c r="AO49" s="154">
        <f>AO48</f>
        <v/>
      </c>
      <c r="AP49" s="154">
        <f>AP48</f>
        <v/>
      </c>
      <c r="AQ49" s="154">
        <f>AQ48</f>
        <v/>
      </c>
      <c r="AR49" s="154">
        <f>AR48</f>
        <v/>
      </c>
      <c r="AS49" s="154">
        <f>AS48</f>
        <v/>
      </c>
      <c r="AT49" s="154">
        <f>AT48</f>
        <v/>
      </c>
      <c r="AU49" s="154">
        <f>AU48</f>
        <v/>
      </c>
      <c r="AV49" s="154">
        <f>AV48</f>
        <v/>
      </c>
      <c r="AW49" s="154">
        <f>AW48</f>
        <v/>
      </c>
      <c r="AX49" s="154">
        <f>AX48</f>
        <v/>
      </c>
      <c r="AY49" s="154">
        <f>AY48</f>
        <v/>
      </c>
      <c r="AZ49" s="154">
        <f>AZ48</f>
        <v/>
      </c>
      <c r="BA49" s="154">
        <f>BA48</f>
        <v/>
      </c>
      <c r="BB49" s="154">
        <f>BB48</f>
        <v/>
      </c>
      <c r="BC49" s="154">
        <f>BC48</f>
        <v/>
      </c>
      <c r="BD49" s="154">
        <f>BD48</f>
        <v/>
      </c>
      <c r="BE49" s="154">
        <f>BE48</f>
        <v/>
      </c>
      <c r="BF49" s="154">
        <f>BF48</f>
        <v/>
      </c>
      <c r="BG49" s="154">
        <f>BG48</f>
        <v/>
      </c>
      <c r="BH49" s="154">
        <f>BH48</f>
        <v/>
      </c>
      <c r="BI49" s="154">
        <f>BI48</f>
        <v/>
      </c>
      <c r="BJ49" s="154">
        <f>BJ48</f>
        <v/>
      </c>
      <c r="BK49" s="154">
        <f>BK48</f>
        <v/>
      </c>
      <c r="BL49" s="154">
        <f>BL48</f>
        <v/>
      </c>
      <c r="BM49" s="154">
        <f>BM48</f>
        <v/>
      </c>
      <c r="BN49" s="154">
        <f>BN48</f>
        <v/>
      </c>
      <c r="BO49" s="154">
        <f>BO48</f>
        <v/>
      </c>
      <c r="BP49" s="154">
        <f>BP48</f>
        <v/>
      </c>
      <c r="BQ49" s="154">
        <f>BQ48</f>
        <v/>
      </c>
      <c r="BR49" s="154">
        <f>BR48</f>
        <v/>
      </c>
      <c r="BS49" s="154">
        <f>BS48</f>
        <v/>
      </c>
      <c r="BT49" s="154">
        <f>BT48</f>
        <v/>
      </c>
      <c r="BU49" s="154">
        <f>BU48</f>
        <v/>
      </c>
      <c r="BV49" s="154">
        <f>BV48</f>
        <v/>
      </c>
      <c r="BW49" s="154">
        <f>BW48</f>
        <v/>
      </c>
      <c r="BX49" s="154">
        <f>BX48</f>
        <v/>
      </c>
      <c r="BY49" s="154">
        <f>BY48</f>
        <v/>
      </c>
      <c r="BZ49" s="154">
        <f>BZ48</f>
        <v/>
      </c>
      <c r="CA49" s="154">
        <f>CA48</f>
        <v/>
      </c>
      <c r="CB49" s="154">
        <f>CB48</f>
        <v/>
      </c>
      <c r="CC49" s="154">
        <f>CC48</f>
        <v/>
      </c>
      <c r="CD49" s="154">
        <f>CD48</f>
        <v/>
      </c>
      <c r="CE49" s="154">
        <f>CE48</f>
        <v/>
      </c>
      <c r="CF49" s="154">
        <f>CF48</f>
        <v/>
      </c>
      <c r="CG49" s="154">
        <f>CG48</f>
        <v/>
      </c>
      <c r="CH49" s="154">
        <f>CH48</f>
        <v/>
      </c>
      <c r="CI49" s="154">
        <f>CI48</f>
        <v/>
      </c>
      <c r="CJ49" s="154">
        <f>CJ48</f>
        <v/>
      </c>
      <c r="CK49" s="154">
        <f>CK48</f>
        <v/>
      </c>
      <c r="CL49" s="154">
        <f>CL48</f>
        <v/>
      </c>
      <c r="CM49" s="154">
        <f>CM48</f>
        <v/>
      </c>
      <c r="CN49" s="154">
        <f>CN48</f>
        <v/>
      </c>
      <c r="CO49" s="154">
        <f>CO48</f>
        <v/>
      </c>
      <c r="CP49" s="154">
        <f>CP48</f>
        <v/>
      </c>
      <c r="CQ49" s="154">
        <f>CQ48</f>
        <v/>
      </c>
      <c r="CR49" s="154">
        <f>CR48</f>
        <v/>
      </c>
      <c r="CS49" s="154">
        <f>CS48</f>
        <v/>
      </c>
      <c r="CT49" s="154">
        <f>CT48</f>
        <v/>
      </c>
      <c r="CU49" s="154">
        <f>CU48</f>
        <v/>
      </c>
      <c r="CV49" s="154">
        <f>CV48</f>
        <v/>
      </c>
      <c r="CW49" s="154">
        <f>CW48</f>
        <v/>
      </c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  <c r="BF50" s="42" t="n"/>
      <c r="BG50" s="42" t="n"/>
      <c r="BH50" s="42" t="n"/>
      <c r="BI50" s="42" t="n"/>
      <c r="BJ50" s="42" t="n"/>
      <c r="BK50" s="42" t="n"/>
      <c r="BL50" s="42" t="n"/>
      <c r="BM50" s="42" t="n"/>
      <c r="BN50" s="42" t="n"/>
      <c r="BO50" s="42" t="n"/>
      <c r="BP50" s="42" t="n"/>
      <c r="BQ50" s="42" t="n"/>
      <c r="BR50" s="42" t="n"/>
      <c r="BS50" s="42" t="n"/>
      <c r="BT50" s="42" t="n"/>
      <c r="BU50" s="42" t="n"/>
      <c r="BV50" s="42" t="n"/>
      <c r="BW50" s="42" t="n"/>
      <c r="BX50" s="42" t="n"/>
      <c r="BY50" s="42" t="n"/>
      <c r="BZ50" s="42" t="n"/>
      <c r="CA50" s="42" t="n"/>
      <c r="CB50" s="42" t="n"/>
      <c r="CC50" s="42" t="n"/>
      <c r="CD50" s="42" t="n"/>
      <c r="CE50" s="42" t="n"/>
      <c r="CF50" s="42" t="n"/>
      <c r="CG50" s="42" t="n"/>
      <c r="CH50" s="42" t="n"/>
      <c r="CI50" s="42" t="n"/>
      <c r="CJ50" s="42" t="n"/>
      <c r="CK50" s="42" t="n"/>
      <c r="CL50" s="42" t="n"/>
      <c r="CM50" s="42" t="n"/>
      <c r="CN50" s="42" t="n"/>
      <c r="CO50" s="42" t="n"/>
      <c r="CP50" s="42" t="n"/>
      <c r="CQ50" s="42" t="n"/>
      <c r="CR50" s="42" t="n"/>
      <c r="CS50" s="42" t="n"/>
      <c r="CT50" s="42" t="n"/>
      <c r="CU50" s="42" t="n"/>
      <c r="CV50" s="42" t="n"/>
      <c r="CW50" s="42" t="n"/>
    </row>
    <row r="51" ht="15.75" customHeight="1" s="255">
      <c r="A51" s="42" t="inlineStr">
        <is>
          <t>Churn</t>
        </is>
      </c>
      <c r="B51" s="42" t="n"/>
      <c r="C51" s="56">
        <f>'Monthly forecast'!D60</f>
        <v/>
      </c>
      <c r="D51" s="34">
        <f>'Monthly forecast'!E38</f>
        <v/>
      </c>
      <c r="E51" s="34">
        <f>'Monthly forecast'!F38</f>
        <v/>
      </c>
      <c r="F51" s="34">
        <f>'Monthly forecast'!G38</f>
        <v/>
      </c>
      <c r="G51" s="34">
        <f>'Monthly forecast'!H38</f>
        <v/>
      </c>
      <c r="H51" s="34">
        <f>'Monthly forecast'!I38</f>
        <v/>
      </c>
      <c r="I51" s="34">
        <f>'Monthly forecast'!J38</f>
        <v/>
      </c>
      <c r="J51" s="34">
        <f>'Monthly forecast'!K38</f>
        <v/>
      </c>
      <c r="K51" s="34">
        <f>'Monthly forecast'!L38</f>
        <v/>
      </c>
      <c r="L51" s="34">
        <f>'Monthly forecast'!M38</f>
        <v/>
      </c>
      <c r="M51" s="34">
        <f>'Monthly forecast'!N38</f>
        <v/>
      </c>
      <c r="N51" s="34">
        <f>'Monthly forecast'!O38</f>
        <v/>
      </c>
      <c r="O51" s="34">
        <f>'Monthly forecast'!P38</f>
        <v/>
      </c>
      <c r="P51" s="34">
        <f>'Monthly forecast'!Q38</f>
        <v/>
      </c>
      <c r="Q51" s="34">
        <f>'Monthly forecast'!R38</f>
        <v/>
      </c>
      <c r="R51" s="34">
        <f>'Monthly forecast'!S38</f>
        <v/>
      </c>
      <c r="S51" s="34">
        <f>'Monthly forecast'!T38</f>
        <v/>
      </c>
      <c r="T51" s="34">
        <f>'Monthly forecast'!U38</f>
        <v/>
      </c>
      <c r="U51" s="34">
        <f>'Monthly forecast'!V38</f>
        <v/>
      </c>
      <c r="V51" s="34">
        <f>'Monthly forecast'!W38</f>
        <v/>
      </c>
      <c r="W51" s="34">
        <f>'Monthly forecast'!X38</f>
        <v/>
      </c>
      <c r="X51" s="34">
        <f>'Monthly forecast'!Y38</f>
        <v/>
      </c>
      <c r="Y51" s="34">
        <f>'Monthly forecast'!Z38</f>
        <v/>
      </c>
      <c r="Z51" s="34">
        <f>'Monthly forecast'!AA38</f>
        <v/>
      </c>
      <c r="AA51" s="34">
        <f>'Monthly forecast'!AB38</f>
        <v/>
      </c>
      <c r="AB51" s="34">
        <f>'Monthly forecast'!AC38</f>
        <v/>
      </c>
      <c r="AC51" s="34">
        <f>'Monthly forecast'!AD38</f>
        <v/>
      </c>
      <c r="AD51" s="34">
        <f>'Monthly forecast'!AE38</f>
        <v/>
      </c>
      <c r="AE51" s="34">
        <f>'Monthly forecast'!AF38</f>
        <v/>
      </c>
      <c r="AF51" s="34">
        <f>'Monthly forecast'!AG38</f>
        <v/>
      </c>
      <c r="AG51" s="34">
        <f>'Monthly forecast'!AH38</f>
        <v/>
      </c>
      <c r="AH51" s="34">
        <f>'Monthly forecast'!AI38</f>
        <v/>
      </c>
      <c r="AI51" s="34">
        <f>'Monthly forecast'!AJ38</f>
        <v/>
      </c>
      <c r="AJ51" s="34">
        <f>'Monthly forecast'!AK38</f>
        <v/>
      </c>
      <c r="AK51" s="34">
        <f>'Monthly forecast'!AL38</f>
        <v/>
      </c>
      <c r="AL51" s="34">
        <f>'Monthly forecast'!AM38</f>
        <v/>
      </c>
      <c r="AM51" s="34">
        <f>'Monthly forecast'!AN38</f>
        <v/>
      </c>
      <c r="AN51" s="34">
        <f>'Monthly forecast'!AO38</f>
        <v/>
      </c>
      <c r="AO51" s="34">
        <f>'Monthly forecast'!AP38</f>
        <v/>
      </c>
      <c r="AP51" s="34">
        <f>'Monthly forecast'!AQ38</f>
        <v/>
      </c>
      <c r="AQ51" s="34">
        <f>'Monthly forecast'!AR38</f>
        <v/>
      </c>
      <c r="AR51" s="34">
        <f>'Monthly forecast'!AS38</f>
        <v/>
      </c>
      <c r="AS51" s="34">
        <f>'Monthly forecast'!AT38</f>
        <v/>
      </c>
      <c r="AT51" s="34">
        <f>'Monthly forecast'!AU38</f>
        <v/>
      </c>
      <c r="AU51" s="34">
        <f>'Monthly forecast'!AV38</f>
        <v/>
      </c>
      <c r="AV51" s="34">
        <f>'Monthly forecast'!AW38</f>
        <v/>
      </c>
      <c r="AW51" s="34">
        <f>'Monthly forecast'!AX38</f>
        <v/>
      </c>
      <c r="AX51" s="34">
        <f>'Monthly forecast'!AY38</f>
        <v/>
      </c>
      <c r="AY51" s="34">
        <f>'Monthly forecast'!AZ38</f>
        <v/>
      </c>
      <c r="AZ51" s="34">
        <f>'Monthly forecast'!BA38</f>
        <v/>
      </c>
      <c r="BA51" s="34">
        <f>'Monthly forecast'!BB38</f>
        <v/>
      </c>
      <c r="BB51" s="34">
        <f>'Monthly forecast'!BC38</f>
        <v/>
      </c>
      <c r="BC51" s="34">
        <f>'Monthly forecast'!BD38</f>
        <v/>
      </c>
      <c r="BD51" s="34">
        <f>'Monthly forecast'!BE38</f>
        <v/>
      </c>
      <c r="BE51" s="34">
        <f>'Monthly forecast'!BF38</f>
        <v/>
      </c>
      <c r="BF51" s="34">
        <f>'Monthly forecast'!BG38</f>
        <v/>
      </c>
      <c r="BG51" s="34">
        <f>'Monthly forecast'!BH38</f>
        <v/>
      </c>
      <c r="BH51" s="34">
        <f>'Monthly forecast'!BI38</f>
        <v/>
      </c>
      <c r="BI51" s="34">
        <f>'Monthly forecast'!BJ38</f>
        <v/>
      </c>
      <c r="BJ51" s="34">
        <f>'Monthly forecast'!BK38</f>
        <v/>
      </c>
      <c r="BK51" s="34">
        <f>'Monthly forecast'!BL38</f>
        <v/>
      </c>
      <c r="BL51" s="34">
        <f>'Monthly forecast'!BM38</f>
        <v/>
      </c>
      <c r="BM51" s="34">
        <f>'Monthly forecast'!BN38</f>
        <v/>
      </c>
      <c r="BN51" s="34">
        <f>'Monthly forecast'!BO38</f>
        <v/>
      </c>
      <c r="BO51" s="34">
        <f>'Monthly forecast'!BP38</f>
        <v/>
      </c>
      <c r="BP51" s="34">
        <f>'Monthly forecast'!BQ38</f>
        <v/>
      </c>
      <c r="BQ51" s="34">
        <f>'Monthly forecast'!BR38</f>
        <v/>
      </c>
      <c r="BR51" s="34">
        <f>'Monthly forecast'!BS38</f>
        <v/>
      </c>
      <c r="BS51" s="34">
        <f>'Monthly forecast'!BT38</f>
        <v/>
      </c>
      <c r="BT51" s="34">
        <f>'Monthly forecast'!BU38</f>
        <v/>
      </c>
      <c r="BU51" s="34">
        <f>'Monthly forecast'!BV38</f>
        <v/>
      </c>
      <c r="BV51" s="34">
        <f>'Monthly forecast'!BW38</f>
        <v/>
      </c>
      <c r="BW51" s="34">
        <f>'Monthly forecast'!BX38</f>
        <v/>
      </c>
      <c r="BX51" s="34">
        <f>'Monthly forecast'!BY38</f>
        <v/>
      </c>
      <c r="BY51" s="34">
        <f>'Monthly forecast'!BZ38</f>
        <v/>
      </c>
      <c r="BZ51" s="34">
        <f>'Monthly forecast'!CA38</f>
        <v/>
      </c>
      <c r="CA51" s="34">
        <f>'Monthly forecast'!CB38</f>
        <v/>
      </c>
      <c r="CB51" s="34">
        <f>'Monthly forecast'!CC38</f>
        <v/>
      </c>
      <c r="CC51" s="34">
        <f>'Monthly forecast'!CD38</f>
        <v/>
      </c>
      <c r="CD51" s="34">
        <f>'Monthly forecast'!CE38</f>
        <v/>
      </c>
      <c r="CE51" s="34">
        <f>'Monthly forecast'!CF38</f>
        <v/>
      </c>
      <c r="CF51" s="34">
        <f>'Monthly forecast'!CG38</f>
        <v/>
      </c>
      <c r="CG51" s="34">
        <f>'Monthly forecast'!CH38</f>
        <v/>
      </c>
      <c r="CH51" s="34">
        <f>'Monthly forecast'!CI38</f>
        <v/>
      </c>
      <c r="CI51" s="34">
        <f>'Monthly forecast'!CJ38</f>
        <v/>
      </c>
      <c r="CJ51" s="34">
        <f>'Monthly forecast'!CK38</f>
        <v/>
      </c>
      <c r="CK51" s="34">
        <f>'Monthly forecast'!CL38</f>
        <v/>
      </c>
      <c r="CL51" s="34">
        <f>'Monthly forecast'!CM38</f>
        <v/>
      </c>
      <c r="CM51" s="34">
        <f>'Monthly forecast'!CN38</f>
        <v/>
      </c>
      <c r="CN51" s="34">
        <f>'Monthly forecast'!CO38</f>
        <v/>
      </c>
      <c r="CO51" s="34">
        <f>'Monthly forecast'!CP38</f>
        <v/>
      </c>
      <c r="CP51" s="34">
        <f>'Monthly forecast'!CQ38</f>
        <v/>
      </c>
      <c r="CQ51" s="34">
        <f>'Monthly forecast'!CR38</f>
        <v/>
      </c>
      <c r="CR51" s="34">
        <f>'Monthly forecast'!CS38</f>
        <v/>
      </c>
      <c r="CS51" s="34">
        <f>'Monthly forecast'!CT38</f>
        <v/>
      </c>
      <c r="CT51" s="34">
        <f>'Monthly forecast'!CU38</f>
        <v/>
      </c>
      <c r="CU51" s="34">
        <f>'Monthly forecast'!CV38</f>
        <v/>
      </c>
      <c r="CV51" s="34">
        <f>'Monthly forecast'!CW38</f>
        <v/>
      </c>
      <c r="CW51" s="34">
        <f>'Monthly forecast'!CX38</f>
        <v/>
      </c>
    </row>
    <row r="52" ht="15.75" customHeight="1" s="255">
      <c r="A52" s="155" t="inlineStr">
        <is>
          <t>LT (Ilifetime)</t>
        </is>
      </c>
      <c r="B52" s="155" t="n"/>
      <c r="C52" s="156">
        <f>IFERROR(1/C51,0)</f>
        <v/>
      </c>
      <c r="D52" s="156">
        <f>IFERROR(1/D51,0)</f>
        <v/>
      </c>
      <c r="E52" s="156">
        <f>IFERROR(1/E51,0)</f>
        <v/>
      </c>
      <c r="F52" s="156">
        <f>IFERROR(1/F51,0)</f>
        <v/>
      </c>
      <c r="G52" s="156">
        <f>IFERROR(1/G51,0)</f>
        <v/>
      </c>
      <c r="H52" s="156">
        <f>IFERROR(1/H51,0)</f>
        <v/>
      </c>
      <c r="I52" s="156">
        <f>IFERROR(1/I51,0)</f>
        <v/>
      </c>
      <c r="J52" s="156">
        <f>IFERROR(1/J51,0)</f>
        <v/>
      </c>
      <c r="K52" s="156">
        <f>IFERROR(1/K51,0)</f>
        <v/>
      </c>
      <c r="L52" s="156">
        <f>IFERROR(1/L51,0)</f>
        <v/>
      </c>
      <c r="M52" s="156">
        <f>IFERROR(1/M51,0)</f>
        <v/>
      </c>
      <c r="N52" s="156">
        <f>IFERROR(1/N51,0)</f>
        <v/>
      </c>
      <c r="O52" s="156">
        <f>IFERROR(1/O51,0)</f>
        <v/>
      </c>
      <c r="P52" s="156">
        <f>IFERROR(1/P51,0)</f>
        <v/>
      </c>
      <c r="Q52" s="156">
        <f>IFERROR(1/Q51,0)</f>
        <v/>
      </c>
      <c r="R52" s="156">
        <f>IFERROR(1/R51,0)</f>
        <v/>
      </c>
      <c r="S52" s="156">
        <f>IFERROR(1/S51,0)</f>
        <v/>
      </c>
      <c r="T52" s="156">
        <f>IFERROR(1/T51,0)</f>
        <v/>
      </c>
      <c r="U52" s="156">
        <f>IFERROR(1/U51,0)</f>
        <v/>
      </c>
      <c r="V52" s="156">
        <f>IFERROR(1/V51,0)</f>
        <v/>
      </c>
      <c r="W52" s="156">
        <f>IFERROR(1/W51,0)</f>
        <v/>
      </c>
      <c r="X52" s="156">
        <f>IFERROR(1/X51,0)</f>
        <v/>
      </c>
      <c r="Y52" s="156">
        <f>IFERROR(1/Y51,0)</f>
        <v/>
      </c>
      <c r="Z52" s="156">
        <f>IFERROR(1/Z51,0)</f>
        <v/>
      </c>
      <c r="AA52" s="156">
        <f>IFERROR(1/AA51,0)</f>
        <v/>
      </c>
      <c r="AB52" s="156">
        <f>IFERROR(1/AB51,0)</f>
        <v/>
      </c>
      <c r="AC52" s="156">
        <f>IFERROR(1/AC51,0)</f>
        <v/>
      </c>
      <c r="AD52" s="156">
        <f>IFERROR(1/AD51,0)</f>
        <v/>
      </c>
      <c r="AE52" s="156">
        <f>IFERROR(1/AE51,0)</f>
        <v/>
      </c>
      <c r="AF52" s="156">
        <f>IFERROR(1/AF51,0)</f>
        <v/>
      </c>
      <c r="AG52" s="156">
        <f>IFERROR(1/AG51,0)</f>
        <v/>
      </c>
      <c r="AH52" s="156">
        <f>IFERROR(1/AH51,0)</f>
        <v/>
      </c>
      <c r="AI52" s="156">
        <f>IFERROR(1/AI51,0)</f>
        <v/>
      </c>
      <c r="AJ52" s="156">
        <f>IFERROR(1/AJ51,0)</f>
        <v/>
      </c>
      <c r="AK52" s="156">
        <f>IFERROR(1/AK51,0)</f>
        <v/>
      </c>
      <c r="AL52" s="156">
        <f>IFERROR(1/AL51,0)</f>
        <v/>
      </c>
      <c r="AM52" s="156">
        <f>IFERROR(1/AM51,0)</f>
        <v/>
      </c>
      <c r="AN52" s="156">
        <f>IFERROR(1/AN51,0)</f>
        <v/>
      </c>
      <c r="AO52" s="156">
        <f>IFERROR(1/AO51,0)</f>
        <v/>
      </c>
      <c r="AP52" s="156">
        <f>IFERROR(1/AP51,0)</f>
        <v/>
      </c>
      <c r="AQ52" s="156">
        <f>IFERROR(1/AQ51,0)</f>
        <v/>
      </c>
      <c r="AR52" s="156">
        <f>IFERROR(1/AR51,0)</f>
        <v/>
      </c>
      <c r="AS52" s="156">
        <f>IFERROR(1/AS51,0)</f>
        <v/>
      </c>
      <c r="AT52" s="156">
        <f>IFERROR(1/AT51,0)</f>
        <v/>
      </c>
      <c r="AU52" s="156">
        <f>IFERROR(1/AU51,0)</f>
        <v/>
      </c>
      <c r="AV52" s="156">
        <f>IFERROR(1/AV51,0)</f>
        <v/>
      </c>
      <c r="AW52" s="156">
        <f>IFERROR(1/AW51,0)</f>
        <v/>
      </c>
      <c r="AX52" s="156">
        <f>IFERROR(1/AX51,0)</f>
        <v/>
      </c>
      <c r="AY52" s="156">
        <f>IFERROR(1/AY51,0)</f>
        <v/>
      </c>
      <c r="AZ52" s="156">
        <f>IFERROR(1/AZ51,0)</f>
        <v/>
      </c>
      <c r="BA52" s="156">
        <f>IFERROR(1/BA51,0)</f>
        <v/>
      </c>
      <c r="BB52" s="156">
        <f>IFERROR(1/BB51,0)</f>
        <v/>
      </c>
      <c r="BC52" s="156">
        <f>IFERROR(1/BC51,0)</f>
        <v/>
      </c>
      <c r="BD52" s="156">
        <f>IFERROR(1/BD51,0)</f>
        <v/>
      </c>
      <c r="BE52" s="156">
        <f>IFERROR(1/BE51,0)</f>
        <v/>
      </c>
      <c r="BF52" s="156">
        <f>IFERROR(1/BF51,0)</f>
        <v/>
      </c>
      <c r="BG52" s="156">
        <f>IFERROR(1/BG51,0)</f>
        <v/>
      </c>
      <c r="BH52" s="156">
        <f>IFERROR(1/BH51,0)</f>
        <v/>
      </c>
      <c r="BI52" s="156">
        <f>IFERROR(1/BI51,0)</f>
        <v/>
      </c>
      <c r="BJ52" s="156">
        <f>IFERROR(1/BJ51,0)</f>
        <v/>
      </c>
      <c r="BK52" s="156">
        <f>IFERROR(1/BK51,0)</f>
        <v/>
      </c>
      <c r="BL52" s="156">
        <f>IFERROR(1/BL51,0)</f>
        <v/>
      </c>
      <c r="BM52" s="156">
        <f>IFERROR(1/BM51,0)</f>
        <v/>
      </c>
      <c r="BN52" s="156">
        <f>IFERROR(1/BN51,0)</f>
        <v/>
      </c>
      <c r="BO52" s="156">
        <f>IFERROR(1/BO51,0)</f>
        <v/>
      </c>
      <c r="BP52" s="156">
        <f>IFERROR(1/BP51,0)</f>
        <v/>
      </c>
      <c r="BQ52" s="156">
        <f>IFERROR(1/BQ51,0)</f>
        <v/>
      </c>
      <c r="BR52" s="156">
        <f>IFERROR(1/BR51,0)</f>
        <v/>
      </c>
      <c r="BS52" s="156">
        <f>IFERROR(1/BS51,0)</f>
        <v/>
      </c>
      <c r="BT52" s="156">
        <f>IFERROR(1/BT51,0)</f>
        <v/>
      </c>
      <c r="BU52" s="156">
        <f>IFERROR(1/BU51,0)</f>
        <v/>
      </c>
      <c r="BV52" s="156">
        <f>IFERROR(1/BV51,0)</f>
        <v/>
      </c>
      <c r="BW52" s="156">
        <f>IFERROR(1/BW51,0)</f>
        <v/>
      </c>
      <c r="BX52" s="156">
        <f>IFERROR(1/BX51,0)</f>
        <v/>
      </c>
      <c r="BY52" s="156">
        <f>IFERROR(1/BY51,0)</f>
        <v/>
      </c>
      <c r="BZ52" s="156">
        <f>IFERROR(1/BZ51,0)</f>
        <v/>
      </c>
      <c r="CA52" s="156">
        <f>IFERROR(1/CA51,0)</f>
        <v/>
      </c>
      <c r="CB52" s="156">
        <f>IFERROR(1/CB51,0)</f>
        <v/>
      </c>
      <c r="CC52" s="156">
        <f>IFERROR(1/CC51,0)</f>
        <v/>
      </c>
      <c r="CD52" s="156">
        <f>IFERROR(1/CD51,0)</f>
        <v/>
      </c>
      <c r="CE52" s="156">
        <f>IFERROR(1/CE51,0)</f>
        <v/>
      </c>
      <c r="CF52" s="156">
        <f>IFERROR(1/CF51,0)</f>
        <v/>
      </c>
      <c r="CG52" s="156">
        <f>IFERROR(1/CG51,0)</f>
        <v/>
      </c>
      <c r="CH52" s="156">
        <f>IFERROR(1/CH51,0)</f>
        <v/>
      </c>
      <c r="CI52" s="156">
        <f>IFERROR(1/CI51,0)</f>
        <v/>
      </c>
      <c r="CJ52" s="156">
        <f>IFERROR(1/CJ51,0)</f>
        <v/>
      </c>
      <c r="CK52" s="156">
        <f>IFERROR(1/CK51,0)</f>
        <v/>
      </c>
      <c r="CL52" s="156">
        <f>IFERROR(1/CL51,0)</f>
        <v/>
      </c>
      <c r="CM52" s="156">
        <f>IFERROR(1/CM51,0)</f>
        <v/>
      </c>
      <c r="CN52" s="156">
        <f>IFERROR(1/CN51,0)</f>
        <v/>
      </c>
      <c r="CO52" s="156">
        <f>IFERROR(1/CO51,0)</f>
        <v/>
      </c>
      <c r="CP52" s="156">
        <f>IFERROR(1/CP51,0)</f>
        <v/>
      </c>
      <c r="CQ52" s="156">
        <f>IFERROR(1/CQ51,0)</f>
        <v/>
      </c>
      <c r="CR52" s="156">
        <f>IFERROR(1/CR51,0)</f>
        <v/>
      </c>
      <c r="CS52" s="156">
        <f>IFERROR(1/CS51,0)</f>
        <v/>
      </c>
      <c r="CT52" s="156">
        <f>IFERROR(1/CT51,0)</f>
        <v/>
      </c>
      <c r="CU52" s="156">
        <f>IFERROR(1/CU51,0)</f>
        <v/>
      </c>
      <c r="CV52" s="156">
        <f>IFERROR(1/CV51,0)</f>
        <v/>
      </c>
      <c r="CW52" s="156">
        <f>IFERROR(1/CW51,0)</f>
        <v/>
      </c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  <c r="CF53" s="42" t="n"/>
      <c r="CG53" s="42" t="n"/>
      <c r="CH53" s="42" t="n"/>
      <c r="CI53" s="42" t="n"/>
      <c r="CJ53" s="42" t="n"/>
      <c r="CK53" s="42" t="n"/>
      <c r="CL53" s="42" t="n"/>
      <c r="CM53" s="42" t="n"/>
      <c r="CN53" s="42" t="n"/>
      <c r="CO53" s="42" t="n"/>
      <c r="CP53" s="42" t="n"/>
      <c r="CQ53" s="42" t="n"/>
      <c r="CR53" s="42" t="n"/>
      <c r="CS53" s="42" t="n"/>
      <c r="CT53" s="42" t="n"/>
      <c r="CU53" s="42" t="n"/>
      <c r="CV53" s="42" t="n"/>
      <c r="CW53" s="42" t="n"/>
    </row>
    <row r="54" ht="15.75" customHeight="1" s="255">
      <c r="A54" s="59" t="inlineStr">
        <is>
          <t>LTV</t>
        </is>
      </c>
      <c r="B54" s="59" t="n"/>
      <c r="C54" s="157">
        <f>C49*C52</f>
        <v/>
      </c>
      <c r="D54" s="158">
        <f>D49*D52</f>
        <v/>
      </c>
      <c r="E54" s="158">
        <f>E49*E52</f>
        <v/>
      </c>
      <c r="F54" s="158">
        <f>F49*F52</f>
        <v/>
      </c>
      <c r="G54" s="158">
        <f>G49*G52</f>
        <v/>
      </c>
      <c r="H54" s="158">
        <f>H49*H52</f>
        <v/>
      </c>
      <c r="I54" s="158">
        <f>I49*I52</f>
        <v/>
      </c>
      <c r="J54" s="158">
        <f>J49*J52</f>
        <v/>
      </c>
      <c r="K54" s="158">
        <f>K49*K52</f>
        <v/>
      </c>
      <c r="L54" s="158">
        <f>L49*L52</f>
        <v/>
      </c>
      <c r="M54" s="158">
        <f>M49*M52</f>
        <v/>
      </c>
      <c r="N54" s="158">
        <f>N49*N52</f>
        <v/>
      </c>
      <c r="O54" s="158">
        <f>O49*O52</f>
        <v/>
      </c>
      <c r="P54" s="158">
        <f>P49*P52</f>
        <v/>
      </c>
      <c r="Q54" s="158">
        <f>Q49*Q52</f>
        <v/>
      </c>
      <c r="R54" s="158">
        <f>R49*R52</f>
        <v/>
      </c>
      <c r="S54" s="158">
        <f>S49*S52</f>
        <v/>
      </c>
      <c r="T54" s="158">
        <f>T49*T52</f>
        <v/>
      </c>
      <c r="U54" s="158">
        <f>U49*U52</f>
        <v/>
      </c>
      <c r="V54" s="158">
        <f>V49*V52</f>
        <v/>
      </c>
      <c r="W54" s="158">
        <f>W49*W52</f>
        <v/>
      </c>
      <c r="X54" s="158">
        <f>X49*X52</f>
        <v/>
      </c>
      <c r="Y54" s="158">
        <f>Y49*Y52</f>
        <v/>
      </c>
      <c r="Z54" s="158">
        <f>Z49*Z52</f>
        <v/>
      </c>
      <c r="AA54" s="158">
        <f>AA49*AA52</f>
        <v/>
      </c>
      <c r="AB54" s="158">
        <f>AB49*AB52</f>
        <v/>
      </c>
      <c r="AC54" s="158">
        <f>AC49*AC52</f>
        <v/>
      </c>
      <c r="AD54" s="158">
        <f>AD49*AD52</f>
        <v/>
      </c>
      <c r="AE54" s="158">
        <f>AE49*AE52</f>
        <v/>
      </c>
      <c r="AF54" s="158">
        <f>AF49*AF52</f>
        <v/>
      </c>
      <c r="AG54" s="158">
        <f>AG49*AG52</f>
        <v/>
      </c>
      <c r="AH54" s="158">
        <f>AH49*AH52</f>
        <v/>
      </c>
      <c r="AI54" s="158">
        <f>AI49*AI52</f>
        <v/>
      </c>
      <c r="AJ54" s="158">
        <f>AJ49*AJ52</f>
        <v/>
      </c>
      <c r="AK54" s="158">
        <f>AK49*AK52</f>
        <v/>
      </c>
      <c r="AL54" s="158">
        <f>AL49*AL52</f>
        <v/>
      </c>
      <c r="AM54" s="158">
        <f>AM49*AM52</f>
        <v/>
      </c>
      <c r="AN54" s="158">
        <f>AN49*AN52</f>
        <v/>
      </c>
      <c r="AO54" s="158">
        <f>AO49*AO52</f>
        <v/>
      </c>
      <c r="AP54" s="158">
        <f>AP49*AP52</f>
        <v/>
      </c>
      <c r="AQ54" s="158">
        <f>AQ49*AQ52</f>
        <v/>
      </c>
      <c r="AR54" s="158">
        <f>AR49*AR52</f>
        <v/>
      </c>
      <c r="AS54" s="158">
        <f>AS49*AS52</f>
        <v/>
      </c>
      <c r="AT54" s="158">
        <f>AT49*AT52</f>
        <v/>
      </c>
      <c r="AU54" s="158">
        <f>AU49*AU52</f>
        <v/>
      </c>
      <c r="AV54" s="158">
        <f>AV49*AV52</f>
        <v/>
      </c>
      <c r="AW54" s="158">
        <f>AW49*AW52</f>
        <v/>
      </c>
      <c r="AX54" s="158">
        <f>AX49*AX52</f>
        <v/>
      </c>
      <c r="AY54" s="158">
        <f>AY49*AY52</f>
        <v/>
      </c>
      <c r="AZ54" s="158">
        <f>AZ49*AZ52</f>
        <v/>
      </c>
      <c r="BA54" s="158">
        <f>BA49*BA52</f>
        <v/>
      </c>
      <c r="BB54" s="158">
        <f>BB49*BB52</f>
        <v/>
      </c>
      <c r="BC54" s="158">
        <f>BC49*BC52</f>
        <v/>
      </c>
      <c r="BD54" s="158">
        <f>BD49*BD52</f>
        <v/>
      </c>
      <c r="BE54" s="158">
        <f>BE49*BE52</f>
        <v/>
      </c>
      <c r="BF54" s="158">
        <f>BF49*BF52</f>
        <v/>
      </c>
      <c r="BG54" s="158">
        <f>BG49*BG52</f>
        <v/>
      </c>
      <c r="BH54" s="158">
        <f>BH49*BH52</f>
        <v/>
      </c>
      <c r="BI54" s="158">
        <f>BI49*BI52</f>
        <v/>
      </c>
      <c r="BJ54" s="158">
        <f>BJ49*BJ52</f>
        <v/>
      </c>
      <c r="BK54" s="158">
        <f>BK49*BK52</f>
        <v/>
      </c>
      <c r="BL54" s="158">
        <f>BL49*BL52</f>
        <v/>
      </c>
      <c r="BM54" s="158">
        <f>BM49*BM52</f>
        <v/>
      </c>
      <c r="BN54" s="158">
        <f>BN49*BN52</f>
        <v/>
      </c>
      <c r="BO54" s="158">
        <f>BO49*BO52</f>
        <v/>
      </c>
      <c r="BP54" s="158">
        <f>BP49*BP52</f>
        <v/>
      </c>
      <c r="BQ54" s="158">
        <f>BQ49*BQ52</f>
        <v/>
      </c>
      <c r="BR54" s="158">
        <f>BR49*BR52</f>
        <v/>
      </c>
      <c r="BS54" s="158">
        <f>BS49*BS52</f>
        <v/>
      </c>
      <c r="BT54" s="158">
        <f>BT49*BT52</f>
        <v/>
      </c>
      <c r="BU54" s="158">
        <f>BU49*BU52</f>
        <v/>
      </c>
      <c r="BV54" s="158">
        <f>BV49*BV52</f>
        <v/>
      </c>
      <c r="BW54" s="158">
        <f>BW49*BW52</f>
        <v/>
      </c>
      <c r="BX54" s="158">
        <f>BX49*BX52</f>
        <v/>
      </c>
      <c r="BY54" s="158">
        <f>BY49*BY52</f>
        <v/>
      </c>
      <c r="BZ54" s="158">
        <f>BZ49*BZ52</f>
        <v/>
      </c>
      <c r="CA54" s="158">
        <f>CA49*CA52</f>
        <v/>
      </c>
      <c r="CB54" s="158">
        <f>CB49*CB52</f>
        <v/>
      </c>
      <c r="CC54" s="158">
        <f>CC49*CC52</f>
        <v/>
      </c>
      <c r="CD54" s="158">
        <f>CD49*CD52</f>
        <v/>
      </c>
      <c r="CE54" s="158">
        <f>CE49*CE52</f>
        <v/>
      </c>
      <c r="CF54" s="158">
        <f>CF49*CF52</f>
        <v/>
      </c>
      <c r="CG54" s="158">
        <f>CG49*CG52</f>
        <v/>
      </c>
      <c r="CH54" s="158">
        <f>CH49*CH52</f>
        <v/>
      </c>
      <c r="CI54" s="158">
        <f>CI49*CI52</f>
        <v/>
      </c>
      <c r="CJ54" s="158">
        <f>CJ49*CJ52</f>
        <v/>
      </c>
      <c r="CK54" s="158">
        <f>CK49*CK52</f>
        <v/>
      </c>
      <c r="CL54" s="158">
        <f>CL49*CL52</f>
        <v/>
      </c>
      <c r="CM54" s="158">
        <f>CM49*CM52</f>
        <v/>
      </c>
      <c r="CN54" s="158">
        <f>CN49*CN52</f>
        <v/>
      </c>
      <c r="CO54" s="158">
        <f>CO49*CO52</f>
        <v/>
      </c>
      <c r="CP54" s="158">
        <f>CP49*CP52</f>
        <v/>
      </c>
      <c r="CQ54" s="158">
        <f>CQ49*CQ52</f>
        <v/>
      </c>
      <c r="CR54" s="158">
        <f>CR49*CR52</f>
        <v/>
      </c>
      <c r="CS54" s="158">
        <f>CS49*CS52</f>
        <v/>
      </c>
      <c r="CT54" s="158">
        <f>CT49*CT52</f>
        <v/>
      </c>
      <c r="CU54" s="158">
        <f>CU49*CU52</f>
        <v/>
      </c>
      <c r="CV54" s="158">
        <f>CV49*CV52</f>
        <v/>
      </c>
      <c r="CW54" s="158">
        <f>CW49*CW52</f>
        <v/>
      </c>
    </row>
    <row r="55" ht="15.75" customHeight="1" s="255">
      <c r="A55" s="42" t="inlineStr">
        <is>
          <t>LTV 3 month</t>
        </is>
      </c>
      <c r="B55" s="42" t="n"/>
      <c r="C55" s="154">
        <f>C49*3</f>
        <v/>
      </c>
      <c r="D55" s="159">
        <f>D49*3</f>
        <v/>
      </c>
      <c r="E55" s="159">
        <f>E49*3</f>
        <v/>
      </c>
      <c r="F55" s="159">
        <f>F49*3</f>
        <v/>
      </c>
      <c r="G55" s="159">
        <f>G49*3</f>
        <v/>
      </c>
      <c r="H55" s="159">
        <f>H49*3</f>
        <v/>
      </c>
      <c r="I55" s="159">
        <f>I49*3</f>
        <v/>
      </c>
      <c r="J55" s="159">
        <f>J49*3</f>
        <v/>
      </c>
      <c r="K55" s="159">
        <f>K49*3</f>
        <v/>
      </c>
      <c r="L55" s="159">
        <f>L49*3</f>
        <v/>
      </c>
      <c r="M55" s="159">
        <f>M49*3</f>
        <v/>
      </c>
      <c r="N55" s="159">
        <f>N49*3</f>
        <v/>
      </c>
      <c r="O55" s="159">
        <f>O49*3</f>
        <v/>
      </c>
      <c r="P55" s="159">
        <f>P49*3</f>
        <v/>
      </c>
      <c r="Q55" s="159">
        <f>Q49*3</f>
        <v/>
      </c>
      <c r="R55" s="159">
        <f>R49*3</f>
        <v/>
      </c>
      <c r="S55" s="159">
        <f>S49*3</f>
        <v/>
      </c>
      <c r="T55" s="159">
        <f>T49*3</f>
        <v/>
      </c>
      <c r="U55" s="159">
        <f>U49*3</f>
        <v/>
      </c>
      <c r="V55" s="159">
        <f>V49*3</f>
        <v/>
      </c>
      <c r="W55" s="159">
        <f>W49*3</f>
        <v/>
      </c>
      <c r="X55" s="159">
        <f>X49*3</f>
        <v/>
      </c>
      <c r="Y55" s="159">
        <f>Y49*3</f>
        <v/>
      </c>
      <c r="Z55" s="159">
        <f>Z49*3</f>
        <v/>
      </c>
      <c r="AA55" s="159">
        <f>AA49*3</f>
        <v/>
      </c>
      <c r="AB55" s="159">
        <f>AB49*3</f>
        <v/>
      </c>
      <c r="AC55" s="159">
        <f>AC49*3</f>
        <v/>
      </c>
      <c r="AD55" s="159">
        <f>AD49*3</f>
        <v/>
      </c>
      <c r="AE55" s="159">
        <f>AE49*3</f>
        <v/>
      </c>
      <c r="AF55" s="159">
        <f>AF49*3</f>
        <v/>
      </c>
      <c r="AG55" s="159">
        <f>AG49*3</f>
        <v/>
      </c>
      <c r="AH55" s="159">
        <f>AH49*3</f>
        <v/>
      </c>
      <c r="AI55" s="159">
        <f>AI49*3</f>
        <v/>
      </c>
      <c r="AJ55" s="159">
        <f>AJ49*3</f>
        <v/>
      </c>
      <c r="AK55" s="159">
        <f>AK49*3</f>
        <v/>
      </c>
      <c r="AL55" s="159">
        <f>AL49*3</f>
        <v/>
      </c>
      <c r="AM55" s="159">
        <f>AM49*3</f>
        <v/>
      </c>
      <c r="AN55" s="159">
        <f>AN49*3</f>
        <v/>
      </c>
      <c r="AO55" s="159">
        <f>AO49*3</f>
        <v/>
      </c>
      <c r="AP55" s="159">
        <f>AP49*3</f>
        <v/>
      </c>
      <c r="AQ55" s="159">
        <f>AQ49*3</f>
        <v/>
      </c>
      <c r="AR55" s="159">
        <f>AR49*3</f>
        <v/>
      </c>
      <c r="AS55" s="159">
        <f>AS49*3</f>
        <v/>
      </c>
      <c r="AT55" s="159">
        <f>AT49*3</f>
        <v/>
      </c>
      <c r="AU55" s="159">
        <f>AU49*3</f>
        <v/>
      </c>
      <c r="AV55" s="159">
        <f>AV49*3</f>
        <v/>
      </c>
      <c r="AW55" s="159">
        <f>AW49*3</f>
        <v/>
      </c>
      <c r="AX55" s="159">
        <f>AX49*3</f>
        <v/>
      </c>
      <c r="AY55" s="159">
        <f>AY49*3</f>
        <v/>
      </c>
      <c r="AZ55" s="159">
        <f>AZ49*3</f>
        <v/>
      </c>
      <c r="BA55" s="159">
        <f>BA49*3</f>
        <v/>
      </c>
      <c r="BB55" s="159">
        <f>BB49*3</f>
        <v/>
      </c>
      <c r="BC55" s="159">
        <f>BC49*3</f>
        <v/>
      </c>
      <c r="BD55" s="159">
        <f>BD49*3</f>
        <v/>
      </c>
      <c r="BE55" s="159">
        <f>BE49*3</f>
        <v/>
      </c>
      <c r="BF55" s="159">
        <f>BF49*3</f>
        <v/>
      </c>
      <c r="BG55" s="159">
        <f>BG49*3</f>
        <v/>
      </c>
      <c r="BH55" s="159">
        <f>BH49*3</f>
        <v/>
      </c>
      <c r="BI55" s="159">
        <f>BI49*3</f>
        <v/>
      </c>
      <c r="BJ55" s="159">
        <f>BJ49*3</f>
        <v/>
      </c>
      <c r="BK55" s="159">
        <f>BK49*3</f>
        <v/>
      </c>
      <c r="BL55" s="159">
        <f>BL49*3</f>
        <v/>
      </c>
      <c r="BM55" s="159">
        <f>BM49*3</f>
        <v/>
      </c>
      <c r="BN55" s="159">
        <f>BN49*3</f>
        <v/>
      </c>
      <c r="BO55" s="159">
        <f>BO49*3</f>
        <v/>
      </c>
      <c r="BP55" s="159">
        <f>BP49*3</f>
        <v/>
      </c>
      <c r="BQ55" s="159">
        <f>BQ49*3</f>
        <v/>
      </c>
      <c r="BR55" s="159">
        <f>BR49*3</f>
        <v/>
      </c>
      <c r="BS55" s="159">
        <f>BS49*3</f>
        <v/>
      </c>
      <c r="BT55" s="159">
        <f>BT49*3</f>
        <v/>
      </c>
      <c r="BU55" s="159">
        <f>BU49*3</f>
        <v/>
      </c>
      <c r="BV55" s="159">
        <f>BV49*3</f>
        <v/>
      </c>
      <c r="BW55" s="159">
        <f>BW49*3</f>
        <v/>
      </c>
      <c r="BX55" s="159">
        <f>BX49*3</f>
        <v/>
      </c>
      <c r="BY55" s="159">
        <f>BY49*3</f>
        <v/>
      </c>
      <c r="BZ55" s="159">
        <f>BZ49*3</f>
        <v/>
      </c>
      <c r="CA55" s="159">
        <f>CA49*3</f>
        <v/>
      </c>
      <c r="CB55" s="159">
        <f>CB49*3</f>
        <v/>
      </c>
      <c r="CC55" s="159">
        <f>CC49*3</f>
        <v/>
      </c>
      <c r="CD55" s="159">
        <f>CD49*3</f>
        <v/>
      </c>
      <c r="CE55" s="159">
        <f>CE49*3</f>
        <v/>
      </c>
      <c r="CF55" s="159">
        <f>CF49*3</f>
        <v/>
      </c>
      <c r="CG55" s="159">
        <f>CG49*3</f>
        <v/>
      </c>
      <c r="CH55" s="159">
        <f>CH49*3</f>
        <v/>
      </c>
      <c r="CI55" s="159">
        <f>CI49*3</f>
        <v/>
      </c>
      <c r="CJ55" s="159">
        <f>CJ49*3</f>
        <v/>
      </c>
      <c r="CK55" s="159">
        <f>CK49*3</f>
        <v/>
      </c>
      <c r="CL55" s="159">
        <f>CL49*3</f>
        <v/>
      </c>
      <c r="CM55" s="159">
        <f>CM49*3</f>
        <v/>
      </c>
      <c r="CN55" s="159">
        <f>CN49*3</f>
        <v/>
      </c>
      <c r="CO55" s="159">
        <f>CO49*3</f>
        <v/>
      </c>
      <c r="CP55" s="159">
        <f>CP49*3</f>
        <v/>
      </c>
      <c r="CQ55" s="159">
        <f>CQ49*3</f>
        <v/>
      </c>
      <c r="CR55" s="159">
        <f>CR49*3</f>
        <v/>
      </c>
      <c r="CS55" s="159">
        <f>CS49*3</f>
        <v/>
      </c>
      <c r="CT55" s="159">
        <f>CT49*3</f>
        <v/>
      </c>
      <c r="CU55" s="159">
        <f>CU49*3</f>
        <v/>
      </c>
      <c r="CV55" s="159">
        <f>CV49*3</f>
        <v/>
      </c>
      <c r="CW55" s="159">
        <f>CW49*3</f>
        <v/>
      </c>
    </row>
    <row r="56" ht="15.75" customHeight="1" s="255">
      <c r="A56" s="42" t="inlineStr">
        <is>
          <t>LTV 6 month</t>
        </is>
      </c>
      <c r="B56" s="42" t="n"/>
      <c r="C56" s="154">
        <f>C49*6</f>
        <v/>
      </c>
      <c r="D56" s="159">
        <f>D49*6</f>
        <v/>
      </c>
      <c r="E56" s="159">
        <f>E49*6</f>
        <v/>
      </c>
      <c r="F56" s="159">
        <f>F49*6</f>
        <v/>
      </c>
      <c r="G56" s="159">
        <f>G49*6</f>
        <v/>
      </c>
      <c r="H56" s="159">
        <f>H49*6</f>
        <v/>
      </c>
      <c r="I56" s="159">
        <f>I49*6</f>
        <v/>
      </c>
      <c r="J56" s="159">
        <f>J49*6</f>
        <v/>
      </c>
      <c r="K56" s="159">
        <f>K49*6</f>
        <v/>
      </c>
      <c r="L56" s="159">
        <f>L49*6</f>
        <v/>
      </c>
      <c r="M56" s="159">
        <f>M49*6</f>
        <v/>
      </c>
      <c r="N56" s="159">
        <f>N49*6</f>
        <v/>
      </c>
      <c r="O56" s="159">
        <f>O49*6</f>
        <v/>
      </c>
      <c r="P56" s="159">
        <f>P49*6</f>
        <v/>
      </c>
      <c r="Q56" s="159">
        <f>Q49*6</f>
        <v/>
      </c>
      <c r="R56" s="159">
        <f>R49*6</f>
        <v/>
      </c>
      <c r="S56" s="159">
        <f>S49*6</f>
        <v/>
      </c>
      <c r="T56" s="159">
        <f>T49*6</f>
        <v/>
      </c>
      <c r="U56" s="159">
        <f>U49*6</f>
        <v/>
      </c>
      <c r="V56" s="159">
        <f>V49*6</f>
        <v/>
      </c>
      <c r="W56" s="159">
        <f>W49*6</f>
        <v/>
      </c>
      <c r="X56" s="159">
        <f>X49*6</f>
        <v/>
      </c>
      <c r="Y56" s="159">
        <f>Y49*6</f>
        <v/>
      </c>
      <c r="Z56" s="159">
        <f>Z49*6</f>
        <v/>
      </c>
      <c r="AA56" s="159">
        <f>AA49*6</f>
        <v/>
      </c>
      <c r="AB56" s="159">
        <f>AB49*6</f>
        <v/>
      </c>
      <c r="AC56" s="159">
        <f>AC49*6</f>
        <v/>
      </c>
      <c r="AD56" s="159">
        <f>AD49*6</f>
        <v/>
      </c>
      <c r="AE56" s="159">
        <f>AE49*6</f>
        <v/>
      </c>
      <c r="AF56" s="159">
        <f>AF49*6</f>
        <v/>
      </c>
      <c r="AG56" s="159">
        <f>AG49*6</f>
        <v/>
      </c>
      <c r="AH56" s="159">
        <f>AH49*6</f>
        <v/>
      </c>
      <c r="AI56" s="159">
        <f>AI49*6</f>
        <v/>
      </c>
      <c r="AJ56" s="159">
        <f>AJ49*6</f>
        <v/>
      </c>
      <c r="AK56" s="159">
        <f>AK49*6</f>
        <v/>
      </c>
      <c r="AL56" s="159">
        <f>AL49*6</f>
        <v/>
      </c>
      <c r="AM56" s="159">
        <f>AM49*6</f>
        <v/>
      </c>
      <c r="AN56" s="159">
        <f>AN49*6</f>
        <v/>
      </c>
      <c r="AO56" s="159">
        <f>AO49*6</f>
        <v/>
      </c>
      <c r="AP56" s="159">
        <f>AP49*6</f>
        <v/>
      </c>
      <c r="AQ56" s="159">
        <f>AQ49*6</f>
        <v/>
      </c>
      <c r="AR56" s="159">
        <f>AR49*6</f>
        <v/>
      </c>
      <c r="AS56" s="159">
        <f>AS49*6</f>
        <v/>
      </c>
      <c r="AT56" s="159">
        <f>AT49*6</f>
        <v/>
      </c>
      <c r="AU56" s="159">
        <f>AU49*6</f>
        <v/>
      </c>
      <c r="AV56" s="159">
        <f>AV49*6</f>
        <v/>
      </c>
      <c r="AW56" s="159">
        <f>AW49*6</f>
        <v/>
      </c>
      <c r="AX56" s="159">
        <f>AX49*6</f>
        <v/>
      </c>
      <c r="AY56" s="159">
        <f>AY49*6</f>
        <v/>
      </c>
      <c r="AZ56" s="159">
        <f>AZ49*6</f>
        <v/>
      </c>
      <c r="BA56" s="159">
        <f>BA49*6</f>
        <v/>
      </c>
      <c r="BB56" s="159">
        <f>BB49*6</f>
        <v/>
      </c>
      <c r="BC56" s="159">
        <f>BC49*6</f>
        <v/>
      </c>
      <c r="BD56" s="159">
        <f>BD49*6</f>
        <v/>
      </c>
      <c r="BE56" s="159">
        <f>BE49*6</f>
        <v/>
      </c>
      <c r="BF56" s="159">
        <f>BF49*6</f>
        <v/>
      </c>
      <c r="BG56" s="159">
        <f>BG49*6</f>
        <v/>
      </c>
      <c r="BH56" s="159">
        <f>BH49*6</f>
        <v/>
      </c>
      <c r="BI56" s="159">
        <f>BI49*6</f>
        <v/>
      </c>
      <c r="BJ56" s="159">
        <f>BJ49*6</f>
        <v/>
      </c>
      <c r="BK56" s="159">
        <f>BK49*6</f>
        <v/>
      </c>
      <c r="BL56" s="159">
        <f>BL49*6</f>
        <v/>
      </c>
      <c r="BM56" s="159">
        <f>BM49*6</f>
        <v/>
      </c>
      <c r="BN56" s="159">
        <f>BN49*6</f>
        <v/>
      </c>
      <c r="BO56" s="159">
        <f>BO49*6</f>
        <v/>
      </c>
      <c r="BP56" s="159">
        <f>BP49*6</f>
        <v/>
      </c>
      <c r="BQ56" s="159">
        <f>BQ49*6</f>
        <v/>
      </c>
      <c r="BR56" s="159">
        <f>BR49*6</f>
        <v/>
      </c>
      <c r="BS56" s="159">
        <f>BS49*6</f>
        <v/>
      </c>
      <c r="BT56" s="159">
        <f>BT49*6</f>
        <v/>
      </c>
      <c r="BU56" s="159">
        <f>BU49*6</f>
        <v/>
      </c>
      <c r="BV56" s="159">
        <f>BV49*6</f>
        <v/>
      </c>
      <c r="BW56" s="159">
        <f>BW49*6</f>
        <v/>
      </c>
      <c r="BX56" s="159">
        <f>BX49*6</f>
        <v/>
      </c>
      <c r="BY56" s="159">
        <f>BY49*6</f>
        <v/>
      </c>
      <c r="BZ56" s="159">
        <f>BZ49*6</f>
        <v/>
      </c>
      <c r="CA56" s="159">
        <f>CA49*6</f>
        <v/>
      </c>
      <c r="CB56" s="159">
        <f>CB49*6</f>
        <v/>
      </c>
      <c r="CC56" s="159">
        <f>CC49*6</f>
        <v/>
      </c>
      <c r="CD56" s="159">
        <f>CD49*6</f>
        <v/>
      </c>
      <c r="CE56" s="159">
        <f>CE49*6</f>
        <v/>
      </c>
      <c r="CF56" s="159">
        <f>CF49*6</f>
        <v/>
      </c>
      <c r="CG56" s="159">
        <f>CG49*6</f>
        <v/>
      </c>
      <c r="CH56" s="159">
        <f>CH49*6</f>
        <v/>
      </c>
      <c r="CI56" s="159">
        <f>CI49*6</f>
        <v/>
      </c>
      <c r="CJ56" s="159">
        <f>CJ49*6</f>
        <v/>
      </c>
      <c r="CK56" s="159">
        <f>CK49*6</f>
        <v/>
      </c>
      <c r="CL56" s="159">
        <f>CL49*6</f>
        <v/>
      </c>
      <c r="CM56" s="159">
        <f>CM49*6</f>
        <v/>
      </c>
      <c r="CN56" s="159">
        <f>CN49*6</f>
        <v/>
      </c>
      <c r="CO56" s="159">
        <f>CO49*6</f>
        <v/>
      </c>
      <c r="CP56" s="159">
        <f>CP49*6</f>
        <v/>
      </c>
      <c r="CQ56" s="159">
        <f>CQ49*6</f>
        <v/>
      </c>
      <c r="CR56" s="159">
        <f>CR49*6</f>
        <v/>
      </c>
      <c r="CS56" s="159">
        <f>CS49*6</f>
        <v/>
      </c>
      <c r="CT56" s="159">
        <f>CT49*6</f>
        <v/>
      </c>
      <c r="CU56" s="159">
        <f>CU49*6</f>
        <v/>
      </c>
      <c r="CV56" s="159">
        <f>CV49*6</f>
        <v/>
      </c>
      <c r="CW56" s="159">
        <f>CW49*6</f>
        <v/>
      </c>
    </row>
    <row r="57" ht="15.75" customHeight="1" s="255">
      <c r="A57" s="42" t="inlineStr">
        <is>
          <t>LTV 12 month</t>
        </is>
      </c>
      <c r="B57" s="42" t="n"/>
      <c r="C57" s="154">
        <f>C49*12</f>
        <v/>
      </c>
      <c r="D57" s="159">
        <f>D49*12</f>
        <v/>
      </c>
      <c r="E57" s="159">
        <f>E49*12</f>
        <v/>
      </c>
      <c r="F57" s="159">
        <f>F49*12</f>
        <v/>
      </c>
      <c r="G57" s="159">
        <f>G49*12</f>
        <v/>
      </c>
      <c r="H57" s="159">
        <f>H49*12</f>
        <v/>
      </c>
      <c r="I57" s="159">
        <f>I49*12</f>
        <v/>
      </c>
      <c r="J57" s="159">
        <f>J49*12</f>
        <v/>
      </c>
      <c r="K57" s="159">
        <f>K49*12</f>
        <v/>
      </c>
      <c r="L57" s="159">
        <f>L49*12</f>
        <v/>
      </c>
      <c r="M57" s="159">
        <f>M49*12</f>
        <v/>
      </c>
      <c r="N57" s="159">
        <f>N49*12</f>
        <v/>
      </c>
      <c r="O57" s="159">
        <f>O49*12</f>
        <v/>
      </c>
      <c r="P57" s="159">
        <f>P49*12</f>
        <v/>
      </c>
      <c r="Q57" s="159">
        <f>Q49*12</f>
        <v/>
      </c>
      <c r="R57" s="159">
        <f>R49*12</f>
        <v/>
      </c>
      <c r="S57" s="159">
        <f>S49*12</f>
        <v/>
      </c>
      <c r="T57" s="159">
        <f>T49*12</f>
        <v/>
      </c>
      <c r="U57" s="159">
        <f>U49*12</f>
        <v/>
      </c>
      <c r="V57" s="159">
        <f>V49*12</f>
        <v/>
      </c>
      <c r="W57" s="159">
        <f>W49*12</f>
        <v/>
      </c>
      <c r="X57" s="159">
        <f>X49*12</f>
        <v/>
      </c>
      <c r="Y57" s="159">
        <f>Y49*12</f>
        <v/>
      </c>
      <c r="Z57" s="159">
        <f>Z49*12</f>
        <v/>
      </c>
      <c r="AA57" s="159">
        <f>AA49*12</f>
        <v/>
      </c>
      <c r="AB57" s="159">
        <f>AB49*12</f>
        <v/>
      </c>
      <c r="AC57" s="159">
        <f>AC49*12</f>
        <v/>
      </c>
      <c r="AD57" s="159">
        <f>AD49*12</f>
        <v/>
      </c>
      <c r="AE57" s="159">
        <f>AE49*12</f>
        <v/>
      </c>
      <c r="AF57" s="159">
        <f>AF49*12</f>
        <v/>
      </c>
      <c r="AG57" s="159">
        <f>AG49*12</f>
        <v/>
      </c>
      <c r="AH57" s="159">
        <f>AH49*12</f>
        <v/>
      </c>
      <c r="AI57" s="159">
        <f>AI49*12</f>
        <v/>
      </c>
      <c r="AJ57" s="159">
        <f>AJ49*12</f>
        <v/>
      </c>
      <c r="AK57" s="159">
        <f>AK49*12</f>
        <v/>
      </c>
      <c r="AL57" s="159">
        <f>AL49*12</f>
        <v/>
      </c>
      <c r="AM57" s="159">
        <f>AM49*12</f>
        <v/>
      </c>
      <c r="AN57" s="159">
        <f>AN49*12</f>
        <v/>
      </c>
      <c r="AO57" s="159">
        <f>AO49*12</f>
        <v/>
      </c>
      <c r="AP57" s="159">
        <f>AP49*12</f>
        <v/>
      </c>
      <c r="AQ57" s="159">
        <f>AQ49*12</f>
        <v/>
      </c>
      <c r="AR57" s="159">
        <f>AR49*12</f>
        <v/>
      </c>
      <c r="AS57" s="159">
        <f>AS49*12</f>
        <v/>
      </c>
      <c r="AT57" s="159">
        <f>AT49*12</f>
        <v/>
      </c>
      <c r="AU57" s="159">
        <f>AU49*12</f>
        <v/>
      </c>
      <c r="AV57" s="159">
        <f>AV49*12</f>
        <v/>
      </c>
      <c r="AW57" s="159">
        <f>AW49*12</f>
        <v/>
      </c>
      <c r="AX57" s="159">
        <f>AX49*12</f>
        <v/>
      </c>
      <c r="AY57" s="159">
        <f>AY49*12</f>
        <v/>
      </c>
      <c r="AZ57" s="159">
        <f>AZ49*12</f>
        <v/>
      </c>
      <c r="BA57" s="159">
        <f>BA49*12</f>
        <v/>
      </c>
      <c r="BB57" s="159">
        <f>BB49*12</f>
        <v/>
      </c>
      <c r="BC57" s="159">
        <f>BC49*12</f>
        <v/>
      </c>
      <c r="BD57" s="159">
        <f>BD49*12</f>
        <v/>
      </c>
      <c r="BE57" s="159">
        <f>BE49*12</f>
        <v/>
      </c>
      <c r="BF57" s="159">
        <f>BF49*12</f>
        <v/>
      </c>
      <c r="BG57" s="159">
        <f>BG49*12</f>
        <v/>
      </c>
      <c r="BH57" s="159">
        <f>BH49*12</f>
        <v/>
      </c>
      <c r="BI57" s="159">
        <f>BI49*12</f>
        <v/>
      </c>
      <c r="BJ57" s="159">
        <f>BJ49*12</f>
        <v/>
      </c>
      <c r="BK57" s="159">
        <f>BK49*12</f>
        <v/>
      </c>
      <c r="BL57" s="159">
        <f>BL49*12</f>
        <v/>
      </c>
      <c r="BM57" s="159">
        <f>BM49*12</f>
        <v/>
      </c>
      <c r="BN57" s="159">
        <f>BN49*12</f>
        <v/>
      </c>
      <c r="BO57" s="159">
        <f>BO49*12</f>
        <v/>
      </c>
      <c r="BP57" s="159">
        <f>BP49*12</f>
        <v/>
      </c>
      <c r="BQ57" s="159">
        <f>BQ49*12</f>
        <v/>
      </c>
      <c r="BR57" s="159">
        <f>BR49*12</f>
        <v/>
      </c>
      <c r="BS57" s="159">
        <f>BS49*12</f>
        <v/>
      </c>
      <c r="BT57" s="159">
        <f>BT49*12</f>
        <v/>
      </c>
      <c r="BU57" s="159">
        <f>BU49*12</f>
        <v/>
      </c>
      <c r="BV57" s="159">
        <f>BV49*12</f>
        <v/>
      </c>
      <c r="BW57" s="159">
        <f>BW49*12</f>
        <v/>
      </c>
      <c r="BX57" s="159">
        <f>BX49*12</f>
        <v/>
      </c>
      <c r="BY57" s="159">
        <f>BY49*12</f>
        <v/>
      </c>
      <c r="BZ57" s="159">
        <f>BZ49*12</f>
        <v/>
      </c>
      <c r="CA57" s="159">
        <f>CA49*12</f>
        <v/>
      </c>
      <c r="CB57" s="159">
        <f>CB49*12</f>
        <v/>
      </c>
      <c r="CC57" s="159">
        <f>CC49*12</f>
        <v/>
      </c>
      <c r="CD57" s="159">
        <f>CD49*12</f>
        <v/>
      </c>
      <c r="CE57" s="159">
        <f>CE49*12</f>
        <v/>
      </c>
      <c r="CF57" s="159">
        <f>CF49*12</f>
        <v/>
      </c>
      <c r="CG57" s="159">
        <f>CG49*12</f>
        <v/>
      </c>
      <c r="CH57" s="159">
        <f>CH49*12</f>
        <v/>
      </c>
      <c r="CI57" s="159">
        <f>CI49*12</f>
        <v/>
      </c>
      <c r="CJ57" s="159">
        <f>CJ49*12</f>
        <v/>
      </c>
      <c r="CK57" s="159">
        <f>CK49*12</f>
        <v/>
      </c>
      <c r="CL57" s="159">
        <f>CL49*12</f>
        <v/>
      </c>
      <c r="CM57" s="159">
        <f>CM49*12</f>
        <v/>
      </c>
      <c r="CN57" s="159">
        <f>CN49*12</f>
        <v/>
      </c>
      <c r="CO57" s="159">
        <f>CO49*12</f>
        <v/>
      </c>
      <c r="CP57" s="159">
        <f>CP49*12</f>
        <v/>
      </c>
      <c r="CQ57" s="159">
        <f>CQ49*12</f>
        <v/>
      </c>
      <c r="CR57" s="159">
        <f>CR49*12</f>
        <v/>
      </c>
      <c r="CS57" s="159">
        <f>CS49*12</f>
        <v/>
      </c>
      <c r="CT57" s="159">
        <f>CT49*12</f>
        <v/>
      </c>
      <c r="CU57" s="159">
        <f>CU49*12</f>
        <v/>
      </c>
      <c r="CV57" s="159">
        <f>CV49*12</f>
        <v/>
      </c>
      <c r="CW57" s="159">
        <f>CW49*12</f>
        <v/>
      </c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  <c r="BF58" s="42" t="n"/>
      <c r="BG58" s="42" t="n"/>
      <c r="BH58" s="42" t="n"/>
      <c r="BI58" s="42" t="n"/>
      <c r="BJ58" s="42" t="n"/>
      <c r="BK58" s="42" t="n"/>
      <c r="BL58" s="42" t="n"/>
      <c r="BM58" s="42" t="n"/>
      <c r="BN58" s="42" t="n"/>
      <c r="BO58" s="42" t="n"/>
      <c r="BP58" s="42" t="n"/>
      <c r="BQ58" s="42" t="n"/>
      <c r="BR58" s="42" t="n"/>
      <c r="BS58" s="42" t="n"/>
      <c r="BT58" s="42" t="n"/>
      <c r="BU58" s="42" t="n"/>
      <c r="BV58" s="42" t="n"/>
      <c r="BW58" s="42" t="n"/>
      <c r="BX58" s="42" t="n"/>
      <c r="BY58" s="42" t="n"/>
      <c r="BZ58" s="42" t="n"/>
      <c r="CA58" s="42" t="n"/>
      <c r="CB58" s="42" t="n"/>
      <c r="CC58" s="42" t="n"/>
      <c r="CD58" s="42" t="n"/>
      <c r="CE58" s="42" t="n"/>
      <c r="CF58" s="42" t="n"/>
      <c r="CG58" s="42" t="n"/>
      <c r="CH58" s="42" t="n"/>
      <c r="CI58" s="42" t="n"/>
      <c r="CJ58" s="42" t="n"/>
      <c r="CK58" s="42" t="n"/>
      <c r="CL58" s="42" t="n"/>
      <c r="CM58" s="42" t="n"/>
      <c r="CN58" s="42" t="n"/>
      <c r="CO58" s="42" t="n"/>
      <c r="CP58" s="42" t="n"/>
      <c r="CQ58" s="42" t="n"/>
      <c r="CR58" s="42" t="n"/>
      <c r="CS58" s="42" t="n"/>
      <c r="CT58" s="42" t="n"/>
      <c r="CU58" s="42" t="n"/>
      <c r="CV58" s="42" t="n"/>
      <c r="CW58" s="42" t="n"/>
    </row>
    <row r="59" ht="15.75" customHeight="1" s="255">
      <c r="A59" s="59" t="inlineStr">
        <is>
          <t>CAC - Cost of Outbound Sales Managers</t>
        </is>
      </c>
      <c r="B59" s="59" t="n"/>
      <c r="C59" s="59" t="n"/>
      <c r="D59" s="158" t="n">
        <v>90</v>
      </c>
      <c r="E59" s="158" t="n">
        <v>90</v>
      </c>
      <c r="F59" s="158" t="n">
        <v>90</v>
      </c>
      <c r="G59" s="158" t="n">
        <v>90</v>
      </c>
      <c r="H59" s="158" t="n">
        <v>90</v>
      </c>
      <c r="I59" s="158" t="n">
        <v>90</v>
      </c>
      <c r="J59" s="158" t="n">
        <v>120</v>
      </c>
      <c r="K59" s="158" t="n">
        <v>120</v>
      </c>
      <c r="L59" s="158" t="n">
        <v>120</v>
      </c>
      <c r="M59" s="158" t="n">
        <v>120</v>
      </c>
      <c r="N59" s="158" t="n">
        <v>120</v>
      </c>
      <c r="O59" s="158" t="n">
        <v>120</v>
      </c>
      <c r="P59" s="158" t="n">
        <v>150</v>
      </c>
      <c r="Q59" s="158" t="n">
        <v>150</v>
      </c>
      <c r="R59" s="158" t="n">
        <v>150</v>
      </c>
      <c r="S59" s="158" t="n">
        <v>150</v>
      </c>
      <c r="T59" s="158" t="n">
        <v>150</v>
      </c>
      <c r="U59" s="158" t="n">
        <v>150</v>
      </c>
      <c r="V59" s="158" t="n">
        <v>150</v>
      </c>
      <c r="W59" s="158" t="n">
        <v>150</v>
      </c>
      <c r="X59" s="158" t="n">
        <v>150</v>
      </c>
      <c r="Y59" s="158" t="n">
        <v>150</v>
      </c>
      <c r="Z59" s="158" t="n">
        <v>150</v>
      </c>
      <c r="AA59" s="158" t="n">
        <v>150</v>
      </c>
      <c r="AB59" s="158" t="n">
        <v>150</v>
      </c>
      <c r="AC59" s="158" t="n">
        <v>150</v>
      </c>
      <c r="AD59" s="158" t="n">
        <v>150</v>
      </c>
      <c r="AE59" s="158" t="n">
        <v>150</v>
      </c>
      <c r="AF59" s="158" t="n">
        <v>150</v>
      </c>
      <c r="AG59" s="158" t="n">
        <v>150</v>
      </c>
      <c r="AH59" s="158" t="n">
        <v>150</v>
      </c>
      <c r="AI59" s="158" t="n">
        <v>150</v>
      </c>
      <c r="AJ59" s="158" t="n">
        <v>150</v>
      </c>
      <c r="AK59" s="158" t="n">
        <v>150</v>
      </c>
      <c r="AL59" s="158" t="n">
        <v>150</v>
      </c>
      <c r="AM59" s="158" t="n">
        <v>150</v>
      </c>
      <c r="AN59" s="158" t="n">
        <v>150</v>
      </c>
      <c r="AO59" s="158" t="n">
        <v>150</v>
      </c>
      <c r="AP59" s="158" t="n">
        <v>150</v>
      </c>
      <c r="AQ59" s="158" t="n">
        <v>150</v>
      </c>
      <c r="AR59" s="158" t="n">
        <v>150</v>
      </c>
      <c r="AS59" s="158" t="n">
        <v>150</v>
      </c>
      <c r="AT59" s="158" t="n">
        <v>150</v>
      </c>
      <c r="AU59" s="158" t="n">
        <v>150</v>
      </c>
      <c r="AV59" s="158" t="n">
        <v>150</v>
      </c>
      <c r="AW59" s="158" t="n">
        <v>150</v>
      </c>
      <c r="AX59" s="158" t="n">
        <v>150</v>
      </c>
      <c r="AY59" s="158" t="n">
        <v>150</v>
      </c>
      <c r="AZ59" s="158" t="n">
        <v>150</v>
      </c>
      <c r="BA59" s="158" t="n">
        <v>150</v>
      </c>
      <c r="BB59" s="158" t="n">
        <v>150</v>
      </c>
      <c r="BC59" s="158" t="n">
        <v>150</v>
      </c>
      <c r="BD59" s="158" t="n">
        <v>150</v>
      </c>
      <c r="BE59" s="158" t="n">
        <v>150</v>
      </c>
      <c r="BF59" s="158" t="n">
        <v>150</v>
      </c>
      <c r="BG59" s="158" t="n">
        <v>150</v>
      </c>
      <c r="BH59" s="158" t="n">
        <v>150</v>
      </c>
      <c r="BI59" s="158" t="n">
        <v>150</v>
      </c>
      <c r="BJ59" s="158" t="n">
        <v>150</v>
      </c>
      <c r="BK59" s="158" t="n">
        <v>150</v>
      </c>
      <c r="BL59" s="158" t="n">
        <v>150</v>
      </c>
      <c r="BM59" s="158" t="n">
        <v>150</v>
      </c>
      <c r="BN59" s="158" t="n">
        <v>150</v>
      </c>
      <c r="BO59" s="158" t="n">
        <v>150</v>
      </c>
      <c r="BP59" s="158" t="n">
        <v>150</v>
      </c>
      <c r="BQ59" s="158" t="n">
        <v>150</v>
      </c>
      <c r="BR59" s="158" t="n">
        <v>150</v>
      </c>
      <c r="BS59" s="158" t="n">
        <v>150</v>
      </c>
      <c r="BT59" s="158" t="n">
        <v>150</v>
      </c>
      <c r="BU59" s="158" t="n">
        <v>150</v>
      </c>
      <c r="BV59" s="158" t="n">
        <v>150</v>
      </c>
      <c r="BW59" s="158" t="n">
        <v>150</v>
      </c>
      <c r="BX59" s="158" t="n">
        <v>150</v>
      </c>
      <c r="BY59" s="158" t="n">
        <v>150</v>
      </c>
      <c r="BZ59" s="158" t="n">
        <v>150</v>
      </c>
      <c r="CA59" s="158" t="n">
        <v>150</v>
      </c>
      <c r="CB59" s="158" t="n">
        <v>150</v>
      </c>
      <c r="CC59" s="158" t="n">
        <v>150</v>
      </c>
      <c r="CD59" s="158" t="n">
        <v>150</v>
      </c>
      <c r="CE59" s="158" t="n">
        <v>150</v>
      </c>
      <c r="CF59" s="158" t="n">
        <v>150</v>
      </c>
      <c r="CG59" s="158" t="n">
        <v>150</v>
      </c>
      <c r="CH59" s="158" t="n">
        <v>150</v>
      </c>
      <c r="CI59" s="158" t="n">
        <v>150</v>
      </c>
      <c r="CJ59" s="158" t="n">
        <v>150</v>
      </c>
      <c r="CK59" s="158" t="n">
        <v>150</v>
      </c>
      <c r="CL59" s="158" t="n">
        <v>150</v>
      </c>
      <c r="CM59" s="158" t="n">
        <v>150</v>
      </c>
      <c r="CN59" s="158" t="n">
        <v>150</v>
      </c>
      <c r="CO59" s="158" t="n">
        <v>150</v>
      </c>
      <c r="CP59" s="158" t="n">
        <v>150</v>
      </c>
      <c r="CQ59" s="158" t="n">
        <v>150</v>
      </c>
      <c r="CR59" s="158" t="n">
        <v>150</v>
      </c>
      <c r="CS59" s="158" t="n">
        <v>150</v>
      </c>
      <c r="CT59" s="158" t="n">
        <v>150</v>
      </c>
      <c r="CU59" s="158" t="n">
        <v>150</v>
      </c>
      <c r="CV59" s="158" t="n">
        <v>150</v>
      </c>
      <c r="CW59" s="158" t="n">
        <v>150</v>
      </c>
    </row>
    <row r="60" ht="15.75" customHeight="1" s="255">
      <c r="A60" s="164" t="inlineStr">
        <is>
          <t>LTV/CAC</t>
        </is>
      </c>
      <c r="B60" s="42" t="n"/>
      <c r="C60" s="42" t="n"/>
      <c r="D60" s="162">
        <f>IFERROR(D54/D$59, "-")</f>
        <v/>
      </c>
      <c r="E60" s="162">
        <f>IFERROR(E54/E$59, "-")</f>
        <v/>
      </c>
      <c r="F60" s="162">
        <f>IFERROR(F54/F$59, "-")</f>
        <v/>
      </c>
      <c r="G60" s="162">
        <f>IFERROR(G54/G$59, "-")</f>
        <v/>
      </c>
      <c r="H60" s="162">
        <f>IFERROR(H54/H$59, "-")</f>
        <v/>
      </c>
      <c r="I60" s="162">
        <f>IFERROR(I54/I$59, "-")</f>
        <v/>
      </c>
      <c r="J60" s="162">
        <f>IFERROR(J54/J$59, "-")</f>
        <v/>
      </c>
      <c r="K60" s="162">
        <f>IFERROR(K54/K$59, "-")</f>
        <v/>
      </c>
      <c r="L60" s="162">
        <f>IFERROR(L54/L$59, "-")</f>
        <v/>
      </c>
      <c r="M60" s="162">
        <f>IFERROR(M54/M$59, "-")</f>
        <v/>
      </c>
      <c r="N60" s="162">
        <f>IFERROR(N54/N$59, "-")</f>
        <v/>
      </c>
      <c r="O60" s="162">
        <f>IFERROR(O54/O$59, "-")</f>
        <v/>
      </c>
      <c r="P60" s="162">
        <f>IFERROR(P54/P$59, "-")</f>
        <v/>
      </c>
      <c r="Q60" s="162">
        <f>IFERROR(Q54/Q$59, "-")</f>
        <v/>
      </c>
      <c r="R60" s="162">
        <f>IFERROR(R54/R$59, "-")</f>
        <v/>
      </c>
      <c r="S60" s="162">
        <f>IFERROR(S54/S$59, "-")</f>
        <v/>
      </c>
      <c r="T60" s="162">
        <f>IFERROR(T54/T$59, "-")</f>
        <v/>
      </c>
      <c r="U60" s="162">
        <f>IFERROR(U54/U$59, "-")</f>
        <v/>
      </c>
      <c r="V60" s="162">
        <f>IFERROR(V54/V$59, "-")</f>
        <v/>
      </c>
      <c r="W60" s="162">
        <f>IFERROR(W54/W$59, "-")</f>
        <v/>
      </c>
      <c r="X60" s="162">
        <f>IFERROR(X54/X$59, "-")</f>
        <v/>
      </c>
      <c r="Y60" s="162">
        <f>IFERROR(Y54/Y$59, "-")</f>
        <v/>
      </c>
      <c r="Z60" s="162">
        <f>IFERROR(Z54/Z$59, "-")</f>
        <v/>
      </c>
      <c r="AA60" s="162">
        <f>IFERROR(AA54/AA$59, "-")</f>
        <v/>
      </c>
      <c r="AB60" s="162">
        <f>IFERROR(AB54/AB$59, "-")</f>
        <v/>
      </c>
      <c r="AC60" s="162">
        <f>IFERROR(AC54/AC$59, "-")</f>
        <v/>
      </c>
      <c r="AD60" s="162">
        <f>IFERROR(AD54/AD$59, "-")</f>
        <v/>
      </c>
      <c r="AE60" s="162">
        <f>IFERROR(AE54/AE$59, "-")</f>
        <v/>
      </c>
      <c r="AF60" s="162">
        <f>IFERROR(AF54/AF$59, "-")</f>
        <v/>
      </c>
      <c r="AG60" s="162">
        <f>IFERROR(AG54/AG$59, "-")</f>
        <v/>
      </c>
      <c r="AH60" s="162">
        <f>IFERROR(AH54/AH$59, "-")</f>
        <v/>
      </c>
      <c r="AI60" s="162">
        <f>IFERROR(AI54/AI$59, "-")</f>
        <v/>
      </c>
      <c r="AJ60" s="162">
        <f>IFERROR(AJ54/AJ$59, "-")</f>
        <v/>
      </c>
      <c r="AK60" s="162">
        <f>IFERROR(AK54/AK$59, "-")</f>
        <v/>
      </c>
      <c r="AL60" s="162">
        <f>IFERROR(AL54/AL$59, "-")</f>
        <v/>
      </c>
      <c r="AM60" s="162">
        <f>IFERROR(AM54/AM$59, "-")</f>
        <v/>
      </c>
      <c r="AN60" s="162">
        <f>IFERROR(AN54/AN$59, "-")</f>
        <v/>
      </c>
      <c r="AO60" s="162">
        <f>IFERROR(AO54/AO$59, "-")</f>
        <v/>
      </c>
      <c r="AP60" s="162">
        <f>IFERROR(AP54/AP$59, "-")</f>
        <v/>
      </c>
      <c r="AQ60" s="162">
        <f>IFERROR(AQ54/AQ$59, "-")</f>
        <v/>
      </c>
      <c r="AR60" s="162">
        <f>IFERROR(AR54/AR$59, "-")</f>
        <v/>
      </c>
      <c r="AS60" s="162">
        <f>IFERROR(AS54/AS$59, "-")</f>
        <v/>
      </c>
      <c r="AT60" s="162">
        <f>IFERROR(AT54/AT$59, "-")</f>
        <v/>
      </c>
      <c r="AU60" s="162">
        <f>IFERROR(AU54/AU$59, "-")</f>
        <v/>
      </c>
      <c r="AV60" s="162">
        <f>IFERROR(AV54/AV$59, "-")</f>
        <v/>
      </c>
      <c r="AW60" s="162">
        <f>IFERROR(AW54/AW$59, "-")</f>
        <v/>
      </c>
      <c r="AX60" s="162">
        <f>IFERROR(AX54/AX$59, "-")</f>
        <v/>
      </c>
      <c r="AY60" s="162">
        <f>IFERROR(AY54/AY$59, "-")</f>
        <v/>
      </c>
      <c r="AZ60" s="162">
        <f>IFERROR(AZ54/AZ$59, "-")</f>
        <v/>
      </c>
      <c r="BA60" s="162">
        <f>IFERROR(BA54/BA$59, "-")</f>
        <v/>
      </c>
      <c r="BB60" s="162">
        <f>IFERROR(BB54/BB$59, "-")</f>
        <v/>
      </c>
      <c r="BC60" s="162">
        <f>IFERROR(BC54/BC$59, "-")</f>
        <v/>
      </c>
      <c r="BD60" s="162">
        <f>IFERROR(BD54/BD$59, "-")</f>
        <v/>
      </c>
      <c r="BE60" s="162">
        <f>IFERROR(BE54/BE$59, "-")</f>
        <v/>
      </c>
      <c r="BF60" s="162">
        <f>IFERROR(BF54/BF$59, "-")</f>
        <v/>
      </c>
      <c r="BG60" s="162">
        <f>IFERROR(BG54/BG$59, "-")</f>
        <v/>
      </c>
      <c r="BH60" s="162">
        <f>IFERROR(BH54/BH$59, "-")</f>
        <v/>
      </c>
      <c r="BI60" s="162">
        <f>IFERROR(BI54/BI$59, "-")</f>
        <v/>
      </c>
      <c r="BJ60" s="162">
        <f>IFERROR(BJ54/BJ$59, "-")</f>
        <v/>
      </c>
      <c r="BK60" s="162">
        <f>IFERROR(BK54/BK$59, "-")</f>
        <v/>
      </c>
      <c r="BL60" s="162">
        <f>IFERROR(BL54/BL$59, "-")</f>
        <v/>
      </c>
      <c r="BM60" s="162">
        <f>IFERROR(BM54/BM$59, "-")</f>
        <v/>
      </c>
      <c r="BN60" s="162">
        <f>IFERROR(BN54/BN$59, "-")</f>
        <v/>
      </c>
      <c r="BO60" s="162">
        <f>IFERROR(BO54/BO$59, "-")</f>
        <v/>
      </c>
      <c r="BP60" s="162">
        <f>IFERROR(BP54/BP$59, "-")</f>
        <v/>
      </c>
      <c r="BQ60" s="162">
        <f>IFERROR(BQ54/BQ$59, "-")</f>
        <v/>
      </c>
      <c r="BR60" s="162">
        <f>IFERROR(BR54/BR$59, "-")</f>
        <v/>
      </c>
      <c r="BS60" s="162">
        <f>IFERROR(BS54/BS$59, "-")</f>
        <v/>
      </c>
      <c r="BT60" s="162">
        <f>IFERROR(BT54/BT$59, "-")</f>
        <v/>
      </c>
      <c r="BU60" s="162">
        <f>IFERROR(BU54/BU$59, "-")</f>
        <v/>
      </c>
      <c r="BV60" s="162">
        <f>IFERROR(BV54/BV$59, "-")</f>
        <v/>
      </c>
      <c r="BW60" s="162">
        <f>IFERROR(BW54/BW$59, "-")</f>
        <v/>
      </c>
      <c r="BX60" s="162">
        <f>IFERROR(BX54/BX$59, "-")</f>
        <v/>
      </c>
      <c r="BY60" s="162">
        <f>IFERROR(BY54/BY$59, "-")</f>
        <v/>
      </c>
      <c r="BZ60" s="162">
        <f>IFERROR(BZ54/BZ$59, "-")</f>
        <v/>
      </c>
      <c r="CA60" s="162">
        <f>IFERROR(CA54/CA$59, "-")</f>
        <v/>
      </c>
      <c r="CB60" s="162">
        <f>IFERROR(CB54/CB$59, "-")</f>
        <v/>
      </c>
      <c r="CC60" s="162">
        <f>IFERROR(CC54/CC$59, "-")</f>
        <v/>
      </c>
      <c r="CD60" s="162">
        <f>IFERROR(CD54/CD$59, "-")</f>
        <v/>
      </c>
      <c r="CE60" s="162">
        <f>IFERROR(CE54/CE$59, "-")</f>
        <v/>
      </c>
      <c r="CF60" s="162">
        <f>IFERROR(CF54/CF$59, "-")</f>
        <v/>
      </c>
      <c r="CG60" s="162">
        <f>IFERROR(CG54/CG$59, "-")</f>
        <v/>
      </c>
      <c r="CH60" s="162">
        <f>IFERROR(CH54/CH$59, "-")</f>
        <v/>
      </c>
      <c r="CI60" s="162">
        <f>IFERROR(CI54/CI$59, "-")</f>
        <v/>
      </c>
      <c r="CJ60" s="162">
        <f>IFERROR(CJ54/CJ$59, "-")</f>
        <v/>
      </c>
      <c r="CK60" s="162">
        <f>IFERROR(CK54/CK$59, "-")</f>
        <v/>
      </c>
      <c r="CL60" s="162">
        <f>IFERROR(CL54/CL$59, "-")</f>
        <v/>
      </c>
      <c r="CM60" s="162">
        <f>IFERROR(CM54/CM$59, "-")</f>
        <v/>
      </c>
      <c r="CN60" s="162">
        <f>IFERROR(CN54/CN$59, "-")</f>
        <v/>
      </c>
      <c r="CO60" s="162">
        <f>IFERROR(CO54/CO$59, "-")</f>
        <v/>
      </c>
      <c r="CP60" s="162">
        <f>IFERROR(CP54/CP$59, "-")</f>
        <v/>
      </c>
      <c r="CQ60" s="162">
        <f>IFERROR(CQ54/CQ$59, "-")</f>
        <v/>
      </c>
      <c r="CR60" s="162">
        <f>IFERROR(CR54/CR$59, "-")</f>
        <v/>
      </c>
      <c r="CS60" s="162">
        <f>IFERROR(CS54/CS$59, "-")</f>
        <v/>
      </c>
      <c r="CT60" s="162">
        <f>IFERROR(CT54/CT$59, "-")</f>
        <v/>
      </c>
      <c r="CU60" s="162">
        <f>IFERROR(CU54/CU$59, "-")</f>
        <v/>
      </c>
      <c r="CV60" s="162">
        <f>IFERROR(CV54/CV$59, "-")</f>
        <v/>
      </c>
      <c r="CW60" s="162">
        <f>IFERROR(CW54/CW$59, "-")</f>
        <v/>
      </c>
    </row>
    <row r="61" ht="15.75" customHeight="1" s="255">
      <c r="A61" s="42" t="inlineStr">
        <is>
          <t>LTV 3 month/CAC</t>
        </is>
      </c>
      <c r="B61" s="42" t="n"/>
      <c r="C61" s="42" t="n"/>
      <c r="D61" s="163">
        <f>IFERROR(D55/D$59, "-")</f>
        <v/>
      </c>
      <c r="E61" s="163">
        <f>IFERROR(E55/E$59, "-")</f>
        <v/>
      </c>
      <c r="F61" s="163">
        <f>IFERROR(F55/F$59, "-")</f>
        <v/>
      </c>
      <c r="G61" s="163">
        <f>IFERROR(G55/G$59, "-")</f>
        <v/>
      </c>
      <c r="H61" s="163">
        <f>IFERROR(H55/H$59, "-")</f>
        <v/>
      </c>
      <c r="I61" s="163">
        <f>IFERROR(I55/I$59, "-")</f>
        <v/>
      </c>
      <c r="J61" s="163">
        <f>IFERROR(J55/J$59, "-")</f>
        <v/>
      </c>
      <c r="K61" s="163">
        <f>IFERROR(K55/K$59, "-")</f>
        <v/>
      </c>
      <c r="L61" s="163">
        <f>IFERROR(L55/L$59, "-")</f>
        <v/>
      </c>
      <c r="M61" s="163">
        <f>IFERROR(M55/M$59, "-")</f>
        <v/>
      </c>
      <c r="N61" s="163">
        <f>IFERROR(N55/N$59, "-")</f>
        <v/>
      </c>
      <c r="O61" s="163">
        <f>IFERROR(O55/O$59, "-")</f>
        <v/>
      </c>
      <c r="P61" s="163">
        <f>IFERROR(P55/P$59, "-")</f>
        <v/>
      </c>
      <c r="Q61" s="163">
        <f>IFERROR(Q55/Q$59, "-")</f>
        <v/>
      </c>
      <c r="R61" s="163">
        <f>IFERROR(R55/R$59, "-")</f>
        <v/>
      </c>
      <c r="S61" s="163">
        <f>IFERROR(S55/S$59, "-")</f>
        <v/>
      </c>
      <c r="T61" s="163">
        <f>IFERROR(T55/T$59, "-")</f>
        <v/>
      </c>
      <c r="U61" s="163">
        <f>IFERROR(U55/U$59, "-")</f>
        <v/>
      </c>
      <c r="V61" s="163">
        <f>IFERROR(V55/V$59, "-")</f>
        <v/>
      </c>
      <c r="W61" s="163">
        <f>IFERROR(W55/W$59, "-")</f>
        <v/>
      </c>
      <c r="X61" s="163">
        <f>IFERROR(X55/X$59, "-")</f>
        <v/>
      </c>
      <c r="Y61" s="163">
        <f>IFERROR(Y55/Y$59, "-")</f>
        <v/>
      </c>
      <c r="Z61" s="163">
        <f>IFERROR(Z55/Z$59, "-")</f>
        <v/>
      </c>
      <c r="AA61" s="163">
        <f>IFERROR(AA55/AA$59, "-")</f>
        <v/>
      </c>
      <c r="AB61" s="163">
        <f>IFERROR(AB55/AB$59, "-")</f>
        <v/>
      </c>
      <c r="AC61" s="163">
        <f>IFERROR(AC55/AC$59, "-")</f>
        <v/>
      </c>
      <c r="AD61" s="163">
        <f>IFERROR(AD55/AD$59, "-")</f>
        <v/>
      </c>
      <c r="AE61" s="163">
        <f>IFERROR(AE55/AE$59, "-")</f>
        <v/>
      </c>
      <c r="AF61" s="163">
        <f>IFERROR(AF55/AF$59, "-")</f>
        <v/>
      </c>
      <c r="AG61" s="163">
        <f>IFERROR(AG55/AG$59, "-")</f>
        <v/>
      </c>
      <c r="AH61" s="163">
        <f>IFERROR(AH55/AH$59, "-")</f>
        <v/>
      </c>
      <c r="AI61" s="163">
        <f>IFERROR(AI55/AI$59, "-")</f>
        <v/>
      </c>
      <c r="AJ61" s="163">
        <f>IFERROR(AJ55/AJ$59, "-")</f>
        <v/>
      </c>
      <c r="AK61" s="163">
        <f>IFERROR(AK55/AK$59, "-")</f>
        <v/>
      </c>
      <c r="AL61" s="163">
        <f>IFERROR(AL55/AL$59, "-")</f>
        <v/>
      </c>
      <c r="AM61" s="163">
        <f>IFERROR(AM55/AM$59, "-")</f>
        <v/>
      </c>
      <c r="AN61" s="163">
        <f>IFERROR(AN55/AN$59, "-")</f>
        <v/>
      </c>
      <c r="AO61" s="163">
        <f>IFERROR(AO55/AO$59, "-")</f>
        <v/>
      </c>
      <c r="AP61" s="163">
        <f>IFERROR(AP55/AP$59, "-")</f>
        <v/>
      </c>
      <c r="AQ61" s="163">
        <f>IFERROR(AQ55/AQ$59, "-")</f>
        <v/>
      </c>
      <c r="AR61" s="163">
        <f>IFERROR(AR55/AR$59, "-")</f>
        <v/>
      </c>
      <c r="AS61" s="163">
        <f>IFERROR(AS55/AS$59, "-")</f>
        <v/>
      </c>
      <c r="AT61" s="163">
        <f>IFERROR(AT55/AT$59, "-")</f>
        <v/>
      </c>
      <c r="AU61" s="163">
        <f>IFERROR(AU55/AU$59, "-")</f>
        <v/>
      </c>
      <c r="AV61" s="163">
        <f>IFERROR(AV55/AV$59, "-")</f>
        <v/>
      </c>
      <c r="AW61" s="163">
        <f>IFERROR(AW55/AW$59, "-")</f>
        <v/>
      </c>
      <c r="AX61" s="163">
        <f>IFERROR(AX55/AX$59, "-")</f>
        <v/>
      </c>
      <c r="AY61" s="163">
        <f>IFERROR(AY55/AY$59, "-")</f>
        <v/>
      </c>
      <c r="AZ61" s="163">
        <f>IFERROR(AZ55/AZ$59, "-")</f>
        <v/>
      </c>
      <c r="BA61" s="163">
        <f>IFERROR(BA55/BA$59, "-")</f>
        <v/>
      </c>
      <c r="BB61" s="163">
        <f>IFERROR(BB55/BB$59, "-")</f>
        <v/>
      </c>
      <c r="BC61" s="163">
        <f>IFERROR(BC55/BC$59, "-")</f>
        <v/>
      </c>
      <c r="BD61" s="163">
        <f>IFERROR(BD55/BD$59, "-")</f>
        <v/>
      </c>
      <c r="BE61" s="163">
        <f>IFERROR(BE55/BE$59, "-")</f>
        <v/>
      </c>
      <c r="BF61" s="163">
        <f>IFERROR(BF55/BF$59, "-")</f>
        <v/>
      </c>
      <c r="BG61" s="163">
        <f>IFERROR(BG55/BG$59, "-")</f>
        <v/>
      </c>
      <c r="BH61" s="163">
        <f>IFERROR(BH55/BH$59, "-")</f>
        <v/>
      </c>
      <c r="BI61" s="163">
        <f>IFERROR(BI55/BI$59, "-")</f>
        <v/>
      </c>
      <c r="BJ61" s="163">
        <f>IFERROR(BJ55/BJ$59, "-")</f>
        <v/>
      </c>
      <c r="BK61" s="163">
        <f>IFERROR(BK55/BK$59, "-")</f>
        <v/>
      </c>
      <c r="BL61" s="163">
        <f>IFERROR(BL55/BL$59, "-")</f>
        <v/>
      </c>
      <c r="BM61" s="163">
        <f>IFERROR(BM55/BM$59, "-")</f>
        <v/>
      </c>
      <c r="BN61" s="163">
        <f>IFERROR(BN55/BN$59, "-")</f>
        <v/>
      </c>
      <c r="BO61" s="163">
        <f>IFERROR(BO55/BO$59, "-")</f>
        <v/>
      </c>
      <c r="BP61" s="163">
        <f>IFERROR(BP55/BP$59, "-")</f>
        <v/>
      </c>
      <c r="BQ61" s="163">
        <f>IFERROR(BQ55/BQ$59, "-")</f>
        <v/>
      </c>
      <c r="BR61" s="163">
        <f>IFERROR(BR55/BR$59, "-")</f>
        <v/>
      </c>
      <c r="BS61" s="163">
        <f>IFERROR(BS55/BS$59, "-")</f>
        <v/>
      </c>
      <c r="BT61" s="163">
        <f>IFERROR(BT55/BT$59, "-")</f>
        <v/>
      </c>
      <c r="BU61" s="163">
        <f>IFERROR(BU55/BU$59, "-")</f>
        <v/>
      </c>
      <c r="BV61" s="163">
        <f>IFERROR(BV55/BV$59, "-")</f>
        <v/>
      </c>
      <c r="BW61" s="163">
        <f>IFERROR(BW55/BW$59, "-")</f>
        <v/>
      </c>
      <c r="BX61" s="163">
        <f>IFERROR(BX55/BX$59, "-")</f>
        <v/>
      </c>
      <c r="BY61" s="163">
        <f>IFERROR(BY55/BY$59, "-")</f>
        <v/>
      </c>
      <c r="BZ61" s="163">
        <f>IFERROR(BZ55/BZ$59, "-")</f>
        <v/>
      </c>
      <c r="CA61" s="163">
        <f>IFERROR(CA55/CA$59, "-")</f>
        <v/>
      </c>
      <c r="CB61" s="163">
        <f>IFERROR(CB55/CB$59, "-")</f>
        <v/>
      </c>
      <c r="CC61" s="163">
        <f>IFERROR(CC55/CC$59, "-")</f>
        <v/>
      </c>
      <c r="CD61" s="163">
        <f>IFERROR(CD55/CD$59, "-")</f>
        <v/>
      </c>
      <c r="CE61" s="163">
        <f>IFERROR(CE55/CE$59, "-")</f>
        <v/>
      </c>
      <c r="CF61" s="163">
        <f>IFERROR(CF55/CF$59, "-")</f>
        <v/>
      </c>
      <c r="CG61" s="163">
        <f>IFERROR(CG55/CG$59, "-")</f>
        <v/>
      </c>
      <c r="CH61" s="163">
        <f>IFERROR(CH55/CH$59, "-")</f>
        <v/>
      </c>
      <c r="CI61" s="163">
        <f>IFERROR(CI55/CI$59, "-")</f>
        <v/>
      </c>
      <c r="CJ61" s="163">
        <f>IFERROR(CJ55/CJ$59, "-")</f>
        <v/>
      </c>
      <c r="CK61" s="163">
        <f>IFERROR(CK55/CK$59, "-")</f>
        <v/>
      </c>
      <c r="CL61" s="163">
        <f>IFERROR(CL55/CL$59, "-")</f>
        <v/>
      </c>
      <c r="CM61" s="163">
        <f>IFERROR(CM55/CM$59, "-")</f>
        <v/>
      </c>
      <c r="CN61" s="163">
        <f>IFERROR(CN55/CN$59, "-")</f>
        <v/>
      </c>
      <c r="CO61" s="163">
        <f>IFERROR(CO55/CO$59, "-")</f>
        <v/>
      </c>
      <c r="CP61" s="163">
        <f>IFERROR(CP55/CP$59, "-")</f>
        <v/>
      </c>
      <c r="CQ61" s="163">
        <f>IFERROR(CQ55/CQ$59, "-")</f>
        <v/>
      </c>
      <c r="CR61" s="163">
        <f>IFERROR(CR55/CR$59, "-")</f>
        <v/>
      </c>
      <c r="CS61" s="163">
        <f>IFERROR(CS55/CS$59, "-")</f>
        <v/>
      </c>
      <c r="CT61" s="163">
        <f>IFERROR(CT55/CT$59, "-")</f>
        <v/>
      </c>
      <c r="CU61" s="163">
        <f>IFERROR(CU55/CU$59, "-")</f>
        <v/>
      </c>
      <c r="CV61" s="163">
        <f>IFERROR(CV55/CV$59, "-")</f>
        <v/>
      </c>
      <c r="CW61" s="163">
        <f>IFERROR(CW55/CW$59, "-")</f>
        <v/>
      </c>
    </row>
    <row r="62" ht="15.75" customHeight="1" s="255">
      <c r="A62" s="42" t="inlineStr">
        <is>
          <t>LTV 6 month/CAC</t>
        </is>
      </c>
      <c r="B62" s="42" t="n"/>
      <c r="C62" s="42" t="n"/>
      <c r="D62" s="163">
        <f>IFERROR(D56/D$59, "-")</f>
        <v/>
      </c>
      <c r="E62" s="163">
        <f>IFERROR(E56/E$59, "-")</f>
        <v/>
      </c>
      <c r="F62" s="163">
        <f>IFERROR(F56/F$59, "-")</f>
        <v/>
      </c>
      <c r="G62" s="163">
        <f>IFERROR(G56/G$59, "-")</f>
        <v/>
      </c>
      <c r="H62" s="163">
        <f>IFERROR(H56/H$59, "-")</f>
        <v/>
      </c>
      <c r="I62" s="163">
        <f>IFERROR(I56/I$59, "-")</f>
        <v/>
      </c>
      <c r="J62" s="163">
        <f>IFERROR(J56/J$59, "-")</f>
        <v/>
      </c>
      <c r="K62" s="163">
        <f>IFERROR(K56/K$59, "-")</f>
        <v/>
      </c>
      <c r="L62" s="163">
        <f>IFERROR(L56/L$59, "-")</f>
        <v/>
      </c>
      <c r="M62" s="163">
        <f>IFERROR(M56/M$59, "-")</f>
        <v/>
      </c>
      <c r="N62" s="163">
        <f>IFERROR(N56/N$59, "-")</f>
        <v/>
      </c>
      <c r="O62" s="163">
        <f>IFERROR(O56/O$59, "-")</f>
        <v/>
      </c>
      <c r="P62" s="163">
        <f>IFERROR(P56/P$59, "-")</f>
        <v/>
      </c>
      <c r="Q62" s="163">
        <f>IFERROR(Q56/Q$59, "-")</f>
        <v/>
      </c>
      <c r="R62" s="163">
        <f>IFERROR(R56/R$59, "-")</f>
        <v/>
      </c>
      <c r="S62" s="163">
        <f>IFERROR(S56/S$59, "-")</f>
        <v/>
      </c>
      <c r="T62" s="163">
        <f>IFERROR(T56/T$59, "-")</f>
        <v/>
      </c>
      <c r="U62" s="163">
        <f>IFERROR(U56/U$59, "-")</f>
        <v/>
      </c>
      <c r="V62" s="163">
        <f>IFERROR(V56/V$59, "-")</f>
        <v/>
      </c>
      <c r="W62" s="163">
        <f>IFERROR(W56/W$59, "-")</f>
        <v/>
      </c>
      <c r="X62" s="163">
        <f>IFERROR(X56/X$59, "-")</f>
        <v/>
      </c>
      <c r="Y62" s="163">
        <f>IFERROR(Y56/Y$59, "-")</f>
        <v/>
      </c>
      <c r="Z62" s="163">
        <f>IFERROR(Z56/Z$59, "-")</f>
        <v/>
      </c>
      <c r="AA62" s="163">
        <f>IFERROR(AA56/AA$59, "-")</f>
        <v/>
      </c>
      <c r="AB62" s="163">
        <f>IFERROR(AB56/AB$59, "-")</f>
        <v/>
      </c>
      <c r="AC62" s="163">
        <f>IFERROR(AC56/AC$59, "-")</f>
        <v/>
      </c>
      <c r="AD62" s="163">
        <f>IFERROR(AD56/AD$59, "-")</f>
        <v/>
      </c>
      <c r="AE62" s="163">
        <f>IFERROR(AE56/AE$59, "-")</f>
        <v/>
      </c>
      <c r="AF62" s="163">
        <f>IFERROR(AF56/AF$59, "-")</f>
        <v/>
      </c>
      <c r="AG62" s="163">
        <f>IFERROR(AG56/AG$59, "-")</f>
        <v/>
      </c>
      <c r="AH62" s="163">
        <f>IFERROR(AH56/AH$59, "-")</f>
        <v/>
      </c>
      <c r="AI62" s="163">
        <f>IFERROR(AI56/AI$59, "-")</f>
        <v/>
      </c>
      <c r="AJ62" s="163">
        <f>IFERROR(AJ56/AJ$59, "-")</f>
        <v/>
      </c>
      <c r="AK62" s="163">
        <f>IFERROR(AK56/AK$59, "-")</f>
        <v/>
      </c>
      <c r="AL62" s="163">
        <f>IFERROR(AL56/AL$59, "-")</f>
        <v/>
      </c>
      <c r="AM62" s="163">
        <f>IFERROR(AM56/AM$59, "-")</f>
        <v/>
      </c>
      <c r="AN62" s="163">
        <f>IFERROR(AN56/AN$59, "-")</f>
        <v/>
      </c>
      <c r="AO62" s="163">
        <f>IFERROR(AO56/AO$59, "-")</f>
        <v/>
      </c>
      <c r="AP62" s="163">
        <f>IFERROR(AP56/AP$59, "-")</f>
        <v/>
      </c>
      <c r="AQ62" s="163">
        <f>IFERROR(AQ56/AQ$59, "-")</f>
        <v/>
      </c>
      <c r="AR62" s="163">
        <f>IFERROR(AR56/AR$59, "-")</f>
        <v/>
      </c>
      <c r="AS62" s="163">
        <f>IFERROR(AS56/AS$59, "-")</f>
        <v/>
      </c>
      <c r="AT62" s="163">
        <f>IFERROR(AT56/AT$59, "-")</f>
        <v/>
      </c>
      <c r="AU62" s="163">
        <f>IFERROR(AU56/AU$59, "-")</f>
        <v/>
      </c>
      <c r="AV62" s="163">
        <f>IFERROR(AV56/AV$59, "-")</f>
        <v/>
      </c>
      <c r="AW62" s="163">
        <f>IFERROR(AW56/AW$59, "-")</f>
        <v/>
      </c>
      <c r="AX62" s="163">
        <f>IFERROR(AX56/AX$59, "-")</f>
        <v/>
      </c>
      <c r="AY62" s="163">
        <f>IFERROR(AY56/AY$59, "-")</f>
        <v/>
      </c>
      <c r="AZ62" s="163">
        <f>IFERROR(AZ56/AZ$59, "-")</f>
        <v/>
      </c>
      <c r="BA62" s="163">
        <f>IFERROR(BA56/BA$59, "-")</f>
        <v/>
      </c>
      <c r="BB62" s="163">
        <f>IFERROR(BB56/BB$59, "-")</f>
        <v/>
      </c>
      <c r="BC62" s="163">
        <f>IFERROR(BC56/BC$59, "-")</f>
        <v/>
      </c>
      <c r="BD62" s="163">
        <f>IFERROR(BD56/BD$59, "-")</f>
        <v/>
      </c>
      <c r="BE62" s="163">
        <f>IFERROR(BE56/BE$59, "-")</f>
        <v/>
      </c>
      <c r="BF62" s="163">
        <f>IFERROR(BF56/BF$59, "-")</f>
        <v/>
      </c>
      <c r="BG62" s="163">
        <f>IFERROR(BG56/BG$59, "-")</f>
        <v/>
      </c>
      <c r="BH62" s="163">
        <f>IFERROR(BH56/BH$59, "-")</f>
        <v/>
      </c>
      <c r="BI62" s="163">
        <f>IFERROR(BI56/BI$59, "-")</f>
        <v/>
      </c>
      <c r="BJ62" s="163">
        <f>IFERROR(BJ56/BJ$59, "-")</f>
        <v/>
      </c>
      <c r="BK62" s="163">
        <f>IFERROR(BK56/BK$59, "-")</f>
        <v/>
      </c>
      <c r="BL62" s="163">
        <f>IFERROR(BL56/BL$59, "-")</f>
        <v/>
      </c>
      <c r="BM62" s="163">
        <f>IFERROR(BM56/BM$59, "-")</f>
        <v/>
      </c>
      <c r="BN62" s="163">
        <f>IFERROR(BN56/BN$59, "-")</f>
        <v/>
      </c>
      <c r="BO62" s="163">
        <f>IFERROR(BO56/BO$59, "-")</f>
        <v/>
      </c>
      <c r="BP62" s="163">
        <f>IFERROR(BP56/BP$59, "-")</f>
        <v/>
      </c>
      <c r="BQ62" s="163">
        <f>IFERROR(BQ56/BQ$59, "-")</f>
        <v/>
      </c>
      <c r="BR62" s="163">
        <f>IFERROR(BR56/BR$59, "-")</f>
        <v/>
      </c>
      <c r="BS62" s="163">
        <f>IFERROR(BS56/BS$59, "-")</f>
        <v/>
      </c>
      <c r="BT62" s="163">
        <f>IFERROR(BT56/BT$59, "-")</f>
        <v/>
      </c>
      <c r="BU62" s="163">
        <f>IFERROR(BU56/BU$59, "-")</f>
        <v/>
      </c>
      <c r="BV62" s="163">
        <f>IFERROR(BV56/BV$59, "-")</f>
        <v/>
      </c>
      <c r="BW62" s="163">
        <f>IFERROR(BW56/BW$59, "-")</f>
        <v/>
      </c>
      <c r="BX62" s="163">
        <f>IFERROR(BX56/BX$59, "-")</f>
        <v/>
      </c>
      <c r="BY62" s="163">
        <f>IFERROR(BY56/BY$59, "-")</f>
        <v/>
      </c>
      <c r="BZ62" s="163">
        <f>IFERROR(BZ56/BZ$59, "-")</f>
        <v/>
      </c>
      <c r="CA62" s="163">
        <f>IFERROR(CA56/CA$59, "-")</f>
        <v/>
      </c>
      <c r="CB62" s="163">
        <f>IFERROR(CB56/CB$59, "-")</f>
        <v/>
      </c>
      <c r="CC62" s="163">
        <f>IFERROR(CC56/CC$59, "-")</f>
        <v/>
      </c>
      <c r="CD62" s="163">
        <f>IFERROR(CD56/CD$59, "-")</f>
        <v/>
      </c>
      <c r="CE62" s="163">
        <f>IFERROR(CE56/CE$59, "-")</f>
        <v/>
      </c>
      <c r="CF62" s="163">
        <f>IFERROR(CF56/CF$59, "-")</f>
        <v/>
      </c>
      <c r="CG62" s="163">
        <f>IFERROR(CG56/CG$59, "-")</f>
        <v/>
      </c>
      <c r="CH62" s="163">
        <f>IFERROR(CH56/CH$59, "-")</f>
        <v/>
      </c>
      <c r="CI62" s="163">
        <f>IFERROR(CI56/CI$59, "-")</f>
        <v/>
      </c>
      <c r="CJ62" s="163">
        <f>IFERROR(CJ56/CJ$59, "-")</f>
        <v/>
      </c>
      <c r="CK62" s="163">
        <f>IFERROR(CK56/CK$59, "-")</f>
        <v/>
      </c>
      <c r="CL62" s="163">
        <f>IFERROR(CL56/CL$59, "-")</f>
        <v/>
      </c>
      <c r="CM62" s="163">
        <f>IFERROR(CM56/CM$59, "-")</f>
        <v/>
      </c>
      <c r="CN62" s="163">
        <f>IFERROR(CN56/CN$59, "-")</f>
        <v/>
      </c>
      <c r="CO62" s="163">
        <f>IFERROR(CO56/CO$59, "-")</f>
        <v/>
      </c>
      <c r="CP62" s="163">
        <f>IFERROR(CP56/CP$59, "-")</f>
        <v/>
      </c>
      <c r="CQ62" s="163">
        <f>IFERROR(CQ56/CQ$59, "-")</f>
        <v/>
      </c>
      <c r="CR62" s="163">
        <f>IFERROR(CR56/CR$59, "-")</f>
        <v/>
      </c>
      <c r="CS62" s="163">
        <f>IFERROR(CS56/CS$59, "-")</f>
        <v/>
      </c>
      <c r="CT62" s="163">
        <f>IFERROR(CT56/CT$59, "-")</f>
        <v/>
      </c>
      <c r="CU62" s="163">
        <f>IFERROR(CU56/CU$59, "-")</f>
        <v/>
      </c>
      <c r="CV62" s="163">
        <f>IFERROR(CV56/CV$59, "-")</f>
        <v/>
      </c>
      <c r="CW62" s="163">
        <f>IFERROR(CW56/CW$59, "-")</f>
        <v/>
      </c>
    </row>
    <row r="63" ht="15.75" customHeight="1" s="255">
      <c r="A63" s="42" t="inlineStr">
        <is>
          <t>LTV 12 month/CAC</t>
        </is>
      </c>
      <c r="B63" s="42" t="n"/>
      <c r="C63" s="42" t="n"/>
      <c r="D63" s="163">
        <f>IFERROR(D57/D$59, "-")</f>
        <v/>
      </c>
      <c r="E63" s="163">
        <f>IFERROR(E57/E$59, "-")</f>
        <v/>
      </c>
      <c r="F63" s="163">
        <f>IFERROR(F57/F$59, "-")</f>
        <v/>
      </c>
      <c r="G63" s="163">
        <f>IFERROR(G57/G$59, "-")</f>
        <v/>
      </c>
      <c r="H63" s="163">
        <f>IFERROR(H57/H$59, "-")</f>
        <v/>
      </c>
      <c r="I63" s="163">
        <f>IFERROR(I57/I$59, "-")</f>
        <v/>
      </c>
      <c r="J63" s="163">
        <f>IFERROR(J57/J$59, "-")</f>
        <v/>
      </c>
      <c r="K63" s="163">
        <f>IFERROR(K57/K$59, "-")</f>
        <v/>
      </c>
      <c r="L63" s="163">
        <f>IFERROR(L57/L$59, "-")</f>
        <v/>
      </c>
      <c r="M63" s="163">
        <f>IFERROR(M57/M$59, "-")</f>
        <v/>
      </c>
      <c r="N63" s="163">
        <f>IFERROR(N57/N$59, "-")</f>
        <v/>
      </c>
      <c r="O63" s="163">
        <f>IFERROR(O57/O$59, "-")</f>
        <v/>
      </c>
      <c r="P63" s="163">
        <f>IFERROR(P57/P$59, "-")</f>
        <v/>
      </c>
      <c r="Q63" s="163">
        <f>IFERROR(Q57/Q$59, "-")</f>
        <v/>
      </c>
      <c r="R63" s="163">
        <f>IFERROR(R57/R$59, "-")</f>
        <v/>
      </c>
      <c r="S63" s="163">
        <f>IFERROR(S57/S$59, "-")</f>
        <v/>
      </c>
      <c r="T63" s="163">
        <f>IFERROR(T57/T$59, "-")</f>
        <v/>
      </c>
      <c r="U63" s="163">
        <f>IFERROR(U57/U$59, "-")</f>
        <v/>
      </c>
      <c r="V63" s="163">
        <f>IFERROR(V57/V$59, "-")</f>
        <v/>
      </c>
      <c r="W63" s="163">
        <f>IFERROR(W57/W$59, "-")</f>
        <v/>
      </c>
      <c r="X63" s="163">
        <f>IFERROR(X57/X$59, "-")</f>
        <v/>
      </c>
      <c r="Y63" s="163">
        <f>IFERROR(Y57/Y$59, "-")</f>
        <v/>
      </c>
      <c r="Z63" s="163">
        <f>IFERROR(Z57/Z$59, "-")</f>
        <v/>
      </c>
      <c r="AA63" s="163">
        <f>IFERROR(AA57/AA$59, "-")</f>
        <v/>
      </c>
      <c r="AB63" s="163">
        <f>IFERROR(AB57/AB$59, "-")</f>
        <v/>
      </c>
      <c r="AC63" s="163">
        <f>IFERROR(AC57/AC$59, "-")</f>
        <v/>
      </c>
      <c r="AD63" s="163">
        <f>IFERROR(AD57/AD$59, "-")</f>
        <v/>
      </c>
      <c r="AE63" s="163">
        <f>IFERROR(AE57/AE$59, "-")</f>
        <v/>
      </c>
      <c r="AF63" s="163">
        <f>IFERROR(AF57/AF$59, "-")</f>
        <v/>
      </c>
      <c r="AG63" s="163">
        <f>IFERROR(AG57/AG$59, "-")</f>
        <v/>
      </c>
      <c r="AH63" s="163">
        <f>IFERROR(AH57/AH$59, "-")</f>
        <v/>
      </c>
      <c r="AI63" s="163">
        <f>IFERROR(AI57/AI$59, "-")</f>
        <v/>
      </c>
      <c r="AJ63" s="163">
        <f>IFERROR(AJ57/AJ$59, "-")</f>
        <v/>
      </c>
      <c r="AK63" s="163">
        <f>IFERROR(AK57/AK$59, "-")</f>
        <v/>
      </c>
      <c r="AL63" s="163">
        <f>IFERROR(AL57/AL$59, "-")</f>
        <v/>
      </c>
      <c r="AM63" s="163">
        <f>IFERROR(AM57/AM$59, "-")</f>
        <v/>
      </c>
      <c r="AN63" s="163">
        <f>IFERROR(AN57/AN$59, "-")</f>
        <v/>
      </c>
      <c r="AO63" s="163">
        <f>IFERROR(AO57/AO$59, "-")</f>
        <v/>
      </c>
      <c r="AP63" s="163">
        <f>IFERROR(AP57/AP$59, "-")</f>
        <v/>
      </c>
      <c r="AQ63" s="163">
        <f>IFERROR(AQ57/AQ$59, "-")</f>
        <v/>
      </c>
      <c r="AR63" s="163">
        <f>IFERROR(AR57/AR$59, "-")</f>
        <v/>
      </c>
      <c r="AS63" s="163">
        <f>IFERROR(AS57/AS$59, "-")</f>
        <v/>
      </c>
      <c r="AT63" s="163">
        <f>IFERROR(AT57/AT$59, "-")</f>
        <v/>
      </c>
      <c r="AU63" s="163">
        <f>IFERROR(AU57/AU$59, "-")</f>
        <v/>
      </c>
      <c r="AV63" s="163">
        <f>IFERROR(AV57/AV$59, "-")</f>
        <v/>
      </c>
      <c r="AW63" s="163">
        <f>IFERROR(AW57/AW$59, "-")</f>
        <v/>
      </c>
      <c r="AX63" s="163">
        <f>IFERROR(AX57/AX$59, "-")</f>
        <v/>
      </c>
      <c r="AY63" s="163">
        <f>IFERROR(AY57/AY$59, "-")</f>
        <v/>
      </c>
      <c r="AZ63" s="163">
        <f>IFERROR(AZ57/AZ$59, "-")</f>
        <v/>
      </c>
      <c r="BA63" s="163">
        <f>IFERROR(BA57/BA$59, "-")</f>
        <v/>
      </c>
      <c r="BB63" s="163">
        <f>IFERROR(BB57/BB$59, "-")</f>
        <v/>
      </c>
      <c r="BC63" s="163">
        <f>IFERROR(BC57/BC$59, "-")</f>
        <v/>
      </c>
      <c r="BD63" s="163">
        <f>IFERROR(BD57/BD$59, "-")</f>
        <v/>
      </c>
      <c r="BE63" s="163">
        <f>IFERROR(BE57/BE$59, "-")</f>
        <v/>
      </c>
      <c r="BF63" s="163">
        <f>IFERROR(BF57/BF$59, "-")</f>
        <v/>
      </c>
      <c r="BG63" s="163">
        <f>IFERROR(BG57/BG$59, "-")</f>
        <v/>
      </c>
      <c r="BH63" s="163">
        <f>IFERROR(BH57/BH$59, "-")</f>
        <v/>
      </c>
      <c r="BI63" s="163">
        <f>IFERROR(BI57/BI$59, "-")</f>
        <v/>
      </c>
      <c r="BJ63" s="163">
        <f>IFERROR(BJ57/BJ$59, "-")</f>
        <v/>
      </c>
      <c r="BK63" s="163">
        <f>IFERROR(BK57/BK$59, "-")</f>
        <v/>
      </c>
      <c r="BL63" s="163">
        <f>IFERROR(BL57/BL$59, "-")</f>
        <v/>
      </c>
      <c r="BM63" s="163">
        <f>IFERROR(BM57/BM$59, "-")</f>
        <v/>
      </c>
      <c r="BN63" s="163">
        <f>IFERROR(BN57/BN$59, "-")</f>
        <v/>
      </c>
      <c r="BO63" s="163">
        <f>IFERROR(BO57/BO$59, "-")</f>
        <v/>
      </c>
      <c r="BP63" s="163">
        <f>IFERROR(BP57/BP$59, "-")</f>
        <v/>
      </c>
      <c r="BQ63" s="163">
        <f>IFERROR(BQ57/BQ$59, "-")</f>
        <v/>
      </c>
      <c r="BR63" s="163">
        <f>IFERROR(BR57/BR$59, "-")</f>
        <v/>
      </c>
      <c r="BS63" s="163">
        <f>IFERROR(BS57/BS$59, "-")</f>
        <v/>
      </c>
      <c r="BT63" s="163">
        <f>IFERROR(BT57/BT$59, "-")</f>
        <v/>
      </c>
      <c r="BU63" s="163">
        <f>IFERROR(BU57/BU$59, "-")</f>
        <v/>
      </c>
      <c r="BV63" s="163">
        <f>IFERROR(BV57/BV$59, "-")</f>
        <v/>
      </c>
      <c r="BW63" s="163">
        <f>IFERROR(BW57/BW$59, "-")</f>
        <v/>
      </c>
      <c r="BX63" s="163">
        <f>IFERROR(BX57/BX$59, "-")</f>
        <v/>
      </c>
      <c r="BY63" s="163">
        <f>IFERROR(BY57/BY$59, "-")</f>
        <v/>
      </c>
      <c r="BZ63" s="163">
        <f>IFERROR(BZ57/BZ$59, "-")</f>
        <v/>
      </c>
      <c r="CA63" s="163">
        <f>IFERROR(CA57/CA$59, "-")</f>
        <v/>
      </c>
      <c r="CB63" s="163">
        <f>IFERROR(CB57/CB$59, "-")</f>
        <v/>
      </c>
      <c r="CC63" s="163">
        <f>IFERROR(CC57/CC$59, "-")</f>
        <v/>
      </c>
      <c r="CD63" s="163">
        <f>IFERROR(CD57/CD$59, "-")</f>
        <v/>
      </c>
      <c r="CE63" s="163">
        <f>IFERROR(CE57/CE$59, "-")</f>
        <v/>
      </c>
      <c r="CF63" s="163">
        <f>IFERROR(CF57/CF$59, "-")</f>
        <v/>
      </c>
      <c r="CG63" s="163">
        <f>IFERROR(CG57/CG$59, "-")</f>
        <v/>
      </c>
      <c r="CH63" s="163">
        <f>IFERROR(CH57/CH$59, "-")</f>
        <v/>
      </c>
      <c r="CI63" s="163">
        <f>IFERROR(CI57/CI$59, "-")</f>
        <v/>
      </c>
      <c r="CJ63" s="163">
        <f>IFERROR(CJ57/CJ$59, "-")</f>
        <v/>
      </c>
      <c r="CK63" s="163">
        <f>IFERROR(CK57/CK$59, "-")</f>
        <v/>
      </c>
      <c r="CL63" s="163">
        <f>IFERROR(CL57/CL$59, "-")</f>
        <v/>
      </c>
      <c r="CM63" s="163">
        <f>IFERROR(CM57/CM$59, "-")</f>
        <v/>
      </c>
      <c r="CN63" s="163">
        <f>IFERROR(CN57/CN$59, "-")</f>
        <v/>
      </c>
      <c r="CO63" s="163">
        <f>IFERROR(CO57/CO$59, "-")</f>
        <v/>
      </c>
      <c r="CP63" s="163">
        <f>IFERROR(CP57/CP$59, "-")</f>
        <v/>
      </c>
      <c r="CQ63" s="163">
        <f>IFERROR(CQ57/CQ$59, "-")</f>
        <v/>
      </c>
      <c r="CR63" s="163">
        <f>IFERROR(CR57/CR$59, "-")</f>
        <v/>
      </c>
      <c r="CS63" s="163">
        <f>IFERROR(CS57/CS$59, "-")</f>
        <v/>
      </c>
      <c r="CT63" s="163">
        <f>IFERROR(CT57/CT$59, "-")</f>
        <v/>
      </c>
      <c r="CU63" s="163">
        <f>IFERROR(CU57/CU$59, "-")</f>
        <v/>
      </c>
      <c r="CV63" s="163">
        <f>IFERROR(CV57/CV$59, "-")</f>
        <v/>
      </c>
      <c r="CW63" s="163">
        <f>IFERROR(CW57/CW$59, "-")</f>
        <v/>
      </c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  <c r="BE64" s="42" t="n"/>
      <c r="BF64" s="42" t="n"/>
      <c r="BG64" s="42" t="n"/>
      <c r="BH64" s="42" t="n"/>
      <c r="BI64" s="42" t="n"/>
      <c r="BJ64" s="42" t="n"/>
      <c r="BK64" s="42" t="n"/>
      <c r="BL64" s="42" t="n"/>
      <c r="BM64" s="42" t="n"/>
      <c r="BN64" s="42" t="n"/>
      <c r="BO64" s="42" t="n"/>
      <c r="BP64" s="42" t="n"/>
      <c r="BQ64" s="42" t="n"/>
      <c r="BR64" s="42" t="n"/>
      <c r="BS64" s="42" t="n"/>
      <c r="BT64" s="42" t="n"/>
      <c r="BU64" s="42" t="n"/>
      <c r="BV64" s="42" t="n"/>
      <c r="BW64" s="42" t="n"/>
      <c r="BX64" s="42" t="n"/>
      <c r="BY64" s="42" t="n"/>
      <c r="BZ64" s="42" t="n"/>
      <c r="CA64" s="42" t="n"/>
      <c r="CB64" s="42" t="n"/>
      <c r="CC64" s="42" t="n"/>
      <c r="CD64" s="42" t="n"/>
      <c r="CE64" s="42" t="n"/>
      <c r="CF64" s="42" t="n"/>
      <c r="CG64" s="42" t="n"/>
      <c r="CH64" s="42" t="n"/>
      <c r="CI64" s="42" t="n"/>
      <c r="CJ64" s="42" t="n"/>
      <c r="CK64" s="42" t="n"/>
      <c r="CL64" s="42" t="n"/>
      <c r="CM64" s="42" t="n"/>
      <c r="CN64" s="42" t="n"/>
      <c r="CO64" s="42" t="n"/>
      <c r="CP64" s="42" t="n"/>
      <c r="CQ64" s="42" t="n"/>
      <c r="CR64" s="42" t="n"/>
      <c r="CS64" s="42" t="n"/>
      <c r="CT64" s="42" t="n"/>
      <c r="CU64" s="42" t="n"/>
      <c r="CV64" s="42" t="n"/>
      <c r="CW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42" t="n"/>
      <c r="CJ65" s="42" t="n"/>
      <c r="CK65" s="42" t="n"/>
      <c r="CL65" s="42" t="n"/>
      <c r="CM65" s="42" t="n"/>
      <c r="CN65" s="42" t="n"/>
      <c r="CO65" s="42" t="n"/>
      <c r="CP65" s="42" t="n"/>
      <c r="CQ65" s="42" t="n"/>
      <c r="CR65" s="42" t="n"/>
      <c r="CS65" s="42" t="n"/>
      <c r="CT65" s="42" t="n"/>
      <c r="CU65" s="42" t="n"/>
      <c r="CV65" s="42" t="n"/>
      <c r="CW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  <c r="BF66" s="42" t="n"/>
      <c r="BG66" s="42" t="n"/>
      <c r="BH66" s="42" t="n"/>
      <c r="BI66" s="42" t="n"/>
      <c r="BJ66" s="42" t="n"/>
      <c r="BK66" s="42" t="n"/>
      <c r="BL66" s="42" t="n"/>
      <c r="BM66" s="42" t="n"/>
      <c r="BN66" s="42" t="n"/>
      <c r="BO66" s="42" t="n"/>
      <c r="BP66" s="42" t="n"/>
      <c r="BQ66" s="42" t="n"/>
      <c r="BR66" s="42" t="n"/>
      <c r="BS66" s="42" t="n"/>
      <c r="BT66" s="42" t="n"/>
      <c r="BU66" s="42" t="n"/>
      <c r="BV66" s="42" t="n"/>
      <c r="BW66" s="42" t="n"/>
      <c r="BX66" s="42" t="n"/>
      <c r="BY66" s="42" t="n"/>
      <c r="BZ66" s="42" t="n"/>
      <c r="CA66" s="42" t="n"/>
      <c r="CB66" s="42" t="n"/>
      <c r="CC66" s="42" t="n"/>
      <c r="CD66" s="42" t="n"/>
      <c r="CE66" s="42" t="n"/>
      <c r="CF66" s="42" t="n"/>
      <c r="CG66" s="42" t="n"/>
      <c r="CH66" s="42" t="n"/>
      <c r="CI66" s="42" t="n"/>
      <c r="CJ66" s="42" t="n"/>
      <c r="CK66" s="42" t="n"/>
      <c r="CL66" s="42" t="n"/>
      <c r="CM66" s="42" t="n"/>
      <c r="CN66" s="42" t="n"/>
      <c r="CO66" s="42" t="n"/>
      <c r="CP66" s="42" t="n"/>
      <c r="CQ66" s="42" t="n"/>
      <c r="CR66" s="42" t="n"/>
      <c r="CS66" s="42" t="n"/>
      <c r="CT66" s="42" t="n"/>
      <c r="CU66" s="42" t="n"/>
      <c r="CV66" s="42" t="n"/>
      <c r="CW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2" t="n"/>
      <c r="CD67" s="42" t="n"/>
      <c r="CE67" s="42" t="n"/>
      <c r="CF67" s="42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42" t="n"/>
      <c r="CP67" s="42" t="n"/>
      <c r="CQ67" s="42" t="n"/>
      <c r="CR67" s="42" t="n"/>
      <c r="CS67" s="42" t="n"/>
      <c r="CT67" s="42" t="n"/>
      <c r="CU67" s="42" t="n"/>
      <c r="CV67" s="42" t="n"/>
      <c r="CW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42" t="n"/>
      <c r="AZ68" s="42" t="n"/>
      <c r="BA68" s="42" t="n"/>
      <c r="BB68" s="42" t="n"/>
      <c r="BC68" s="42" t="n"/>
      <c r="BD68" s="42" t="n"/>
      <c r="BE68" s="42" t="n"/>
      <c r="BF68" s="42" t="n"/>
      <c r="BG68" s="42" t="n"/>
      <c r="BH68" s="42" t="n"/>
      <c r="BI68" s="42" t="n"/>
      <c r="BJ68" s="42" t="n"/>
      <c r="BK68" s="42" t="n"/>
      <c r="BL68" s="42" t="n"/>
      <c r="BM68" s="42" t="n"/>
      <c r="BN68" s="42" t="n"/>
      <c r="BO68" s="42" t="n"/>
      <c r="BP68" s="42" t="n"/>
      <c r="BQ68" s="42" t="n"/>
      <c r="BR68" s="42" t="n"/>
      <c r="BS68" s="42" t="n"/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42" t="n"/>
      <c r="CP68" s="42" t="n"/>
      <c r="CQ68" s="42" t="n"/>
      <c r="CR68" s="42" t="n"/>
      <c r="CS68" s="42" t="n"/>
      <c r="CT68" s="42" t="n"/>
      <c r="CU68" s="42" t="n"/>
      <c r="CV68" s="42" t="n"/>
      <c r="CW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</sheetData>
  <conditionalFormatting sqref="D18:CW18 D41:CV41 D60:CW60">
    <cfRule type="cellIs" priority="1" operator="lessThanOrEqual" dxfId="0">
      <formula>1</formula>
    </cfRule>
    <cfRule type="cellIs" priority="2" operator="between" dxfId="1">
      <formula>1</formula>
      <formula>2</formula>
    </cfRule>
    <cfRule type="cellIs" priority="3" operator="greaterThanOrEqual" dxfId="2">
      <formula>2</formula>
    </cfRule>
  </conditionalFormatting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3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 outlineLevelRow="1"/>
  <cols>
    <col width="40.75" customWidth="1" style="255" min="1" max="1"/>
    <col width="5" customWidth="1" style="255" min="2" max="2"/>
    <col width="12.63" customWidth="1" style="255" min="3" max="6"/>
  </cols>
  <sheetData>
    <row r="1" ht="46.5" customHeight="1" s="255">
      <c r="A1" s="119">
        <f>Settings!B4</f>
        <v/>
      </c>
      <c r="B1" s="168" t="n"/>
      <c r="C1" s="169" t="n"/>
      <c r="D1" s="170" t="n"/>
      <c r="E1" s="170" t="n"/>
      <c r="F1" s="169" t="n"/>
      <c r="G1" s="170" t="n"/>
      <c r="H1" s="170" t="n"/>
      <c r="I1" s="170" t="n"/>
      <c r="J1" s="170" t="n"/>
      <c r="K1" s="170" t="n"/>
      <c r="L1" s="170" t="n"/>
      <c r="M1" s="171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69" t="n"/>
      <c r="W1" s="169" t="n"/>
      <c r="X1" s="169" t="n"/>
      <c r="Y1" s="169" t="n"/>
      <c r="Z1" s="169" t="n"/>
      <c r="AA1" s="169" t="n"/>
      <c r="AB1" s="169" t="n"/>
      <c r="AC1" s="169" t="n"/>
      <c r="AD1" s="169" t="n"/>
      <c r="AE1" s="170" t="n"/>
      <c r="AF1" s="169" t="n"/>
      <c r="AG1" s="169" t="n"/>
      <c r="AH1" s="169" t="n"/>
      <c r="AI1" s="169" t="n"/>
      <c r="AJ1" s="169" t="n"/>
      <c r="AK1" s="169" t="n"/>
      <c r="AL1" s="169" t="n"/>
      <c r="AM1" s="169" t="n"/>
      <c r="AN1" s="169" t="n"/>
      <c r="AO1" s="169" t="n"/>
      <c r="AP1" s="169" t="n"/>
      <c r="AQ1" s="169" t="n"/>
      <c r="AR1" s="169" t="n"/>
      <c r="AS1" s="169" t="n"/>
      <c r="AT1" s="169" t="n"/>
      <c r="AU1" s="169" t="n"/>
      <c r="AV1" s="169" t="n"/>
      <c r="AW1" s="169" t="n"/>
      <c r="AX1" s="169" t="n"/>
      <c r="AY1" s="169" t="n"/>
      <c r="AZ1" s="169" t="n"/>
      <c r="BA1" s="169" t="n"/>
      <c r="BB1" s="169" t="n"/>
      <c r="BC1" s="169" t="n"/>
      <c r="BD1" s="169" t="n"/>
      <c r="BE1" s="169" t="n"/>
      <c r="BF1" s="169" t="n"/>
      <c r="BG1" s="169" t="n"/>
      <c r="BH1" s="169" t="n"/>
      <c r="BI1" s="169" t="n"/>
      <c r="BJ1" s="169" t="n"/>
      <c r="BK1" s="169" t="n"/>
      <c r="BL1" s="169" t="n"/>
      <c r="BM1" s="169" t="n"/>
      <c r="BN1" s="169" t="n"/>
      <c r="BO1" s="169" t="n"/>
      <c r="BP1" s="169" t="n"/>
      <c r="BQ1" s="169" t="n"/>
      <c r="BR1" s="169" t="n"/>
      <c r="BS1" s="169" t="n"/>
      <c r="BT1" s="169" t="n"/>
      <c r="BU1" s="169" t="n"/>
      <c r="BV1" s="169" t="n"/>
      <c r="BW1" s="169" t="n"/>
      <c r="BX1" s="169" t="n"/>
      <c r="BY1" s="169" t="n"/>
      <c r="BZ1" s="169" t="n"/>
      <c r="CA1" s="169" t="n"/>
      <c r="CB1" s="169" t="n"/>
      <c r="CC1" s="169" t="n"/>
      <c r="CD1" s="169" t="n"/>
      <c r="CE1" s="169" t="n"/>
      <c r="CF1" s="169" t="n"/>
      <c r="CG1" s="169" t="n"/>
      <c r="CH1" s="169" t="n"/>
      <c r="CI1" s="169" t="n"/>
      <c r="CJ1" s="169" t="n"/>
      <c r="CK1" s="169" t="n"/>
      <c r="CL1" s="169" t="n"/>
      <c r="CM1" s="169" t="n"/>
      <c r="CN1" s="169" t="n"/>
      <c r="CO1" s="169" t="n"/>
      <c r="CP1" s="169" t="n"/>
      <c r="CQ1" s="169" t="n"/>
      <c r="CR1" s="169" t="n"/>
      <c r="CS1" s="169" t="n"/>
      <c r="CT1" s="169" t="n"/>
      <c r="CU1" s="169" t="n"/>
      <c r="CV1" s="169" t="n"/>
      <c r="CW1" s="169" t="n"/>
    </row>
    <row r="2" ht="29.25" customHeight="1" s="255">
      <c r="A2" s="123" t="inlineStr">
        <is>
          <t>Month</t>
        </is>
      </c>
      <c r="B2" s="124" t="n"/>
      <c r="C2" s="125">
        <f>EDATE(D2,-1)</f>
        <v/>
      </c>
      <c r="D2" s="126">
        <f>Projections!$B$4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23.25" customHeight="1" s="255">
      <c r="A4" s="29" t="inlineStr">
        <is>
          <t>P&amp;L</t>
        </is>
      </c>
      <c r="B4" s="30" t="n"/>
      <c r="C4" s="128" t="n"/>
      <c r="D4" s="30" t="n"/>
      <c r="E4" s="30" t="n"/>
      <c r="F4" s="30" t="n"/>
      <c r="G4" s="30" t="n"/>
      <c r="H4" s="29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29" t="n"/>
      <c r="AC4" s="30" t="n"/>
      <c r="AD4" s="30" t="n"/>
      <c r="AE4" s="30" t="n"/>
      <c r="AF4" s="30" t="n"/>
      <c r="AG4" s="30" t="n"/>
      <c r="AH4" s="29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29" t="n"/>
      <c r="BC4" s="30" t="n"/>
      <c r="BD4" s="30" t="n"/>
      <c r="BE4" s="30" t="n"/>
      <c r="BF4" s="30" t="n"/>
      <c r="BG4" s="30" t="n"/>
      <c r="BH4" s="29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105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146" t="inlineStr">
        <is>
          <t>REVENUE</t>
        </is>
      </c>
      <c r="B6" s="149" t="n"/>
      <c r="C6" s="147">
        <f>C7</f>
        <v/>
      </c>
      <c r="D6" s="147">
        <f>SUM(D7:D9)</f>
        <v/>
      </c>
      <c r="E6" s="147">
        <f>SUM(E7:E9)</f>
        <v/>
      </c>
      <c r="F6" s="147">
        <f>SUM(F7:F9)</f>
        <v/>
      </c>
      <c r="G6" s="147">
        <f>SUM(G7:G9)</f>
        <v/>
      </c>
      <c r="H6" s="147">
        <f>SUM(H7:H9)</f>
        <v/>
      </c>
      <c r="I6" s="147">
        <f>SUM(I7:I9)</f>
        <v/>
      </c>
      <c r="J6" s="147">
        <f>SUM(J7:J9)</f>
        <v/>
      </c>
      <c r="K6" s="147">
        <f>SUM(K7:K9)</f>
        <v/>
      </c>
      <c r="L6" s="147">
        <f>SUM(L7:L9)</f>
        <v/>
      </c>
      <c r="M6" s="147">
        <f>SUM(M7:M9)</f>
        <v/>
      </c>
      <c r="N6" s="147">
        <f>SUM(N7:N9)</f>
        <v/>
      </c>
      <c r="O6" s="147">
        <f>SUM(O7:O9)</f>
        <v/>
      </c>
      <c r="P6" s="147">
        <f>SUM(P7:P9)</f>
        <v/>
      </c>
      <c r="Q6" s="147">
        <f>SUM(Q7:Q9)</f>
        <v/>
      </c>
      <c r="R6" s="147">
        <f>SUM(R7:R9)</f>
        <v/>
      </c>
      <c r="S6" s="147">
        <f>SUM(S7:S9)</f>
        <v/>
      </c>
      <c r="T6" s="147">
        <f>SUM(T7:T9)</f>
        <v/>
      </c>
      <c r="U6" s="147">
        <f>SUM(U7:U9)</f>
        <v/>
      </c>
      <c r="V6" s="147">
        <f>SUM(V7:V9)</f>
        <v/>
      </c>
      <c r="W6" s="147">
        <f>SUM(W7:W9)</f>
        <v/>
      </c>
      <c r="X6" s="147">
        <f>SUM(X7:X9)</f>
        <v/>
      </c>
      <c r="Y6" s="147">
        <f>SUM(Y7:Y9)</f>
        <v/>
      </c>
      <c r="Z6" s="147">
        <f>SUM(Z7:Z9)</f>
        <v/>
      </c>
      <c r="AA6" s="147">
        <f>SUM(AA7:AA9)</f>
        <v/>
      </c>
      <c r="AB6" s="147">
        <f>SUM(AB7:AB9)</f>
        <v/>
      </c>
      <c r="AC6" s="147">
        <f>SUM(AC7:AC9)</f>
        <v/>
      </c>
      <c r="AD6" s="147">
        <f>SUM(AD7:AD9)</f>
        <v/>
      </c>
      <c r="AE6" s="147">
        <f>SUM(AE7:AE9)</f>
        <v/>
      </c>
      <c r="AF6" s="147">
        <f>SUM(AF7:AF9)</f>
        <v/>
      </c>
      <c r="AG6" s="147">
        <f>SUM(AG7:AG9)</f>
        <v/>
      </c>
      <c r="AH6" s="147">
        <f>SUM(AH7:AH9)</f>
        <v/>
      </c>
      <c r="AI6" s="147">
        <f>SUM(AI7:AI9)</f>
        <v/>
      </c>
      <c r="AJ6" s="147">
        <f>SUM(AJ7:AJ9)</f>
        <v/>
      </c>
      <c r="AK6" s="147">
        <f>SUM(AK7:AK9)</f>
        <v/>
      </c>
      <c r="AL6" s="147">
        <f>SUM(AL7:AL9)</f>
        <v/>
      </c>
      <c r="AM6" s="147">
        <f>SUM(AM7:AM9)</f>
        <v/>
      </c>
      <c r="AN6" s="147">
        <f>SUM(AN7:AN9)</f>
        <v/>
      </c>
      <c r="AO6" s="147">
        <f>SUM(AO7:AO9)</f>
        <v/>
      </c>
      <c r="AP6" s="147">
        <f>SUM(AP7:AP9)</f>
        <v/>
      </c>
      <c r="AQ6" s="147">
        <f>SUM(AQ7:AQ9)</f>
        <v/>
      </c>
      <c r="AR6" s="147">
        <f>SUM(AR7:AR9)</f>
        <v/>
      </c>
      <c r="AS6" s="147">
        <f>SUM(AS7:AS9)</f>
        <v/>
      </c>
      <c r="AT6" s="147">
        <f>SUM(AT7:AT9)</f>
        <v/>
      </c>
      <c r="AU6" s="147">
        <f>SUM(AU7:AU9)</f>
        <v/>
      </c>
      <c r="AV6" s="147">
        <f>SUM(AV7:AV9)</f>
        <v/>
      </c>
      <c r="AW6" s="147">
        <f>SUM(AW7:AW9)</f>
        <v/>
      </c>
      <c r="AX6" s="147">
        <f>SUM(AX7:AX9)</f>
        <v/>
      </c>
      <c r="AY6" s="147">
        <f>SUM(AY7:AY9)</f>
        <v/>
      </c>
      <c r="AZ6" s="147">
        <f>SUM(AZ7:AZ9)</f>
        <v/>
      </c>
      <c r="BA6" s="147">
        <f>SUM(BA7:BA9)</f>
        <v/>
      </c>
      <c r="BB6" s="147">
        <f>SUM(BB7:BB9)</f>
        <v/>
      </c>
      <c r="BC6" s="147">
        <f>SUM(BC7:BC9)</f>
        <v/>
      </c>
      <c r="BD6" s="147">
        <f>SUM(BD7:BD9)</f>
        <v/>
      </c>
      <c r="BE6" s="147">
        <f>SUM(BE7:BE9)</f>
        <v/>
      </c>
      <c r="BF6" s="147">
        <f>SUM(BF7:BF9)</f>
        <v/>
      </c>
      <c r="BG6" s="147">
        <f>SUM(BG7:BG9)</f>
        <v/>
      </c>
      <c r="BH6" s="147">
        <f>SUM(BH7:BH9)</f>
        <v/>
      </c>
      <c r="BI6" s="147">
        <f>SUM(BI7:BI9)</f>
        <v/>
      </c>
      <c r="BJ6" s="147">
        <f>SUM(BJ7:BJ9)</f>
        <v/>
      </c>
      <c r="BK6" s="147">
        <f>SUM(BK7:BK9)</f>
        <v/>
      </c>
      <c r="BL6" s="147">
        <f>SUM(BL7:BL9)</f>
        <v/>
      </c>
      <c r="BM6" s="147">
        <f>SUM(BM7:BM9)</f>
        <v/>
      </c>
      <c r="BN6" s="147">
        <f>SUM(BN7:BN9)</f>
        <v/>
      </c>
      <c r="BO6" s="147">
        <f>SUM(BO7:BO9)</f>
        <v/>
      </c>
      <c r="BP6" s="147">
        <f>SUM(BP7:BP9)</f>
        <v/>
      </c>
      <c r="BQ6" s="147">
        <f>SUM(BQ7:BQ9)</f>
        <v/>
      </c>
      <c r="BR6" s="147">
        <f>SUM(BR7:BR9)</f>
        <v/>
      </c>
      <c r="BS6" s="147">
        <f>SUM(BS7:BS9)</f>
        <v/>
      </c>
      <c r="BT6" s="147">
        <f>SUM(BT7:BT9)</f>
        <v/>
      </c>
      <c r="BU6" s="147">
        <f>SUM(BU7:BU9)</f>
        <v/>
      </c>
      <c r="BV6" s="147">
        <f>SUM(BV7:BV9)</f>
        <v/>
      </c>
      <c r="BW6" s="147">
        <f>SUM(BW7:BW9)</f>
        <v/>
      </c>
      <c r="BX6" s="147">
        <f>SUM(BX7:BX9)</f>
        <v/>
      </c>
      <c r="BY6" s="147">
        <f>SUM(BY7:BY9)</f>
        <v/>
      </c>
      <c r="BZ6" s="147">
        <f>SUM(BZ7:BZ9)</f>
        <v/>
      </c>
      <c r="CA6" s="147">
        <f>SUM(CA7:CA9)</f>
        <v/>
      </c>
      <c r="CB6" s="147">
        <f>SUM(CB7:CB9)</f>
        <v/>
      </c>
      <c r="CC6" s="147">
        <f>SUM(CC7:CC9)</f>
        <v/>
      </c>
      <c r="CD6" s="147">
        <f>SUM(CD7:CD9)</f>
        <v/>
      </c>
      <c r="CE6" s="147">
        <f>SUM(CE7:CE9)</f>
        <v/>
      </c>
      <c r="CF6" s="147">
        <f>SUM(CF7:CF9)</f>
        <v/>
      </c>
      <c r="CG6" s="147">
        <f>SUM(CG7:CG9)</f>
        <v/>
      </c>
      <c r="CH6" s="147">
        <f>SUM(CH7:CH9)</f>
        <v/>
      </c>
      <c r="CI6" s="147">
        <f>SUM(CI7:CI9)</f>
        <v/>
      </c>
      <c r="CJ6" s="147">
        <f>SUM(CJ7:CJ9)</f>
        <v/>
      </c>
      <c r="CK6" s="147">
        <f>SUM(CK7:CK9)</f>
        <v/>
      </c>
      <c r="CL6" s="147">
        <f>SUM(CL7:CL9)</f>
        <v/>
      </c>
      <c r="CM6" s="147">
        <f>SUM(CM7:CM9)</f>
        <v/>
      </c>
      <c r="CN6" s="147">
        <f>SUM(CN7:CN9)</f>
        <v/>
      </c>
      <c r="CO6" s="147">
        <f>SUM(CO7:CO9)</f>
        <v/>
      </c>
      <c r="CP6" s="147">
        <f>SUM(CP7:CP9)</f>
        <v/>
      </c>
      <c r="CQ6" s="147">
        <f>SUM(CQ7:CQ9)</f>
        <v/>
      </c>
      <c r="CR6" s="147">
        <f>SUM(CR7:CR9)</f>
        <v/>
      </c>
      <c r="CS6" s="147">
        <f>SUM(CS7:CS9)</f>
        <v/>
      </c>
      <c r="CT6" s="147">
        <f>SUM(CT7:CT9)</f>
        <v/>
      </c>
      <c r="CU6" s="147">
        <f>SUM(CU7:CU9)</f>
        <v/>
      </c>
      <c r="CV6" s="147">
        <f>SUM(CV7:CV9)</f>
        <v/>
      </c>
      <c r="CW6" s="147">
        <f>SUM(CW7:CW9)</f>
        <v/>
      </c>
    </row>
    <row r="7" ht="15.75" customHeight="1" s="255">
      <c r="A7" s="56">
        <f>'Monthly forecast'!A15</f>
        <v/>
      </c>
      <c r="B7" s="56" t="n"/>
      <c r="C7" s="73">
        <f>'Monthly forecast'!D22</f>
        <v/>
      </c>
      <c r="D7" s="73">
        <f>'Monthly forecast'!E22</f>
        <v/>
      </c>
      <c r="E7" s="73">
        <f>'Monthly forecast'!F22</f>
        <v/>
      </c>
      <c r="F7" s="73">
        <f>'Monthly forecast'!G22</f>
        <v/>
      </c>
      <c r="G7" s="73">
        <f>'Monthly forecast'!H22</f>
        <v/>
      </c>
      <c r="H7" s="73">
        <f>'Monthly forecast'!I22</f>
        <v/>
      </c>
      <c r="I7" s="73">
        <f>'Monthly forecast'!J22</f>
        <v/>
      </c>
      <c r="J7" s="73">
        <f>'Monthly forecast'!K22</f>
        <v/>
      </c>
      <c r="K7" s="73">
        <f>'Monthly forecast'!L22</f>
        <v/>
      </c>
      <c r="L7" s="73">
        <f>'Monthly forecast'!M22</f>
        <v/>
      </c>
      <c r="M7" s="73">
        <f>'Monthly forecast'!N22</f>
        <v/>
      </c>
      <c r="N7" s="73">
        <f>'Monthly forecast'!O22</f>
        <v/>
      </c>
      <c r="O7" s="73">
        <f>'Monthly forecast'!P22</f>
        <v/>
      </c>
      <c r="P7" s="73">
        <f>'Monthly forecast'!Q22</f>
        <v/>
      </c>
      <c r="Q7" s="73">
        <f>'Monthly forecast'!R22</f>
        <v/>
      </c>
      <c r="R7" s="73">
        <f>'Monthly forecast'!S22</f>
        <v/>
      </c>
      <c r="S7" s="73">
        <f>'Monthly forecast'!T22</f>
        <v/>
      </c>
      <c r="T7" s="73">
        <f>'Monthly forecast'!U22</f>
        <v/>
      </c>
      <c r="U7" s="73">
        <f>'Monthly forecast'!V22</f>
        <v/>
      </c>
      <c r="V7" s="73">
        <f>'Monthly forecast'!W22</f>
        <v/>
      </c>
      <c r="W7" s="73">
        <f>'Monthly forecast'!X22</f>
        <v/>
      </c>
      <c r="X7" s="73">
        <f>'Monthly forecast'!Y22</f>
        <v/>
      </c>
      <c r="Y7" s="73">
        <f>'Monthly forecast'!Z22</f>
        <v/>
      </c>
      <c r="Z7" s="73">
        <f>'Monthly forecast'!AA22</f>
        <v/>
      </c>
      <c r="AA7" s="73">
        <f>'Monthly forecast'!AB22</f>
        <v/>
      </c>
      <c r="AB7" s="73">
        <f>'Monthly forecast'!AC22</f>
        <v/>
      </c>
      <c r="AC7" s="73">
        <f>'Monthly forecast'!AD22</f>
        <v/>
      </c>
      <c r="AD7" s="73">
        <f>'Monthly forecast'!AE22</f>
        <v/>
      </c>
      <c r="AE7" s="73">
        <f>'Monthly forecast'!AF22</f>
        <v/>
      </c>
      <c r="AF7" s="73">
        <f>'Monthly forecast'!AG22</f>
        <v/>
      </c>
      <c r="AG7" s="73">
        <f>'Monthly forecast'!AH22</f>
        <v/>
      </c>
      <c r="AH7" s="73">
        <f>'Monthly forecast'!AI22</f>
        <v/>
      </c>
      <c r="AI7" s="73">
        <f>'Monthly forecast'!AJ22</f>
        <v/>
      </c>
      <c r="AJ7" s="73">
        <f>'Monthly forecast'!AK22</f>
        <v/>
      </c>
      <c r="AK7" s="73">
        <f>'Monthly forecast'!AL22</f>
        <v/>
      </c>
      <c r="AL7" s="73">
        <f>'Monthly forecast'!AM22</f>
        <v/>
      </c>
      <c r="AM7" s="73">
        <f>'Monthly forecast'!AN22</f>
        <v/>
      </c>
      <c r="AN7" s="73">
        <f>'Monthly forecast'!AO22</f>
        <v/>
      </c>
      <c r="AO7" s="73">
        <f>'Monthly forecast'!AP22</f>
        <v/>
      </c>
      <c r="AP7" s="73">
        <f>'Monthly forecast'!AQ22</f>
        <v/>
      </c>
      <c r="AQ7" s="73">
        <f>'Monthly forecast'!AR22</f>
        <v/>
      </c>
      <c r="AR7" s="73">
        <f>'Monthly forecast'!AS22</f>
        <v/>
      </c>
      <c r="AS7" s="73">
        <f>'Monthly forecast'!AT22</f>
        <v/>
      </c>
      <c r="AT7" s="73">
        <f>'Monthly forecast'!AU22</f>
        <v/>
      </c>
      <c r="AU7" s="73">
        <f>'Monthly forecast'!AV22</f>
        <v/>
      </c>
      <c r="AV7" s="73">
        <f>'Monthly forecast'!AW22</f>
        <v/>
      </c>
      <c r="AW7" s="73">
        <f>'Monthly forecast'!AX22</f>
        <v/>
      </c>
      <c r="AX7" s="73">
        <f>'Monthly forecast'!AY22</f>
        <v/>
      </c>
      <c r="AY7" s="73">
        <f>'Monthly forecast'!AZ22</f>
        <v/>
      </c>
      <c r="AZ7" s="73">
        <f>'Monthly forecast'!BA22</f>
        <v/>
      </c>
      <c r="BA7" s="73">
        <f>'Monthly forecast'!BB22</f>
        <v/>
      </c>
      <c r="BB7" s="73">
        <f>'Monthly forecast'!BC22</f>
        <v/>
      </c>
      <c r="BC7" s="73">
        <f>'Monthly forecast'!BD22</f>
        <v/>
      </c>
      <c r="BD7" s="73">
        <f>'Monthly forecast'!BE22</f>
        <v/>
      </c>
      <c r="BE7" s="73">
        <f>'Monthly forecast'!BF22</f>
        <v/>
      </c>
      <c r="BF7" s="73">
        <f>'Monthly forecast'!BG22</f>
        <v/>
      </c>
      <c r="BG7" s="73">
        <f>'Monthly forecast'!BH22</f>
        <v/>
      </c>
      <c r="BH7" s="73">
        <f>'Monthly forecast'!BI22</f>
        <v/>
      </c>
      <c r="BI7" s="73">
        <f>'Monthly forecast'!BJ22</f>
        <v/>
      </c>
      <c r="BJ7" s="73">
        <f>'Monthly forecast'!BK22</f>
        <v/>
      </c>
      <c r="BK7" s="73">
        <f>'Monthly forecast'!BL22</f>
        <v/>
      </c>
      <c r="BL7" s="73">
        <f>'Monthly forecast'!BM22</f>
        <v/>
      </c>
      <c r="BM7" s="73">
        <f>'Monthly forecast'!BN22</f>
        <v/>
      </c>
      <c r="BN7" s="73">
        <f>'Monthly forecast'!BO22</f>
        <v/>
      </c>
      <c r="BO7" s="73">
        <f>'Monthly forecast'!BP22</f>
        <v/>
      </c>
      <c r="BP7" s="73">
        <f>'Monthly forecast'!BQ22</f>
        <v/>
      </c>
      <c r="BQ7" s="73">
        <f>'Monthly forecast'!BR22</f>
        <v/>
      </c>
      <c r="BR7" s="73">
        <f>'Monthly forecast'!BS22</f>
        <v/>
      </c>
      <c r="BS7" s="73">
        <f>'Monthly forecast'!BT22</f>
        <v/>
      </c>
      <c r="BT7" s="73">
        <f>'Monthly forecast'!BU22</f>
        <v/>
      </c>
      <c r="BU7" s="73">
        <f>'Monthly forecast'!BV22</f>
        <v/>
      </c>
      <c r="BV7" s="73">
        <f>'Monthly forecast'!BW22</f>
        <v/>
      </c>
      <c r="BW7" s="73">
        <f>'Monthly forecast'!BX22</f>
        <v/>
      </c>
      <c r="BX7" s="73">
        <f>'Monthly forecast'!BY22</f>
        <v/>
      </c>
      <c r="BY7" s="73">
        <f>'Monthly forecast'!BZ22</f>
        <v/>
      </c>
      <c r="BZ7" s="73">
        <f>'Monthly forecast'!CA22</f>
        <v/>
      </c>
      <c r="CA7" s="73">
        <f>'Monthly forecast'!CB22</f>
        <v/>
      </c>
      <c r="CB7" s="73">
        <f>'Monthly forecast'!CC22</f>
        <v/>
      </c>
      <c r="CC7" s="73">
        <f>'Monthly forecast'!CD22</f>
        <v/>
      </c>
      <c r="CD7" s="73">
        <f>'Monthly forecast'!CE22</f>
        <v/>
      </c>
      <c r="CE7" s="73">
        <f>'Monthly forecast'!CF22</f>
        <v/>
      </c>
      <c r="CF7" s="73">
        <f>'Monthly forecast'!CG22</f>
        <v/>
      </c>
      <c r="CG7" s="73">
        <f>'Monthly forecast'!CH22</f>
        <v/>
      </c>
      <c r="CH7" s="73">
        <f>'Monthly forecast'!CI22</f>
        <v/>
      </c>
      <c r="CI7" s="73">
        <f>'Monthly forecast'!CJ22</f>
        <v/>
      </c>
      <c r="CJ7" s="73">
        <f>'Monthly forecast'!CK22</f>
        <v/>
      </c>
      <c r="CK7" s="73">
        <f>'Monthly forecast'!CL22</f>
        <v/>
      </c>
      <c r="CL7" s="73">
        <f>'Monthly forecast'!CM22</f>
        <v/>
      </c>
      <c r="CM7" s="73">
        <f>'Monthly forecast'!CN22</f>
        <v/>
      </c>
      <c r="CN7" s="73">
        <f>'Monthly forecast'!CO22</f>
        <v/>
      </c>
      <c r="CO7" s="73">
        <f>'Monthly forecast'!CP22</f>
        <v/>
      </c>
      <c r="CP7" s="73">
        <f>'Monthly forecast'!CQ22</f>
        <v/>
      </c>
      <c r="CQ7" s="73">
        <f>'Monthly forecast'!CR22</f>
        <v/>
      </c>
      <c r="CR7" s="73">
        <f>'Monthly forecast'!CS22</f>
        <v/>
      </c>
      <c r="CS7" s="73">
        <f>'Monthly forecast'!CT22</f>
        <v/>
      </c>
      <c r="CT7" s="73">
        <f>'Monthly forecast'!CU22</f>
        <v/>
      </c>
      <c r="CU7" s="73">
        <f>'Monthly forecast'!CV22</f>
        <v/>
      </c>
      <c r="CV7" s="73">
        <f>'Monthly forecast'!CW22</f>
        <v/>
      </c>
      <c r="CW7" s="73">
        <f>'Monthly forecast'!CX22</f>
        <v/>
      </c>
    </row>
    <row r="8" ht="15.75" customHeight="1" s="255">
      <c r="A8" s="56">
        <f>'Monthly forecast'!A24</f>
        <v/>
      </c>
      <c r="B8" s="56" t="n"/>
      <c r="C8" s="56">
        <f>'Monthly forecast'!D33</f>
        <v/>
      </c>
      <c r="D8" s="56">
        <f>'Monthly forecast'!E33</f>
        <v/>
      </c>
      <c r="E8" s="56">
        <f>'Monthly forecast'!F33</f>
        <v/>
      </c>
      <c r="F8" s="56">
        <f>'Monthly forecast'!G33</f>
        <v/>
      </c>
      <c r="G8" s="56">
        <f>'Monthly forecast'!H33</f>
        <v/>
      </c>
      <c r="H8" s="56">
        <f>'Monthly forecast'!I33</f>
        <v/>
      </c>
      <c r="I8" s="56">
        <f>'Monthly forecast'!J33</f>
        <v/>
      </c>
      <c r="J8" s="56">
        <f>'Monthly forecast'!K33</f>
        <v/>
      </c>
      <c r="K8" s="56">
        <f>'Monthly forecast'!L33</f>
        <v/>
      </c>
      <c r="L8" s="56">
        <f>'Monthly forecast'!M33</f>
        <v/>
      </c>
      <c r="M8" s="56">
        <f>'Monthly forecast'!N33</f>
        <v/>
      </c>
      <c r="N8" s="56">
        <f>'Monthly forecast'!O33</f>
        <v/>
      </c>
      <c r="O8" s="56">
        <f>'Monthly forecast'!P33</f>
        <v/>
      </c>
      <c r="P8" s="56">
        <f>'Monthly forecast'!Q33</f>
        <v/>
      </c>
      <c r="Q8" s="56">
        <f>'Monthly forecast'!R33</f>
        <v/>
      </c>
      <c r="R8" s="56">
        <f>'Monthly forecast'!S33</f>
        <v/>
      </c>
      <c r="S8" s="56">
        <f>'Monthly forecast'!T33</f>
        <v/>
      </c>
      <c r="T8" s="56">
        <f>'Monthly forecast'!U33</f>
        <v/>
      </c>
      <c r="U8" s="56">
        <f>'Monthly forecast'!V33</f>
        <v/>
      </c>
      <c r="V8" s="56">
        <f>'Monthly forecast'!W33</f>
        <v/>
      </c>
      <c r="W8" s="56">
        <f>'Monthly forecast'!X33</f>
        <v/>
      </c>
      <c r="X8" s="56">
        <f>'Monthly forecast'!Y33</f>
        <v/>
      </c>
      <c r="Y8" s="56">
        <f>'Monthly forecast'!Z33</f>
        <v/>
      </c>
      <c r="Z8" s="56">
        <f>'Monthly forecast'!AA33</f>
        <v/>
      </c>
      <c r="AA8" s="56">
        <f>'Monthly forecast'!AB33</f>
        <v/>
      </c>
      <c r="AB8" s="56">
        <f>'Monthly forecast'!AC33</f>
        <v/>
      </c>
      <c r="AC8" s="56">
        <f>'Monthly forecast'!AD33</f>
        <v/>
      </c>
      <c r="AD8" s="56">
        <f>'Monthly forecast'!AE33</f>
        <v/>
      </c>
      <c r="AE8" s="56">
        <f>'Monthly forecast'!AF33</f>
        <v/>
      </c>
      <c r="AF8" s="56">
        <f>'Monthly forecast'!AG33</f>
        <v/>
      </c>
      <c r="AG8" s="56">
        <f>'Monthly forecast'!AH33</f>
        <v/>
      </c>
      <c r="AH8" s="56">
        <f>'Monthly forecast'!AI33</f>
        <v/>
      </c>
      <c r="AI8" s="56">
        <f>'Monthly forecast'!AJ33</f>
        <v/>
      </c>
      <c r="AJ8" s="56">
        <f>'Monthly forecast'!AK33</f>
        <v/>
      </c>
      <c r="AK8" s="56">
        <f>'Monthly forecast'!AL33</f>
        <v/>
      </c>
      <c r="AL8" s="56">
        <f>'Monthly forecast'!AM33</f>
        <v/>
      </c>
      <c r="AM8" s="56">
        <f>'Monthly forecast'!AN33</f>
        <v/>
      </c>
      <c r="AN8" s="56">
        <f>'Monthly forecast'!AO33</f>
        <v/>
      </c>
      <c r="AO8" s="56">
        <f>'Monthly forecast'!AP33</f>
        <v/>
      </c>
      <c r="AP8" s="56">
        <f>'Monthly forecast'!AQ33</f>
        <v/>
      </c>
      <c r="AQ8" s="56">
        <f>'Monthly forecast'!AR33</f>
        <v/>
      </c>
      <c r="AR8" s="56">
        <f>'Monthly forecast'!AS33</f>
        <v/>
      </c>
      <c r="AS8" s="56">
        <f>'Monthly forecast'!AT33</f>
        <v/>
      </c>
      <c r="AT8" s="56">
        <f>'Monthly forecast'!AU33</f>
        <v/>
      </c>
      <c r="AU8" s="56">
        <f>'Monthly forecast'!AV33</f>
        <v/>
      </c>
      <c r="AV8" s="56">
        <f>'Monthly forecast'!AW33</f>
        <v/>
      </c>
      <c r="AW8" s="56">
        <f>'Monthly forecast'!AX33</f>
        <v/>
      </c>
      <c r="AX8" s="56">
        <f>'Monthly forecast'!AY33</f>
        <v/>
      </c>
      <c r="AY8" s="56">
        <f>'Monthly forecast'!AZ33</f>
        <v/>
      </c>
      <c r="AZ8" s="56">
        <f>'Monthly forecast'!BA33</f>
        <v/>
      </c>
      <c r="BA8" s="56">
        <f>'Monthly forecast'!BB33</f>
        <v/>
      </c>
      <c r="BB8" s="56">
        <f>'Monthly forecast'!BC33</f>
        <v/>
      </c>
      <c r="BC8" s="56">
        <f>'Monthly forecast'!BD33</f>
        <v/>
      </c>
      <c r="BD8" s="56">
        <f>'Monthly forecast'!BE33</f>
        <v/>
      </c>
      <c r="BE8" s="56">
        <f>'Monthly forecast'!BF33</f>
        <v/>
      </c>
      <c r="BF8" s="56">
        <f>'Monthly forecast'!BG33</f>
        <v/>
      </c>
      <c r="BG8" s="56">
        <f>'Monthly forecast'!BH33</f>
        <v/>
      </c>
      <c r="BH8" s="56">
        <f>'Monthly forecast'!BI33</f>
        <v/>
      </c>
      <c r="BI8" s="56">
        <f>'Monthly forecast'!BJ33</f>
        <v/>
      </c>
      <c r="BJ8" s="56">
        <f>'Monthly forecast'!BK33</f>
        <v/>
      </c>
      <c r="BK8" s="56">
        <f>'Monthly forecast'!BL33</f>
        <v/>
      </c>
      <c r="BL8" s="56">
        <f>'Monthly forecast'!BM33</f>
        <v/>
      </c>
      <c r="BM8" s="56">
        <f>'Monthly forecast'!BN33</f>
        <v/>
      </c>
      <c r="BN8" s="56">
        <f>'Monthly forecast'!BO33</f>
        <v/>
      </c>
      <c r="BO8" s="56">
        <f>'Monthly forecast'!BP33</f>
        <v/>
      </c>
      <c r="BP8" s="56">
        <f>'Monthly forecast'!BQ33</f>
        <v/>
      </c>
      <c r="BQ8" s="56">
        <f>'Monthly forecast'!BR33</f>
        <v/>
      </c>
      <c r="BR8" s="56">
        <f>'Monthly forecast'!BS33</f>
        <v/>
      </c>
      <c r="BS8" s="56">
        <f>'Monthly forecast'!BT33</f>
        <v/>
      </c>
      <c r="BT8" s="56">
        <f>'Monthly forecast'!BU33</f>
        <v/>
      </c>
      <c r="BU8" s="56">
        <f>'Monthly forecast'!BV33</f>
        <v/>
      </c>
      <c r="BV8" s="56">
        <f>'Monthly forecast'!BW33</f>
        <v/>
      </c>
      <c r="BW8" s="56">
        <f>'Monthly forecast'!BX33</f>
        <v/>
      </c>
      <c r="BX8" s="56">
        <f>'Monthly forecast'!BY33</f>
        <v/>
      </c>
      <c r="BY8" s="56">
        <f>'Monthly forecast'!BZ33</f>
        <v/>
      </c>
      <c r="BZ8" s="56">
        <f>'Monthly forecast'!CA33</f>
        <v/>
      </c>
      <c r="CA8" s="56">
        <f>'Monthly forecast'!CB33</f>
        <v/>
      </c>
      <c r="CB8" s="56">
        <f>'Monthly forecast'!CC33</f>
        <v/>
      </c>
      <c r="CC8" s="56">
        <f>'Monthly forecast'!CD33</f>
        <v/>
      </c>
      <c r="CD8" s="56">
        <f>'Monthly forecast'!CE33</f>
        <v/>
      </c>
      <c r="CE8" s="56">
        <f>'Monthly forecast'!CF33</f>
        <v/>
      </c>
      <c r="CF8" s="56">
        <f>'Monthly forecast'!CG33</f>
        <v/>
      </c>
      <c r="CG8" s="56">
        <f>'Monthly forecast'!CH33</f>
        <v/>
      </c>
      <c r="CH8" s="56">
        <f>'Monthly forecast'!CI33</f>
        <v/>
      </c>
      <c r="CI8" s="56">
        <f>'Monthly forecast'!CJ33</f>
        <v/>
      </c>
      <c r="CJ8" s="56">
        <f>'Monthly forecast'!CK33</f>
        <v/>
      </c>
      <c r="CK8" s="56">
        <f>'Monthly forecast'!CL33</f>
        <v/>
      </c>
      <c r="CL8" s="56">
        <f>'Monthly forecast'!CM33</f>
        <v/>
      </c>
      <c r="CM8" s="56">
        <f>'Monthly forecast'!CN33</f>
        <v/>
      </c>
      <c r="CN8" s="56">
        <f>'Monthly forecast'!CO33</f>
        <v/>
      </c>
      <c r="CO8" s="56">
        <f>'Monthly forecast'!CP33</f>
        <v/>
      </c>
      <c r="CP8" s="56">
        <f>'Monthly forecast'!CQ33</f>
        <v/>
      </c>
      <c r="CQ8" s="56">
        <f>'Monthly forecast'!CR33</f>
        <v/>
      </c>
      <c r="CR8" s="56">
        <f>'Monthly forecast'!CS33</f>
        <v/>
      </c>
      <c r="CS8" s="56">
        <f>'Monthly forecast'!CT33</f>
        <v/>
      </c>
      <c r="CT8" s="56">
        <f>'Monthly forecast'!CU33</f>
        <v/>
      </c>
      <c r="CU8" s="56">
        <f>'Monthly forecast'!CV33</f>
        <v/>
      </c>
      <c r="CV8" s="56">
        <f>'Monthly forecast'!CW33</f>
        <v/>
      </c>
      <c r="CW8" s="56">
        <f>'Monthly forecast'!CX33</f>
        <v/>
      </c>
    </row>
    <row r="9" ht="15.75" customHeight="1" s="255">
      <c r="A9" s="56">
        <f>'Monthly forecast'!A35</f>
        <v/>
      </c>
      <c r="B9" s="56" t="n"/>
      <c r="C9" s="56">
        <f>'Monthly forecast'!D42</f>
        <v/>
      </c>
      <c r="D9" s="56">
        <f>'Monthly forecast'!E42</f>
        <v/>
      </c>
      <c r="E9" s="56">
        <f>'Monthly forecast'!F42</f>
        <v/>
      </c>
      <c r="F9" s="56">
        <f>'Monthly forecast'!G42</f>
        <v/>
      </c>
      <c r="G9" s="56">
        <f>'Monthly forecast'!H42</f>
        <v/>
      </c>
      <c r="H9" s="56">
        <f>'Monthly forecast'!I42</f>
        <v/>
      </c>
      <c r="I9" s="56">
        <f>'Monthly forecast'!J42</f>
        <v/>
      </c>
      <c r="J9" s="56">
        <f>'Monthly forecast'!K42</f>
        <v/>
      </c>
      <c r="K9" s="56">
        <f>'Monthly forecast'!L42</f>
        <v/>
      </c>
      <c r="L9" s="56">
        <f>'Monthly forecast'!M42</f>
        <v/>
      </c>
      <c r="M9" s="56">
        <f>'Monthly forecast'!N42</f>
        <v/>
      </c>
      <c r="N9" s="56">
        <f>'Monthly forecast'!O42</f>
        <v/>
      </c>
      <c r="O9" s="56">
        <f>'Monthly forecast'!P42</f>
        <v/>
      </c>
      <c r="P9" s="56">
        <f>'Monthly forecast'!Q42</f>
        <v/>
      </c>
      <c r="Q9" s="56">
        <f>'Monthly forecast'!R42</f>
        <v/>
      </c>
      <c r="R9" s="56">
        <f>'Monthly forecast'!S42</f>
        <v/>
      </c>
      <c r="S9" s="56">
        <f>'Monthly forecast'!T42</f>
        <v/>
      </c>
      <c r="T9" s="56">
        <f>'Monthly forecast'!U42</f>
        <v/>
      </c>
      <c r="U9" s="56">
        <f>'Monthly forecast'!V42</f>
        <v/>
      </c>
      <c r="V9" s="56">
        <f>'Monthly forecast'!W42</f>
        <v/>
      </c>
      <c r="W9" s="56">
        <f>'Monthly forecast'!X42</f>
        <v/>
      </c>
      <c r="X9" s="56">
        <f>'Monthly forecast'!Y42</f>
        <v/>
      </c>
      <c r="Y9" s="56">
        <f>'Monthly forecast'!Z42</f>
        <v/>
      </c>
      <c r="Z9" s="56">
        <f>'Monthly forecast'!AA42</f>
        <v/>
      </c>
      <c r="AA9" s="56">
        <f>'Monthly forecast'!AB42</f>
        <v/>
      </c>
      <c r="AB9" s="56">
        <f>'Monthly forecast'!AC42</f>
        <v/>
      </c>
      <c r="AC9" s="56">
        <f>'Monthly forecast'!AD42</f>
        <v/>
      </c>
      <c r="AD9" s="56">
        <f>'Monthly forecast'!AE42</f>
        <v/>
      </c>
      <c r="AE9" s="56">
        <f>'Monthly forecast'!AF42</f>
        <v/>
      </c>
      <c r="AF9" s="56">
        <f>'Monthly forecast'!AG42</f>
        <v/>
      </c>
      <c r="AG9" s="56">
        <f>'Monthly forecast'!AH42</f>
        <v/>
      </c>
      <c r="AH9" s="56">
        <f>'Monthly forecast'!AI42</f>
        <v/>
      </c>
      <c r="AI9" s="56">
        <f>'Monthly forecast'!AJ42</f>
        <v/>
      </c>
      <c r="AJ9" s="56">
        <f>'Monthly forecast'!AK42</f>
        <v/>
      </c>
      <c r="AK9" s="56">
        <f>'Monthly forecast'!AL42</f>
        <v/>
      </c>
      <c r="AL9" s="56">
        <f>'Monthly forecast'!AM42</f>
        <v/>
      </c>
      <c r="AM9" s="56">
        <f>'Monthly forecast'!AN42</f>
        <v/>
      </c>
      <c r="AN9" s="56">
        <f>'Monthly forecast'!AO42</f>
        <v/>
      </c>
      <c r="AO9" s="56">
        <f>'Monthly forecast'!AP42</f>
        <v/>
      </c>
      <c r="AP9" s="56">
        <f>'Monthly forecast'!AQ42</f>
        <v/>
      </c>
      <c r="AQ9" s="56">
        <f>'Monthly forecast'!AR42</f>
        <v/>
      </c>
      <c r="AR9" s="56">
        <f>'Monthly forecast'!AS42</f>
        <v/>
      </c>
      <c r="AS9" s="56">
        <f>'Monthly forecast'!AT42</f>
        <v/>
      </c>
      <c r="AT9" s="56">
        <f>'Monthly forecast'!AU42</f>
        <v/>
      </c>
      <c r="AU9" s="56">
        <f>'Monthly forecast'!AV42</f>
        <v/>
      </c>
      <c r="AV9" s="56">
        <f>'Monthly forecast'!AW42</f>
        <v/>
      </c>
      <c r="AW9" s="56">
        <f>'Monthly forecast'!AX42</f>
        <v/>
      </c>
      <c r="AX9" s="56">
        <f>'Monthly forecast'!AY42</f>
        <v/>
      </c>
      <c r="AY9" s="56">
        <f>'Monthly forecast'!AZ42</f>
        <v/>
      </c>
      <c r="AZ9" s="56">
        <f>'Monthly forecast'!BA42</f>
        <v/>
      </c>
      <c r="BA9" s="56">
        <f>'Monthly forecast'!BB42</f>
        <v/>
      </c>
      <c r="BB9" s="56">
        <f>'Monthly forecast'!BC42</f>
        <v/>
      </c>
      <c r="BC9" s="56">
        <f>'Monthly forecast'!BD42</f>
        <v/>
      </c>
      <c r="BD9" s="56">
        <f>'Monthly forecast'!BE42</f>
        <v/>
      </c>
      <c r="BE9" s="56">
        <f>'Monthly forecast'!BF42</f>
        <v/>
      </c>
      <c r="BF9" s="56">
        <f>'Monthly forecast'!BG42</f>
        <v/>
      </c>
      <c r="BG9" s="56">
        <f>'Monthly forecast'!BH42</f>
        <v/>
      </c>
      <c r="BH9" s="56">
        <f>'Monthly forecast'!BI42</f>
        <v/>
      </c>
      <c r="BI9" s="56">
        <f>'Monthly forecast'!BJ42</f>
        <v/>
      </c>
      <c r="BJ9" s="56">
        <f>'Monthly forecast'!BK42</f>
        <v/>
      </c>
      <c r="BK9" s="56">
        <f>'Monthly forecast'!BL42</f>
        <v/>
      </c>
      <c r="BL9" s="56">
        <f>'Monthly forecast'!BM42</f>
        <v/>
      </c>
      <c r="BM9" s="56">
        <f>'Monthly forecast'!BN42</f>
        <v/>
      </c>
      <c r="BN9" s="56">
        <f>'Monthly forecast'!BO42</f>
        <v/>
      </c>
      <c r="BO9" s="56">
        <f>'Monthly forecast'!BP42</f>
        <v/>
      </c>
      <c r="BP9" s="56">
        <f>'Monthly forecast'!BQ42</f>
        <v/>
      </c>
      <c r="BQ9" s="56">
        <f>'Monthly forecast'!BR42</f>
        <v/>
      </c>
      <c r="BR9" s="56">
        <f>'Monthly forecast'!BS42</f>
        <v/>
      </c>
      <c r="BS9" s="56">
        <f>'Monthly forecast'!BT42</f>
        <v/>
      </c>
      <c r="BT9" s="56">
        <f>'Monthly forecast'!BU42</f>
        <v/>
      </c>
      <c r="BU9" s="56">
        <f>'Monthly forecast'!BV42</f>
        <v/>
      </c>
      <c r="BV9" s="56">
        <f>'Monthly forecast'!BW42</f>
        <v/>
      </c>
      <c r="BW9" s="56">
        <f>'Monthly forecast'!BX42</f>
        <v/>
      </c>
      <c r="BX9" s="56">
        <f>'Monthly forecast'!BY42</f>
        <v/>
      </c>
      <c r="BY9" s="56">
        <f>'Monthly forecast'!BZ42</f>
        <v/>
      </c>
      <c r="BZ9" s="56">
        <f>'Monthly forecast'!CA42</f>
        <v/>
      </c>
      <c r="CA9" s="56">
        <f>'Monthly forecast'!CB42</f>
        <v/>
      </c>
      <c r="CB9" s="56">
        <f>'Monthly forecast'!CC42</f>
        <v/>
      </c>
      <c r="CC9" s="56">
        <f>'Monthly forecast'!CD42</f>
        <v/>
      </c>
      <c r="CD9" s="56">
        <f>'Monthly forecast'!CE42</f>
        <v/>
      </c>
      <c r="CE9" s="56">
        <f>'Monthly forecast'!CF42</f>
        <v/>
      </c>
      <c r="CF9" s="56">
        <f>'Monthly forecast'!CG42</f>
        <v/>
      </c>
      <c r="CG9" s="56">
        <f>'Monthly forecast'!CH42</f>
        <v/>
      </c>
      <c r="CH9" s="56">
        <f>'Monthly forecast'!CI42</f>
        <v/>
      </c>
      <c r="CI9" s="56">
        <f>'Monthly forecast'!CJ42</f>
        <v/>
      </c>
      <c r="CJ9" s="56">
        <f>'Monthly forecast'!CK42</f>
        <v/>
      </c>
      <c r="CK9" s="56">
        <f>'Monthly forecast'!CL42</f>
        <v/>
      </c>
      <c r="CL9" s="56">
        <f>'Monthly forecast'!CM42</f>
        <v/>
      </c>
      <c r="CM9" s="56">
        <f>'Monthly forecast'!CN42</f>
        <v/>
      </c>
      <c r="CN9" s="56">
        <f>'Monthly forecast'!CO42</f>
        <v/>
      </c>
      <c r="CO9" s="56">
        <f>'Monthly forecast'!CP42</f>
        <v/>
      </c>
      <c r="CP9" s="56">
        <f>'Monthly forecast'!CQ42</f>
        <v/>
      </c>
      <c r="CQ9" s="56">
        <f>'Monthly forecast'!CR42</f>
        <v/>
      </c>
      <c r="CR9" s="56">
        <f>'Monthly forecast'!CS42</f>
        <v/>
      </c>
      <c r="CS9" s="56">
        <f>'Monthly forecast'!CT42</f>
        <v/>
      </c>
      <c r="CT9" s="56">
        <f>'Monthly forecast'!CU42</f>
        <v/>
      </c>
      <c r="CU9" s="56">
        <f>'Monthly forecast'!CV42</f>
        <v/>
      </c>
      <c r="CV9" s="56">
        <f>'Monthly forecast'!CW42</f>
        <v/>
      </c>
      <c r="CW9" s="56">
        <f>'Monthly forecast'!CX42</f>
        <v/>
      </c>
    </row>
    <row r="10" ht="15.75" customHeight="1" s="25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</row>
    <row r="11" ht="15.75" customHeight="1" s="255">
      <c r="A11" s="146" t="inlineStr">
        <is>
          <t>COGS</t>
        </is>
      </c>
      <c r="B11" s="149" t="n"/>
      <c r="C11" s="73">
        <f>'Monthly forecast'!D47</f>
        <v/>
      </c>
      <c r="D11" s="73">
        <f>'Monthly forecast'!E47</f>
        <v/>
      </c>
      <c r="E11" s="73">
        <f>'Monthly forecast'!F47</f>
        <v/>
      </c>
      <c r="F11" s="73">
        <f>'Monthly forecast'!G47</f>
        <v/>
      </c>
      <c r="G11" s="73">
        <f>'Monthly forecast'!H47</f>
        <v/>
      </c>
      <c r="H11" s="73">
        <f>'Monthly forecast'!I47</f>
        <v/>
      </c>
      <c r="I11" s="73">
        <f>'Monthly forecast'!J47</f>
        <v/>
      </c>
      <c r="J11" s="73">
        <f>'Monthly forecast'!K47</f>
        <v/>
      </c>
      <c r="K11" s="73">
        <f>'Monthly forecast'!L47</f>
        <v/>
      </c>
      <c r="L11" s="73">
        <f>'Monthly forecast'!M47</f>
        <v/>
      </c>
      <c r="M11" s="73">
        <f>'Monthly forecast'!N47</f>
        <v/>
      </c>
      <c r="N11" s="73">
        <f>'Monthly forecast'!O47</f>
        <v/>
      </c>
      <c r="O11" s="73">
        <f>'Monthly forecast'!P47</f>
        <v/>
      </c>
      <c r="P11" s="73">
        <f>'Monthly forecast'!Q47</f>
        <v/>
      </c>
      <c r="Q11" s="73">
        <f>'Monthly forecast'!R47</f>
        <v/>
      </c>
      <c r="R11" s="73">
        <f>'Monthly forecast'!S47</f>
        <v/>
      </c>
      <c r="S11" s="73">
        <f>'Monthly forecast'!T47</f>
        <v/>
      </c>
      <c r="T11" s="73">
        <f>'Monthly forecast'!U47</f>
        <v/>
      </c>
      <c r="U11" s="73">
        <f>'Monthly forecast'!V47</f>
        <v/>
      </c>
      <c r="V11" s="73">
        <f>'Monthly forecast'!W47</f>
        <v/>
      </c>
      <c r="W11" s="73">
        <f>'Monthly forecast'!X47</f>
        <v/>
      </c>
      <c r="X11" s="73">
        <f>'Monthly forecast'!Y47</f>
        <v/>
      </c>
      <c r="Y11" s="73">
        <f>'Monthly forecast'!Z47</f>
        <v/>
      </c>
      <c r="Z11" s="73">
        <f>'Monthly forecast'!AA47</f>
        <v/>
      </c>
      <c r="AA11" s="73">
        <f>'Monthly forecast'!AB47</f>
        <v/>
      </c>
      <c r="AB11" s="73">
        <f>'Monthly forecast'!AC47</f>
        <v/>
      </c>
      <c r="AC11" s="73">
        <f>'Monthly forecast'!AD47</f>
        <v/>
      </c>
      <c r="AD11" s="73">
        <f>'Monthly forecast'!AE47</f>
        <v/>
      </c>
      <c r="AE11" s="73">
        <f>'Monthly forecast'!AF47</f>
        <v/>
      </c>
      <c r="AF11" s="73">
        <f>'Monthly forecast'!AG47</f>
        <v/>
      </c>
      <c r="AG11" s="73">
        <f>'Monthly forecast'!AH47</f>
        <v/>
      </c>
      <c r="AH11" s="73">
        <f>'Monthly forecast'!AI47</f>
        <v/>
      </c>
      <c r="AI11" s="73">
        <f>'Monthly forecast'!AJ47</f>
        <v/>
      </c>
      <c r="AJ11" s="73">
        <f>'Monthly forecast'!AK47</f>
        <v/>
      </c>
      <c r="AK11" s="73">
        <f>'Monthly forecast'!AL47</f>
        <v/>
      </c>
      <c r="AL11" s="73">
        <f>'Monthly forecast'!AM47</f>
        <v/>
      </c>
      <c r="AM11" s="73">
        <f>'Monthly forecast'!AN47</f>
        <v/>
      </c>
      <c r="AN11" s="73">
        <f>'Monthly forecast'!AO47</f>
        <v/>
      </c>
      <c r="AO11" s="73">
        <f>'Monthly forecast'!AP47</f>
        <v/>
      </c>
      <c r="AP11" s="73">
        <f>'Monthly forecast'!AQ47</f>
        <v/>
      </c>
      <c r="AQ11" s="73">
        <f>'Monthly forecast'!AR47</f>
        <v/>
      </c>
      <c r="AR11" s="73">
        <f>'Monthly forecast'!AS47</f>
        <v/>
      </c>
      <c r="AS11" s="73">
        <f>'Monthly forecast'!AT47</f>
        <v/>
      </c>
      <c r="AT11" s="73">
        <f>'Monthly forecast'!AU47</f>
        <v/>
      </c>
      <c r="AU11" s="73">
        <f>'Monthly forecast'!AV47</f>
        <v/>
      </c>
      <c r="AV11" s="73">
        <f>'Monthly forecast'!AW47</f>
        <v/>
      </c>
      <c r="AW11" s="73">
        <f>'Monthly forecast'!AX47</f>
        <v/>
      </c>
      <c r="AX11" s="73">
        <f>'Monthly forecast'!AY47</f>
        <v/>
      </c>
      <c r="AY11" s="73">
        <f>'Monthly forecast'!AZ47</f>
        <v/>
      </c>
      <c r="AZ11" s="73">
        <f>'Monthly forecast'!BA47</f>
        <v/>
      </c>
      <c r="BA11" s="73">
        <f>'Monthly forecast'!BB47</f>
        <v/>
      </c>
      <c r="BB11" s="73">
        <f>'Monthly forecast'!BC47</f>
        <v/>
      </c>
      <c r="BC11" s="73">
        <f>'Monthly forecast'!BD47</f>
        <v/>
      </c>
      <c r="BD11" s="73">
        <f>'Monthly forecast'!BE47</f>
        <v/>
      </c>
      <c r="BE11" s="73">
        <f>'Monthly forecast'!BF47</f>
        <v/>
      </c>
      <c r="BF11" s="73">
        <f>'Monthly forecast'!BG47</f>
        <v/>
      </c>
      <c r="BG11" s="73">
        <f>'Monthly forecast'!BH47</f>
        <v/>
      </c>
      <c r="BH11" s="73">
        <f>'Monthly forecast'!BI47</f>
        <v/>
      </c>
      <c r="BI11" s="73">
        <f>'Monthly forecast'!BJ47</f>
        <v/>
      </c>
      <c r="BJ11" s="73">
        <f>'Monthly forecast'!BK47</f>
        <v/>
      </c>
      <c r="BK11" s="73">
        <f>'Monthly forecast'!BL47</f>
        <v/>
      </c>
      <c r="BL11" s="73">
        <f>'Monthly forecast'!BM47</f>
        <v/>
      </c>
      <c r="BM11" s="73">
        <f>'Monthly forecast'!BN47</f>
        <v/>
      </c>
      <c r="BN11" s="73">
        <f>'Monthly forecast'!BO47</f>
        <v/>
      </c>
      <c r="BO11" s="73">
        <f>'Monthly forecast'!BP47</f>
        <v/>
      </c>
      <c r="BP11" s="73">
        <f>'Monthly forecast'!BQ47</f>
        <v/>
      </c>
      <c r="BQ11" s="73">
        <f>'Monthly forecast'!BR47</f>
        <v/>
      </c>
      <c r="BR11" s="73">
        <f>'Monthly forecast'!BS47</f>
        <v/>
      </c>
      <c r="BS11" s="73">
        <f>'Monthly forecast'!BT47</f>
        <v/>
      </c>
      <c r="BT11" s="73">
        <f>'Monthly forecast'!BU47</f>
        <v/>
      </c>
      <c r="BU11" s="73">
        <f>'Monthly forecast'!BV47</f>
        <v/>
      </c>
      <c r="BV11" s="73">
        <f>'Monthly forecast'!BW47</f>
        <v/>
      </c>
      <c r="BW11" s="73">
        <f>'Monthly forecast'!BX47</f>
        <v/>
      </c>
      <c r="BX11" s="73">
        <f>'Monthly forecast'!BY47</f>
        <v/>
      </c>
      <c r="BY11" s="73">
        <f>'Monthly forecast'!BZ47</f>
        <v/>
      </c>
      <c r="BZ11" s="73">
        <f>'Monthly forecast'!CA47</f>
        <v/>
      </c>
      <c r="CA11" s="73">
        <f>'Monthly forecast'!CB47</f>
        <v/>
      </c>
      <c r="CB11" s="73">
        <f>'Monthly forecast'!CC47</f>
        <v/>
      </c>
      <c r="CC11" s="73">
        <f>'Monthly forecast'!CD47</f>
        <v/>
      </c>
      <c r="CD11" s="73">
        <f>'Monthly forecast'!CE47</f>
        <v/>
      </c>
      <c r="CE11" s="73">
        <f>'Monthly forecast'!CF47</f>
        <v/>
      </c>
      <c r="CF11" s="73">
        <f>'Monthly forecast'!CG47</f>
        <v/>
      </c>
      <c r="CG11" s="73">
        <f>'Monthly forecast'!CH47</f>
        <v/>
      </c>
      <c r="CH11" s="73">
        <f>'Monthly forecast'!CI47</f>
        <v/>
      </c>
      <c r="CI11" s="73">
        <f>'Monthly forecast'!CJ47</f>
        <v/>
      </c>
      <c r="CJ11" s="73">
        <f>'Monthly forecast'!CK47</f>
        <v/>
      </c>
      <c r="CK11" s="73">
        <f>'Monthly forecast'!CL47</f>
        <v/>
      </c>
      <c r="CL11" s="73">
        <f>'Monthly forecast'!CM47</f>
        <v/>
      </c>
      <c r="CM11" s="73">
        <f>'Monthly forecast'!CN47</f>
        <v/>
      </c>
      <c r="CN11" s="73">
        <f>'Monthly forecast'!CO47</f>
        <v/>
      </c>
      <c r="CO11" s="73">
        <f>'Monthly forecast'!CP47</f>
        <v/>
      </c>
      <c r="CP11" s="73">
        <f>'Monthly forecast'!CQ47</f>
        <v/>
      </c>
      <c r="CQ11" s="73">
        <f>'Monthly forecast'!CR47</f>
        <v/>
      </c>
      <c r="CR11" s="73">
        <f>'Monthly forecast'!CS47</f>
        <v/>
      </c>
      <c r="CS11" s="73">
        <f>'Monthly forecast'!CT47</f>
        <v/>
      </c>
      <c r="CT11" s="73">
        <f>'Monthly forecast'!CU47</f>
        <v/>
      </c>
      <c r="CU11" s="73">
        <f>'Monthly forecast'!CV47</f>
        <v/>
      </c>
      <c r="CV11" s="73">
        <f>'Monthly forecast'!CW47</f>
        <v/>
      </c>
      <c r="CW11" s="73">
        <f>'Monthly forecast'!CX47</f>
        <v/>
      </c>
    </row>
    <row r="12" ht="15.75" customHeight="1" s="255">
      <c r="A12" s="56" t="inlineStr">
        <is>
          <t>Gross profit</t>
        </is>
      </c>
      <c r="B12" s="56" t="n"/>
      <c r="C12" s="73">
        <f>C6-C11</f>
        <v/>
      </c>
      <c r="D12" s="73">
        <f>D6-D11</f>
        <v/>
      </c>
      <c r="E12" s="73">
        <f>E6-E11</f>
        <v/>
      </c>
      <c r="F12" s="73">
        <f>F6-F11</f>
        <v/>
      </c>
      <c r="G12" s="73">
        <f>G6-G11</f>
        <v/>
      </c>
      <c r="H12" s="73">
        <f>H6-H11</f>
        <v/>
      </c>
      <c r="I12" s="73">
        <f>I6-I11</f>
        <v/>
      </c>
      <c r="J12" s="73">
        <f>J6-J11</f>
        <v/>
      </c>
      <c r="K12" s="73">
        <f>K6-K11</f>
        <v/>
      </c>
      <c r="L12" s="73">
        <f>L6-L11</f>
        <v/>
      </c>
      <c r="M12" s="73">
        <f>M6-M11</f>
        <v/>
      </c>
      <c r="N12" s="73">
        <f>N6-N11</f>
        <v/>
      </c>
      <c r="O12" s="73">
        <f>O6-O11</f>
        <v/>
      </c>
      <c r="P12" s="73">
        <f>P6-P11</f>
        <v/>
      </c>
      <c r="Q12" s="73">
        <f>Q6-Q11</f>
        <v/>
      </c>
      <c r="R12" s="73">
        <f>R6-R11</f>
        <v/>
      </c>
      <c r="S12" s="73">
        <f>S6-S11</f>
        <v/>
      </c>
      <c r="T12" s="73">
        <f>T6-T11</f>
        <v/>
      </c>
      <c r="U12" s="73">
        <f>U6-U11</f>
        <v/>
      </c>
      <c r="V12" s="73">
        <f>V6-V11</f>
        <v/>
      </c>
      <c r="W12" s="73">
        <f>W6-W11</f>
        <v/>
      </c>
      <c r="X12" s="73">
        <f>X6-X11</f>
        <v/>
      </c>
      <c r="Y12" s="73">
        <f>Y6-Y11</f>
        <v/>
      </c>
      <c r="Z12" s="73">
        <f>Z6-Z11</f>
        <v/>
      </c>
      <c r="AA12" s="73">
        <f>AA6-AA11</f>
        <v/>
      </c>
      <c r="AB12" s="73">
        <f>AB6-AB11</f>
        <v/>
      </c>
      <c r="AC12" s="73">
        <f>AC6-AC11</f>
        <v/>
      </c>
      <c r="AD12" s="73">
        <f>AD6-AD11</f>
        <v/>
      </c>
      <c r="AE12" s="73">
        <f>AE6-AE11</f>
        <v/>
      </c>
      <c r="AF12" s="73">
        <f>AF6-AF11</f>
        <v/>
      </c>
      <c r="AG12" s="73">
        <f>AG6-AG11</f>
        <v/>
      </c>
      <c r="AH12" s="73">
        <f>AH6-AH11</f>
        <v/>
      </c>
      <c r="AI12" s="73">
        <f>AI6-AI11</f>
        <v/>
      </c>
      <c r="AJ12" s="73">
        <f>AJ6-AJ11</f>
        <v/>
      </c>
      <c r="AK12" s="73">
        <f>AK6-AK11</f>
        <v/>
      </c>
      <c r="AL12" s="73">
        <f>AL6-AL11</f>
        <v/>
      </c>
      <c r="AM12" s="73">
        <f>AM6-AM11</f>
        <v/>
      </c>
      <c r="AN12" s="73">
        <f>AN6-AN11</f>
        <v/>
      </c>
      <c r="AO12" s="73">
        <f>AO6-AO11</f>
        <v/>
      </c>
      <c r="AP12" s="73">
        <f>AP6-AP11</f>
        <v/>
      </c>
      <c r="AQ12" s="73">
        <f>AQ6-AQ11</f>
        <v/>
      </c>
      <c r="AR12" s="73">
        <f>AR6-AR11</f>
        <v/>
      </c>
      <c r="AS12" s="73">
        <f>AS6-AS11</f>
        <v/>
      </c>
      <c r="AT12" s="73">
        <f>AT6-AT11</f>
        <v/>
      </c>
      <c r="AU12" s="73">
        <f>AU6-AU11</f>
        <v/>
      </c>
      <c r="AV12" s="73">
        <f>AV6-AV11</f>
        <v/>
      </c>
      <c r="AW12" s="73">
        <f>AW6-AW11</f>
        <v/>
      </c>
      <c r="AX12" s="73">
        <f>AX6-AX11</f>
        <v/>
      </c>
      <c r="AY12" s="73">
        <f>AY6-AY11</f>
        <v/>
      </c>
      <c r="AZ12" s="73">
        <f>AZ6-AZ11</f>
        <v/>
      </c>
      <c r="BA12" s="73">
        <f>BA6-BA11</f>
        <v/>
      </c>
      <c r="BB12" s="73">
        <f>BB6-BB11</f>
        <v/>
      </c>
      <c r="BC12" s="73">
        <f>BC6-BC11</f>
        <v/>
      </c>
      <c r="BD12" s="73">
        <f>BD6-BD11</f>
        <v/>
      </c>
      <c r="BE12" s="73">
        <f>BE6-BE11</f>
        <v/>
      </c>
      <c r="BF12" s="73">
        <f>BF6-BF11</f>
        <v/>
      </c>
      <c r="BG12" s="73">
        <f>BG6-BG11</f>
        <v/>
      </c>
      <c r="BH12" s="73">
        <f>BH6-BH11</f>
        <v/>
      </c>
      <c r="BI12" s="73">
        <f>BI6-BI11</f>
        <v/>
      </c>
      <c r="BJ12" s="73">
        <f>BJ6-BJ11</f>
        <v/>
      </c>
      <c r="BK12" s="73">
        <f>BK6-BK11</f>
        <v/>
      </c>
      <c r="BL12" s="73">
        <f>BL6-BL11</f>
        <v/>
      </c>
      <c r="BM12" s="73">
        <f>BM6-BM11</f>
        <v/>
      </c>
      <c r="BN12" s="73">
        <f>BN6-BN11</f>
        <v/>
      </c>
      <c r="BO12" s="73">
        <f>BO6-BO11</f>
        <v/>
      </c>
      <c r="BP12" s="73">
        <f>BP6-BP11</f>
        <v/>
      </c>
      <c r="BQ12" s="73">
        <f>BQ6-BQ11</f>
        <v/>
      </c>
      <c r="BR12" s="73">
        <f>BR6-BR11</f>
        <v/>
      </c>
      <c r="BS12" s="73">
        <f>BS6-BS11</f>
        <v/>
      </c>
      <c r="BT12" s="73">
        <f>BT6-BT11</f>
        <v/>
      </c>
      <c r="BU12" s="73">
        <f>BU6-BU11</f>
        <v/>
      </c>
      <c r="BV12" s="73">
        <f>BV6-BV11</f>
        <v/>
      </c>
      <c r="BW12" s="73">
        <f>BW6-BW11</f>
        <v/>
      </c>
      <c r="BX12" s="73">
        <f>BX6-BX11</f>
        <v/>
      </c>
      <c r="BY12" s="73">
        <f>BY6-BY11</f>
        <v/>
      </c>
      <c r="BZ12" s="73">
        <f>BZ6-BZ11</f>
        <v/>
      </c>
      <c r="CA12" s="73">
        <f>CA6-CA11</f>
        <v/>
      </c>
      <c r="CB12" s="73">
        <f>CB6-CB11</f>
        <v/>
      </c>
      <c r="CC12" s="73">
        <f>CC6-CC11</f>
        <v/>
      </c>
      <c r="CD12" s="73">
        <f>CD6-CD11</f>
        <v/>
      </c>
      <c r="CE12" s="73">
        <f>CE6-CE11</f>
        <v/>
      </c>
      <c r="CF12" s="73">
        <f>CF6-CF11</f>
        <v/>
      </c>
      <c r="CG12" s="73">
        <f>CG6-CG11</f>
        <v/>
      </c>
      <c r="CH12" s="73">
        <f>CH6-CH11</f>
        <v/>
      </c>
      <c r="CI12" s="73">
        <f>CI6-CI11</f>
        <v/>
      </c>
      <c r="CJ12" s="73">
        <f>CJ6-CJ11</f>
        <v/>
      </c>
      <c r="CK12" s="73">
        <f>CK6-CK11</f>
        <v/>
      </c>
      <c r="CL12" s="73">
        <f>CL6-CL11</f>
        <v/>
      </c>
      <c r="CM12" s="73">
        <f>CM6-CM11</f>
        <v/>
      </c>
      <c r="CN12" s="73">
        <f>CN6-CN11</f>
        <v/>
      </c>
      <c r="CO12" s="73">
        <f>CO6-CO11</f>
        <v/>
      </c>
      <c r="CP12" s="73">
        <f>CP6-CP11</f>
        <v/>
      </c>
      <c r="CQ12" s="73">
        <f>CQ6-CQ11</f>
        <v/>
      </c>
      <c r="CR12" s="73">
        <f>CR6-CR11</f>
        <v/>
      </c>
      <c r="CS12" s="73">
        <f>CS6-CS11</f>
        <v/>
      </c>
      <c r="CT12" s="73">
        <f>CT6-CT11</f>
        <v/>
      </c>
      <c r="CU12" s="73">
        <f>CU6-CU11</f>
        <v/>
      </c>
      <c r="CV12" s="73">
        <f>CV6-CV11</f>
        <v/>
      </c>
      <c r="CW12" s="73">
        <f>CW6-CW11</f>
        <v/>
      </c>
    </row>
    <row r="13" ht="15.75" customHeight="1" s="255">
      <c r="A13" s="172" t="inlineStr">
        <is>
          <t>Gross margin</t>
        </is>
      </c>
      <c r="B13" s="172" t="n"/>
      <c r="C13" s="172">
        <f>iferror(C12/#REF!,0)</f>
        <v/>
      </c>
      <c r="D13" s="172">
        <f>iferror(D12/#REF!,0)</f>
        <v/>
      </c>
      <c r="E13" s="172">
        <f>iferror(E12/#REF!,0)</f>
        <v/>
      </c>
      <c r="F13" s="172">
        <f>iferror(F12/#REF!,0)</f>
        <v/>
      </c>
      <c r="G13" s="172">
        <f>iferror(G12/#REF!,0)</f>
        <v/>
      </c>
      <c r="H13" s="172">
        <f>iferror(H12/#REF!,0)</f>
        <v/>
      </c>
      <c r="I13" s="172">
        <f>iferror(I12/#REF!,0)</f>
        <v/>
      </c>
      <c r="J13" s="172">
        <f>iferror(J12/#REF!,0)</f>
        <v/>
      </c>
      <c r="K13" s="172">
        <f>iferror(K12/#REF!,0)</f>
        <v/>
      </c>
      <c r="L13" s="172">
        <f>iferror(L12/#REF!,0)</f>
        <v/>
      </c>
      <c r="M13" s="172">
        <f>iferror(M12/#REF!,0)</f>
        <v/>
      </c>
      <c r="N13" s="172">
        <f>iferror(N12/#REF!,0)</f>
        <v/>
      </c>
      <c r="O13" s="172">
        <f>iferror(O12/#REF!,0)</f>
        <v/>
      </c>
      <c r="P13" s="172">
        <f>iferror(P12/#REF!,0)</f>
        <v/>
      </c>
      <c r="Q13" s="172">
        <f>iferror(Q12/#REF!,0)</f>
        <v/>
      </c>
      <c r="R13" s="172">
        <f>iferror(R12/#REF!,0)</f>
        <v/>
      </c>
      <c r="S13" s="172">
        <f>iferror(S12/#REF!,0)</f>
        <v/>
      </c>
      <c r="T13" s="172">
        <f>iferror(T12/#REF!,0)</f>
        <v/>
      </c>
      <c r="U13" s="172">
        <f>iferror(U12/#REF!,0)</f>
        <v/>
      </c>
      <c r="V13" s="172">
        <f>iferror(V12/#REF!,0)</f>
        <v/>
      </c>
      <c r="W13" s="172">
        <f>iferror(W12/#REF!,0)</f>
        <v/>
      </c>
      <c r="X13" s="172">
        <f>iferror(X12/#REF!,0)</f>
        <v/>
      </c>
      <c r="Y13" s="172">
        <f>iferror(Y12/#REF!,0)</f>
        <v/>
      </c>
      <c r="Z13" s="172">
        <f>iferror(Z12/#REF!,0)</f>
        <v/>
      </c>
      <c r="AA13" s="172">
        <f>iferror(AA12/#REF!,0)</f>
        <v/>
      </c>
      <c r="AB13" s="172">
        <f>iferror(AB12/#REF!,0)</f>
        <v/>
      </c>
      <c r="AC13" s="172">
        <f>iferror(AC12/#REF!,0)</f>
        <v/>
      </c>
      <c r="AD13" s="172">
        <f>iferror(AD12/#REF!,0)</f>
        <v/>
      </c>
      <c r="AE13" s="172">
        <f>iferror(AE12/#REF!,0)</f>
        <v/>
      </c>
      <c r="AF13" s="172">
        <f>iferror(AF12/#REF!,0)</f>
        <v/>
      </c>
      <c r="AG13" s="172">
        <f>iferror(AG12/#REF!,0)</f>
        <v/>
      </c>
      <c r="AH13" s="172">
        <f>iferror(AH12/#REF!,0)</f>
        <v/>
      </c>
      <c r="AI13" s="172">
        <f>iferror(AI12/#REF!,0)</f>
        <v/>
      </c>
      <c r="AJ13" s="172">
        <f>iferror(AJ12/#REF!,0)</f>
        <v/>
      </c>
      <c r="AK13" s="172">
        <f>iferror(AK12/#REF!,0)</f>
        <v/>
      </c>
      <c r="AL13" s="172">
        <f>iferror(AL12/#REF!,0)</f>
        <v/>
      </c>
      <c r="AM13" s="172">
        <f>iferror(AM12/#REF!,0)</f>
        <v/>
      </c>
      <c r="AN13" s="172">
        <f>iferror(AN12/#REF!,0)</f>
        <v/>
      </c>
      <c r="AO13" s="172">
        <f>iferror(AO12/#REF!,0)</f>
        <v/>
      </c>
      <c r="AP13" s="172">
        <f>iferror(AP12/#REF!,0)</f>
        <v/>
      </c>
      <c r="AQ13" s="172">
        <f>iferror(AQ12/#REF!,0)</f>
        <v/>
      </c>
      <c r="AR13" s="172">
        <f>iferror(AR12/#REF!,0)</f>
        <v/>
      </c>
      <c r="AS13" s="172">
        <f>iferror(AS12/#REF!,0)</f>
        <v/>
      </c>
      <c r="AT13" s="172">
        <f>iferror(AT12/#REF!,0)</f>
        <v/>
      </c>
      <c r="AU13" s="172">
        <f>iferror(AU12/#REF!,0)</f>
        <v/>
      </c>
      <c r="AV13" s="172">
        <f>iferror(AV12/#REF!,0)</f>
        <v/>
      </c>
      <c r="AW13" s="172">
        <f>iferror(AW12/#REF!,0)</f>
        <v/>
      </c>
      <c r="AX13" s="172">
        <f>iferror(AX12/#REF!,0)</f>
        <v/>
      </c>
      <c r="AY13" s="172">
        <f>iferror(AY12/#REF!,0)</f>
        <v/>
      </c>
      <c r="AZ13" s="172">
        <f>iferror(AZ12/#REF!,0)</f>
        <v/>
      </c>
      <c r="BA13" s="172">
        <f>iferror(BA12/#REF!,0)</f>
        <v/>
      </c>
      <c r="BB13" s="172">
        <f>iferror(BB12/#REF!,0)</f>
        <v/>
      </c>
      <c r="BC13" s="172">
        <f>iferror(BC12/#REF!,0)</f>
        <v/>
      </c>
      <c r="BD13" s="172">
        <f>iferror(BD12/#REF!,0)</f>
        <v/>
      </c>
      <c r="BE13" s="172">
        <f>iferror(BE12/#REF!,0)</f>
        <v/>
      </c>
      <c r="BF13" s="172">
        <f>iferror(BF12/#REF!,0)</f>
        <v/>
      </c>
      <c r="BG13" s="172">
        <f>iferror(BG12/#REF!,0)</f>
        <v/>
      </c>
      <c r="BH13" s="172">
        <f>iferror(BH12/#REF!,0)</f>
        <v/>
      </c>
      <c r="BI13" s="172">
        <f>iferror(BI12/#REF!,0)</f>
        <v/>
      </c>
      <c r="BJ13" s="172">
        <f>iferror(BJ12/#REF!,0)</f>
        <v/>
      </c>
      <c r="BK13" s="172">
        <f>iferror(BK12/#REF!,0)</f>
        <v/>
      </c>
      <c r="BL13" s="172">
        <f>iferror(BL12/#REF!,0)</f>
        <v/>
      </c>
      <c r="BM13" s="172">
        <f>iferror(BM12/#REF!,0)</f>
        <v/>
      </c>
      <c r="BN13" s="172">
        <f>iferror(BN12/#REF!,0)</f>
        <v/>
      </c>
      <c r="BO13" s="172">
        <f>iferror(BO12/#REF!,0)</f>
        <v/>
      </c>
      <c r="BP13" s="172">
        <f>iferror(BP12/#REF!,0)</f>
        <v/>
      </c>
      <c r="BQ13" s="172">
        <f>iferror(BQ12/#REF!,0)</f>
        <v/>
      </c>
      <c r="BR13" s="172">
        <f>iferror(BR12/#REF!,0)</f>
        <v/>
      </c>
      <c r="BS13" s="172">
        <f>iferror(BS12/#REF!,0)</f>
        <v/>
      </c>
      <c r="BT13" s="172">
        <f>iferror(BT12/#REF!,0)</f>
        <v/>
      </c>
      <c r="BU13" s="172">
        <f>iferror(BU12/#REF!,0)</f>
        <v/>
      </c>
      <c r="BV13" s="172">
        <f>iferror(BV12/#REF!,0)</f>
        <v/>
      </c>
      <c r="BW13" s="172">
        <f>iferror(BW12/#REF!,0)</f>
        <v/>
      </c>
      <c r="BX13" s="172">
        <f>iferror(BX12/#REF!,0)</f>
        <v/>
      </c>
      <c r="BY13" s="172">
        <f>iferror(BY12/#REF!,0)</f>
        <v/>
      </c>
      <c r="BZ13" s="172">
        <f>iferror(BZ12/#REF!,0)</f>
        <v/>
      </c>
      <c r="CA13" s="172">
        <f>iferror(CA12/#REF!,0)</f>
        <v/>
      </c>
      <c r="CB13" s="172">
        <f>iferror(CB12/#REF!,0)</f>
        <v/>
      </c>
      <c r="CC13" s="172">
        <f>iferror(CC12/#REF!,0)</f>
        <v/>
      </c>
      <c r="CD13" s="172">
        <f>iferror(CD12/#REF!,0)</f>
        <v/>
      </c>
      <c r="CE13" s="172">
        <f>iferror(CE12/#REF!,0)</f>
        <v/>
      </c>
      <c r="CF13" s="172">
        <f>iferror(CF12/#REF!,0)</f>
        <v/>
      </c>
      <c r="CG13" s="172">
        <f>iferror(CG12/#REF!,0)</f>
        <v/>
      </c>
      <c r="CH13" s="172">
        <f>iferror(CH12/#REF!,0)</f>
        <v/>
      </c>
      <c r="CI13" s="172">
        <f>iferror(CI12/#REF!,0)</f>
        <v/>
      </c>
      <c r="CJ13" s="172">
        <f>iferror(CJ12/#REF!,0)</f>
        <v/>
      </c>
      <c r="CK13" s="172">
        <f>iferror(CK12/#REF!,0)</f>
        <v/>
      </c>
      <c r="CL13" s="172">
        <f>iferror(CL12/#REF!,0)</f>
        <v/>
      </c>
      <c r="CM13" s="172">
        <f>iferror(CM12/#REF!,0)</f>
        <v/>
      </c>
      <c r="CN13" s="172">
        <f>iferror(CN12/#REF!,0)</f>
        <v/>
      </c>
      <c r="CO13" s="172">
        <f>iferror(CO12/#REF!,0)</f>
        <v/>
      </c>
      <c r="CP13" s="172">
        <f>iferror(CP12/#REF!,0)</f>
        <v/>
      </c>
      <c r="CQ13" s="172">
        <f>iferror(CQ12/#REF!,0)</f>
        <v/>
      </c>
      <c r="CR13" s="172">
        <f>iferror(CR12/#REF!,0)</f>
        <v/>
      </c>
      <c r="CS13" s="172">
        <f>iferror(CS12/#REF!,0)</f>
        <v/>
      </c>
      <c r="CT13" s="172">
        <f>iferror(CT12/#REF!,0)</f>
        <v/>
      </c>
      <c r="CU13" s="172">
        <f>iferror(CU12/#REF!,0)</f>
        <v/>
      </c>
      <c r="CV13" s="172">
        <f>iferror(CV12/#REF!,0)</f>
        <v/>
      </c>
      <c r="CW13" s="172">
        <f>iferror(CW12/#REF!,0)</f>
        <v/>
      </c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</row>
    <row r="15" ht="15.75" customHeight="1" s="255">
      <c r="A15" s="173" t="inlineStr">
        <is>
          <t>SG&amp;A</t>
        </is>
      </c>
      <c r="B15" s="174" t="n"/>
      <c r="C15" s="73">
        <f>'Monthly forecast'!D53</f>
        <v/>
      </c>
      <c r="D15" s="73">
        <f>'Monthly forecast'!E53</f>
        <v/>
      </c>
      <c r="E15" s="73">
        <f>'Monthly forecast'!F53</f>
        <v/>
      </c>
      <c r="F15" s="73">
        <f>'Monthly forecast'!G53</f>
        <v/>
      </c>
      <c r="G15" s="73">
        <f>'Monthly forecast'!H53</f>
        <v/>
      </c>
      <c r="H15" s="73">
        <f>'Monthly forecast'!I53</f>
        <v/>
      </c>
      <c r="I15" s="73">
        <f>'Monthly forecast'!J53</f>
        <v/>
      </c>
      <c r="J15" s="73">
        <f>'Monthly forecast'!K53</f>
        <v/>
      </c>
      <c r="K15" s="73">
        <f>'Monthly forecast'!L53</f>
        <v/>
      </c>
      <c r="L15" s="73">
        <f>'Monthly forecast'!M53</f>
        <v/>
      </c>
      <c r="M15" s="73">
        <f>'Monthly forecast'!N53</f>
        <v/>
      </c>
      <c r="N15" s="73">
        <f>'Monthly forecast'!O53</f>
        <v/>
      </c>
      <c r="O15" s="73">
        <f>'Monthly forecast'!P53</f>
        <v/>
      </c>
      <c r="P15" s="73">
        <f>'Monthly forecast'!Q53</f>
        <v/>
      </c>
      <c r="Q15" s="73">
        <f>'Monthly forecast'!R53</f>
        <v/>
      </c>
      <c r="R15" s="73">
        <f>'Monthly forecast'!S53</f>
        <v/>
      </c>
      <c r="S15" s="73">
        <f>'Monthly forecast'!T53</f>
        <v/>
      </c>
      <c r="T15" s="73">
        <f>'Monthly forecast'!U53</f>
        <v/>
      </c>
      <c r="U15" s="73">
        <f>'Monthly forecast'!V53</f>
        <v/>
      </c>
      <c r="V15" s="73">
        <f>'Monthly forecast'!W53</f>
        <v/>
      </c>
      <c r="W15" s="73">
        <f>'Monthly forecast'!X53</f>
        <v/>
      </c>
      <c r="X15" s="73">
        <f>'Monthly forecast'!Y53</f>
        <v/>
      </c>
      <c r="Y15" s="73">
        <f>'Monthly forecast'!Z53</f>
        <v/>
      </c>
      <c r="Z15" s="73">
        <f>'Monthly forecast'!AA53</f>
        <v/>
      </c>
      <c r="AA15" s="73">
        <f>'Monthly forecast'!AB53</f>
        <v/>
      </c>
      <c r="AB15" s="73">
        <f>'Monthly forecast'!AC53</f>
        <v/>
      </c>
      <c r="AC15" s="73">
        <f>'Monthly forecast'!AD53</f>
        <v/>
      </c>
      <c r="AD15" s="73">
        <f>'Monthly forecast'!AE53</f>
        <v/>
      </c>
      <c r="AE15" s="73">
        <f>'Monthly forecast'!AF53</f>
        <v/>
      </c>
      <c r="AF15" s="73">
        <f>'Monthly forecast'!AG53</f>
        <v/>
      </c>
      <c r="AG15" s="73">
        <f>'Monthly forecast'!AH53</f>
        <v/>
      </c>
      <c r="AH15" s="73">
        <f>'Monthly forecast'!AI53</f>
        <v/>
      </c>
      <c r="AI15" s="73">
        <f>'Monthly forecast'!AJ53</f>
        <v/>
      </c>
      <c r="AJ15" s="73">
        <f>'Monthly forecast'!AK53</f>
        <v/>
      </c>
      <c r="AK15" s="73">
        <f>'Monthly forecast'!AL53</f>
        <v/>
      </c>
      <c r="AL15" s="73">
        <f>'Monthly forecast'!AM53</f>
        <v/>
      </c>
      <c r="AM15" s="73">
        <f>'Monthly forecast'!AN53</f>
        <v/>
      </c>
      <c r="AN15" s="73">
        <f>'Monthly forecast'!AO53</f>
        <v/>
      </c>
      <c r="AO15" s="73">
        <f>'Monthly forecast'!AP53</f>
        <v/>
      </c>
      <c r="AP15" s="73">
        <f>'Monthly forecast'!AQ53</f>
        <v/>
      </c>
      <c r="AQ15" s="73">
        <f>'Monthly forecast'!AR53</f>
        <v/>
      </c>
      <c r="AR15" s="73">
        <f>'Monthly forecast'!AS53</f>
        <v/>
      </c>
      <c r="AS15" s="73">
        <f>'Monthly forecast'!AT53</f>
        <v/>
      </c>
      <c r="AT15" s="73">
        <f>'Monthly forecast'!AU53</f>
        <v/>
      </c>
      <c r="AU15" s="73">
        <f>'Monthly forecast'!AV53</f>
        <v/>
      </c>
      <c r="AV15" s="73">
        <f>'Monthly forecast'!AW53</f>
        <v/>
      </c>
      <c r="AW15" s="73">
        <f>'Monthly forecast'!AX53</f>
        <v/>
      </c>
      <c r="AX15" s="73">
        <f>'Monthly forecast'!AY53</f>
        <v/>
      </c>
      <c r="AY15" s="73">
        <f>'Monthly forecast'!AZ53</f>
        <v/>
      </c>
      <c r="AZ15" s="73">
        <f>'Monthly forecast'!BA53</f>
        <v/>
      </c>
      <c r="BA15" s="73">
        <f>'Monthly forecast'!BB53</f>
        <v/>
      </c>
      <c r="BB15" s="73">
        <f>'Monthly forecast'!BC53</f>
        <v/>
      </c>
      <c r="BC15" s="73">
        <f>'Monthly forecast'!BD53</f>
        <v/>
      </c>
      <c r="BD15" s="73">
        <f>'Monthly forecast'!BE53</f>
        <v/>
      </c>
      <c r="BE15" s="73">
        <f>'Monthly forecast'!BF53</f>
        <v/>
      </c>
      <c r="BF15" s="73">
        <f>'Monthly forecast'!BG53</f>
        <v/>
      </c>
      <c r="BG15" s="73">
        <f>'Monthly forecast'!BH53</f>
        <v/>
      </c>
      <c r="BH15" s="73">
        <f>'Monthly forecast'!BI53</f>
        <v/>
      </c>
      <c r="BI15" s="73">
        <f>'Monthly forecast'!BJ53</f>
        <v/>
      </c>
      <c r="BJ15" s="73">
        <f>'Monthly forecast'!BK53</f>
        <v/>
      </c>
      <c r="BK15" s="73">
        <f>'Monthly forecast'!BL53</f>
        <v/>
      </c>
      <c r="BL15" s="73">
        <f>'Monthly forecast'!BM53</f>
        <v/>
      </c>
      <c r="BM15" s="73">
        <f>'Monthly forecast'!BN53</f>
        <v/>
      </c>
      <c r="BN15" s="73">
        <f>'Monthly forecast'!BO53</f>
        <v/>
      </c>
      <c r="BO15" s="73">
        <f>'Monthly forecast'!BP53</f>
        <v/>
      </c>
      <c r="BP15" s="73">
        <f>'Monthly forecast'!BQ53</f>
        <v/>
      </c>
      <c r="BQ15" s="73">
        <f>'Monthly forecast'!BR53</f>
        <v/>
      </c>
      <c r="BR15" s="73">
        <f>'Monthly forecast'!BS53</f>
        <v/>
      </c>
      <c r="BS15" s="73">
        <f>'Monthly forecast'!BT53</f>
        <v/>
      </c>
      <c r="BT15" s="73">
        <f>'Monthly forecast'!BU53</f>
        <v/>
      </c>
      <c r="BU15" s="73">
        <f>'Monthly forecast'!BV53</f>
        <v/>
      </c>
      <c r="BV15" s="73">
        <f>'Monthly forecast'!BW53</f>
        <v/>
      </c>
      <c r="BW15" s="73">
        <f>'Monthly forecast'!BX53</f>
        <v/>
      </c>
      <c r="BX15" s="73">
        <f>'Monthly forecast'!BY53</f>
        <v/>
      </c>
      <c r="BY15" s="73">
        <f>'Monthly forecast'!BZ53</f>
        <v/>
      </c>
      <c r="BZ15" s="73">
        <f>'Monthly forecast'!CA53</f>
        <v/>
      </c>
      <c r="CA15" s="73">
        <f>'Monthly forecast'!CB53</f>
        <v/>
      </c>
      <c r="CB15" s="73">
        <f>'Monthly forecast'!CC53</f>
        <v/>
      </c>
      <c r="CC15" s="73">
        <f>'Monthly forecast'!CD53</f>
        <v/>
      </c>
      <c r="CD15" s="73">
        <f>'Monthly forecast'!CE53</f>
        <v/>
      </c>
      <c r="CE15" s="73">
        <f>'Monthly forecast'!CF53</f>
        <v/>
      </c>
      <c r="CF15" s="73">
        <f>'Monthly forecast'!CG53</f>
        <v/>
      </c>
      <c r="CG15" s="73">
        <f>'Monthly forecast'!CH53</f>
        <v/>
      </c>
      <c r="CH15" s="73">
        <f>'Monthly forecast'!CI53</f>
        <v/>
      </c>
      <c r="CI15" s="73">
        <f>'Monthly forecast'!CJ53</f>
        <v/>
      </c>
      <c r="CJ15" s="73">
        <f>'Monthly forecast'!CK53</f>
        <v/>
      </c>
      <c r="CK15" s="73">
        <f>'Monthly forecast'!CL53</f>
        <v/>
      </c>
      <c r="CL15" s="73">
        <f>'Monthly forecast'!CM53</f>
        <v/>
      </c>
      <c r="CM15" s="73">
        <f>'Monthly forecast'!CN53</f>
        <v/>
      </c>
      <c r="CN15" s="73">
        <f>'Monthly forecast'!CO53</f>
        <v/>
      </c>
      <c r="CO15" s="73">
        <f>'Monthly forecast'!CP53</f>
        <v/>
      </c>
      <c r="CP15" s="73">
        <f>'Monthly forecast'!CQ53</f>
        <v/>
      </c>
      <c r="CQ15" s="73">
        <f>'Monthly forecast'!CR53</f>
        <v/>
      </c>
      <c r="CR15" s="73">
        <f>'Monthly forecast'!CS53</f>
        <v/>
      </c>
      <c r="CS15" s="73">
        <f>'Monthly forecast'!CT53</f>
        <v/>
      </c>
      <c r="CT15" s="73">
        <f>'Monthly forecast'!CU53</f>
        <v/>
      </c>
      <c r="CU15" s="73">
        <f>'Monthly forecast'!CV53</f>
        <v/>
      </c>
      <c r="CV15" s="73">
        <f>'Monthly forecast'!CW53</f>
        <v/>
      </c>
      <c r="CW15" s="73">
        <f>'Monthly forecast'!CX53</f>
        <v/>
      </c>
    </row>
    <row r="16" ht="15.75" customHeight="1" s="255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61" t="inlineStr">
        <is>
          <t>EBITDA</t>
        </is>
      </c>
      <c r="B17" s="42" t="n"/>
      <c r="C17" s="56">
        <f>C12-C15</f>
        <v/>
      </c>
      <c r="D17" s="56">
        <f>D12-D15</f>
        <v/>
      </c>
      <c r="E17" s="56">
        <f>E12-E15</f>
        <v/>
      </c>
      <c r="F17" s="56">
        <f>F12-F15</f>
        <v/>
      </c>
      <c r="G17" s="56">
        <f>G12-G15</f>
        <v/>
      </c>
      <c r="H17" s="56">
        <f>H12-H15</f>
        <v/>
      </c>
      <c r="I17" s="56">
        <f>I12-I15</f>
        <v/>
      </c>
      <c r="J17" s="56">
        <f>J12-J15</f>
        <v/>
      </c>
      <c r="K17" s="56">
        <f>K12-K15</f>
        <v/>
      </c>
      <c r="L17" s="56">
        <f>L12-L15</f>
        <v/>
      </c>
      <c r="M17" s="56">
        <f>M12-M15</f>
        <v/>
      </c>
      <c r="N17" s="56">
        <f>N12-N15</f>
        <v/>
      </c>
      <c r="O17" s="56">
        <f>O12-O15</f>
        <v/>
      </c>
      <c r="P17" s="56">
        <f>P12-P15</f>
        <v/>
      </c>
      <c r="Q17" s="56">
        <f>Q12-Q15</f>
        <v/>
      </c>
      <c r="R17" s="56">
        <f>R12-R15</f>
        <v/>
      </c>
      <c r="S17" s="56">
        <f>S12-S15</f>
        <v/>
      </c>
      <c r="T17" s="56">
        <f>T12-T15</f>
        <v/>
      </c>
      <c r="U17" s="56">
        <f>U12-U15</f>
        <v/>
      </c>
      <c r="V17" s="56">
        <f>V12-V15</f>
        <v/>
      </c>
      <c r="W17" s="56">
        <f>W12-W15</f>
        <v/>
      </c>
      <c r="X17" s="56">
        <f>X12-X15</f>
        <v/>
      </c>
      <c r="Y17" s="56">
        <f>Y12-Y15</f>
        <v/>
      </c>
      <c r="Z17" s="56">
        <f>Z12-Z15</f>
        <v/>
      </c>
      <c r="AA17" s="56">
        <f>AA12-AA15</f>
        <v/>
      </c>
      <c r="AB17" s="56">
        <f>AB12-AB15</f>
        <v/>
      </c>
      <c r="AC17" s="56">
        <f>AC12-AC15</f>
        <v/>
      </c>
      <c r="AD17" s="56">
        <f>AD12-AD15</f>
        <v/>
      </c>
      <c r="AE17" s="56">
        <f>AE12-AE15</f>
        <v/>
      </c>
      <c r="AF17" s="56">
        <f>AF12-AF15</f>
        <v/>
      </c>
      <c r="AG17" s="56">
        <f>AG12-AG15</f>
        <v/>
      </c>
      <c r="AH17" s="56">
        <f>AH12-AH15</f>
        <v/>
      </c>
      <c r="AI17" s="56">
        <f>AI12-AI15</f>
        <v/>
      </c>
      <c r="AJ17" s="56">
        <f>AJ12-AJ15</f>
        <v/>
      </c>
      <c r="AK17" s="56">
        <f>AK12-AK15</f>
        <v/>
      </c>
      <c r="AL17" s="56">
        <f>AL12-AL15</f>
        <v/>
      </c>
      <c r="AM17" s="56">
        <f>AM12-AM15</f>
        <v/>
      </c>
      <c r="AN17" s="56">
        <f>AN12-AN15</f>
        <v/>
      </c>
      <c r="AO17" s="56">
        <f>AO12-AO15</f>
        <v/>
      </c>
      <c r="AP17" s="56">
        <f>AP12-AP15</f>
        <v/>
      </c>
      <c r="AQ17" s="56">
        <f>AQ12-AQ15</f>
        <v/>
      </c>
      <c r="AR17" s="56">
        <f>AR12-AR15</f>
        <v/>
      </c>
      <c r="AS17" s="56">
        <f>AS12-AS15</f>
        <v/>
      </c>
      <c r="AT17" s="56">
        <f>AT12-AT15</f>
        <v/>
      </c>
      <c r="AU17" s="56">
        <f>AU12-AU15</f>
        <v/>
      </c>
      <c r="AV17" s="56">
        <f>AV12-AV15</f>
        <v/>
      </c>
      <c r="AW17" s="56">
        <f>AW12-AW15</f>
        <v/>
      </c>
      <c r="AX17" s="56">
        <f>AX12-AX15</f>
        <v/>
      </c>
      <c r="AY17" s="56">
        <f>AY12-AY15</f>
        <v/>
      </c>
      <c r="AZ17" s="56">
        <f>AZ12-AZ15</f>
        <v/>
      </c>
      <c r="BA17" s="56">
        <f>BA12-BA15</f>
        <v/>
      </c>
      <c r="BB17" s="56">
        <f>BB12-BB15</f>
        <v/>
      </c>
      <c r="BC17" s="56">
        <f>BC12-BC15</f>
        <v/>
      </c>
      <c r="BD17" s="56">
        <f>BD12-BD15</f>
        <v/>
      </c>
      <c r="BE17" s="56">
        <f>BE12-BE15</f>
        <v/>
      </c>
      <c r="BF17" s="56">
        <f>BF12-BF15</f>
        <v/>
      </c>
      <c r="BG17" s="56">
        <f>BG12-BG15</f>
        <v/>
      </c>
      <c r="BH17" s="56">
        <f>BH12-BH15</f>
        <v/>
      </c>
      <c r="BI17" s="56">
        <f>BI12-BI15</f>
        <v/>
      </c>
      <c r="BJ17" s="56">
        <f>BJ12-BJ15</f>
        <v/>
      </c>
      <c r="BK17" s="56">
        <f>BK12-BK15</f>
        <v/>
      </c>
      <c r="BL17" s="56">
        <f>BL12-BL15</f>
        <v/>
      </c>
      <c r="BM17" s="56">
        <f>BM12-BM15</f>
        <v/>
      </c>
      <c r="BN17" s="56">
        <f>BN12-BN15</f>
        <v/>
      </c>
      <c r="BO17" s="56">
        <f>BO12-BO15</f>
        <v/>
      </c>
      <c r="BP17" s="56">
        <f>BP12-BP15</f>
        <v/>
      </c>
      <c r="BQ17" s="56">
        <f>BQ12-BQ15</f>
        <v/>
      </c>
      <c r="BR17" s="56">
        <f>BR12-BR15</f>
        <v/>
      </c>
      <c r="BS17" s="56">
        <f>BS12-BS15</f>
        <v/>
      </c>
      <c r="BT17" s="56">
        <f>BT12-BT15</f>
        <v/>
      </c>
      <c r="BU17" s="56">
        <f>BU12-BU15</f>
        <v/>
      </c>
      <c r="BV17" s="56">
        <f>BV12-BV15</f>
        <v/>
      </c>
      <c r="BW17" s="56">
        <f>BW12-BW15</f>
        <v/>
      </c>
      <c r="BX17" s="56">
        <f>BX12-BX15</f>
        <v/>
      </c>
      <c r="BY17" s="56">
        <f>BY12-BY15</f>
        <v/>
      </c>
      <c r="BZ17" s="56">
        <f>BZ12-BZ15</f>
        <v/>
      </c>
      <c r="CA17" s="56">
        <f>CA12-CA15</f>
        <v/>
      </c>
      <c r="CB17" s="56">
        <f>CB12-CB15</f>
        <v/>
      </c>
      <c r="CC17" s="56">
        <f>CC12-CC15</f>
        <v/>
      </c>
      <c r="CD17" s="56">
        <f>CD12-CD15</f>
        <v/>
      </c>
      <c r="CE17" s="56">
        <f>CE12-CE15</f>
        <v/>
      </c>
      <c r="CF17" s="56">
        <f>CF12-CF15</f>
        <v/>
      </c>
      <c r="CG17" s="56">
        <f>CG12-CG15</f>
        <v/>
      </c>
      <c r="CH17" s="56">
        <f>CH12-CH15</f>
        <v/>
      </c>
      <c r="CI17" s="56">
        <f>CI12-CI15</f>
        <v/>
      </c>
      <c r="CJ17" s="56">
        <f>CJ12-CJ15</f>
        <v/>
      </c>
      <c r="CK17" s="56">
        <f>CK12-CK15</f>
        <v/>
      </c>
      <c r="CL17" s="56">
        <f>CL12-CL15</f>
        <v/>
      </c>
      <c r="CM17" s="56">
        <f>CM12-CM15</f>
        <v/>
      </c>
      <c r="CN17" s="56">
        <f>CN12-CN15</f>
        <v/>
      </c>
      <c r="CO17" s="56">
        <f>CO12-CO15</f>
        <v/>
      </c>
      <c r="CP17" s="56">
        <f>CP12-CP15</f>
        <v/>
      </c>
      <c r="CQ17" s="56">
        <f>CQ12-CQ15</f>
        <v/>
      </c>
      <c r="CR17" s="56">
        <f>CR12-CR15</f>
        <v/>
      </c>
      <c r="CS17" s="56">
        <f>CS12-CS15</f>
        <v/>
      </c>
      <c r="CT17" s="56">
        <f>CT12-CT15</f>
        <v/>
      </c>
      <c r="CU17" s="56">
        <f>CU12-CU15</f>
        <v/>
      </c>
      <c r="CV17" s="56">
        <f>CV12-CV15</f>
        <v/>
      </c>
      <c r="CW17" s="56">
        <f>CW12-CW15</f>
        <v/>
      </c>
    </row>
    <row r="18" ht="15.75" customHeight="1" s="255">
      <c r="A18" s="61" t="inlineStr">
        <is>
          <t>EBITDA, %</t>
        </is>
      </c>
      <c r="B18" s="42" t="n"/>
      <c r="C18" s="172">
        <f>iferror(C17/#REF!,0)</f>
        <v/>
      </c>
      <c r="D18" s="172">
        <f>iferror(D17/#REF!,0)</f>
        <v/>
      </c>
      <c r="E18" s="172">
        <f>iferror(E17/#REF!,0)</f>
        <v/>
      </c>
      <c r="F18" s="172">
        <f>iferror(F17/#REF!,0)</f>
        <v/>
      </c>
      <c r="G18" s="172">
        <f>iferror(G17/#REF!,0)</f>
        <v/>
      </c>
      <c r="H18" s="172">
        <f>iferror(H17/#REF!,0)</f>
        <v/>
      </c>
      <c r="I18" s="172">
        <f>iferror(I17/#REF!,0)</f>
        <v/>
      </c>
      <c r="J18" s="172">
        <f>iferror(J17/#REF!,0)</f>
        <v/>
      </c>
      <c r="K18" s="172">
        <f>iferror(K17/#REF!,0)</f>
        <v/>
      </c>
      <c r="L18" s="172">
        <f>iferror(L17/#REF!,0)</f>
        <v/>
      </c>
      <c r="M18" s="172">
        <f>iferror(M17/#REF!,0)</f>
        <v/>
      </c>
      <c r="N18" s="172">
        <f>iferror(N17/#REF!,0)</f>
        <v/>
      </c>
      <c r="O18" s="172">
        <f>iferror(O17/#REF!,0)</f>
        <v/>
      </c>
      <c r="P18" s="172">
        <f>iferror(P17/#REF!,0)</f>
        <v/>
      </c>
      <c r="Q18" s="172">
        <f>iferror(Q17/#REF!,0)</f>
        <v/>
      </c>
      <c r="R18" s="172">
        <f>iferror(R17/#REF!,0)</f>
        <v/>
      </c>
      <c r="S18" s="172">
        <f>iferror(S17/#REF!,0)</f>
        <v/>
      </c>
      <c r="T18" s="172">
        <f>iferror(T17/#REF!,0)</f>
        <v/>
      </c>
      <c r="U18" s="172">
        <f>iferror(U17/#REF!,0)</f>
        <v/>
      </c>
      <c r="V18" s="172">
        <f>iferror(V17/#REF!,0)</f>
        <v/>
      </c>
      <c r="W18" s="172">
        <f>iferror(W17/#REF!,0)</f>
        <v/>
      </c>
      <c r="X18" s="172">
        <f>iferror(X17/#REF!,0)</f>
        <v/>
      </c>
      <c r="Y18" s="172">
        <f>iferror(Y17/#REF!,0)</f>
        <v/>
      </c>
      <c r="Z18" s="172">
        <f>iferror(Z17/#REF!,0)</f>
        <v/>
      </c>
      <c r="AA18" s="172">
        <f>iferror(AA17/#REF!,0)</f>
        <v/>
      </c>
      <c r="AB18" s="172">
        <f>iferror(AB17/#REF!,0)</f>
        <v/>
      </c>
      <c r="AC18" s="172">
        <f>iferror(AC17/#REF!,0)</f>
        <v/>
      </c>
      <c r="AD18" s="172">
        <f>iferror(AD17/#REF!,0)</f>
        <v/>
      </c>
      <c r="AE18" s="172">
        <f>iferror(AE17/#REF!,0)</f>
        <v/>
      </c>
      <c r="AF18" s="172">
        <f>iferror(AF17/#REF!,0)</f>
        <v/>
      </c>
      <c r="AG18" s="172">
        <f>iferror(AG17/#REF!,0)</f>
        <v/>
      </c>
      <c r="AH18" s="172">
        <f>iferror(AH17/#REF!,0)</f>
        <v/>
      </c>
      <c r="AI18" s="172">
        <f>iferror(AI17/#REF!,0)</f>
        <v/>
      </c>
      <c r="AJ18" s="172">
        <f>iferror(AJ17/#REF!,0)</f>
        <v/>
      </c>
      <c r="AK18" s="172">
        <f>iferror(AK17/#REF!,0)</f>
        <v/>
      </c>
      <c r="AL18" s="172">
        <f>iferror(AL17/#REF!,0)</f>
        <v/>
      </c>
      <c r="AM18" s="172">
        <f>iferror(AM17/#REF!,0)</f>
        <v/>
      </c>
      <c r="AN18" s="172">
        <f>iferror(AN17/#REF!,0)</f>
        <v/>
      </c>
      <c r="AO18" s="172">
        <f>iferror(AO17/#REF!,0)</f>
        <v/>
      </c>
      <c r="AP18" s="172">
        <f>iferror(AP17/#REF!,0)</f>
        <v/>
      </c>
      <c r="AQ18" s="172">
        <f>iferror(AQ17/#REF!,0)</f>
        <v/>
      </c>
      <c r="AR18" s="172">
        <f>iferror(AR17/#REF!,0)</f>
        <v/>
      </c>
      <c r="AS18" s="172">
        <f>iferror(AS17/#REF!,0)</f>
        <v/>
      </c>
      <c r="AT18" s="172">
        <f>iferror(AT17/#REF!,0)</f>
        <v/>
      </c>
      <c r="AU18" s="172">
        <f>iferror(AU17/#REF!,0)</f>
        <v/>
      </c>
      <c r="AV18" s="172">
        <f>iferror(AV17/#REF!,0)</f>
        <v/>
      </c>
      <c r="AW18" s="172">
        <f>iferror(AW17/#REF!,0)</f>
        <v/>
      </c>
      <c r="AX18" s="172">
        <f>iferror(AX17/#REF!,0)</f>
        <v/>
      </c>
      <c r="AY18" s="172">
        <f>iferror(AY17/#REF!,0)</f>
        <v/>
      </c>
      <c r="AZ18" s="172">
        <f>iferror(AZ17/#REF!,0)</f>
        <v/>
      </c>
      <c r="BA18" s="172">
        <f>iferror(BA17/#REF!,0)</f>
        <v/>
      </c>
      <c r="BB18" s="172">
        <f>iferror(BB17/#REF!,0)</f>
        <v/>
      </c>
      <c r="BC18" s="172">
        <f>iferror(BC17/#REF!,0)</f>
        <v/>
      </c>
      <c r="BD18" s="172">
        <f>iferror(BD17/#REF!,0)</f>
        <v/>
      </c>
      <c r="BE18" s="172">
        <f>iferror(BE17/#REF!,0)</f>
        <v/>
      </c>
      <c r="BF18" s="172">
        <f>iferror(BF17/#REF!,0)</f>
        <v/>
      </c>
      <c r="BG18" s="172">
        <f>iferror(BG17/#REF!,0)</f>
        <v/>
      </c>
      <c r="BH18" s="172">
        <f>iferror(BH17/#REF!,0)</f>
        <v/>
      </c>
      <c r="BI18" s="172">
        <f>iferror(BI17/#REF!,0)</f>
        <v/>
      </c>
      <c r="BJ18" s="172">
        <f>iferror(BJ17/#REF!,0)</f>
        <v/>
      </c>
      <c r="BK18" s="172">
        <f>iferror(BK17/#REF!,0)</f>
        <v/>
      </c>
      <c r="BL18" s="172">
        <f>iferror(BL17/#REF!,0)</f>
        <v/>
      </c>
      <c r="BM18" s="172">
        <f>iferror(BM17/#REF!,0)</f>
        <v/>
      </c>
      <c r="BN18" s="172">
        <f>iferror(BN17/#REF!,0)</f>
        <v/>
      </c>
      <c r="BO18" s="172">
        <f>iferror(BO17/#REF!,0)</f>
        <v/>
      </c>
      <c r="BP18" s="172">
        <f>iferror(BP17/#REF!,0)</f>
        <v/>
      </c>
      <c r="BQ18" s="172">
        <f>iferror(BQ17/#REF!,0)</f>
        <v/>
      </c>
      <c r="BR18" s="172">
        <f>iferror(BR17/#REF!,0)</f>
        <v/>
      </c>
      <c r="BS18" s="172">
        <f>iferror(BS17/#REF!,0)</f>
        <v/>
      </c>
      <c r="BT18" s="172">
        <f>iferror(BT17/#REF!,0)</f>
        <v/>
      </c>
      <c r="BU18" s="172">
        <f>iferror(BU17/#REF!,0)</f>
        <v/>
      </c>
      <c r="BV18" s="172">
        <f>iferror(BV17/#REF!,0)</f>
        <v/>
      </c>
      <c r="BW18" s="172">
        <f>iferror(BW17/#REF!,0)</f>
        <v/>
      </c>
      <c r="BX18" s="172">
        <f>iferror(BX17/#REF!,0)</f>
        <v/>
      </c>
      <c r="BY18" s="172">
        <f>iferror(BY17/#REF!,0)</f>
        <v/>
      </c>
      <c r="BZ18" s="172">
        <f>iferror(BZ17/#REF!,0)</f>
        <v/>
      </c>
      <c r="CA18" s="172">
        <f>iferror(CA17/#REF!,0)</f>
        <v/>
      </c>
      <c r="CB18" s="172">
        <f>iferror(CB17/#REF!,0)</f>
        <v/>
      </c>
      <c r="CC18" s="172">
        <f>iferror(CC17/#REF!,0)</f>
        <v/>
      </c>
      <c r="CD18" s="172">
        <f>iferror(CD17/#REF!,0)</f>
        <v/>
      </c>
      <c r="CE18" s="172">
        <f>iferror(CE17/#REF!,0)</f>
        <v/>
      </c>
      <c r="CF18" s="172">
        <f>iferror(CF17/#REF!,0)</f>
        <v/>
      </c>
      <c r="CG18" s="172">
        <f>iferror(CG17/#REF!,0)</f>
        <v/>
      </c>
      <c r="CH18" s="172">
        <f>iferror(CH17/#REF!,0)</f>
        <v/>
      </c>
      <c r="CI18" s="172">
        <f>iferror(CI17/#REF!,0)</f>
        <v/>
      </c>
      <c r="CJ18" s="172">
        <f>iferror(CJ17/#REF!,0)</f>
        <v/>
      </c>
      <c r="CK18" s="172">
        <f>iferror(CK17/#REF!,0)</f>
        <v/>
      </c>
      <c r="CL18" s="172">
        <f>iferror(CL17/#REF!,0)</f>
        <v/>
      </c>
      <c r="CM18" s="172">
        <f>iferror(CM17/#REF!,0)</f>
        <v/>
      </c>
      <c r="CN18" s="172">
        <f>iferror(CN17/#REF!,0)</f>
        <v/>
      </c>
      <c r="CO18" s="172">
        <f>iferror(CO17/#REF!,0)</f>
        <v/>
      </c>
      <c r="CP18" s="172">
        <f>iferror(CP17/#REF!,0)</f>
        <v/>
      </c>
      <c r="CQ18" s="172">
        <f>iferror(CQ17/#REF!,0)</f>
        <v/>
      </c>
      <c r="CR18" s="172">
        <f>iferror(CR17/#REF!,0)</f>
        <v/>
      </c>
      <c r="CS18" s="172">
        <f>iferror(CS17/#REF!,0)</f>
        <v/>
      </c>
      <c r="CT18" s="172">
        <f>iferror(CT17/#REF!,0)</f>
        <v/>
      </c>
      <c r="CU18" s="172">
        <f>iferror(CU17/#REF!,0)</f>
        <v/>
      </c>
      <c r="CV18" s="172">
        <f>iferror(CV17/#REF!,0)</f>
        <v/>
      </c>
      <c r="CW18" s="172">
        <f>iferror(CW17/#REF!,0)</f>
        <v/>
      </c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  <c r="CF19" s="42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42" t="n"/>
      <c r="CP19" s="42" t="n"/>
      <c r="CQ19" s="42" t="n"/>
      <c r="CR19" s="42" t="n"/>
      <c r="CS19" s="42" t="n"/>
      <c r="CT19" s="42" t="n"/>
      <c r="CU19" s="42" t="n"/>
      <c r="CV19" s="42" t="n"/>
      <c r="CW19" s="42" t="n"/>
    </row>
    <row r="20" ht="15.75" customHeight="1" s="255">
      <c r="A20" s="61" t="inlineStr">
        <is>
          <t>Depreciation</t>
        </is>
      </c>
      <c r="B20" s="42" t="n"/>
      <c r="C20" s="56">
        <f>'Monthly forecast'!D169</f>
        <v/>
      </c>
      <c r="D20" s="56">
        <f>'Monthly forecast'!E169</f>
        <v/>
      </c>
      <c r="E20" s="56">
        <f>'Monthly forecast'!F169</f>
        <v/>
      </c>
      <c r="F20" s="56">
        <f>'Monthly forecast'!G169</f>
        <v/>
      </c>
      <c r="G20" s="56">
        <f>'Monthly forecast'!H169</f>
        <v/>
      </c>
      <c r="H20" s="56">
        <f>'Monthly forecast'!I169</f>
        <v/>
      </c>
      <c r="I20" s="56">
        <f>'Monthly forecast'!J169</f>
        <v/>
      </c>
      <c r="J20" s="56">
        <f>'Monthly forecast'!K169</f>
        <v/>
      </c>
      <c r="K20" s="56">
        <f>'Monthly forecast'!L169</f>
        <v/>
      </c>
      <c r="L20" s="56">
        <f>'Monthly forecast'!M169</f>
        <v/>
      </c>
      <c r="M20" s="56">
        <f>'Monthly forecast'!N169</f>
        <v/>
      </c>
      <c r="N20" s="56">
        <f>'Monthly forecast'!O169</f>
        <v/>
      </c>
      <c r="O20" s="56">
        <f>'Monthly forecast'!P169</f>
        <v/>
      </c>
      <c r="P20" s="56">
        <f>'Monthly forecast'!Q169</f>
        <v/>
      </c>
      <c r="Q20" s="56">
        <f>'Monthly forecast'!R169</f>
        <v/>
      </c>
      <c r="R20" s="56">
        <f>'Monthly forecast'!S169</f>
        <v/>
      </c>
      <c r="S20" s="56">
        <f>'Monthly forecast'!T169</f>
        <v/>
      </c>
      <c r="T20" s="56">
        <f>'Monthly forecast'!U169</f>
        <v/>
      </c>
      <c r="U20" s="56">
        <f>'Monthly forecast'!V169</f>
        <v/>
      </c>
      <c r="V20" s="56">
        <f>'Monthly forecast'!W169</f>
        <v/>
      </c>
      <c r="W20" s="56">
        <f>'Monthly forecast'!X169</f>
        <v/>
      </c>
      <c r="X20" s="56">
        <f>'Monthly forecast'!Y169</f>
        <v/>
      </c>
      <c r="Y20" s="56">
        <f>'Monthly forecast'!Z169</f>
        <v/>
      </c>
      <c r="Z20" s="56">
        <f>'Monthly forecast'!AA169</f>
        <v/>
      </c>
      <c r="AA20" s="56">
        <f>'Monthly forecast'!AB169</f>
        <v/>
      </c>
      <c r="AB20" s="56">
        <f>'Monthly forecast'!AC169</f>
        <v/>
      </c>
      <c r="AC20" s="56">
        <f>'Monthly forecast'!AD169</f>
        <v/>
      </c>
      <c r="AD20" s="56">
        <f>'Monthly forecast'!AE169</f>
        <v/>
      </c>
      <c r="AE20" s="56">
        <f>'Monthly forecast'!AF169</f>
        <v/>
      </c>
      <c r="AF20" s="56">
        <f>'Monthly forecast'!AG169</f>
        <v/>
      </c>
      <c r="AG20" s="56">
        <f>'Monthly forecast'!AH169</f>
        <v/>
      </c>
      <c r="AH20" s="56">
        <f>'Monthly forecast'!AI169</f>
        <v/>
      </c>
      <c r="AI20" s="56">
        <f>'Monthly forecast'!AJ169</f>
        <v/>
      </c>
      <c r="AJ20" s="56">
        <f>'Monthly forecast'!AK169</f>
        <v/>
      </c>
      <c r="AK20" s="56">
        <f>'Monthly forecast'!AL169</f>
        <v/>
      </c>
      <c r="AL20" s="56">
        <f>'Monthly forecast'!AM169</f>
        <v/>
      </c>
      <c r="AM20" s="56">
        <f>'Monthly forecast'!AN169</f>
        <v/>
      </c>
      <c r="AN20" s="56">
        <f>'Monthly forecast'!AO169</f>
        <v/>
      </c>
      <c r="AO20" s="56">
        <f>'Monthly forecast'!AP169</f>
        <v/>
      </c>
      <c r="AP20" s="56">
        <f>'Monthly forecast'!AQ169</f>
        <v/>
      </c>
      <c r="AQ20" s="56">
        <f>'Monthly forecast'!AR169</f>
        <v/>
      </c>
      <c r="AR20" s="56">
        <f>'Monthly forecast'!AS169</f>
        <v/>
      </c>
      <c r="AS20" s="56">
        <f>'Monthly forecast'!AT169</f>
        <v/>
      </c>
      <c r="AT20" s="56">
        <f>'Monthly forecast'!AU169</f>
        <v/>
      </c>
      <c r="AU20" s="56">
        <f>'Monthly forecast'!AV169</f>
        <v/>
      </c>
      <c r="AV20" s="56">
        <f>'Monthly forecast'!AW169</f>
        <v/>
      </c>
      <c r="AW20" s="56">
        <f>'Monthly forecast'!AX169</f>
        <v/>
      </c>
      <c r="AX20" s="56">
        <f>'Monthly forecast'!AY169</f>
        <v/>
      </c>
      <c r="AY20" s="56">
        <f>'Monthly forecast'!AZ169</f>
        <v/>
      </c>
      <c r="AZ20" s="56">
        <f>'Monthly forecast'!BA169</f>
        <v/>
      </c>
      <c r="BA20" s="56">
        <f>'Monthly forecast'!BB169</f>
        <v/>
      </c>
      <c r="BB20" s="56">
        <f>'Monthly forecast'!BC169</f>
        <v/>
      </c>
      <c r="BC20" s="56">
        <f>'Monthly forecast'!BD169</f>
        <v/>
      </c>
      <c r="BD20" s="56">
        <f>'Monthly forecast'!BE169</f>
        <v/>
      </c>
      <c r="BE20" s="56">
        <f>'Monthly forecast'!BF169</f>
        <v/>
      </c>
      <c r="BF20" s="56">
        <f>'Monthly forecast'!BG169</f>
        <v/>
      </c>
      <c r="BG20" s="56">
        <f>'Monthly forecast'!BH169</f>
        <v/>
      </c>
      <c r="BH20" s="56">
        <f>'Monthly forecast'!BI169</f>
        <v/>
      </c>
      <c r="BI20" s="56">
        <f>'Monthly forecast'!BJ169</f>
        <v/>
      </c>
      <c r="BJ20" s="56">
        <f>'Monthly forecast'!BK169</f>
        <v/>
      </c>
      <c r="BK20" s="56">
        <f>'Monthly forecast'!BL169</f>
        <v/>
      </c>
      <c r="BL20" s="56">
        <f>'Monthly forecast'!BM169</f>
        <v/>
      </c>
      <c r="BM20" s="56">
        <f>'Monthly forecast'!BN169</f>
        <v/>
      </c>
      <c r="BN20" s="56">
        <f>'Monthly forecast'!BO169</f>
        <v/>
      </c>
      <c r="BO20" s="56">
        <f>'Monthly forecast'!BP169</f>
        <v/>
      </c>
      <c r="BP20" s="56">
        <f>'Monthly forecast'!BQ169</f>
        <v/>
      </c>
      <c r="BQ20" s="56">
        <f>'Monthly forecast'!BR169</f>
        <v/>
      </c>
      <c r="BR20" s="56">
        <f>'Monthly forecast'!BS169</f>
        <v/>
      </c>
      <c r="BS20" s="56">
        <f>'Monthly forecast'!BT169</f>
        <v/>
      </c>
      <c r="BT20" s="56">
        <f>'Monthly forecast'!BU169</f>
        <v/>
      </c>
      <c r="BU20" s="56">
        <f>'Monthly forecast'!BV169</f>
        <v/>
      </c>
      <c r="BV20" s="56">
        <f>'Monthly forecast'!BW169</f>
        <v/>
      </c>
      <c r="BW20" s="56">
        <f>'Monthly forecast'!BX169</f>
        <v/>
      </c>
      <c r="BX20" s="56">
        <f>'Monthly forecast'!BY169</f>
        <v/>
      </c>
      <c r="BY20" s="56">
        <f>'Monthly forecast'!BZ169</f>
        <v/>
      </c>
      <c r="BZ20" s="56">
        <f>'Monthly forecast'!CA169</f>
        <v/>
      </c>
      <c r="CA20" s="56">
        <f>'Monthly forecast'!CB169</f>
        <v/>
      </c>
      <c r="CB20" s="56">
        <f>'Monthly forecast'!CC169</f>
        <v/>
      </c>
      <c r="CC20" s="56">
        <f>'Monthly forecast'!CD169</f>
        <v/>
      </c>
      <c r="CD20" s="56">
        <f>'Monthly forecast'!CE169</f>
        <v/>
      </c>
      <c r="CE20" s="56">
        <f>'Monthly forecast'!CF169</f>
        <v/>
      </c>
      <c r="CF20" s="56">
        <f>'Monthly forecast'!CG169</f>
        <v/>
      </c>
      <c r="CG20" s="56">
        <f>'Monthly forecast'!CH169</f>
        <v/>
      </c>
      <c r="CH20" s="56">
        <f>'Monthly forecast'!CI169</f>
        <v/>
      </c>
      <c r="CI20" s="56">
        <f>'Monthly forecast'!CJ169</f>
        <v/>
      </c>
      <c r="CJ20" s="56">
        <f>'Monthly forecast'!CK169</f>
        <v/>
      </c>
      <c r="CK20" s="56">
        <f>'Monthly forecast'!CL169</f>
        <v/>
      </c>
      <c r="CL20" s="56">
        <f>'Monthly forecast'!CM169</f>
        <v/>
      </c>
      <c r="CM20" s="56">
        <f>'Monthly forecast'!CN169</f>
        <v/>
      </c>
      <c r="CN20" s="56">
        <f>'Monthly forecast'!CO169</f>
        <v/>
      </c>
      <c r="CO20" s="56">
        <f>'Monthly forecast'!CP169</f>
        <v/>
      </c>
      <c r="CP20" s="56">
        <f>'Monthly forecast'!CQ169</f>
        <v/>
      </c>
      <c r="CQ20" s="56">
        <f>'Monthly forecast'!CR169</f>
        <v/>
      </c>
      <c r="CR20" s="56">
        <f>'Monthly forecast'!CS169</f>
        <v/>
      </c>
      <c r="CS20" s="56">
        <f>'Monthly forecast'!CT169</f>
        <v/>
      </c>
      <c r="CT20" s="56">
        <f>'Monthly forecast'!CU169</f>
        <v/>
      </c>
      <c r="CU20" s="56">
        <f>'Monthly forecast'!CV169</f>
        <v/>
      </c>
      <c r="CV20" s="56">
        <f>'Monthly forecast'!CW169</f>
        <v/>
      </c>
      <c r="CW20" s="56">
        <f>'Monthly forecast'!CX169</f>
        <v/>
      </c>
    </row>
    <row r="21" ht="15.75" customHeight="1" s="255">
      <c r="A21" s="42" t="inlineStr">
        <is>
          <t>Interest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outlineLevel="1" ht="15.75" customHeight="1" s="255">
      <c r="A23" s="61" t="inlineStr">
        <is>
          <t>Tax base</t>
        </is>
      </c>
      <c r="B23" s="42" t="n"/>
      <c r="C23" s="56">
        <f>C17-C20-C21</f>
        <v/>
      </c>
      <c r="D23" s="56">
        <f>D17-D20-D21</f>
        <v/>
      </c>
      <c r="E23" s="56">
        <f>E17-E20-E21</f>
        <v/>
      </c>
      <c r="F23" s="56">
        <f>F17-F20-F21</f>
        <v/>
      </c>
      <c r="G23" s="56">
        <f>G17-G20-G21</f>
        <v/>
      </c>
      <c r="H23" s="56">
        <f>H17-H20-H21</f>
        <v/>
      </c>
      <c r="I23" s="56">
        <f>I17-I20-I21</f>
        <v/>
      </c>
      <c r="J23" s="56">
        <f>J17-J20-J21</f>
        <v/>
      </c>
      <c r="K23" s="56">
        <f>K17-K20-K21</f>
        <v/>
      </c>
      <c r="L23" s="56">
        <f>L17-L20-L21</f>
        <v/>
      </c>
      <c r="M23" s="56">
        <f>M17-M20-M21</f>
        <v/>
      </c>
      <c r="N23" s="56">
        <f>N17-N20-N21</f>
        <v/>
      </c>
      <c r="O23" s="56">
        <f>O17-O20-O21</f>
        <v/>
      </c>
      <c r="P23" s="56">
        <f>P17-P20-P21</f>
        <v/>
      </c>
      <c r="Q23" s="56">
        <f>Q17-Q20-Q21</f>
        <v/>
      </c>
      <c r="R23" s="56">
        <f>R17-R20-R21</f>
        <v/>
      </c>
      <c r="S23" s="56">
        <f>S17-S20-S21</f>
        <v/>
      </c>
      <c r="T23" s="56">
        <f>T17-T20-T21</f>
        <v/>
      </c>
      <c r="U23" s="56">
        <f>U17-U20-U21</f>
        <v/>
      </c>
      <c r="V23" s="56">
        <f>V17-V20-V21</f>
        <v/>
      </c>
      <c r="W23" s="56">
        <f>W17-W20-W21</f>
        <v/>
      </c>
      <c r="X23" s="56">
        <f>X17-X20-X21</f>
        <v/>
      </c>
      <c r="Y23" s="56">
        <f>Y17-Y20-Y21</f>
        <v/>
      </c>
      <c r="Z23" s="56">
        <f>Z17-Z20-Z21</f>
        <v/>
      </c>
      <c r="AA23" s="56">
        <f>AA17-AA20-AA21</f>
        <v/>
      </c>
      <c r="AB23" s="56">
        <f>AB17-AB20-AB21</f>
        <v/>
      </c>
      <c r="AC23" s="56">
        <f>AC17-AC20-AC21</f>
        <v/>
      </c>
      <c r="AD23" s="56">
        <f>AD17-AD20-AD21</f>
        <v/>
      </c>
      <c r="AE23" s="56">
        <f>AE17-AE20-AE21</f>
        <v/>
      </c>
      <c r="AF23" s="56">
        <f>AF17-AF20-AF21</f>
        <v/>
      </c>
      <c r="AG23" s="56">
        <f>AG17-AG20-AG21</f>
        <v/>
      </c>
      <c r="AH23" s="56">
        <f>AH17-AH20-AH21</f>
        <v/>
      </c>
      <c r="AI23" s="56">
        <f>AI17-AI20-AI21</f>
        <v/>
      </c>
      <c r="AJ23" s="56">
        <f>AJ17-AJ20-AJ21</f>
        <v/>
      </c>
      <c r="AK23" s="56">
        <f>AK17-AK20-AK21</f>
        <v/>
      </c>
      <c r="AL23" s="56">
        <f>AL17-AL20-AL21</f>
        <v/>
      </c>
      <c r="AM23" s="56">
        <f>AM17-AM20-AM21</f>
        <v/>
      </c>
      <c r="AN23" s="56">
        <f>AN17-AN20-AN21</f>
        <v/>
      </c>
      <c r="AO23" s="56">
        <f>AO17-AO20-AO21</f>
        <v/>
      </c>
      <c r="AP23" s="56">
        <f>AP17-AP20-AP21</f>
        <v/>
      </c>
      <c r="AQ23" s="56">
        <f>AQ17-AQ20-AQ21</f>
        <v/>
      </c>
      <c r="AR23" s="56">
        <f>AR17-AR20-AR21</f>
        <v/>
      </c>
      <c r="AS23" s="56">
        <f>AS17-AS20-AS21</f>
        <v/>
      </c>
      <c r="AT23" s="56">
        <f>AT17-AT20-AT21</f>
        <v/>
      </c>
      <c r="AU23" s="56">
        <f>AU17-AU20-AU21</f>
        <v/>
      </c>
      <c r="AV23" s="56">
        <f>AV17-AV20-AV21</f>
        <v/>
      </c>
      <c r="AW23" s="56">
        <f>AW17-AW20-AW21</f>
        <v/>
      </c>
      <c r="AX23" s="56">
        <f>AX17-AX20-AX21</f>
        <v/>
      </c>
      <c r="AY23" s="56">
        <f>AY17-AY20-AY21</f>
        <v/>
      </c>
      <c r="AZ23" s="56">
        <f>AZ17-AZ20-AZ21</f>
        <v/>
      </c>
      <c r="BA23" s="56">
        <f>BA17-BA20-BA21</f>
        <v/>
      </c>
      <c r="BB23" s="56">
        <f>BB17-BB20-BB21</f>
        <v/>
      </c>
      <c r="BC23" s="56">
        <f>BC17-BC20-BC21</f>
        <v/>
      </c>
      <c r="BD23" s="56">
        <f>BD17-BD20-BD21</f>
        <v/>
      </c>
      <c r="BE23" s="56">
        <f>BE17-BE20-BE21</f>
        <v/>
      </c>
      <c r="BF23" s="56">
        <f>BF17-BF20-BF21</f>
        <v/>
      </c>
      <c r="BG23" s="56">
        <f>BG17-BG20-BG21</f>
        <v/>
      </c>
      <c r="BH23" s="56">
        <f>BH17-BH20-BH21</f>
        <v/>
      </c>
      <c r="BI23" s="56">
        <f>BI17-BI20-BI21</f>
        <v/>
      </c>
      <c r="BJ23" s="56">
        <f>BJ17-BJ20-BJ21</f>
        <v/>
      </c>
      <c r="BK23" s="56">
        <f>BK17-BK20-BK21</f>
        <v/>
      </c>
      <c r="BL23" s="56">
        <f>BL17-BL20-BL21</f>
        <v/>
      </c>
      <c r="BM23" s="56">
        <f>BM17-BM20-BM21</f>
        <v/>
      </c>
      <c r="BN23" s="56">
        <f>BN17-BN20-BN21</f>
        <v/>
      </c>
      <c r="BO23" s="56">
        <f>BO17-BO20-BO21</f>
        <v/>
      </c>
      <c r="BP23" s="56">
        <f>BP17-BP20-BP21</f>
        <v/>
      </c>
      <c r="BQ23" s="56">
        <f>BQ17-BQ20-BQ21</f>
        <v/>
      </c>
      <c r="BR23" s="56">
        <f>BR17-BR20-BR21</f>
        <v/>
      </c>
      <c r="BS23" s="56">
        <f>BS17-BS20-BS21</f>
        <v/>
      </c>
      <c r="BT23" s="56">
        <f>BT17-BT20-BT21</f>
        <v/>
      </c>
      <c r="BU23" s="56">
        <f>BU17-BU20-BU21</f>
        <v/>
      </c>
      <c r="BV23" s="56">
        <f>BV17-BV20-BV21</f>
        <v/>
      </c>
      <c r="BW23" s="56">
        <f>BW17-BW20-BW21</f>
        <v/>
      </c>
      <c r="BX23" s="56">
        <f>BX17-BX20-BX21</f>
        <v/>
      </c>
      <c r="BY23" s="56">
        <f>BY17-BY20-BY21</f>
        <v/>
      </c>
      <c r="BZ23" s="56">
        <f>BZ17-BZ20-BZ21</f>
        <v/>
      </c>
      <c r="CA23" s="56">
        <f>CA17-CA20-CA21</f>
        <v/>
      </c>
      <c r="CB23" s="56">
        <f>CB17-CB20-CB21</f>
        <v/>
      </c>
      <c r="CC23" s="56">
        <f>CC17-CC20-CC21</f>
        <v/>
      </c>
      <c r="CD23" s="56">
        <f>CD17-CD20-CD21</f>
        <v/>
      </c>
      <c r="CE23" s="56">
        <f>CE17-CE20-CE21</f>
        <v/>
      </c>
      <c r="CF23" s="56">
        <f>CF17-CF20-CF21</f>
        <v/>
      </c>
      <c r="CG23" s="56">
        <f>CG17-CG20-CG21</f>
        <v/>
      </c>
      <c r="CH23" s="56">
        <f>CH17-CH20-CH21</f>
        <v/>
      </c>
      <c r="CI23" s="56">
        <f>CI17-CI20-CI21</f>
        <v/>
      </c>
      <c r="CJ23" s="56">
        <f>CJ17-CJ20-CJ21</f>
        <v/>
      </c>
      <c r="CK23" s="56">
        <f>CK17-CK20-CK21</f>
        <v/>
      </c>
      <c r="CL23" s="56">
        <f>CL17-CL20-CL21</f>
        <v/>
      </c>
      <c r="CM23" s="56">
        <f>CM17-CM20-CM21</f>
        <v/>
      </c>
      <c r="CN23" s="56">
        <f>CN17-CN20-CN21</f>
        <v/>
      </c>
      <c r="CO23" s="56">
        <f>CO17-CO20-CO21</f>
        <v/>
      </c>
      <c r="CP23" s="56">
        <f>CP17-CP20-CP21</f>
        <v/>
      </c>
      <c r="CQ23" s="56">
        <f>CQ17-CQ20-CQ21</f>
        <v/>
      </c>
      <c r="CR23" s="56">
        <f>CR17-CR20-CR21</f>
        <v/>
      </c>
      <c r="CS23" s="56">
        <f>CS17-CS20-CS21</f>
        <v/>
      </c>
      <c r="CT23" s="56">
        <f>CT17-CT20-CT21</f>
        <v/>
      </c>
      <c r="CU23" s="56">
        <f>CU17-CU20-CU21</f>
        <v/>
      </c>
      <c r="CV23" s="56">
        <f>CV17-CV20-CV21</f>
        <v/>
      </c>
      <c r="CW23" s="56">
        <f>CW17-CW20-CW21</f>
        <v/>
      </c>
    </row>
    <row r="24" outlineLevel="1" ht="15.75" customHeight="1" s="255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61" t="inlineStr">
        <is>
          <t>Tax fee, %</t>
        </is>
      </c>
      <c r="B25" s="42" t="n"/>
      <c r="C25" s="34">
        <f>Settings!$B$7</f>
        <v/>
      </c>
      <c r="D25" s="34">
        <f>Settings!$B$7</f>
        <v/>
      </c>
      <c r="E25" s="34">
        <f>Settings!$B$7</f>
        <v/>
      </c>
      <c r="F25" s="34">
        <f>Settings!$B$7</f>
        <v/>
      </c>
      <c r="G25" s="34">
        <f>Settings!$B$7</f>
        <v/>
      </c>
      <c r="H25" s="34">
        <f>Settings!$B$7</f>
        <v/>
      </c>
      <c r="I25" s="34">
        <f>Settings!$B$7</f>
        <v/>
      </c>
      <c r="J25" s="34">
        <f>Settings!$B$7</f>
        <v/>
      </c>
      <c r="K25" s="34">
        <f>Settings!$B$7</f>
        <v/>
      </c>
      <c r="L25" s="34">
        <f>Settings!$B$7</f>
        <v/>
      </c>
      <c r="M25" s="34">
        <f>Settings!$B$7</f>
        <v/>
      </c>
      <c r="N25" s="34">
        <f>Settings!$B$7</f>
        <v/>
      </c>
      <c r="O25" s="34">
        <f>Settings!$B$7</f>
        <v/>
      </c>
      <c r="P25" s="34">
        <f>Settings!$B$7</f>
        <v/>
      </c>
      <c r="Q25" s="34">
        <f>Settings!$B$7</f>
        <v/>
      </c>
      <c r="R25" s="34">
        <f>Settings!$B$7</f>
        <v/>
      </c>
      <c r="S25" s="34">
        <f>Settings!$B$7</f>
        <v/>
      </c>
      <c r="T25" s="34">
        <f>Settings!$B$7</f>
        <v/>
      </c>
      <c r="U25" s="34">
        <f>Settings!$B$7</f>
        <v/>
      </c>
      <c r="V25" s="34">
        <f>Settings!$B$7</f>
        <v/>
      </c>
      <c r="W25" s="34">
        <f>Settings!$B$7</f>
        <v/>
      </c>
      <c r="X25" s="34">
        <f>Settings!$B$7</f>
        <v/>
      </c>
      <c r="Y25" s="34">
        <f>Settings!$B$7</f>
        <v/>
      </c>
      <c r="Z25" s="34">
        <f>Settings!$B$7</f>
        <v/>
      </c>
      <c r="AA25" s="34">
        <f>Settings!$B$7</f>
        <v/>
      </c>
      <c r="AB25" s="34">
        <f>Settings!$B$7</f>
        <v/>
      </c>
      <c r="AC25" s="34">
        <f>Settings!$B$7</f>
        <v/>
      </c>
      <c r="AD25" s="34">
        <f>Settings!$B$7</f>
        <v/>
      </c>
      <c r="AE25" s="34">
        <f>Settings!$B$7</f>
        <v/>
      </c>
      <c r="AF25" s="34">
        <f>Settings!$B$7</f>
        <v/>
      </c>
      <c r="AG25" s="34">
        <f>Settings!$B$7</f>
        <v/>
      </c>
      <c r="AH25" s="34">
        <f>Settings!$B$7</f>
        <v/>
      </c>
      <c r="AI25" s="34">
        <f>Settings!$B$7</f>
        <v/>
      </c>
      <c r="AJ25" s="34">
        <f>Settings!$B$7</f>
        <v/>
      </c>
      <c r="AK25" s="34">
        <f>Settings!$B$7</f>
        <v/>
      </c>
      <c r="AL25" s="34">
        <f>Settings!$B$7</f>
        <v/>
      </c>
      <c r="AM25" s="34">
        <f>Settings!$B$7</f>
        <v/>
      </c>
      <c r="AN25" s="34">
        <f>Settings!$B$7</f>
        <v/>
      </c>
      <c r="AO25" s="34">
        <f>Settings!$B$7</f>
        <v/>
      </c>
      <c r="AP25" s="34">
        <f>Settings!$B$7</f>
        <v/>
      </c>
      <c r="AQ25" s="34">
        <f>Settings!$B$7</f>
        <v/>
      </c>
      <c r="AR25" s="34">
        <f>Settings!$B$7</f>
        <v/>
      </c>
      <c r="AS25" s="34">
        <f>Settings!$B$7</f>
        <v/>
      </c>
      <c r="AT25" s="34">
        <f>Settings!$B$7</f>
        <v/>
      </c>
      <c r="AU25" s="34">
        <f>Settings!$B$7</f>
        <v/>
      </c>
      <c r="AV25" s="34">
        <f>Settings!$B$7</f>
        <v/>
      </c>
      <c r="AW25" s="34">
        <f>Settings!$B$7</f>
        <v/>
      </c>
      <c r="AX25" s="34">
        <f>Settings!$B$7</f>
        <v/>
      </c>
      <c r="AY25" s="34">
        <f>Settings!$B$7</f>
        <v/>
      </c>
      <c r="AZ25" s="34">
        <f>Settings!$B$7</f>
        <v/>
      </c>
      <c r="BA25" s="34">
        <f>Settings!$B$7</f>
        <v/>
      </c>
      <c r="BB25" s="34">
        <f>Settings!$B$7</f>
        <v/>
      </c>
      <c r="BC25" s="34">
        <f>Settings!$B$7</f>
        <v/>
      </c>
      <c r="BD25" s="34">
        <f>Settings!$B$7</f>
        <v/>
      </c>
      <c r="BE25" s="34">
        <f>Settings!$B$7</f>
        <v/>
      </c>
      <c r="BF25" s="34">
        <f>Settings!$B$7</f>
        <v/>
      </c>
      <c r="BG25" s="34">
        <f>Settings!$B$7</f>
        <v/>
      </c>
      <c r="BH25" s="34">
        <f>Settings!$B$7</f>
        <v/>
      </c>
      <c r="BI25" s="34">
        <f>Settings!$B$7</f>
        <v/>
      </c>
      <c r="BJ25" s="34">
        <f>Settings!$B$7</f>
        <v/>
      </c>
      <c r="BK25" s="34">
        <f>Settings!$B$7</f>
        <v/>
      </c>
      <c r="BL25" s="34">
        <f>Settings!$B$7</f>
        <v/>
      </c>
      <c r="BM25" s="34">
        <f>Settings!$B$7</f>
        <v/>
      </c>
      <c r="BN25" s="34">
        <f>Settings!$B$7</f>
        <v/>
      </c>
      <c r="BO25" s="34">
        <f>Settings!$B$7</f>
        <v/>
      </c>
      <c r="BP25" s="34">
        <f>Settings!$B$7</f>
        <v/>
      </c>
      <c r="BQ25" s="34">
        <f>Settings!$B$7</f>
        <v/>
      </c>
      <c r="BR25" s="34">
        <f>Settings!$B$7</f>
        <v/>
      </c>
      <c r="BS25" s="34">
        <f>Settings!$B$7</f>
        <v/>
      </c>
      <c r="BT25" s="34">
        <f>Settings!$B$7</f>
        <v/>
      </c>
      <c r="BU25" s="34">
        <f>Settings!$B$7</f>
        <v/>
      </c>
      <c r="BV25" s="34">
        <f>Settings!$B$7</f>
        <v/>
      </c>
      <c r="BW25" s="34">
        <f>Settings!$B$7</f>
        <v/>
      </c>
      <c r="BX25" s="34">
        <f>Settings!$B$7</f>
        <v/>
      </c>
      <c r="BY25" s="34">
        <f>Settings!$B$7</f>
        <v/>
      </c>
      <c r="BZ25" s="34">
        <f>Settings!$B$7</f>
        <v/>
      </c>
      <c r="CA25" s="34">
        <f>Settings!$B$7</f>
        <v/>
      </c>
      <c r="CB25" s="34">
        <f>Settings!$B$7</f>
        <v/>
      </c>
      <c r="CC25" s="34">
        <f>Settings!$B$7</f>
        <v/>
      </c>
      <c r="CD25" s="34">
        <f>Settings!$B$7</f>
        <v/>
      </c>
      <c r="CE25" s="34">
        <f>Settings!$B$7</f>
        <v/>
      </c>
      <c r="CF25" s="34">
        <f>Settings!$B$7</f>
        <v/>
      </c>
      <c r="CG25" s="34">
        <f>Settings!$B$7</f>
        <v/>
      </c>
      <c r="CH25" s="34">
        <f>Settings!$B$7</f>
        <v/>
      </c>
      <c r="CI25" s="34">
        <f>Settings!$B$7</f>
        <v/>
      </c>
      <c r="CJ25" s="34">
        <f>Settings!$B$7</f>
        <v/>
      </c>
      <c r="CK25" s="34">
        <f>Settings!$B$7</f>
        <v/>
      </c>
      <c r="CL25" s="34">
        <f>Settings!$B$7</f>
        <v/>
      </c>
      <c r="CM25" s="34">
        <f>Settings!$B$7</f>
        <v/>
      </c>
      <c r="CN25" s="34">
        <f>Settings!$B$7</f>
        <v/>
      </c>
      <c r="CO25" s="34">
        <f>Settings!$B$7</f>
        <v/>
      </c>
      <c r="CP25" s="34">
        <f>Settings!$B$7</f>
        <v/>
      </c>
      <c r="CQ25" s="34">
        <f>Settings!$B$7</f>
        <v/>
      </c>
      <c r="CR25" s="34">
        <f>Settings!$B$7</f>
        <v/>
      </c>
      <c r="CS25" s="34">
        <f>Settings!$B$7</f>
        <v/>
      </c>
      <c r="CT25" s="34">
        <f>Settings!$B$7</f>
        <v/>
      </c>
      <c r="CU25" s="34">
        <f>Settings!$B$7</f>
        <v/>
      </c>
      <c r="CV25" s="34">
        <f>Settings!$B$7</f>
        <v/>
      </c>
      <c r="CW25" s="34">
        <f>Settings!$B$7</f>
        <v/>
      </c>
    </row>
    <row r="26" ht="15.75" customHeight="1" s="255">
      <c r="A26" s="61" t="inlineStr">
        <is>
          <t>Taxes</t>
        </is>
      </c>
      <c r="B26" s="42" t="n"/>
      <c r="C26" s="42">
        <f>IF(C23&gt;0,C23*C25,0)</f>
        <v/>
      </c>
      <c r="D26" s="42">
        <f>IF(D23&gt;0,D23*D25,0)</f>
        <v/>
      </c>
      <c r="E26" s="42">
        <f>IF(E23&gt;0,E23*E25,0)</f>
        <v/>
      </c>
      <c r="F26" s="42">
        <f>IF(F23&gt;0,F23*F25,0)</f>
        <v/>
      </c>
      <c r="G26" s="42">
        <f>IF(G23&gt;0,G23*G25,0)</f>
        <v/>
      </c>
      <c r="H26" s="42">
        <f>IF(H23&gt;0,H23*H25,0)</f>
        <v/>
      </c>
      <c r="I26" s="42">
        <f>IF(I23&gt;0,I23*I25,0)</f>
        <v/>
      </c>
      <c r="J26" s="42">
        <f>IF(J23&gt;0,J23*J25,0)</f>
        <v/>
      </c>
      <c r="K26" s="42">
        <f>IF(K23&gt;0,K23*K25,0)</f>
        <v/>
      </c>
      <c r="L26" s="42">
        <f>IF(L23&gt;0,L23*L25,0)</f>
        <v/>
      </c>
      <c r="M26" s="42">
        <f>IF(M23&gt;0,M23*M25,0)</f>
        <v/>
      </c>
      <c r="N26" s="42">
        <f>IF(N23&gt;0,N23*N25,0)</f>
        <v/>
      </c>
      <c r="O26" s="42">
        <f>IF(O23&gt;0,O23*O25,0)</f>
        <v/>
      </c>
      <c r="P26" s="42">
        <f>IF(P23&gt;0,P23*P25,0)</f>
        <v/>
      </c>
      <c r="Q26" s="42">
        <f>IF(Q23&gt;0,Q23*Q25,0)</f>
        <v/>
      </c>
      <c r="R26" s="42">
        <f>IF(R23&gt;0,R23*R25,0)</f>
        <v/>
      </c>
      <c r="S26" s="42">
        <f>IF(S23&gt;0,S23*S25,0)</f>
        <v/>
      </c>
      <c r="T26" s="42">
        <f>IF(T23&gt;0,T23*T25,0)</f>
        <v/>
      </c>
      <c r="U26" s="42">
        <f>IF(U23&gt;0,U23*U25,0)</f>
        <v/>
      </c>
      <c r="V26" s="42">
        <f>IF(V23&gt;0,V23*V25,0)</f>
        <v/>
      </c>
      <c r="W26" s="42">
        <f>IF(W23&gt;0,W23*W25,0)</f>
        <v/>
      </c>
      <c r="X26" s="42">
        <f>IF(X23&gt;0,X23*X25,0)</f>
        <v/>
      </c>
      <c r="Y26" s="42">
        <f>IF(Y23&gt;0,Y23*Y25,0)</f>
        <v/>
      </c>
      <c r="Z26" s="42">
        <f>IF(Z23&gt;0,Z23*Z25,0)</f>
        <v/>
      </c>
      <c r="AA26" s="42">
        <f>IF(AA23&gt;0,AA23*AA25,0)</f>
        <v/>
      </c>
      <c r="AB26" s="42">
        <f>IF(AB23&gt;0,AB23*AB25,0)</f>
        <v/>
      </c>
      <c r="AC26" s="56">
        <f>IF(AC23&gt;0,AC23*AC25,0)</f>
        <v/>
      </c>
      <c r="AD26" s="56">
        <f>IF(AD23&gt;0,AD23*AD25,0)</f>
        <v/>
      </c>
      <c r="AE26" s="56">
        <f>IF(AE23&gt;0,AE23*AE25,0)</f>
        <v/>
      </c>
      <c r="AF26" s="56">
        <f>IF(AF23&gt;0,AF23*AF25,0)</f>
        <v/>
      </c>
      <c r="AG26" s="56">
        <f>IF(AG23&gt;0,AG23*AG25,0)</f>
        <v/>
      </c>
      <c r="AH26" s="56">
        <f>IF(AH23&gt;0,AH23*AH25,0)</f>
        <v/>
      </c>
      <c r="AI26" s="56">
        <f>IF(AI23&gt;0,AI23*AI25,0)</f>
        <v/>
      </c>
      <c r="AJ26" s="56">
        <f>IF(AJ23&gt;0,AJ23*AJ25,0)</f>
        <v/>
      </c>
      <c r="AK26" s="56">
        <f>IF(AK23&gt;0,AK23*AK25,0)</f>
        <v/>
      </c>
      <c r="AL26" s="56">
        <f>IF(AL23&gt;0,AL23*AL25,0)</f>
        <v/>
      </c>
      <c r="AM26" s="56">
        <f>IF(AM23&gt;0,AM23*AM25,0)</f>
        <v/>
      </c>
      <c r="AN26" s="56">
        <f>IF(AN23&gt;0,AN23*AN25,0)</f>
        <v/>
      </c>
      <c r="AO26" s="56">
        <f>IF(AO23&gt;0,AO23*AO25,0)</f>
        <v/>
      </c>
      <c r="AP26" s="56">
        <f>IF(AP23&gt;0,AP23*AP25,0)</f>
        <v/>
      </c>
      <c r="AQ26" s="56">
        <f>IF(AQ23&gt;0,AQ23*AQ25,0)</f>
        <v/>
      </c>
      <c r="AR26" s="56">
        <f>IF(AR23&gt;0,AR23*AR25,0)</f>
        <v/>
      </c>
      <c r="AS26" s="56">
        <f>IF(AS23&gt;0,AS23*AS25,0)</f>
        <v/>
      </c>
      <c r="AT26" s="56">
        <f>IF(AT23&gt;0,AT23*AT25,0)</f>
        <v/>
      </c>
      <c r="AU26" s="56">
        <f>IF(AU23&gt;0,AU23*AU25,0)</f>
        <v/>
      </c>
      <c r="AV26" s="56">
        <f>IF(AV23&gt;0,AV23*AV25,0)</f>
        <v/>
      </c>
      <c r="AW26" s="56">
        <f>IF(AW23&gt;0,AW23*AW25,0)</f>
        <v/>
      </c>
      <c r="AX26" s="56">
        <f>IF(AX23&gt;0,AX23*AX25,0)</f>
        <v/>
      </c>
      <c r="AY26" s="56">
        <f>IF(AY23&gt;0,AY23*AY25,0)</f>
        <v/>
      </c>
      <c r="AZ26" s="56">
        <f>IF(AZ23&gt;0,AZ23*AZ25,0)</f>
        <v/>
      </c>
      <c r="BA26" s="56">
        <f>IF(BA23&gt;0,BA23*BA25,0)</f>
        <v/>
      </c>
      <c r="BB26" s="56">
        <f>IF(BB23&gt;0,BB23*BB25,0)</f>
        <v/>
      </c>
      <c r="BC26" s="56">
        <f>IF(BC23&gt;0,BC23*BC25,0)</f>
        <v/>
      </c>
      <c r="BD26" s="56">
        <f>IF(BD23&gt;0,BD23*BD25,0)</f>
        <v/>
      </c>
      <c r="BE26" s="56">
        <f>IF(BE23&gt;0,BE23*BE25,0)</f>
        <v/>
      </c>
      <c r="BF26" s="56">
        <f>IF(BF23&gt;0,BF23*BF25,0)</f>
        <v/>
      </c>
      <c r="BG26" s="56">
        <f>IF(BG23&gt;0,BG23*BG25,0)</f>
        <v/>
      </c>
      <c r="BH26" s="56">
        <f>IF(BH23&gt;0,BH23*BH25,0)</f>
        <v/>
      </c>
      <c r="BI26" s="56">
        <f>IF(BI23&gt;0,BI23*BI25,0)</f>
        <v/>
      </c>
      <c r="BJ26" s="56">
        <f>IF(BJ23&gt;0,BJ23*BJ25,0)</f>
        <v/>
      </c>
      <c r="BK26" s="56">
        <f>IF(BK23&gt;0,BK23*BK25,0)</f>
        <v/>
      </c>
      <c r="BL26" s="56">
        <f>IF(BL23&gt;0,BL23*BL25,0)</f>
        <v/>
      </c>
      <c r="BM26" s="56">
        <f>IF(BM23&gt;0,BM23*BM25,0)</f>
        <v/>
      </c>
      <c r="BN26" s="56">
        <f>IF(BN23&gt;0,BN23*BN25,0)</f>
        <v/>
      </c>
      <c r="BO26" s="56">
        <f>IF(BO23&gt;0,BO23*BO25,0)</f>
        <v/>
      </c>
      <c r="BP26" s="56">
        <f>IF(BP23&gt;0,BP23*BP25,0)</f>
        <v/>
      </c>
      <c r="BQ26" s="56">
        <f>IF(BQ23&gt;0,BQ23*BQ25,0)</f>
        <v/>
      </c>
      <c r="BR26" s="56">
        <f>IF(BR23&gt;0,BR23*BR25,0)</f>
        <v/>
      </c>
      <c r="BS26" s="56">
        <f>IF(BS23&gt;0,BS23*BS25,0)</f>
        <v/>
      </c>
      <c r="BT26" s="56">
        <f>IF(BT23&gt;0,BT23*BT25,0)</f>
        <v/>
      </c>
      <c r="BU26" s="56">
        <f>IF(BU23&gt;0,BU23*BU25,0)</f>
        <v/>
      </c>
      <c r="BV26" s="56">
        <f>IF(BV23&gt;0,BV23*BV25,0)</f>
        <v/>
      </c>
      <c r="BW26" s="56">
        <f>IF(BW23&gt;0,BW23*BW25,0)</f>
        <v/>
      </c>
      <c r="BX26" s="56">
        <f>IF(BX23&gt;0,BX23*BX25,0)</f>
        <v/>
      </c>
      <c r="BY26" s="56">
        <f>IF(BY23&gt;0,BY23*BY25,0)</f>
        <v/>
      </c>
      <c r="BZ26" s="56">
        <f>IF(BZ23&gt;0,BZ23*BZ25,0)</f>
        <v/>
      </c>
      <c r="CA26" s="56">
        <f>IF(CA23&gt;0,CA23*CA25,0)</f>
        <v/>
      </c>
      <c r="CB26" s="56">
        <f>IF(CB23&gt;0,CB23*CB25,0)</f>
        <v/>
      </c>
      <c r="CC26" s="56">
        <f>IF(CC23&gt;0,CC23*CC25,0)</f>
        <v/>
      </c>
      <c r="CD26" s="56">
        <f>IF(CD23&gt;0,CD23*CD25,0)</f>
        <v/>
      </c>
      <c r="CE26" s="56">
        <f>IF(CE23&gt;0,CE23*CE25,0)</f>
        <v/>
      </c>
      <c r="CF26" s="56">
        <f>IF(CF23&gt;0,CF23*CF25,0)</f>
        <v/>
      </c>
      <c r="CG26" s="56">
        <f>IF(CG23&gt;0,CG23*CG25,0)</f>
        <v/>
      </c>
      <c r="CH26" s="56">
        <f>IF(CH23&gt;0,CH23*CH25,0)</f>
        <v/>
      </c>
      <c r="CI26" s="56">
        <f>IF(CI23&gt;0,CI23*CI25,0)</f>
        <v/>
      </c>
      <c r="CJ26" s="56">
        <f>IF(CJ23&gt;0,CJ23*CJ25,0)</f>
        <v/>
      </c>
      <c r="CK26" s="56">
        <f>IF(CK23&gt;0,CK23*CK25,0)</f>
        <v/>
      </c>
      <c r="CL26" s="56">
        <f>IF(CL23&gt;0,CL23*CL25,0)</f>
        <v/>
      </c>
      <c r="CM26" s="56">
        <f>IF(CM23&gt;0,CM23*CM25,0)</f>
        <v/>
      </c>
      <c r="CN26" s="56">
        <f>IF(CN23&gt;0,CN23*CN25,0)</f>
        <v/>
      </c>
      <c r="CO26" s="56">
        <f>IF(CO23&gt;0,CO23*CO25,0)</f>
        <v/>
      </c>
      <c r="CP26" s="56">
        <f>IF(CP23&gt;0,CP23*CP25,0)</f>
        <v/>
      </c>
      <c r="CQ26" s="56">
        <f>IF(CQ23&gt;0,CQ23*CQ25,0)</f>
        <v/>
      </c>
      <c r="CR26" s="56">
        <f>IF(CR23&gt;0,CR23*CR25,0)</f>
        <v/>
      </c>
      <c r="CS26" s="56">
        <f>IF(CS23&gt;0,CS23*CS25,0)</f>
        <v/>
      </c>
      <c r="CT26" s="56">
        <f>IF(CT23&gt;0,CT23*CT25,0)</f>
        <v/>
      </c>
      <c r="CU26" s="56">
        <f>IF(CU23&gt;0,CU23*CU25,0)</f>
        <v/>
      </c>
      <c r="CV26" s="56">
        <f>IF(CV23&gt;0,CV23*CV25,0)</f>
        <v/>
      </c>
      <c r="CW26" s="56">
        <f>IF(CW23&gt;0,CW23*CW25,0)</f>
        <v/>
      </c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</row>
    <row r="28" ht="15.75" customHeight="1" s="255">
      <c r="A28" s="111" t="inlineStr">
        <is>
          <t>Net income</t>
        </is>
      </c>
      <c r="B28" s="59" t="n"/>
      <c r="C28" s="60">
        <f>C17-C20-C21-C26</f>
        <v/>
      </c>
      <c r="D28" s="60">
        <f>D17-D20-D21-D26</f>
        <v/>
      </c>
      <c r="E28" s="60">
        <f>E17-E20-E21-E26</f>
        <v/>
      </c>
      <c r="F28" s="60">
        <f>F17-F20-F21-F26</f>
        <v/>
      </c>
      <c r="G28" s="60">
        <f>G17-G20-G21-G26</f>
        <v/>
      </c>
      <c r="H28" s="60">
        <f>H17-H20-H21-H26</f>
        <v/>
      </c>
      <c r="I28" s="60">
        <f>I17-I20-I21-I26</f>
        <v/>
      </c>
      <c r="J28" s="60">
        <f>J17-J20-J21-J26</f>
        <v/>
      </c>
      <c r="K28" s="60">
        <f>K17-K20-K21-K26</f>
        <v/>
      </c>
      <c r="L28" s="60">
        <f>L17-L20-L21-L26</f>
        <v/>
      </c>
      <c r="M28" s="60">
        <f>M17-M20-M21-M26</f>
        <v/>
      </c>
      <c r="N28" s="60">
        <f>N17-N20-N21-N26</f>
        <v/>
      </c>
      <c r="O28" s="60">
        <f>O17-O20-O21-O26</f>
        <v/>
      </c>
      <c r="P28" s="60">
        <f>P17-P20-P21-P26</f>
        <v/>
      </c>
      <c r="Q28" s="60">
        <f>Q17-Q20-Q21-Q26</f>
        <v/>
      </c>
      <c r="R28" s="60">
        <f>R17-R20-R21-R26</f>
        <v/>
      </c>
      <c r="S28" s="60">
        <f>S17-S20-S21-S26</f>
        <v/>
      </c>
      <c r="T28" s="60">
        <f>T17-T20-T21-T26</f>
        <v/>
      </c>
      <c r="U28" s="60">
        <f>U17-U20-U21-U26</f>
        <v/>
      </c>
      <c r="V28" s="60">
        <f>V17-V20-V21-V26</f>
        <v/>
      </c>
      <c r="W28" s="60">
        <f>W17-W20-W21-W26</f>
        <v/>
      </c>
      <c r="X28" s="60">
        <f>X17-X20-X21-X26</f>
        <v/>
      </c>
      <c r="Y28" s="60">
        <f>Y17-Y20-Y21-Y26</f>
        <v/>
      </c>
      <c r="Z28" s="60">
        <f>Z17-Z20-Z21-Z26</f>
        <v/>
      </c>
      <c r="AA28" s="60">
        <f>AA17-AA20-AA21-AA26</f>
        <v/>
      </c>
      <c r="AB28" s="60">
        <f>AB17-AB20-AB21-AB26</f>
        <v/>
      </c>
      <c r="AC28" s="60">
        <f>AC17-AC20-AC21-AC26</f>
        <v/>
      </c>
      <c r="AD28" s="60">
        <f>AD17-AD20-AD21-AD26</f>
        <v/>
      </c>
      <c r="AE28" s="60">
        <f>AE17-AE20-AE21-AE26</f>
        <v/>
      </c>
      <c r="AF28" s="60">
        <f>AF17-AF20-AF21-AF26</f>
        <v/>
      </c>
      <c r="AG28" s="60">
        <f>AG17-AG20-AG21-AG26</f>
        <v/>
      </c>
      <c r="AH28" s="60">
        <f>AH17-AH20-AH21-AH26</f>
        <v/>
      </c>
      <c r="AI28" s="60">
        <f>AI17-AI20-AI21-AI26</f>
        <v/>
      </c>
      <c r="AJ28" s="60">
        <f>AJ17-AJ20-AJ21-AJ26</f>
        <v/>
      </c>
      <c r="AK28" s="60">
        <f>AK17-AK20-AK21-AK26</f>
        <v/>
      </c>
      <c r="AL28" s="60">
        <f>AL17-AL20-AL21-AL26</f>
        <v/>
      </c>
      <c r="AM28" s="60">
        <f>AM17-AM20-AM21-AM26</f>
        <v/>
      </c>
      <c r="AN28" s="60">
        <f>AN17-AN20-AN21-AN26</f>
        <v/>
      </c>
      <c r="AO28" s="60">
        <f>AO17-AO20-AO21-AO26</f>
        <v/>
      </c>
      <c r="AP28" s="60">
        <f>AP17-AP20-AP21-AP26</f>
        <v/>
      </c>
      <c r="AQ28" s="60">
        <f>AQ17-AQ20-AQ21-AQ26</f>
        <v/>
      </c>
      <c r="AR28" s="60">
        <f>AR17-AR20-AR21-AR26</f>
        <v/>
      </c>
      <c r="AS28" s="60">
        <f>AS17-AS20-AS21-AS26</f>
        <v/>
      </c>
      <c r="AT28" s="60">
        <f>AT17-AT20-AT21-AT26</f>
        <v/>
      </c>
      <c r="AU28" s="60">
        <f>AU17-AU20-AU21-AU26</f>
        <v/>
      </c>
      <c r="AV28" s="60">
        <f>AV17-AV20-AV21-AV26</f>
        <v/>
      </c>
      <c r="AW28" s="60">
        <f>AW17-AW20-AW21-AW26</f>
        <v/>
      </c>
      <c r="AX28" s="60">
        <f>AX17-AX20-AX21-AX26</f>
        <v/>
      </c>
      <c r="AY28" s="60">
        <f>AY17-AY20-AY21-AY26</f>
        <v/>
      </c>
      <c r="AZ28" s="60">
        <f>AZ17-AZ20-AZ21-AZ26</f>
        <v/>
      </c>
      <c r="BA28" s="60">
        <f>BA17-BA20-BA21-BA26</f>
        <v/>
      </c>
      <c r="BB28" s="60">
        <f>BB17-BB20-BB21-BB26</f>
        <v/>
      </c>
      <c r="BC28" s="60">
        <f>BC17-BC20-BC21-BC26</f>
        <v/>
      </c>
      <c r="BD28" s="60">
        <f>BD17-BD20-BD21-BD26</f>
        <v/>
      </c>
      <c r="BE28" s="60">
        <f>BE17-BE20-BE21-BE26</f>
        <v/>
      </c>
      <c r="BF28" s="60">
        <f>BF17-BF20-BF21-BF26</f>
        <v/>
      </c>
      <c r="BG28" s="60">
        <f>BG17-BG20-BG21-BG26</f>
        <v/>
      </c>
      <c r="BH28" s="60">
        <f>BH17-BH20-BH21-BH26</f>
        <v/>
      </c>
      <c r="BI28" s="60">
        <f>BI17-BI20-BI21-BI26</f>
        <v/>
      </c>
      <c r="BJ28" s="60">
        <f>BJ17-BJ20-BJ21-BJ26</f>
        <v/>
      </c>
      <c r="BK28" s="60">
        <f>BK17-BK20-BK21-BK26</f>
        <v/>
      </c>
      <c r="BL28" s="60">
        <f>BL17-BL20-BL21-BL26</f>
        <v/>
      </c>
      <c r="BM28" s="60">
        <f>BM17-BM20-BM21-BM26</f>
        <v/>
      </c>
      <c r="BN28" s="60">
        <f>BN17-BN20-BN21-BN26</f>
        <v/>
      </c>
      <c r="BO28" s="60">
        <f>BO17-BO20-BO21-BO26</f>
        <v/>
      </c>
      <c r="BP28" s="60">
        <f>BP17-BP20-BP21-BP26</f>
        <v/>
      </c>
      <c r="BQ28" s="60">
        <f>BQ17-BQ20-BQ21-BQ26</f>
        <v/>
      </c>
      <c r="BR28" s="60">
        <f>BR17-BR20-BR21-BR26</f>
        <v/>
      </c>
      <c r="BS28" s="60">
        <f>BS17-BS20-BS21-BS26</f>
        <v/>
      </c>
      <c r="BT28" s="60">
        <f>BT17-BT20-BT21-BT26</f>
        <v/>
      </c>
      <c r="BU28" s="60">
        <f>BU17-BU20-BU21-BU26</f>
        <v/>
      </c>
      <c r="BV28" s="60">
        <f>BV17-BV20-BV21-BV26</f>
        <v/>
      </c>
      <c r="BW28" s="60">
        <f>BW17-BW20-BW21-BW26</f>
        <v/>
      </c>
      <c r="BX28" s="60">
        <f>BX17-BX20-BX21-BX26</f>
        <v/>
      </c>
      <c r="BY28" s="60">
        <f>BY17-BY20-BY21-BY26</f>
        <v/>
      </c>
      <c r="BZ28" s="60">
        <f>BZ17-BZ20-BZ21-BZ26</f>
        <v/>
      </c>
      <c r="CA28" s="60">
        <f>CA17-CA20-CA21-CA26</f>
        <v/>
      </c>
      <c r="CB28" s="60">
        <f>CB17-CB20-CB21-CB26</f>
        <v/>
      </c>
      <c r="CC28" s="60">
        <f>CC17-CC20-CC21-CC26</f>
        <v/>
      </c>
      <c r="CD28" s="60">
        <f>CD17-CD20-CD21-CD26</f>
        <v/>
      </c>
      <c r="CE28" s="60">
        <f>CE17-CE20-CE21-CE26</f>
        <v/>
      </c>
      <c r="CF28" s="60">
        <f>CF17-CF20-CF21-CF26</f>
        <v/>
      </c>
      <c r="CG28" s="60">
        <f>CG17-CG20-CG21-CG26</f>
        <v/>
      </c>
      <c r="CH28" s="60">
        <f>CH17-CH20-CH21-CH26</f>
        <v/>
      </c>
      <c r="CI28" s="60">
        <f>CI17-CI20-CI21-CI26</f>
        <v/>
      </c>
      <c r="CJ28" s="60">
        <f>CJ17-CJ20-CJ21-CJ26</f>
        <v/>
      </c>
      <c r="CK28" s="60">
        <f>CK17-CK20-CK21-CK26</f>
        <v/>
      </c>
      <c r="CL28" s="60">
        <f>CL17-CL20-CL21-CL26</f>
        <v/>
      </c>
      <c r="CM28" s="60">
        <f>CM17-CM20-CM21-CM26</f>
        <v/>
      </c>
      <c r="CN28" s="60">
        <f>CN17-CN20-CN21-CN26</f>
        <v/>
      </c>
      <c r="CO28" s="60">
        <f>CO17-CO20-CO21-CO26</f>
        <v/>
      </c>
      <c r="CP28" s="60">
        <f>CP17-CP20-CP21-CP26</f>
        <v/>
      </c>
      <c r="CQ28" s="60">
        <f>CQ17-CQ20-CQ21-CQ26</f>
        <v/>
      </c>
      <c r="CR28" s="60">
        <f>CR17-CR20-CR21-CR26</f>
        <v/>
      </c>
      <c r="CS28" s="60">
        <f>CS17-CS20-CS21-CS26</f>
        <v/>
      </c>
      <c r="CT28" s="60">
        <f>CT17-CT20-CT21-CT26</f>
        <v/>
      </c>
      <c r="CU28" s="60">
        <f>CU17-CU20-CU21-CU26</f>
        <v/>
      </c>
      <c r="CV28" s="60">
        <f>CV17-CV20-CV21-CV26</f>
        <v/>
      </c>
      <c r="CW28" s="60">
        <f>CW17-CW20-CW21-CW26</f>
        <v/>
      </c>
    </row>
    <row r="29" ht="15.75" customHeight="1" s="255">
      <c r="A29" s="172" t="inlineStr">
        <is>
          <t>Net margin</t>
        </is>
      </c>
      <c r="B29" s="172" t="n"/>
      <c r="C29" s="172">
        <f>IFERROR(C28/#REF!,0)</f>
        <v/>
      </c>
      <c r="D29" s="172">
        <f>IFERROR(D28/#REF!,0)</f>
        <v/>
      </c>
      <c r="E29" s="172">
        <f>IFERROR(E28/#REF!,0)</f>
        <v/>
      </c>
      <c r="F29" s="172">
        <f>IFERROR(F28/#REF!,0)</f>
        <v/>
      </c>
      <c r="G29" s="172">
        <f>IFERROR(G28/#REF!,0)</f>
        <v/>
      </c>
      <c r="H29" s="172">
        <f>IFERROR(H28/#REF!,0)</f>
        <v/>
      </c>
      <c r="I29" s="172">
        <f>IFERROR(I28/#REF!,0)</f>
        <v/>
      </c>
      <c r="J29" s="172">
        <f>IFERROR(J28/#REF!,0)</f>
        <v/>
      </c>
      <c r="K29" s="172">
        <f>IFERROR(K28/#REF!,0)</f>
        <v/>
      </c>
      <c r="L29" s="172">
        <f>IFERROR(L28/#REF!,0)</f>
        <v/>
      </c>
      <c r="M29" s="172">
        <f>IFERROR(M28/#REF!,0)</f>
        <v/>
      </c>
      <c r="N29" s="172">
        <f>IFERROR(N28/#REF!,0)</f>
        <v/>
      </c>
      <c r="O29" s="172">
        <f>IFERROR(O28/#REF!,0)</f>
        <v/>
      </c>
      <c r="P29" s="172">
        <f>IFERROR(P28/#REF!,0)</f>
        <v/>
      </c>
      <c r="Q29" s="172">
        <f>IFERROR(Q28/#REF!,0)</f>
        <v/>
      </c>
      <c r="R29" s="172">
        <f>IFERROR(R28/#REF!,0)</f>
        <v/>
      </c>
      <c r="S29" s="172">
        <f>IFERROR(S28/#REF!,0)</f>
        <v/>
      </c>
      <c r="T29" s="172">
        <f>IFERROR(T28/#REF!,0)</f>
        <v/>
      </c>
      <c r="U29" s="172">
        <f>IFERROR(U28/#REF!,0)</f>
        <v/>
      </c>
      <c r="V29" s="172">
        <f>IFERROR(V28/#REF!,0)</f>
        <v/>
      </c>
      <c r="W29" s="172">
        <f>IFERROR(W28/#REF!,0)</f>
        <v/>
      </c>
      <c r="X29" s="172">
        <f>IFERROR(X28/#REF!,0)</f>
        <v/>
      </c>
      <c r="Y29" s="172">
        <f>IFERROR(Y28/#REF!,0)</f>
        <v/>
      </c>
      <c r="Z29" s="172">
        <f>IFERROR(Z28/#REF!,0)</f>
        <v/>
      </c>
      <c r="AA29" s="172">
        <f>IFERROR(AA28/#REF!,0)</f>
        <v/>
      </c>
      <c r="AB29" s="172">
        <f>IFERROR(AB28/#REF!,0)</f>
        <v/>
      </c>
      <c r="AC29" s="172">
        <f>IFERROR(AC28/#REF!,0)</f>
        <v/>
      </c>
      <c r="AD29" s="172">
        <f>IFERROR(AD28/#REF!,0)</f>
        <v/>
      </c>
      <c r="AE29" s="172">
        <f>IFERROR(AE28/#REF!,0)</f>
        <v/>
      </c>
      <c r="AF29" s="172">
        <f>IFERROR(AF28/#REF!,0)</f>
        <v/>
      </c>
      <c r="AG29" s="172">
        <f>IFERROR(AG28/#REF!,0)</f>
        <v/>
      </c>
      <c r="AH29" s="172">
        <f>IFERROR(AH28/#REF!,0)</f>
        <v/>
      </c>
      <c r="AI29" s="172">
        <f>IFERROR(AI28/#REF!,0)</f>
        <v/>
      </c>
      <c r="AJ29" s="172">
        <f>IFERROR(AJ28/#REF!,0)</f>
        <v/>
      </c>
      <c r="AK29" s="172">
        <f>IFERROR(AK28/#REF!,0)</f>
        <v/>
      </c>
      <c r="AL29" s="172">
        <f>IFERROR(AL28/#REF!,0)</f>
        <v/>
      </c>
      <c r="AM29" s="172">
        <f>IFERROR(AM28/#REF!,0)</f>
        <v/>
      </c>
      <c r="AN29" s="172">
        <f>IFERROR(AN28/#REF!,0)</f>
        <v/>
      </c>
      <c r="AO29" s="172">
        <f>IFERROR(AO28/#REF!,0)</f>
        <v/>
      </c>
      <c r="AP29" s="172">
        <f>IFERROR(AP28/#REF!,0)</f>
        <v/>
      </c>
      <c r="AQ29" s="172">
        <f>IFERROR(AQ28/#REF!,0)</f>
        <v/>
      </c>
      <c r="AR29" s="172">
        <f>IFERROR(AR28/#REF!,0)</f>
        <v/>
      </c>
      <c r="AS29" s="172">
        <f>IFERROR(AS28/#REF!,0)</f>
        <v/>
      </c>
      <c r="AT29" s="172">
        <f>IFERROR(AT28/#REF!,0)</f>
        <v/>
      </c>
      <c r="AU29" s="172">
        <f>IFERROR(AU28/#REF!,0)</f>
        <v/>
      </c>
      <c r="AV29" s="172">
        <f>IFERROR(AV28/#REF!,0)</f>
        <v/>
      </c>
      <c r="AW29" s="172">
        <f>IFERROR(AW28/#REF!,0)</f>
        <v/>
      </c>
      <c r="AX29" s="172">
        <f>IFERROR(AX28/#REF!,0)</f>
        <v/>
      </c>
      <c r="AY29" s="172">
        <f>IFERROR(AY28/#REF!,0)</f>
        <v/>
      </c>
      <c r="AZ29" s="172">
        <f>IFERROR(AZ28/#REF!,0)</f>
        <v/>
      </c>
      <c r="BA29" s="172">
        <f>IFERROR(BA28/#REF!,0)</f>
        <v/>
      </c>
      <c r="BB29" s="172">
        <f>IFERROR(BB28/#REF!,0)</f>
        <v/>
      </c>
      <c r="BC29" s="172">
        <f>IFERROR(BC28/#REF!,0)</f>
        <v/>
      </c>
      <c r="BD29" s="172">
        <f>IFERROR(BD28/#REF!,0)</f>
        <v/>
      </c>
      <c r="BE29" s="172">
        <f>IFERROR(BE28/#REF!,0)</f>
        <v/>
      </c>
      <c r="BF29" s="172">
        <f>IFERROR(BF28/#REF!,0)</f>
        <v/>
      </c>
      <c r="BG29" s="172">
        <f>IFERROR(BG28/#REF!,0)</f>
        <v/>
      </c>
      <c r="BH29" s="172">
        <f>IFERROR(BH28/#REF!,0)</f>
        <v/>
      </c>
      <c r="BI29" s="172">
        <f>IFERROR(BI28/#REF!,0)</f>
        <v/>
      </c>
      <c r="BJ29" s="172">
        <f>IFERROR(BJ28/#REF!,0)</f>
        <v/>
      </c>
      <c r="BK29" s="172">
        <f>IFERROR(BK28/#REF!,0)</f>
        <v/>
      </c>
      <c r="BL29" s="172">
        <f>IFERROR(BL28/#REF!,0)</f>
        <v/>
      </c>
      <c r="BM29" s="172">
        <f>IFERROR(BM28/#REF!,0)</f>
        <v/>
      </c>
      <c r="BN29" s="172">
        <f>IFERROR(BN28/#REF!,0)</f>
        <v/>
      </c>
      <c r="BO29" s="172">
        <f>IFERROR(BO28/#REF!,0)</f>
        <v/>
      </c>
      <c r="BP29" s="172">
        <f>IFERROR(BP28/#REF!,0)</f>
        <v/>
      </c>
      <c r="BQ29" s="172">
        <f>IFERROR(BQ28/#REF!,0)</f>
        <v/>
      </c>
      <c r="BR29" s="172">
        <f>IFERROR(BR28/#REF!,0)</f>
        <v/>
      </c>
      <c r="BS29" s="172">
        <f>IFERROR(BS28/#REF!,0)</f>
        <v/>
      </c>
      <c r="BT29" s="172">
        <f>IFERROR(BT28/#REF!,0)</f>
        <v/>
      </c>
      <c r="BU29" s="172">
        <f>IFERROR(BU28/#REF!,0)</f>
        <v/>
      </c>
      <c r="BV29" s="172">
        <f>IFERROR(BV28/#REF!,0)</f>
        <v/>
      </c>
      <c r="BW29" s="172">
        <f>IFERROR(BW28/#REF!,0)</f>
        <v/>
      </c>
      <c r="BX29" s="172">
        <f>IFERROR(BX28/#REF!,0)</f>
        <v/>
      </c>
      <c r="BY29" s="172">
        <f>IFERROR(BY28/#REF!,0)</f>
        <v/>
      </c>
      <c r="BZ29" s="172">
        <f>IFERROR(BZ28/#REF!,0)</f>
        <v/>
      </c>
      <c r="CA29" s="172">
        <f>IFERROR(CA28/#REF!,0)</f>
        <v/>
      </c>
      <c r="CB29" s="172">
        <f>IFERROR(CB28/#REF!,0)</f>
        <v/>
      </c>
      <c r="CC29" s="172">
        <f>IFERROR(CC28/#REF!,0)</f>
        <v/>
      </c>
      <c r="CD29" s="172">
        <f>IFERROR(CD28/#REF!,0)</f>
        <v/>
      </c>
      <c r="CE29" s="172">
        <f>IFERROR(CE28/#REF!,0)</f>
        <v/>
      </c>
      <c r="CF29" s="172">
        <f>IFERROR(CF28/#REF!,0)</f>
        <v/>
      </c>
      <c r="CG29" s="172">
        <f>IFERROR(CG28/#REF!,0)</f>
        <v/>
      </c>
      <c r="CH29" s="172">
        <f>IFERROR(CH28/#REF!,0)</f>
        <v/>
      </c>
      <c r="CI29" s="172">
        <f>IFERROR(CI28/#REF!,0)</f>
        <v/>
      </c>
      <c r="CJ29" s="172">
        <f>IFERROR(CJ28/#REF!,0)</f>
        <v/>
      </c>
      <c r="CK29" s="172">
        <f>IFERROR(CK28/#REF!,0)</f>
        <v/>
      </c>
      <c r="CL29" s="172">
        <f>IFERROR(CL28/#REF!,0)</f>
        <v/>
      </c>
      <c r="CM29" s="172">
        <f>IFERROR(CM28/#REF!,0)</f>
        <v/>
      </c>
      <c r="CN29" s="172">
        <f>IFERROR(CN28/#REF!,0)</f>
        <v/>
      </c>
      <c r="CO29" s="172">
        <f>IFERROR(CO28/#REF!,0)</f>
        <v/>
      </c>
      <c r="CP29" s="172">
        <f>IFERROR(CP28/#REF!,0)</f>
        <v/>
      </c>
      <c r="CQ29" s="172">
        <f>IFERROR(CQ28/#REF!,0)</f>
        <v/>
      </c>
      <c r="CR29" s="172">
        <f>IFERROR(CR28/#REF!,0)</f>
        <v/>
      </c>
      <c r="CS29" s="172">
        <f>IFERROR(CS28/#REF!,0)</f>
        <v/>
      </c>
      <c r="CT29" s="172">
        <f>IFERROR(CT28/#REF!,0)</f>
        <v/>
      </c>
      <c r="CU29" s="172">
        <f>IFERROR(CU28/#REF!,0)</f>
        <v/>
      </c>
      <c r="CV29" s="172">
        <f>IFERROR(CV28/#REF!,0)</f>
        <v/>
      </c>
      <c r="CW29" s="172">
        <f>IFERROR(CW28/#REF!,0)</f>
        <v/>
      </c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42" t="n"/>
      <c r="BN30" s="42" t="n"/>
      <c r="BO30" s="42" t="n"/>
      <c r="BP30" s="42" t="n"/>
      <c r="BQ30" s="42" t="n"/>
      <c r="BR30" s="42" t="n"/>
      <c r="BS30" s="42" t="n"/>
      <c r="BT30" s="42" t="n"/>
      <c r="BU30" s="42" t="n"/>
      <c r="BV30" s="42" t="n"/>
      <c r="BW30" s="42" t="n"/>
      <c r="BX30" s="42" t="n"/>
      <c r="BY30" s="42" t="n"/>
      <c r="BZ30" s="42" t="n"/>
      <c r="CA30" s="42" t="n"/>
      <c r="CB30" s="42" t="n"/>
      <c r="CC30" s="42" t="n"/>
      <c r="CD30" s="42" t="n"/>
      <c r="CE30" s="42" t="n"/>
      <c r="CF30" s="42" t="n"/>
      <c r="CG30" s="42" t="n"/>
      <c r="CH30" s="42" t="n"/>
      <c r="CI30" s="42" t="n"/>
      <c r="CJ30" s="42" t="n"/>
      <c r="CK30" s="42" t="n"/>
      <c r="CL30" s="42" t="n"/>
      <c r="CM30" s="42" t="n"/>
      <c r="CN30" s="42" t="n"/>
      <c r="CO30" s="42" t="n"/>
      <c r="CP30" s="42" t="n"/>
      <c r="CQ30" s="42" t="n"/>
      <c r="CR30" s="42" t="n"/>
      <c r="CS30" s="42" t="n"/>
      <c r="CT30" s="42" t="n"/>
      <c r="CU30" s="42" t="n"/>
      <c r="CV30" s="42" t="n"/>
      <c r="CW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23.25" customHeight="1" s="255">
      <c r="A32" s="142" t="inlineStr">
        <is>
          <t>CASH FLOW</t>
        </is>
      </c>
      <c r="B32" s="141" t="n"/>
      <c r="C32" s="144" t="n"/>
      <c r="D32" s="141" t="n"/>
      <c r="E32" s="141" t="n"/>
      <c r="F32" s="141" t="n"/>
      <c r="G32" s="141" t="n"/>
      <c r="H32" s="142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2" t="n"/>
      <c r="AC32" s="141" t="n"/>
      <c r="AD32" s="141" t="n"/>
      <c r="AE32" s="141" t="n"/>
      <c r="AF32" s="141" t="n"/>
      <c r="AG32" s="141" t="n"/>
      <c r="AH32" s="142" t="n"/>
      <c r="AI32" s="141" t="n"/>
      <c r="AJ32" s="141" t="n"/>
      <c r="AK32" s="141" t="n"/>
      <c r="AL32" s="141" t="n"/>
      <c r="AM32" s="141" t="n"/>
      <c r="AN32" s="141" t="n"/>
      <c r="AO32" s="141" t="n"/>
      <c r="AP32" s="141" t="n"/>
      <c r="AQ32" s="141" t="n"/>
      <c r="AR32" s="141" t="n"/>
      <c r="AS32" s="141" t="n"/>
      <c r="AT32" s="141" t="n"/>
      <c r="AU32" s="141" t="n"/>
      <c r="AV32" s="141" t="n"/>
      <c r="AW32" s="141" t="n"/>
      <c r="AX32" s="141" t="n"/>
      <c r="AY32" s="141" t="n"/>
      <c r="AZ32" s="141" t="n"/>
      <c r="BA32" s="141" t="n"/>
      <c r="BB32" s="142" t="n"/>
      <c r="BC32" s="141" t="n"/>
      <c r="BD32" s="141" t="n"/>
      <c r="BE32" s="141" t="n"/>
      <c r="BF32" s="141" t="n"/>
      <c r="BG32" s="141" t="n"/>
      <c r="BH32" s="142" t="n"/>
      <c r="BI32" s="141" t="n"/>
      <c r="BJ32" s="141" t="n"/>
      <c r="BK32" s="141" t="n"/>
      <c r="BL32" s="141" t="n"/>
      <c r="BM32" s="141" t="n"/>
      <c r="BN32" s="141" t="n"/>
      <c r="BO32" s="141" t="n"/>
      <c r="BP32" s="141" t="n"/>
      <c r="BQ32" s="141" t="n"/>
      <c r="BR32" s="141" t="n"/>
      <c r="BS32" s="141" t="n"/>
      <c r="BT32" s="141" t="n"/>
      <c r="BU32" s="141" t="n"/>
      <c r="BV32" s="141" t="n"/>
      <c r="BW32" s="141" t="n"/>
      <c r="BX32" s="141" t="n"/>
      <c r="BY32" s="141" t="n"/>
      <c r="BZ32" s="141" t="n"/>
      <c r="CA32" s="141" t="n"/>
      <c r="CB32" s="150" t="n"/>
      <c r="CC32" s="150" t="n"/>
      <c r="CD32" s="150" t="n"/>
      <c r="CE32" s="150" t="n"/>
      <c r="CF32" s="150" t="n"/>
      <c r="CG32" s="150" t="n"/>
      <c r="CH32" s="150" t="n"/>
      <c r="CI32" s="150" t="n"/>
      <c r="CJ32" s="150" t="n"/>
      <c r="CK32" s="150" t="n"/>
      <c r="CL32" s="150" t="n"/>
      <c r="CM32" s="150" t="n"/>
      <c r="CN32" s="150" t="n"/>
      <c r="CO32" s="150" t="n"/>
      <c r="CP32" s="150" t="n"/>
      <c r="CQ32" s="150" t="n"/>
      <c r="CR32" s="150" t="n"/>
      <c r="CS32" s="150" t="n"/>
      <c r="CT32" s="150" t="n"/>
      <c r="CU32" s="150" t="n"/>
      <c r="CV32" s="150" t="n"/>
      <c r="CW32" s="150" t="n"/>
    </row>
    <row r="33" ht="15.75" customHeight="1" s="25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  <c r="BU33" s="56" t="n"/>
      <c r="BV33" s="56" t="n"/>
      <c r="BW33" s="56" t="n"/>
      <c r="BX33" s="56" t="n"/>
      <c r="BY33" s="56" t="n"/>
      <c r="BZ33" s="56" t="n"/>
      <c r="CA33" s="56" t="n"/>
      <c r="CB33" s="56" t="n"/>
      <c r="CC33" s="56" t="n"/>
      <c r="CD33" s="56" t="n"/>
      <c r="CE33" s="56" t="n"/>
      <c r="CF33" s="56" t="n"/>
      <c r="CG33" s="56" t="n"/>
      <c r="CH33" s="56" t="n"/>
      <c r="CI33" s="56" t="n"/>
      <c r="CJ33" s="56" t="n"/>
      <c r="CK33" s="56" t="n"/>
      <c r="CL33" s="56" t="n"/>
      <c r="CM33" s="56" t="n"/>
      <c r="CN33" s="56" t="n"/>
      <c r="CO33" s="56" t="n"/>
      <c r="CP33" s="56" t="n"/>
      <c r="CQ33" s="56" t="n"/>
      <c r="CR33" s="56" t="n"/>
      <c r="CS33" s="56" t="n"/>
      <c r="CT33" s="56" t="n"/>
      <c r="CU33" s="56" t="n"/>
      <c r="CV33" s="56" t="n"/>
      <c r="CW33" s="56" t="n"/>
    </row>
    <row r="34" ht="15.75" customHeight="1" s="255">
      <c r="A34" s="60" t="inlineStr">
        <is>
          <t>Cash at the beginning of month</t>
        </is>
      </c>
      <c r="B34" s="56" t="n"/>
      <c r="C34" s="56">
        <f>Settings!$B$10</f>
        <v/>
      </c>
      <c r="D34" s="56">
        <f>C39</f>
        <v/>
      </c>
      <c r="E34" s="56">
        <f>D39</f>
        <v/>
      </c>
      <c r="F34" s="56">
        <f>E39</f>
        <v/>
      </c>
      <c r="G34" s="56">
        <f>F39</f>
        <v/>
      </c>
      <c r="H34" s="56">
        <f>G39</f>
        <v/>
      </c>
      <c r="I34" s="56">
        <f>H39</f>
        <v/>
      </c>
      <c r="J34" s="56">
        <f>I39</f>
        <v/>
      </c>
      <c r="K34" s="56">
        <f>J39</f>
        <v/>
      </c>
      <c r="L34" s="56">
        <f>K39</f>
        <v/>
      </c>
      <c r="M34" s="56">
        <f>L39</f>
        <v/>
      </c>
      <c r="N34" s="56">
        <f>M39</f>
        <v/>
      </c>
      <c r="O34" s="56">
        <f>N39</f>
        <v/>
      </c>
      <c r="P34" s="56">
        <f>O39</f>
        <v/>
      </c>
      <c r="Q34" s="56">
        <f>P39</f>
        <v/>
      </c>
      <c r="R34" s="56">
        <f>Q39</f>
        <v/>
      </c>
      <c r="S34" s="56">
        <f>R39</f>
        <v/>
      </c>
      <c r="T34" s="56">
        <f>S39</f>
        <v/>
      </c>
      <c r="U34" s="56">
        <f>T39</f>
        <v/>
      </c>
      <c r="V34" s="56">
        <f>U39</f>
        <v/>
      </c>
      <c r="W34" s="56">
        <f>V39</f>
        <v/>
      </c>
      <c r="X34" s="56">
        <f>W39</f>
        <v/>
      </c>
      <c r="Y34" s="56">
        <f>X39</f>
        <v/>
      </c>
      <c r="Z34" s="56">
        <f>Y39</f>
        <v/>
      </c>
      <c r="AA34" s="56">
        <f>Z39</f>
        <v/>
      </c>
      <c r="AB34" s="56">
        <f>AA39</f>
        <v/>
      </c>
      <c r="AC34" s="56">
        <f>AB39</f>
        <v/>
      </c>
      <c r="AD34" s="56">
        <f>AC39</f>
        <v/>
      </c>
      <c r="AE34" s="56">
        <f>AD39</f>
        <v/>
      </c>
      <c r="AF34" s="56">
        <f>AE39</f>
        <v/>
      </c>
      <c r="AG34" s="56">
        <f>AF39</f>
        <v/>
      </c>
      <c r="AH34" s="56">
        <f>AG39</f>
        <v/>
      </c>
      <c r="AI34" s="56">
        <f>AH39</f>
        <v/>
      </c>
      <c r="AJ34" s="56">
        <f>AI39</f>
        <v/>
      </c>
      <c r="AK34" s="56">
        <f>AJ39</f>
        <v/>
      </c>
      <c r="AL34" s="56">
        <f>AK39</f>
        <v/>
      </c>
      <c r="AM34" s="56">
        <f>AL39</f>
        <v/>
      </c>
      <c r="AN34" s="56">
        <f>AM39</f>
        <v/>
      </c>
      <c r="AO34" s="56">
        <f>AN39</f>
        <v/>
      </c>
      <c r="AP34" s="56">
        <f>AO39</f>
        <v/>
      </c>
      <c r="AQ34" s="56">
        <f>AP39</f>
        <v/>
      </c>
      <c r="AR34" s="56">
        <f>AQ39</f>
        <v/>
      </c>
      <c r="AS34" s="56">
        <f>AR39</f>
        <v/>
      </c>
      <c r="AT34" s="56">
        <f>AS39</f>
        <v/>
      </c>
      <c r="AU34" s="56">
        <f>AT39</f>
        <v/>
      </c>
      <c r="AV34" s="56">
        <f>AU39</f>
        <v/>
      </c>
      <c r="AW34" s="56">
        <f>AV39</f>
        <v/>
      </c>
      <c r="AX34" s="56">
        <f>AW39</f>
        <v/>
      </c>
      <c r="AY34" s="56">
        <f>AX39</f>
        <v/>
      </c>
      <c r="AZ34" s="56">
        <f>AY39</f>
        <v/>
      </c>
      <c r="BA34" s="56">
        <f>AZ39</f>
        <v/>
      </c>
      <c r="BB34" s="56">
        <f>BA39</f>
        <v/>
      </c>
      <c r="BC34" s="56">
        <f>BB39</f>
        <v/>
      </c>
      <c r="BD34" s="56">
        <f>BC39</f>
        <v/>
      </c>
      <c r="BE34" s="56">
        <f>BD39</f>
        <v/>
      </c>
      <c r="BF34" s="56">
        <f>BE39</f>
        <v/>
      </c>
      <c r="BG34" s="56">
        <f>BF39</f>
        <v/>
      </c>
      <c r="BH34" s="56">
        <f>BG39</f>
        <v/>
      </c>
      <c r="BI34" s="56">
        <f>BH39</f>
        <v/>
      </c>
      <c r="BJ34" s="56">
        <f>BI39</f>
        <v/>
      </c>
      <c r="BK34" s="56">
        <f>BJ39</f>
        <v/>
      </c>
      <c r="BL34" s="56">
        <f>BK39</f>
        <v/>
      </c>
      <c r="BM34" s="56">
        <f>BL39</f>
        <v/>
      </c>
      <c r="BN34" s="56">
        <f>BM39</f>
        <v/>
      </c>
      <c r="BO34" s="56">
        <f>BN39</f>
        <v/>
      </c>
      <c r="BP34" s="56">
        <f>BO39</f>
        <v/>
      </c>
      <c r="BQ34" s="56">
        <f>BP39</f>
        <v/>
      </c>
      <c r="BR34" s="56">
        <f>BQ39</f>
        <v/>
      </c>
      <c r="BS34" s="56">
        <f>BR39</f>
        <v/>
      </c>
      <c r="BT34" s="56">
        <f>BS39</f>
        <v/>
      </c>
      <c r="BU34" s="56">
        <f>BT39</f>
        <v/>
      </c>
      <c r="BV34" s="56">
        <f>BU39</f>
        <v/>
      </c>
      <c r="BW34" s="56">
        <f>BV39</f>
        <v/>
      </c>
      <c r="BX34" s="56">
        <f>BW39</f>
        <v/>
      </c>
      <c r="BY34" s="56">
        <f>BX39</f>
        <v/>
      </c>
      <c r="BZ34" s="56">
        <f>BY39</f>
        <v/>
      </c>
      <c r="CA34" s="56">
        <f>BZ39</f>
        <v/>
      </c>
      <c r="CB34" s="56">
        <f>CA39</f>
        <v/>
      </c>
      <c r="CC34" s="56">
        <f>CB39</f>
        <v/>
      </c>
      <c r="CD34" s="56">
        <f>CC39</f>
        <v/>
      </c>
      <c r="CE34" s="56">
        <f>CD39</f>
        <v/>
      </c>
      <c r="CF34" s="56">
        <f>CE39</f>
        <v/>
      </c>
      <c r="CG34" s="56">
        <f>CF39</f>
        <v/>
      </c>
      <c r="CH34" s="56">
        <f>CG39</f>
        <v/>
      </c>
      <c r="CI34" s="56">
        <f>CH39</f>
        <v/>
      </c>
      <c r="CJ34" s="56">
        <f>CI39</f>
        <v/>
      </c>
      <c r="CK34" s="56">
        <f>CJ39</f>
        <v/>
      </c>
      <c r="CL34" s="56">
        <f>CK39</f>
        <v/>
      </c>
      <c r="CM34" s="56">
        <f>CL39</f>
        <v/>
      </c>
      <c r="CN34" s="56">
        <f>CM39</f>
        <v/>
      </c>
      <c r="CO34" s="56">
        <f>CN39</f>
        <v/>
      </c>
      <c r="CP34" s="56">
        <f>CO39</f>
        <v/>
      </c>
      <c r="CQ34" s="56">
        <f>CP39</f>
        <v/>
      </c>
      <c r="CR34" s="56">
        <f>CQ39</f>
        <v/>
      </c>
      <c r="CS34" s="56">
        <f>CR39</f>
        <v/>
      </c>
      <c r="CT34" s="56">
        <f>CS39</f>
        <v/>
      </c>
      <c r="CU34" s="56">
        <f>CT39</f>
        <v/>
      </c>
      <c r="CV34" s="56">
        <f>CU39</f>
        <v/>
      </c>
      <c r="CW34" s="56">
        <f>CV39</f>
        <v/>
      </c>
    </row>
    <row r="35" ht="15.75" customHeight="1" s="255">
      <c r="A35" s="56" t="inlineStr">
        <is>
          <t>Fundraising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  <c r="BU35" s="56" t="n"/>
      <c r="BV35" s="56" t="n"/>
      <c r="BW35" s="56" t="n"/>
      <c r="BX35" s="56" t="n"/>
      <c r="BY35" s="56" t="n"/>
      <c r="BZ35" s="56" t="n"/>
      <c r="CA35" s="56" t="n"/>
      <c r="CB35" s="56" t="n"/>
      <c r="CC35" s="56" t="n"/>
      <c r="CD35" s="56" t="n"/>
      <c r="CE35" s="56" t="n"/>
      <c r="CF35" s="56" t="n"/>
      <c r="CG35" s="56" t="n"/>
      <c r="CH35" s="56" t="n"/>
      <c r="CI35" s="56" t="n"/>
      <c r="CJ35" s="56" t="n"/>
      <c r="CK35" s="56" t="n"/>
      <c r="CL35" s="56" t="n"/>
      <c r="CM35" s="56" t="n"/>
      <c r="CN35" s="56" t="n"/>
      <c r="CO35" s="56" t="n"/>
      <c r="CP35" s="56" t="n"/>
      <c r="CQ35" s="56" t="n"/>
      <c r="CR35" s="56" t="n"/>
      <c r="CS35" s="56" t="n"/>
      <c r="CT35" s="56" t="n"/>
      <c r="CU35" s="56" t="n"/>
      <c r="CV35" s="56" t="n"/>
      <c r="CW35" s="56" t="n"/>
    </row>
    <row r="36" ht="15.75" customHeight="1" s="255">
      <c r="A36" s="56" t="inlineStr">
        <is>
          <t>Cash flow from Operations</t>
        </is>
      </c>
      <c r="B36" s="56" t="n"/>
      <c r="C36" s="56">
        <f>C28+C20</f>
        <v/>
      </c>
      <c r="D36" s="56">
        <f>D28+D20</f>
        <v/>
      </c>
      <c r="E36" s="56">
        <f>E28+E20</f>
        <v/>
      </c>
      <c r="F36" s="56">
        <f>F28+F20</f>
        <v/>
      </c>
      <c r="G36" s="56">
        <f>G28+G20</f>
        <v/>
      </c>
      <c r="H36" s="56">
        <f>H28+H20</f>
        <v/>
      </c>
      <c r="I36" s="56">
        <f>I28+I20</f>
        <v/>
      </c>
      <c r="J36" s="56">
        <f>J28+J20</f>
        <v/>
      </c>
      <c r="K36" s="56">
        <f>K28+K20</f>
        <v/>
      </c>
      <c r="L36" s="56">
        <f>L28+L20</f>
        <v/>
      </c>
      <c r="M36" s="56">
        <f>M28+M20</f>
        <v/>
      </c>
      <c r="N36" s="56">
        <f>N28+N20</f>
        <v/>
      </c>
      <c r="O36" s="56">
        <f>O28+O20</f>
        <v/>
      </c>
      <c r="P36" s="56">
        <f>P28+P20</f>
        <v/>
      </c>
      <c r="Q36" s="56">
        <f>Q28+Q20</f>
        <v/>
      </c>
      <c r="R36" s="56">
        <f>R28+R20</f>
        <v/>
      </c>
      <c r="S36" s="56">
        <f>S28+S20</f>
        <v/>
      </c>
      <c r="T36" s="56">
        <f>T28+T20</f>
        <v/>
      </c>
      <c r="U36" s="56">
        <f>U28+U20</f>
        <v/>
      </c>
      <c r="V36" s="56">
        <f>V28+V20</f>
        <v/>
      </c>
      <c r="W36" s="56">
        <f>W28+W20</f>
        <v/>
      </c>
      <c r="X36" s="56">
        <f>X28+X20</f>
        <v/>
      </c>
      <c r="Y36" s="56">
        <f>Y28+Y20</f>
        <v/>
      </c>
      <c r="Z36" s="56">
        <f>Z28+Z20</f>
        <v/>
      </c>
      <c r="AA36" s="56">
        <f>AA28+AA20</f>
        <v/>
      </c>
      <c r="AB36" s="56">
        <f>AB28+AB20</f>
        <v/>
      </c>
      <c r="AC36" s="56">
        <f>AC28+AC20</f>
        <v/>
      </c>
      <c r="AD36" s="56">
        <f>AD28+AD20</f>
        <v/>
      </c>
      <c r="AE36" s="56">
        <f>AE28+AE20</f>
        <v/>
      </c>
      <c r="AF36" s="56">
        <f>AF28+AF20</f>
        <v/>
      </c>
      <c r="AG36" s="56">
        <f>AG28+AG20</f>
        <v/>
      </c>
      <c r="AH36" s="56">
        <f>AH28+AH20</f>
        <v/>
      </c>
      <c r="AI36" s="56">
        <f>AI28+AI20</f>
        <v/>
      </c>
      <c r="AJ36" s="56">
        <f>AJ28+AJ20</f>
        <v/>
      </c>
      <c r="AK36" s="56">
        <f>AK28+AK20</f>
        <v/>
      </c>
      <c r="AL36" s="56">
        <f>AL28+AL20</f>
        <v/>
      </c>
      <c r="AM36" s="56">
        <f>AM28+AM20</f>
        <v/>
      </c>
      <c r="AN36" s="56">
        <f>AN28+AN20</f>
        <v/>
      </c>
      <c r="AO36" s="56">
        <f>AO28+AO20</f>
        <v/>
      </c>
      <c r="AP36" s="56">
        <f>AP28+AP20</f>
        <v/>
      </c>
      <c r="AQ36" s="56">
        <f>AQ28+AQ20</f>
        <v/>
      </c>
      <c r="AR36" s="56">
        <f>AR28+AR20</f>
        <v/>
      </c>
      <c r="AS36" s="56">
        <f>AS28+AS20</f>
        <v/>
      </c>
      <c r="AT36" s="56">
        <f>AT28+AT20</f>
        <v/>
      </c>
      <c r="AU36" s="56">
        <f>AU28+AU20</f>
        <v/>
      </c>
      <c r="AV36" s="56">
        <f>AV28+AV20</f>
        <v/>
      </c>
      <c r="AW36" s="56">
        <f>AW28+AW20</f>
        <v/>
      </c>
      <c r="AX36" s="56">
        <f>AX28+AX20</f>
        <v/>
      </c>
      <c r="AY36" s="56">
        <f>AY28+AY20</f>
        <v/>
      </c>
      <c r="AZ36" s="56">
        <f>AZ28+AZ20</f>
        <v/>
      </c>
      <c r="BA36" s="56">
        <f>BA28+BA20</f>
        <v/>
      </c>
      <c r="BB36" s="56">
        <f>BB28+BB20</f>
        <v/>
      </c>
      <c r="BC36" s="56">
        <f>BC28+BC20</f>
        <v/>
      </c>
      <c r="BD36" s="56">
        <f>BD28+BD20</f>
        <v/>
      </c>
      <c r="BE36" s="56">
        <f>BE28+BE20</f>
        <v/>
      </c>
      <c r="BF36" s="56">
        <f>BF28+BF20</f>
        <v/>
      </c>
      <c r="BG36" s="56">
        <f>BG28+BG20</f>
        <v/>
      </c>
      <c r="BH36" s="56">
        <f>BH28+BH20</f>
        <v/>
      </c>
      <c r="BI36" s="56">
        <f>BI28+BI20</f>
        <v/>
      </c>
      <c r="BJ36" s="56">
        <f>BJ28+BJ20</f>
        <v/>
      </c>
      <c r="BK36" s="56">
        <f>BK28+BK20</f>
        <v/>
      </c>
      <c r="BL36" s="56">
        <f>BL28+BL20</f>
        <v/>
      </c>
      <c r="BM36" s="56">
        <f>BM28+BM20</f>
        <v/>
      </c>
      <c r="BN36" s="56">
        <f>BN28+BN20</f>
        <v/>
      </c>
      <c r="BO36" s="56">
        <f>BO28+BO20</f>
        <v/>
      </c>
      <c r="BP36" s="56">
        <f>BP28+BP20</f>
        <v/>
      </c>
      <c r="BQ36" s="56">
        <f>BQ28+BQ20</f>
        <v/>
      </c>
      <c r="BR36" s="56">
        <f>BR28+BR20</f>
        <v/>
      </c>
      <c r="BS36" s="56">
        <f>BS28+BS20</f>
        <v/>
      </c>
      <c r="BT36" s="56">
        <f>BT28+BT20</f>
        <v/>
      </c>
      <c r="BU36" s="56">
        <f>BU28+BU20</f>
        <v/>
      </c>
      <c r="BV36" s="56">
        <f>BV28+BV20</f>
        <v/>
      </c>
      <c r="BW36" s="56">
        <f>BW28+BW20</f>
        <v/>
      </c>
      <c r="BX36" s="56">
        <f>BX28+BX20</f>
        <v/>
      </c>
      <c r="BY36" s="56">
        <f>BY28+BY20</f>
        <v/>
      </c>
      <c r="BZ36" s="56">
        <f>BZ28+BZ20</f>
        <v/>
      </c>
      <c r="CA36" s="56">
        <f>CA28+CA20</f>
        <v/>
      </c>
      <c r="CB36" s="56">
        <f>CB28+CB20</f>
        <v/>
      </c>
      <c r="CC36" s="56">
        <f>CC28+CC20</f>
        <v/>
      </c>
      <c r="CD36" s="56">
        <f>CD28+CD20</f>
        <v/>
      </c>
      <c r="CE36" s="56">
        <f>CE28+CE20</f>
        <v/>
      </c>
      <c r="CF36" s="56">
        <f>CF28+CF20</f>
        <v/>
      </c>
      <c r="CG36" s="56">
        <f>CG28+CG20</f>
        <v/>
      </c>
      <c r="CH36" s="56">
        <f>CH28+CH20</f>
        <v/>
      </c>
      <c r="CI36" s="56">
        <f>CI28+CI20</f>
        <v/>
      </c>
      <c r="CJ36" s="56">
        <f>CJ28+CJ20</f>
        <v/>
      </c>
      <c r="CK36" s="56">
        <f>CK28+CK20</f>
        <v/>
      </c>
      <c r="CL36" s="56">
        <f>CL28+CL20</f>
        <v/>
      </c>
      <c r="CM36" s="56">
        <f>CM28+CM20</f>
        <v/>
      </c>
      <c r="CN36" s="56">
        <f>CN28+CN20</f>
        <v/>
      </c>
      <c r="CO36" s="56">
        <f>CO28+CO20</f>
        <v/>
      </c>
      <c r="CP36" s="56">
        <f>CP28+CP20</f>
        <v/>
      </c>
      <c r="CQ36" s="56">
        <f>CQ28+CQ20</f>
        <v/>
      </c>
      <c r="CR36" s="56">
        <f>CR28+CR20</f>
        <v/>
      </c>
      <c r="CS36" s="56">
        <f>CS28+CS20</f>
        <v/>
      </c>
      <c r="CT36" s="56">
        <f>CT28+CT20</f>
        <v/>
      </c>
      <c r="CU36" s="56">
        <f>CU28+CU20</f>
        <v/>
      </c>
      <c r="CV36" s="56">
        <f>CV28+CV20</f>
        <v/>
      </c>
      <c r="CW36" s="56">
        <f>CW28+CW20</f>
        <v/>
      </c>
    </row>
    <row r="37" ht="15.75" customHeight="1" s="255">
      <c r="A37" s="56" t="inlineStr">
        <is>
          <t>Cash flow from Investing</t>
        </is>
      </c>
      <c r="B37" s="56" t="n"/>
      <c r="C37" s="56">
        <f>-'Monthly forecast'!D160</f>
        <v/>
      </c>
      <c r="D37" s="56">
        <f>-'Monthly forecast'!E160</f>
        <v/>
      </c>
      <c r="E37" s="56">
        <f>-'Monthly forecast'!F160</f>
        <v/>
      </c>
      <c r="F37" s="56">
        <f>-'Monthly forecast'!G160</f>
        <v/>
      </c>
      <c r="G37" s="56">
        <f>-'Monthly forecast'!H160</f>
        <v/>
      </c>
      <c r="H37" s="56">
        <f>-'Monthly forecast'!I160</f>
        <v/>
      </c>
      <c r="I37" s="56">
        <f>-'Monthly forecast'!J160</f>
        <v/>
      </c>
      <c r="J37" s="56">
        <f>-'Monthly forecast'!K160</f>
        <v/>
      </c>
      <c r="K37" s="56">
        <f>-'Monthly forecast'!L160</f>
        <v/>
      </c>
      <c r="L37" s="56">
        <f>-'Monthly forecast'!M160</f>
        <v/>
      </c>
      <c r="M37" s="56">
        <f>-'Monthly forecast'!N160</f>
        <v/>
      </c>
      <c r="N37" s="56">
        <f>-'Monthly forecast'!O160</f>
        <v/>
      </c>
      <c r="O37" s="56">
        <f>-'Monthly forecast'!P160</f>
        <v/>
      </c>
      <c r="P37" s="56">
        <f>-'Monthly forecast'!Q160</f>
        <v/>
      </c>
      <c r="Q37" s="56">
        <f>-'Monthly forecast'!R160</f>
        <v/>
      </c>
      <c r="R37" s="56">
        <f>-'Monthly forecast'!S160</f>
        <v/>
      </c>
      <c r="S37" s="56">
        <f>-'Monthly forecast'!T160</f>
        <v/>
      </c>
      <c r="T37" s="56">
        <f>-'Monthly forecast'!U160</f>
        <v/>
      </c>
      <c r="U37" s="56">
        <f>-'Monthly forecast'!V160</f>
        <v/>
      </c>
      <c r="V37" s="56">
        <f>-'Monthly forecast'!W160</f>
        <v/>
      </c>
      <c r="W37" s="56">
        <f>-'Monthly forecast'!X160</f>
        <v/>
      </c>
      <c r="X37" s="56">
        <f>-'Monthly forecast'!Y160</f>
        <v/>
      </c>
      <c r="Y37" s="56">
        <f>-'Monthly forecast'!Z160</f>
        <v/>
      </c>
      <c r="Z37" s="56">
        <f>-'Monthly forecast'!AA160</f>
        <v/>
      </c>
      <c r="AA37" s="56">
        <f>-'Monthly forecast'!AB160</f>
        <v/>
      </c>
      <c r="AB37" s="56">
        <f>-'Monthly forecast'!AC160</f>
        <v/>
      </c>
      <c r="AC37" s="56">
        <f>-'Monthly forecast'!AD160</f>
        <v/>
      </c>
      <c r="AD37" s="56">
        <f>-'Monthly forecast'!AE160</f>
        <v/>
      </c>
      <c r="AE37" s="56">
        <f>-'Monthly forecast'!AF160</f>
        <v/>
      </c>
      <c r="AF37" s="56">
        <f>-'Monthly forecast'!AG160</f>
        <v/>
      </c>
      <c r="AG37" s="56">
        <f>-'Monthly forecast'!AH160</f>
        <v/>
      </c>
      <c r="AH37" s="56">
        <f>-'Monthly forecast'!AI160</f>
        <v/>
      </c>
      <c r="AI37" s="56">
        <f>-'Monthly forecast'!AJ160</f>
        <v/>
      </c>
      <c r="AJ37" s="56">
        <f>-'Monthly forecast'!AK160</f>
        <v/>
      </c>
      <c r="AK37" s="56">
        <f>-'Monthly forecast'!AL160</f>
        <v/>
      </c>
      <c r="AL37" s="56">
        <f>-'Monthly forecast'!AM160</f>
        <v/>
      </c>
      <c r="AM37" s="56">
        <f>-'Monthly forecast'!AN160</f>
        <v/>
      </c>
      <c r="AN37" s="56">
        <f>-'Monthly forecast'!AO160</f>
        <v/>
      </c>
      <c r="AO37" s="56">
        <f>-'Monthly forecast'!AP160</f>
        <v/>
      </c>
      <c r="AP37" s="56">
        <f>-'Monthly forecast'!AQ160</f>
        <v/>
      </c>
      <c r="AQ37" s="56">
        <f>-'Monthly forecast'!AR160</f>
        <v/>
      </c>
      <c r="AR37" s="56">
        <f>-'Monthly forecast'!AS160</f>
        <v/>
      </c>
      <c r="AS37" s="56">
        <f>-'Monthly forecast'!AT160</f>
        <v/>
      </c>
      <c r="AT37" s="56">
        <f>-'Monthly forecast'!AU160</f>
        <v/>
      </c>
      <c r="AU37" s="56">
        <f>-'Monthly forecast'!AV160</f>
        <v/>
      </c>
      <c r="AV37" s="56">
        <f>-'Monthly forecast'!AW160</f>
        <v/>
      </c>
      <c r="AW37" s="56">
        <f>-'Monthly forecast'!AX160</f>
        <v/>
      </c>
      <c r="AX37" s="56">
        <f>-'Monthly forecast'!AY160</f>
        <v/>
      </c>
      <c r="AY37" s="56">
        <f>-'Monthly forecast'!AZ160</f>
        <v/>
      </c>
      <c r="AZ37" s="56">
        <f>-'Monthly forecast'!BA160</f>
        <v/>
      </c>
      <c r="BA37" s="56">
        <f>-'Monthly forecast'!BB160</f>
        <v/>
      </c>
      <c r="BB37" s="56">
        <f>-'Monthly forecast'!BC160</f>
        <v/>
      </c>
      <c r="BC37" s="56">
        <f>-'Monthly forecast'!BD160</f>
        <v/>
      </c>
      <c r="BD37" s="56">
        <f>-'Monthly forecast'!BE160</f>
        <v/>
      </c>
      <c r="BE37" s="56">
        <f>-'Monthly forecast'!BF160</f>
        <v/>
      </c>
      <c r="BF37" s="56">
        <f>-'Monthly forecast'!BG160</f>
        <v/>
      </c>
      <c r="BG37" s="56">
        <f>-'Monthly forecast'!BH160</f>
        <v/>
      </c>
      <c r="BH37" s="56">
        <f>-'Monthly forecast'!BI160</f>
        <v/>
      </c>
      <c r="BI37" s="56">
        <f>-'Monthly forecast'!BJ160</f>
        <v/>
      </c>
      <c r="BJ37" s="56">
        <f>-'Monthly forecast'!BK160</f>
        <v/>
      </c>
      <c r="BK37" s="56">
        <f>-'Monthly forecast'!BL160</f>
        <v/>
      </c>
      <c r="BL37" s="56">
        <f>-'Monthly forecast'!BM160</f>
        <v/>
      </c>
      <c r="BM37" s="56">
        <f>-'Monthly forecast'!BN160</f>
        <v/>
      </c>
      <c r="BN37" s="56">
        <f>-'Monthly forecast'!BO160</f>
        <v/>
      </c>
      <c r="BO37" s="56">
        <f>-'Monthly forecast'!BP160</f>
        <v/>
      </c>
      <c r="BP37" s="56">
        <f>-'Monthly forecast'!BQ160</f>
        <v/>
      </c>
      <c r="BQ37" s="56">
        <f>-'Monthly forecast'!BR160</f>
        <v/>
      </c>
      <c r="BR37" s="56">
        <f>-'Monthly forecast'!BS160</f>
        <v/>
      </c>
      <c r="BS37" s="56">
        <f>-'Monthly forecast'!BT160</f>
        <v/>
      </c>
      <c r="BT37" s="56">
        <f>-'Monthly forecast'!BU160</f>
        <v/>
      </c>
      <c r="BU37" s="56">
        <f>-'Monthly forecast'!BV160</f>
        <v/>
      </c>
      <c r="BV37" s="56">
        <f>-'Monthly forecast'!BW160</f>
        <v/>
      </c>
      <c r="BW37" s="56">
        <f>-'Monthly forecast'!BX160</f>
        <v/>
      </c>
      <c r="BX37" s="56">
        <f>-'Monthly forecast'!BY160</f>
        <v/>
      </c>
      <c r="BY37" s="56">
        <f>-'Monthly forecast'!BZ160</f>
        <v/>
      </c>
      <c r="BZ37" s="56">
        <f>-'Monthly forecast'!CA160</f>
        <v/>
      </c>
      <c r="CA37" s="56">
        <f>-'Monthly forecast'!CB160</f>
        <v/>
      </c>
      <c r="CB37" s="56">
        <f>-'Monthly forecast'!CC160</f>
        <v/>
      </c>
      <c r="CC37" s="56">
        <f>-'Monthly forecast'!CD160</f>
        <v/>
      </c>
      <c r="CD37" s="56">
        <f>-'Monthly forecast'!CE160</f>
        <v/>
      </c>
      <c r="CE37" s="56">
        <f>-'Monthly forecast'!CF160</f>
        <v/>
      </c>
      <c r="CF37" s="56">
        <f>-'Monthly forecast'!CG160</f>
        <v/>
      </c>
      <c r="CG37" s="56">
        <f>-'Monthly forecast'!CH160</f>
        <v/>
      </c>
      <c r="CH37" s="56">
        <f>-'Monthly forecast'!CI160</f>
        <v/>
      </c>
      <c r="CI37" s="56">
        <f>-'Monthly forecast'!CJ160</f>
        <v/>
      </c>
      <c r="CJ37" s="56">
        <f>-'Monthly forecast'!CK160</f>
        <v/>
      </c>
      <c r="CK37" s="56">
        <f>-'Monthly forecast'!CL160</f>
        <v/>
      </c>
      <c r="CL37" s="56">
        <f>-'Monthly forecast'!CM160</f>
        <v/>
      </c>
      <c r="CM37" s="56">
        <f>-'Monthly forecast'!CN160</f>
        <v/>
      </c>
      <c r="CN37" s="56">
        <f>-'Monthly forecast'!CO160</f>
        <v/>
      </c>
      <c r="CO37" s="56">
        <f>-'Monthly forecast'!CP160</f>
        <v/>
      </c>
      <c r="CP37" s="56">
        <f>-'Monthly forecast'!CQ160</f>
        <v/>
      </c>
      <c r="CQ37" s="56">
        <f>-'Monthly forecast'!CR160</f>
        <v/>
      </c>
      <c r="CR37" s="56">
        <f>-'Monthly forecast'!CS160</f>
        <v/>
      </c>
      <c r="CS37" s="56">
        <f>-'Monthly forecast'!CT160</f>
        <v/>
      </c>
      <c r="CT37" s="56">
        <f>-'Monthly forecast'!CU160</f>
        <v/>
      </c>
      <c r="CU37" s="56">
        <f>-'Monthly forecast'!CV160</f>
        <v/>
      </c>
      <c r="CV37" s="56">
        <f>-'Monthly forecast'!CW160</f>
        <v/>
      </c>
      <c r="CW37" s="56">
        <f>-'Monthly forecast'!CX160</f>
        <v/>
      </c>
    </row>
    <row r="38" ht="15.75" customHeight="1" s="255">
      <c r="A38" s="56" t="inlineStr">
        <is>
          <t>Cash flow from Financing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  <c r="BU38" s="56" t="n"/>
      <c r="BV38" s="56" t="n"/>
      <c r="BW38" s="56" t="n"/>
      <c r="BX38" s="56" t="n"/>
      <c r="BY38" s="56" t="n"/>
      <c r="BZ38" s="56" t="n"/>
      <c r="CA38" s="56" t="n"/>
      <c r="CB38" s="56" t="n"/>
      <c r="CC38" s="56" t="n"/>
      <c r="CD38" s="56" t="n"/>
      <c r="CE38" s="56" t="n"/>
      <c r="CF38" s="56" t="n"/>
      <c r="CG38" s="56" t="n"/>
      <c r="CH38" s="56" t="n"/>
      <c r="CI38" s="56" t="n"/>
      <c r="CJ38" s="56" t="n"/>
      <c r="CK38" s="56" t="n"/>
      <c r="CL38" s="56" t="n"/>
      <c r="CM38" s="56" t="n"/>
      <c r="CN38" s="56" t="n"/>
      <c r="CO38" s="56" t="n"/>
      <c r="CP38" s="56" t="n"/>
      <c r="CQ38" s="56" t="n"/>
      <c r="CR38" s="56" t="n"/>
      <c r="CS38" s="56" t="n"/>
      <c r="CT38" s="56" t="n"/>
      <c r="CU38" s="56" t="n"/>
      <c r="CV38" s="56" t="n"/>
      <c r="CW38" s="56" t="n"/>
    </row>
    <row r="39" ht="15.75" customHeight="1" s="255">
      <c r="A39" s="60" t="inlineStr">
        <is>
          <t>Cash at the end of month</t>
        </is>
      </c>
      <c r="B39" s="56" t="n"/>
      <c r="C39" s="56">
        <f>C34+C35+C36+C37+C38</f>
        <v/>
      </c>
      <c r="D39" s="56">
        <f>D34+D35+D36+D37+D38</f>
        <v/>
      </c>
      <c r="E39" s="56">
        <f>E34+E35+E36+E37+E38</f>
        <v/>
      </c>
      <c r="F39" s="56">
        <f>F34+F35+F36+F37+F38</f>
        <v/>
      </c>
      <c r="G39" s="56">
        <f>G34+G35+G36+G37+G38</f>
        <v/>
      </c>
      <c r="H39" s="56">
        <f>H34+H35+H36+H37+H38</f>
        <v/>
      </c>
      <c r="I39" s="56">
        <f>I34+I35+I36+I37+I38</f>
        <v/>
      </c>
      <c r="J39" s="56">
        <f>J34+J35+J36+J37+J38</f>
        <v/>
      </c>
      <c r="K39" s="56">
        <f>K34+K35+K36+K37+K38</f>
        <v/>
      </c>
      <c r="L39" s="56">
        <f>L34+L35+L36+L37+L38</f>
        <v/>
      </c>
      <c r="M39" s="56">
        <f>M34+M35+M36+M37+M38</f>
        <v/>
      </c>
      <c r="N39" s="56">
        <f>N34+N35+N36+N37+N38</f>
        <v/>
      </c>
      <c r="O39" s="56">
        <f>O34+O35+O36+O37+O38</f>
        <v/>
      </c>
      <c r="P39" s="56">
        <f>P34+P35+P36+P37+P38</f>
        <v/>
      </c>
      <c r="Q39" s="56">
        <f>Q34+Q35+Q36+Q37+Q38</f>
        <v/>
      </c>
      <c r="R39" s="56">
        <f>R34+R35+R36+R37+R38</f>
        <v/>
      </c>
      <c r="S39" s="56">
        <f>S34+S35+S36+S37+S38</f>
        <v/>
      </c>
      <c r="T39" s="56">
        <f>T34+T35+T36+T37+T38</f>
        <v/>
      </c>
      <c r="U39" s="56">
        <f>U34+U35+U36+U37+U38</f>
        <v/>
      </c>
      <c r="V39" s="56">
        <f>V34+V35+V36+V37+V38</f>
        <v/>
      </c>
      <c r="W39" s="56">
        <f>W34+W35+W36+W37+W38</f>
        <v/>
      </c>
      <c r="X39" s="56">
        <f>X34+X35+X36+X37+X38</f>
        <v/>
      </c>
      <c r="Y39" s="56">
        <f>Y34+Y35+Y36+Y37+Y38</f>
        <v/>
      </c>
      <c r="Z39" s="56">
        <f>Z34+Z35+Z36+Z37+Z38</f>
        <v/>
      </c>
      <c r="AA39" s="56">
        <f>AA34+AA35+AA36+AA37+AA38</f>
        <v/>
      </c>
      <c r="AB39" s="56">
        <f>AB34+AB35+AB36+AB37+AB38</f>
        <v/>
      </c>
      <c r="AC39" s="56">
        <f>AC34+AC35+AC36+AC37+AC38</f>
        <v/>
      </c>
      <c r="AD39" s="56">
        <f>AD34+AD35+AD36+AD37+AD38</f>
        <v/>
      </c>
      <c r="AE39" s="56">
        <f>AE34+AE35+AE36+AE37+AE38</f>
        <v/>
      </c>
      <c r="AF39" s="56">
        <f>AF34+AF35+AF36+AF37+AF38</f>
        <v/>
      </c>
      <c r="AG39" s="56">
        <f>AG34+AG35+AG36+AG37+AG38</f>
        <v/>
      </c>
      <c r="AH39" s="56">
        <f>AH34+AH35+AH36+AH37+AH38</f>
        <v/>
      </c>
      <c r="AI39" s="56">
        <f>AI34+AI35+AI36+AI37+AI38</f>
        <v/>
      </c>
      <c r="AJ39" s="56">
        <f>AJ34+AJ35+AJ36+AJ37+AJ38</f>
        <v/>
      </c>
      <c r="AK39" s="56">
        <f>AK34+AK35+AK36+AK37+AK38</f>
        <v/>
      </c>
      <c r="AL39" s="56">
        <f>AL34+AL35+AL36+AL37+AL38</f>
        <v/>
      </c>
      <c r="AM39" s="56">
        <f>AM34+AM35+AM36+AM37+AM38</f>
        <v/>
      </c>
      <c r="AN39" s="56">
        <f>AN34+AN35+AN36+AN37+AN38</f>
        <v/>
      </c>
      <c r="AO39" s="56">
        <f>AO34+AO35+AO36+AO37+AO38</f>
        <v/>
      </c>
      <c r="AP39" s="56">
        <f>AP34+AP35+AP36+AP37+AP38</f>
        <v/>
      </c>
      <c r="AQ39" s="56">
        <f>AQ34+AQ35+AQ36+AQ37+AQ38</f>
        <v/>
      </c>
      <c r="AR39" s="56">
        <f>AR34+AR35+AR36+AR37+AR38</f>
        <v/>
      </c>
      <c r="AS39" s="56">
        <f>AS34+AS35+AS36+AS37+AS38</f>
        <v/>
      </c>
      <c r="AT39" s="56">
        <f>AT34+AT35+AT36+AT37+AT38</f>
        <v/>
      </c>
      <c r="AU39" s="56">
        <f>AU34+AU35+AU36+AU37+AU38</f>
        <v/>
      </c>
      <c r="AV39" s="56">
        <f>AV34+AV35+AV36+AV37+AV38</f>
        <v/>
      </c>
      <c r="AW39" s="56">
        <f>AW34+AW35+AW36+AW37+AW38</f>
        <v/>
      </c>
      <c r="AX39" s="56">
        <f>AX34+AX35+AX36+AX37+AX38</f>
        <v/>
      </c>
      <c r="AY39" s="56">
        <f>AY34+AY35+AY36+AY37+AY38</f>
        <v/>
      </c>
      <c r="AZ39" s="56">
        <f>AZ34+AZ35+AZ36+AZ37+AZ38</f>
        <v/>
      </c>
      <c r="BA39" s="56">
        <f>BA34+BA35+BA36+BA37+BA38</f>
        <v/>
      </c>
      <c r="BB39" s="56">
        <f>BB34+BB35+BB36+BB37+BB38</f>
        <v/>
      </c>
      <c r="BC39" s="56">
        <f>BC34+BC35+BC36+BC37+BC38</f>
        <v/>
      </c>
      <c r="BD39" s="56">
        <f>BD34+BD35+BD36+BD37+BD38</f>
        <v/>
      </c>
      <c r="BE39" s="56">
        <f>BE34+BE35+BE36+BE37+BE38</f>
        <v/>
      </c>
      <c r="BF39" s="56">
        <f>BF34+BF35+BF36+BF37+BF38</f>
        <v/>
      </c>
      <c r="BG39" s="56">
        <f>BG34+BG35+BG36+BG37+BG38</f>
        <v/>
      </c>
      <c r="BH39" s="56">
        <f>BH34+BH35+BH36+BH37+BH38</f>
        <v/>
      </c>
      <c r="BI39" s="56">
        <f>BI34+BI35+BI36+BI37+BI38</f>
        <v/>
      </c>
      <c r="BJ39" s="56">
        <f>BJ34+BJ35+BJ36+BJ37+BJ38</f>
        <v/>
      </c>
      <c r="BK39" s="56">
        <f>BK34+BK35+BK36+BK37+BK38</f>
        <v/>
      </c>
      <c r="BL39" s="56">
        <f>BL34+BL35+BL36+BL37+BL38</f>
        <v/>
      </c>
      <c r="BM39" s="56">
        <f>BM34+BM35+BM36+BM37+BM38</f>
        <v/>
      </c>
      <c r="BN39" s="56">
        <f>BN34+BN35+BN36+BN37+BN38</f>
        <v/>
      </c>
      <c r="BO39" s="56">
        <f>BO34+BO35+BO36+BO37+BO38</f>
        <v/>
      </c>
      <c r="BP39" s="56">
        <f>BP34+BP35+BP36+BP37+BP38</f>
        <v/>
      </c>
      <c r="BQ39" s="56">
        <f>BQ34+BQ35+BQ36+BQ37+BQ38</f>
        <v/>
      </c>
      <c r="BR39" s="56">
        <f>BR34+BR35+BR36+BR37+BR38</f>
        <v/>
      </c>
      <c r="BS39" s="56">
        <f>BS34+BS35+BS36+BS37+BS38</f>
        <v/>
      </c>
      <c r="BT39" s="56">
        <f>BT34+BT35+BT36+BT37+BT38</f>
        <v/>
      </c>
      <c r="BU39" s="56">
        <f>BU34+BU35+BU36+BU37+BU38</f>
        <v/>
      </c>
      <c r="BV39" s="56">
        <f>BV34+BV35+BV36+BV37+BV38</f>
        <v/>
      </c>
      <c r="BW39" s="56">
        <f>BW34+BW35+BW36+BW37+BW38</f>
        <v/>
      </c>
      <c r="BX39" s="56">
        <f>BX34+BX35+BX36+BX37+BX38</f>
        <v/>
      </c>
      <c r="BY39" s="56">
        <f>BY34+BY35+BY36+BY37+BY38</f>
        <v/>
      </c>
      <c r="BZ39" s="56">
        <f>BZ34+BZ35+BZ36+BZ37+BZ38</f>
        <v/>
      </c>
      <c r="CA39" s="56">
        <f>CA34+CA35+CA36+CA37+CA38</f>
        <v/>
      </c>
      <c r="CB39" s="56">
        <f>CB34+CB35+CB36+CB37+CB38</f>
        <v/>
      </c>
      <c r="CC39" s="56">
        <f>CC34+CC35+CC36+CC37+CC38</f>
        <v/>
      </c>
      <c r="CD39" s="56">
        <f>CD34+CD35+CD36+CD37+CD38</f>
        <v/>
      </c>
      <c r="CE39" s="56">
        <f>CE34+CE35+CE36+CE37+CE38</f>
        <v/>
      </c>
      <c r="CF39" s="56">
        <f>CF34+CF35+CF36+CF37+CF38</f>
        <v/>
      </c>
      <c r="CG39" s="56">
        <f>CG34+CG35+CG36+CG37+CG38</f>
        <v/>
      </c>
      <c r="CH39" s="56">
        <f>CH34+CH35+CH36+CH37+CH38</f>
        <v/>
      </c>
      <c r="CI39" s="56">
        <f>CI34+CI35+CI36+CI37+CI38</f>
        <v/>
      </c>
      <c r="CJ39" s="56">
        <f>CJ34+CJ35+CJ36+CJ37+CJ38</f>
        <v/>
      </c>
      <c r="CK39" s="56">
        <f>CK34+CK35+CK36+CK37+CK38</f>
        <v/>
      </c>
      <c r="CL39" s="56">
        <f>CL34+CL35+CL36+CL37+CL38</f>
        <v/>
      </c>
      <c r="CM39" s="56">
        <f>CM34+CM35+CM36+CM37+CM38</f>
        <v/>
      </c>
      <c r="CN39" s="56">
        <f>CN34+CN35+CN36+CN37+CN38</f>
        <v/>
      </c>
      <c r="CO39" s="56">
        <f>CO34+CO35+CO36+CO37+CO38</f>
        <v/>
      </c>
      <c r="CP39" s="56">
        <f>CP34+CP35+CP36+CP37+CP38</f>
        <v/>
      </c>
      <c r="CQ39" s="56">
        <f>CQ34+CQ35+CQ36+CQ37+CQ38</f>
        <v/>
      </c>
      <c r="CR39" s="56">
        <f>CR34+CR35+CR36+CR37+CR38</f>
        <v/>
      </c>
      <c r="CS39" s="56">
        <f>CS34+CS35+CS36+CS37+CS38</f>
        <v/>
      </c>
      <c r="CT39" s="56">
        <f>CT34+CT35+CT36+CT37+CT38</f>
        <v/>
      </c>
      <c r="CU39" s="56">
        <f>CU34+CU35+CU36+CU37+CU38</f>
        <v/>
      </c>
      <c r="CV39" s="56">
        <f>CV34+CV35+CV36+CV37+CV38</f>
        <v/>
      </c>
      <c r="CW39" s="56">
        <f>CW34+CW35+CW36+CW37+CW38</f>
        <v/>
      </c>
    </row>
    <row r="40" ht="15.75" customHeight="1" s="25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  <c r="BU40" s="56" t="n"/>
      <c r="BV40" s="56" t="n"/>
      <c r="BW40" s="56" t="n"/>
      <c r="BX40" s="56" t="n"/>
      <c r="BY40" s="56" t="n"/>
      <c r="BZ40" s="56" t="n"/>
      <c r="CA40" s="56" t="n"/>
      <c r="CB40" s="56" t="n"/>
      <c r="CC40" s="56" t="n"/>
      <c r="CD40" s="56" t="n"/>
      <c r="CE40" s="56" t="n"/>
      <c r="CF40" s="56" t="n"/>
      <c r="CG40" s="56" t="n"/>
      <c r="CH40" s="56" t="n"/>
      <c r="CI40" s="56" t="n"/>
      <c r="CJ40" s="56" t="n"/>
      <c r="CK40" s="56" t="n"/>
      <c r="CL40" s="56" t="n"/>
      <c r="CM40" s="56" t="n"/>
      <c r="CN40" s="56" t="n"/>
      <c r="CO40" s="56" t="n"/>
      <c r="CP40" s="56" t="n"/>
      <c r="CQ40" s="56" t="n"/>
      <c r="CR40" s="56" t="n"/>
      <c r="CS40" s="56" t="n"/>
      <c r="CT40" s="56" t="n"/>
      <c r="CU40" s="56" t="n"/>
      <c r="CV40" s="56" t="n"/>
      <c r="CW40" s="56" t="n"/>
    </row>
    <row r="41" ht="15.75" customHeight="1" s="25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  <c r="BX41" s="56" t="n"/>
      <c r="BY41" s="56" t="n"/>
      <c r="BZ41" s="56" t="n"/>
      <c r="CA41" s="56" t="n"/>
      <c r="CB41" s="56" t="n"/>
      <c r="CC41" s="56" t="n"/>
      <c r="CD41" s="56" t="n"/>
      <c r="CE41" s="56" t="n"/>
      <c r="CF41" s="56" t="n"/>
      <c r="CG41" s="56" t="n"/>
      <c r="CH41" s="56" t="n"/>
      <c r="CI41" s="56" t="n"/>
      <c r="CJ41" s="56" t="n"/>
      <c r="CK41" s="56" t="n"/>
      <c r="CL41" s="56" t="n"/>
      <c r="CM41" s="56" t="n"/>
      <c r="CN41" s="56" t="n"/>
      <c r="CO41" s="56" t="n"/>
      <c r="CP41" s="56" t="n"/>
      <c r="CQ41" s="56" t="n"/>
      <c r="CR41" s="56" t="n"/>
      <c r="CS41" s="56" t="n"/>
      <c r="CT41" s="56" t="n"/>
      <c r="CU41" s="56" t="n"/>
      <c r="CV41" s="56" t="n"/>
      <c r="CW41" s="56" t="n"/>
    </row>
    <row r="42" ht="15.75" customHeight="1" s="25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  <c r="CW42" s="56" t="n"/>
    </row>
    <row r="43" ht="15.75" customHeight="1" s="255">
      <c r="A43" s="142" t="inlineStr">
        <is>
          <t>BALANCE SHEET</t>
        </is>
      </c>
      <c r="B43" s="150" t="n"/>
      <c r="C43" s="175" t="n"/>
      <c r="D43" s="150" t="n"/>
      <c r="E43" s="150" t="n"/>
      <c r="F43" s="150" t="n"/>
      <c r="G43" s="150" t="n"/>
      <c r="H43" s="142" t="n"/>
      <c r="I43" s="150" t="n"/>
      <c r="J43" s="150" t="n"/>
      <c r="K43" s="150" t="n"/>
      <c r="L43" s="150" t="n"/>
      <c r="M43" s="150" t="n"/>
      <c r="N43" s="150" t="n"/>
      <c r="O43" s="150" t="n"/>
      <c r="P43" s="150" t="n"/>
      <c r="Q43" s="150" t="n"/>
      <c r="R43" s="150" t="n"/>
      <c r="S43" s="150" t="n"/>
      <c r="T43" s="150" t="n"/>
      <c r="U43" s="150" t="n"/>
      <c r="V43" s="150" t="n"/>
      <c r="W43" s="150" t="n"/>
      <c r="X43" s="150" t="n"/>
      <c r="Y43" s="150" t="n"/>
      <c r="Z43" s="150" t="n"/>
      <c r="AA43" s="150" t="n"/>
      <c r="AB43" s="142" t="n"/>
      <c r="AC43" s="150" t="n"/>
      <c r="AD43" s="150" t="n"/>
      <c r="AE43" s="150" t="n"/>
      <c r="AF43" s="150" t="n"/>
      <c r="AG43" s="150" t="n"/>
      <c r="AH43" s="142" t="n"/>
      <c r="AI43" s="150" t="n"/>
      <c r="AJ43" s="150" t="n"/>
      <c r="AK43" s="150" t="n"/>
      <c r="AL43" s="150" t="n"/>
      <c r="AM43" s="150" t="n"/>
      <c r="AN43" s="150" t="n"/>
      <c r="AO43" s="150" t="n"/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  <c r="AY43" s="150" t="n"/>
      <c r="AZ43" s="150" t="n"/>
      <c r="BA43" s="150" t="n"/>
      <c r="BB43" s="142" t="n"/>
      <c r="BC43" s="150" t="n"/>
      <c r="BD43" s="150" t="n"/>
      <c r="BE43" s="150" t="n"/>
      <c r="BF43" s="150" t="n"/>
      <c r="BG43" s="150" t="n"/>
      <c r="BH43" s="142" t="n"/>
      <c r="BI43" s="150" t="n"/>
      <c r="BJ43" s="150" t="n"/>
      <c r="BK43" s="150" t="n"/>
      <c r="BL43" s="150" t="n"/>
      <c r="BM43" s="150" t="n"/>
      <c r="BN43" s="150" t="n"/>
      <c r="BO43" s="150" t="n"/>
      <c r="BP43" s="150" t="n"/>
      <c r="BQ43" s="150" t="n"/>
      <c r="BR43" s="150" t="n"/>
      <c r="BS43" s="150" t="n"/>
      <c r="BT43" s="150" t="n"/>
      <c r="BU43" s="150" t="n"/>
      <c r="BV43" s="150" t="n"/>
      <c r="BW43" s="150" t="n"/>
      <c r="BX43" s="150" t="n"/>
      <c r="BY43" s="150" t="n"/>
      <c r="BZ43" s="150" t="n"/>
      <c r="CA43" s="150" t="n"/>
      <c r="CB43" s="150" t="n"/>
      <c r="CC43" s="150" t="n"/>
      <c r="CD43" s="150" t="n"/>
      <c r="CE43" s="150" t="n"/>
      <c r="CF43" s="150" t="n"/>
      <c r="CG43" s="150" t="n"/>
      <c r="CH43" s="150" t="n"/>
      <c r="CI43" s="150" t="n"/>
      <c r="CJ43" s="150" t="n"/>
      <c r="CK43" s="150" t="n"/>
      <c r="CL43" s="150" t="n"/>
      <c r="CM43" s="150" t="n"/>
      <c r="CN43" s="150" t="n"/>
      <c r="CO43" s="150" t="n"/>
      <c r="CP43" s="150" t="n"/>
      <c r="CQ43" s="150" t="n"/>
      <c r="CR43" s="150" t="n"/>
      <c r="CS43" s="150" t="n"/>
      <c r="CT43" s="150" t="n"/>
      <c r="CU43" s="150" t="n"/>
      <c r="CV43" s="150" t="n"/>
      <c r="CW43" s="150" t="n"/>
    </row>
    <row r="44" ht="15.75" customHeight="1" s="25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  <c r="BU44" s="56" t="n"/>
      <c r="BV44" s="56" t="n"/>
      <c r="BW44" s="56" t="n"/>
      <c r="BX44" s="56" t="n"/>
      <c r="BY44" s="56" t="n"/>
      <c r="BZ44" s="56" t="n"/>
      <c r="CA44" s="56" t="n"/>
      <c r="CB44" s="56" t="n"/>
      <c r="CC44" s="56" t="n"/>
      <c r="CD44" s="56" t="n"/>
      <c r="CE44" s="56" t="n"/>
      <c r="CF44" s="56" t="n"/>
      <c r="CG44" s="56" t="n"/>
      <c r="CH44" s="56" t="n"/>
      <c r="CI44" s="56" t="n"/>
      <c r="CJ44" s="56" t="n"/>
      <c r="CK44" s="56" t="n"/>
      <c r="CL44" s="56" t="n"/>
      <c r="CM44" s="56" t="n"/>
      <c r="CN44" s="56" t="n"/>
      <c r="CO44" s="56" t="n"/>
      <c r="CP44" s="56" t="n"/>
      <c r="CQ44" s="56" t="n"/>
      <c r="CR44" s="56" t="n"/>
      <c r="CS44" s="56" t="n"/>
      <c r="CT44" s="56" t="n"/>
      <c r="CU44" s="56" t="n"/>
      <c r="CV44" s="56" t="n"/>
      <c r="CW44" s="56" t="n"/>
    </row>
    <row r="45" ht="15.75" customHeight="1" s="255">
      <c r="A45" s="60" t="inlineStr">
        <is>
          <t>ASSETS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  <c r="BX45" s="56" t="n"/>
      <c r="BY45" s="56" t="n"/>
      <c r="BZ45" s="56" t="n"/>
      <c r="CA45" s="56" t="n"/>
      <c r="CB45" s="56" t="n"/>
      <c r="CC45" s="56" t="n"/>
      <c r="CD45" s="56" t="n"/>
      <c r="CE45" s="56" t="n"/>
      <c r="CF45" s="56" t="n"/>
      <c r="CG45" s="56" t="n"/>
      <c r="CH45" s="56" t="n"/>
      <c r="CI45" s="56" t="n"/>
      <c r="CJ45" s="56" t="n"/>
      <c r="CK45" s="56" t="n"/>
      <c r="CL45" s="56" t="n"/>
      <c r="CM45" s="56" t="n"/>
      <c r="CN45" s="56" t="n"/>
      <c r="CO45" s="56" t="n"/>
      <c r="CP45" s="56" t="n"/>
      <c r="CQ45" s="56" t="n"/>
      <c r="CR45" s="56" t="n"/>
      <c r="CS45" s="56" t="n"/>
      <c r="CT45" s="56" t="n"/>
      <c r="CU45" s="56" t="n"/>
      <c r="CV45" s="56" t="n"/>
      <c r="CW45" s="56" t="n"/>
    </row>
    <row r="46" ht="15.75" customHeight="1" s="255">
      <c r="A46" s="56" t="inlineStr">
        <is>
          <t>Cash</t>
        </is>
      </c>
      <c r="B46" s="56" t="n"/>
      <c r="C46" s="56">
        <f>C39</f>
        <v/>
      </c>
      <c r="D46" s="56">
        <f>D39</f>
        <v/>
      </c>
      <c r="E46" s="56">
        <f>E39</f>
        <v/>
      </c>
      <c r="F46" s="56">
        <f>F39</f>
        <v/>
      </c>
      <c r="G46" s="56">
        <f>G39</f>
        <v/>
      </c>
      <c r="H46" s="56">
        <f>H39</f>
        <v/>
      </c>
      <c r="I46" s="56">
        <f>I39</f>
        <v/>
      </c>
      <c r="J46" s="56">
        <f>J39</f>
        <v/>
      </c>
      <c r="K46" s="56">
        <f>K39</f>
        <v/>
      </c>
      <c r="L46" s="56">
        <f>L39</f>
        <v/>
      </c>
      <c r="M46" s="56">
        <f>M39</f>
        <v/>
      </c>
      <c r="N46" s="56">
        <f>N39</f>
        <v/>
      </c>
      <c r="O46" s="56">
        <f>O39</f>
        <v/>
      </c>
      <c r="P46" s="56">
        <f>P39</f>
        <v/>
      </c>
      <c r="Q46" s="56">
        <f>Q39</f>
        <v/>
      </c>
      <c r="R46" s="56">
        <f>R39</f>
        <v/>
      </c>
      <c r="S46" s="56">
        <f>S39</f>
        <v/>
      </c>
      <c r="T46" s="56">
        <f>T39</f>
        <v/>
      </c>
      <c r="U46" s="56">
        <f>U39</f>
        <v/>
      </c>
      <c r="V46" s="56">
        <f>V39</f>
        <v/>
      </c>
      <c r="W46" s="56">
        <f>W39</f>
        <v/>
      </c>
      <c r="X46" s="56">
        <f>X39</f>
        <v/>
      </c>
      <c r="Y46" s="56">
        <f>Y39</f>
        <v/>
      </c>
      <c r="Z46" s="56">
        <f>Z39</f>
        <v/>
      </c>
      <c r="AA46" s="56">
        <f>AA39</f>
        <v/>
      </c>
      <c r="AB46" s="56">
        <f>AB39</f>
        <v/>
      </c>
      <c r="AC46" s="56">
        <f>AC39</f>
        <v/>
      </c>
      <c r="AD46" s="56">
        <f>AD39</f>
        <v/>
      </c>
      <c r="AE46" s="56">
        <f>AE39</f>
        <v/>
      </c>
      <c r="AF46" s="56">
        <f>AF39</f>
        <v/>
      </c>
      <c r="AG46" s="56">
        <f>AG39</f>
        <v/>
      </c>
      <c r="AH46" s="56">
        <f>AH39</f>
        <v/>
      </c>
      <c r="AI46" s="56">
        <f>AI39</f>
        <v/>
      </c>
      <c r="AJ46" s="56">
        <f>AJ39</f>
        <v/>
      </c>
      <c r="AK46" s="56">
        <f>AK39</f>
        <v/>
      </c>
      <c r="AL46" s="56">
        <f>AL39</f>
        <v/>
      </c>
      <c r="AM46" s="56">
        <f>AM39</f>
        <v/>
      </c>
      <c r="AN46" s="56">
        <f>AN39</f>
        <v/>
      </c>
      <c r="AO46" s="56">
        <f>AO39</f>
        <v/>
      </c>
      <c r="AP46" s="56">
        <f>AP39</f>
        <v/>
      </c>
      <c r="AQ46" s="56">
        <f>AQ39</f>
        <v/>
      </c>
      <c r="AR46" s="56">
        <f>AR39</f>
        <v/>
      </c>
      <c r="AS46" s="56">
        <f>AS39</f>
        <v/>
      </c>
      <c r="AT46" s="56">
        <f>AT39</f>
        <v/>
      </c>
      <c r="AU46" s="56">
        <f>AU39</f>
        <v/>
      </c>
      <c r="AV46" s="56">
        <f>AV39</f>
        <v/>
      </c>
      <c r="AW46" s="56">
        <f>AW39</f>
        <v/>
      </c>
      <c r="AX46" s="56">
        <f>AX39</f>
        <v/>
      </c>
      <c r="AY46" s="56">
        <f>AY39</f>
        <v/>
      </c>
      <c r="AZ46" s="56">
        <f>AZ39</f>
        <v/>
      </c>
      <c r="BA46" s="56">
        <f>BA39</f>
        <v/>
      </c>
      <c r="BB46" s="56">
        <f>BB39</f>
        <v/>
      </c>
      <c r="BC46" s="56">
        <f>BC39</f>
        <v/>
      </c>
      <c r="BD46" s="56">
        <f>BD39</f>
        <v/>
      </c>
      <c r="BE46" s="56">
        <f>BE39</f>
        <v/>
      </c>
      <c r="BF46" s="56">
        <f>BF39</f>
        <v/>
      </c>
      <c r="BG46" s="56">
        <f>BG39</f>
        <v/>
      </c>
      <c r="BH46" s="56">
        <f>BH39</f>
        <v/>
      </c>
      <c r="BI46" s="56">
        <f>BI39</f>
        <v/>
      </c>
      <c r="BJ46" s="56">
        <f>BJ39</f>
        <v/>
      </c>
      <c r="BK46" s="56">
        <f>BK39</f>
        <v/>
      </c>
      <c r="BL46" s="56">
        <f>BL39</f>
        <v/>
      </c>
      <c r="BM46" s="56">
        <f>BM39</f>
        <v/>
      </c>
      <c r="BN46" s="56">
        <f>BN39</f>
        <v/>
      </c>
      <c r="BO46" s="56">
        <f>BO39</f>
        <v/>
      </c>
      <c r="BP46" s="56">
        <f>BP39</f>
        <v/>
      </c>
      <c r="BQ46" s="56">
        <f>BQ39</f>
        <v/>
      </c>
      <c r="BR46" s="56">
        <f>BR39</f>
        <v/>
      </c>
      <c r="BS46" s="56">
        <f>BS39</f>
        <v/>
      </c>
      <c r="BT46" s="56">
        <f>BT39</f>
        <v/>
      </c>
      <c r="BU46" s="56">
        <f>BU39</f>
        <v/>
      </c>
      <c r="BV46" s="56">
        <f>BV39</f>
        <v/>
      </c>
      <c r="BW46" s="56">
        <f>BW39</f>
        <v/>
      </c>
      <c r="BX46" s="56">
        <f>BX39</f>
        <v/>
      </c>
      <c r="BY46" s="56">
        <f>BY39</f>
        <v/>
      </c>
      <c r="BZ46" s="56">
        <f>BZ39</f>
        <v/>
      </c>
      <c r="CA46" s="56">
        <f>CA39</f>
        <v/>
      </c>
      <c r="CB46" s="56">
        <f>CB39</f>
        <v/>
      </c>
      <c r="CC46" s="56">
        <f>CC39</f>
        <v/>
      </c>
      <c r="CD46" s="56">
        <f>CD39</f>
        <v/>
      </c>
      <c r="CE46" s="56">
        <f>CE39</f>
        <v/>
      </c>
      <c r="CF46" s="56">
        <f>CF39</f>
        <v/>
      </c>
      <c r="CG46" s="56">
        <f>CG39</f>
        <v/>
      </c>
      <c r="CH46" s="56">
        <f>CH39</f>
        <v/>
      </c>
      <c r="CI46" s="56">
        <f>CI39</f>
        <v/>
      </c>
      <c r="CJ46" s="56">
        <f>CJ39</f>
        <v/>
      </c>
      <c r="CK46" s="56">
        <f>CK39</f>
        <v/>
      </c>
      <c r="CL46" s="56">
        <f>CL39</f>
        <v/>
      </c>
      <c r="CM46" s="56">
        <f>CM39</f>
        <v/>
      </c>
      <c r="CN46" s="56">
        <f>CN39</f>
        <v/>
      </c>
      <c r="CO46" s="56">
        <f>CO39</f>
        <v/>
      </c>
      <c r="CP46" s="56">
        <f>CP39</f>
        <v/>
      </c>
      <c r="CQ46" s="56">
        <f>CQ39</f>
        <v/>
      </c>
      <c r="CR46" s="56">
        <f>CR39</f>
        <v/>
      </c>
      <c r="CS46" s="56">
        <f>CS39</f>
        <v/>
      </c>
      <c r="CT46" s="56">
        <f>CT39</f>
        <v/>
      </c>
      <c r="CU46" s="56">
        <f>CU39</f>
        <v/>
      </c>
      <c r="CV46" s="56">
        <f>CV39</f>
        <v/>
      </c>
      <c r="CW46" s="56">
        <f>CW39</f>
        <v/>
      </c>
    </row>
    <row r="47" ht="15.75" customHeight="1" s="255">
      <c r="A47" s="56" t="inlineStr">
        <is>
          <t>Accounts receivable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  <c r="BX47" s="56" t="n"/>
      <c r="BY47" s="56" t="n"/>
      <c r="BZ47" s="56" t="n"/>
      <c r="CA47" s="56" t="n"/>
      <c r="CB47" s="56" t="n"/>
      <c r="CC47" s="56" t="n"/>
      <c r="CD47" s="56" t="n"/>
      <c r="CE47" s="56" t="n"/>
      <c r="CF47" s="56" t="n"/>
      <c r="CG47" s="56" t="n"/>
      <c r="CH47" s="56" t="n"/>
      <c r="CI47" s="56" t="n"/>
      <c r="CJ47" s="56" t="n"/>
      <c r="CK47" s="56" t="n"/>
      <c r="CL47" s="56" t="n"/>
      <c r="CM47" s="56" t="n"/>
      <c r="CN47" s="56" t="n"/>
      <c r="CO47" s="56" t="n"/>
      <c r="CP47" s="56" t="n"/>
      <c r="CQ47" s="56" t="n"/>
      <c r="CR47" s="56" t="n"/>
      <c r="CS47" s="56" t="n"/>
      <c r="CT47" s="56" t="n"/>
      <c r="CU47" s="56" t="n"/>
      <c r="CV47" s="56" t="n"/>
      <c r="CW47" s="56" t="n"/>
    </row>
    <row r="48" ht="15.75" customHeight="1" s="255">
      <c r="A48" s="56" t="inlineStr">
        <is>
          <t>Inventory</t>
        </is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56" t="n"/>
      <c r="CU48" s="56" t="n"/>
      <c r="CV48" s="56" t="n"/>
      <c r="CW48" s="56" t="n"/>
    </row>
    <row r="49" ht="15.75" customHeight="1" s="255">
      <c r="A49" s="56" t="inlineStr">
        <is>
          <t>Property &amp; Equipment</t>
        </is>
      </c>
      <c r="B49" s="56" t="n"/>
      <c r="C49" s="56">
        <f>C37-C20</f>
        <v/>
      </c>
      <c r="D49" s="56">
        <f>C49-D37-D20</f>
        <v/>
      </c>
      <c r="E49" s="56">
        <f>D49-E37-E20</f>
        <v/>
      </c>
      <c r="F49" s="56">
        <f>E49-F37-F20</f>
        <v/>
      </c>
      <c r="G49" s="56">
        <f>F49-G37-G20</f>
        <v/>
      </c>
      <c r="H49" s="56">
        <f>G49-H37-H20</f>
        <v/>
      </c>
      <c r="I49" s="56">
        <f>H49-I37-I20</f>
        <v/>
      </c>
      <c r="J49" s="56">
        <f>I49-J37-J20</f>
        <v/>
      </c>
      <c r="K49" s="56">
        <f>J49-K37-K20</f>
        <v/>
      </c>
      <c r="L49" s="56">
        <f>K49-L37-L20</f>
        <v/>
      </c>
      <c r="M49" s="56">
        <f>L49-M37-M20</f>
        <v/>
      </c>
      <c r="N49" s="56">
        <f>M49-N37-N20</f>
        <v/>
      </c>
      <c r="O49" s="56">
        <f>N49-O37-O20</f>
        <v/>
      </c>
      <c r="P49" s="56">
        <f>O49-P37-P20</f>
        <v/>
      </c>
      <c r="Q49" s="56">
        <f>P49-Q37-Q20</f>
        <v/>
      </c>
      <c r="R49" s="56">
        <f>Q49-R37-R20</f>
        <v/>
      </c>
      <c r="S49" s="56">
        <f>R49-S37-S20</f>
        <v/>
      </c>
      <c r="T49" s="56">
        <f>S49-T37-T20</f>
        <v/>
      </c>
      <c r="U49" s="56">
        <f>T49-U37-U20</f>
        <v/>
      </c>
      <c r="V49" s="56">
        <f>U49-V37-V20</f>
        <v/>
      </c>
      <c r="W49" s="56">
        <f>V49-W37-W20</f>
        <v/>
      </c>
      <c r="X49" s="56">
        <f>W49-X37-X20</f>
        <v/>
      </c>
      <c r="Y49" s="56">
        <f>X49-Y37-Y20</f>
        <v/>
      </c>
      <c r="Z49" s="56">
        <f>Y49-Z37-Z20</f>
        <v/>
      </c>
      <c r="AA49" s="56">
        <f>Z49-AA37-AA20</f>
        <v/>
      </c>
      <c r="AB49" s="56">
        <f>AA49-AB37-AB20</f>
        <v/>
      </c>
      <c r="AC49" s="56">
        <f>AB49-AC37-AC20</f>
        <v/>
      </c>
      <c r="AD49" s="56">
        <f>AC49-AD37-AD20</f>
        <v/>
      </c>
      <c r="AE49" s="56">
        <f>AD49-AE37-AE20</f>
        <v/>
      </c>
      <c r="AF49" s="56">
        <f>AE49-AF37-AF20</f>
        <v/>
      </c>
      <c r="AG49" s="56">
        <f>AF49-AG37-AG20</f>
        <v/>
      </c>
      <c r="AH49" s="56">
        <f>AG49-AH37-AH20</f>
        <v/>
      </c>
      <c r="AI49" s="56">
        <f>AH49-AI37-AI20</f>
        <v/>
      </c>
      <c r="AJ49" s="56">
        <f>AI49-AJ37-AJ20</f>
        <v/>
      </c>
      <c r="AK49" s="56">
        <f>AJ49-AK37-AK20</f>
        <v/>
      </c>
      <c r="AL49" s="56">
        <f>AK49-AL37-AL20</f>
        <v/>
      </c>
      <c r="AM49" s="56">
        <f>AL49-AM37-AM20</f>
        <v/>
      </c>
      <c r="AN49" s="56">
        <f>AM49-AN37-AN20</f>
        <v/>
      </c>
      <c r="AO49" s="56">
        <f>AN49-AO37-AO20</f>
        <v/>
      </c>
      <c r="AP49" s="56">
        <f>AO49-AP37-AP20</f>
        <v/>
      </c>
      <c r="AQ49" s="56">
        <f>AP49-AQ37-AQ20</f>
        <v/>
      </c>
      <c r="AR49" s="56">
        <f>AQ49-AR37-AR20</f>
        <v/>
      </c>
      <c r="AS49" s="56">
        <f>AR49-AS37-AS20</f>
        <v/>
      </c>
      <c r="AT49" s="56">
        <f>AS49-AT37-AT20</f>
        <v/>
      </c>
      <c r="AU49" s="56">
        <f>AT49-AU37-AU20</f>
        <v/>
      </c>
      <c r="AV49" s="56">
        <f>AU49-AV37-AV20</f>
        <v/>
      </c>
      <c r="AW49" s="56">
        <f>AV49-AW37-AW20</f>
        <v/>
      </c>
      <c r="AX49" s="56">
        <f>AW49-AX37-AX20</f>
        <v/>
      </c>
      <c r="AY49" s="56">
        <f>AX49-AY37-AY20</f>
        <v/>
      </c>
      <c r="AZ49" s="56">
        <f>AY49-AZ37-AZ20</f>
        <v/>
      </c>
      <c r="BA49" s="56">
        <f>AZ49-BA37-BA20</f>
        <v/>
      </c>
      <c r="BB49" s="56">
        <f>BA49-BB37-BB20</f>
        <v/>
      </c>
      <c r="BC49" s="56">
        <f>BB49-BC37-BC20</f>
        <v/>
      </c>
      <c r="BD49" s="56">
        <f>BC49-BD37-BD20</f>
        <v/>
      </c>
      <c r="BE49" s="56">
        <f>BD49-BE37-BE20</f>
        <v/>
      </c>
      <c r="BF49" s="56">
        <f>BE49-BF37-BF20</f>
        <v/>
      </c>
      <c r="BG49" s="56">
        <f>BF49-BG37-BG20</f>
        <v/>
      </c>
      <c r="BH49" s="56">
        <f>BG49-BH37-BH20</f>
        <v/>
      </c>
      <c r="BI49" s="56">
        <f>BH49-BI37-BI20</f>
        <v/>
      </c>
      <c r="BJ49" s="56">
        <f>BI49-BJ37-BJ20</f>
        <v/>
      </c>
      <c r="BK49" s="56">
        <f>BJ49-BK37-BK20</f>
        <v/>
      </c>
      <c r="BL49" s="56">
        <f>BK49-BL37-BL20</f>
        <v/>
      </c>
      <c r="BM49" s="56">
        <f>BL49-BM37-BM20</f>
        <v/>
      </c>
      <c r="BN49" s="56">
        <f>BM49-BN37-BN20</f>
        <v/>
      </c>
      <c r="BO49" s="56">
        <f>BN49-BO37-BO20</f>
        <v/>
      </c>
      <c r="BP49" s="56">
        <f>BO49-BP37-BP20</f>
        <v/>
      </c>
      <c r="BQ49" s="56">
        <f>BP49-BQ37-BQ20</f>
        <v/>
      </c>
      <c r="BR49" s="56">
        <f>BQ49-BR37-BR20</f>
        <v/>
      </c>
      <c r="BS49" s="56">
        <f>BR49-BS37-BS20</f>
        <v/>
      </c>
      <c r="BT49" s="56">
        <f>BS49-BT37-BT20</f>
        <v/>
      </c>
      <c r="BU49" s="56">
        <f>BT49-BU37-BU20</f>
        <v/>
      </c>
      <c r="BV49" s="56">
        <f>BU49-BV37-BV20</f>
        <v/>
      </c>
      <c r="BW49" s="56">
        <f>BV49-BW37-BW20</f>
        <v/>
      </c>
      <c r="BX49" s="56">
        <f>BW49-BX37-BX20</f>
        <v/>
      </c>
      <c r="BY49" s="56">
        <f>BX49-BY37-BY20</f>
        <v/>
      </c>
      <c r="BZ49" s="56">
        <f>BY49-BZ37-BZ20</f>
        <v/>
      </c>
      <c r="CA49" s="56">
        <f>BZ49-CA37-CA20</f>
        <v/>
      </c>
      <c r="CB49" s="56">
        <f>CA49-CB37-CB20</f>
        <v/>
      </c>
      <c r="CC49" s="56">
        <f>CB49-CC37-CC20</f>
        <v/>
      </c>
      <c r="CD49" s="56">
        <f>CC49-CD37-CD20</f>
        <v/>
      </c>
      <c r="CE49" s="56">
        <f>CD49-CE37-CE20</f>
        <v/>
      </c>
      <c r="CF49" s="56">
        <f>CE49-CF37-CF20</f>
        <v/>
      </c>
      <c r="CG49" s="56">
        <f>CF49-CG37-CG20</f>
        <v/>
      </c>
      <c r="CH49" s="56">
        <f>CG49-CH37-CH20</f>
        <v/>
      </c>
      <c r="CI49" s="56">
        <f>CH49-CI37-CI20</f>
        <v/>
      </c>
      <c r="CJ49" s="56">
        <f>CI49-CJ37-CJ20</f>
        <v/>
      </c>
      <c r="CK49" s="56">
        <f>CJ49-CK37-CK20</f>
        <v/>
      </c>
      <c r="CL49" s="56">
        <f>CK49-CL37-CL20</f>
        <v/>
      </c>
      <c r="CM49" s="56">
        <f>CL49-CM37-CM20</f>
        <v/>
      </c>
      <c r="CN49" s="56">
        <f>CM49-CN37-CN20</f>
        <v/>
      </c>
      <c r="CO49" s="56">
        <f>CN49-CO37-CO20</f>
        <v/>
      </c>
      <c r="CP49" s="56">
        <f>CO49-CP37-CP20</f>
        <v/>
      </c>
      <c r="CQ49" s="56">
        <f>CP49-CQ37-CQ20</f>
        <v/>
      </c>
      <c r="CR49" s="56">
        <f>CQ49-CR37-CR20</f>
        <v/>
      </c>
      <c r="CS49" s="56">
        <f>CR49-CS37-CS20</f>
        <v/>
      </c>
      <c r="CT49" s="56">
        <f>CS49-CT37-CT20</f>
        <v/>
      </c>
      <c r="CU49" s="56">
        <f>CT49-CU37-CU20</f>
        <v/>
      </c>
      <c r="CV49" s="56">
        <f>CU49-CV37-CV20</f>
        <v/>
      </c>
      <c r="CW49" s="56">
        <f>CV49-CW37-CW20</f>
        <v/>
      </c>
    </row>
    <row r="50" ht="15.75" customHeight="1" s="255">
      <c r="A50" s="60" t="inlineStr">
        <is>
          <t>Total assets</t>
        </is>
      </c>
      <c r="B50" s="56" t="n"/>
      <c r="C50" s="157">
        <f>ROUND(SUM(C46:C49),0)</f>
        <v/>
      </c>
      <c r="D50" s="157">
        <f>ROUND(SUM(D46:D49),0)</f>
        <v/>
      </c>
      <c r="E50" s="157">
        <f>ROUND(SUM(E46:E49),0)</f>
        <v/>
      </c>
      <c r="F50" s="157">
        <f>ROUND(SUM(F46:F49),0)</f>
        <v/>
      </c>
      <c r="G50" s="157">
        <f>ROUND(SUM(G46:G49),0)</f>
        <v/>
      </c>
      <c r="H50" s="157">
        <f>ROUND(SUM(H46:H49),0)</f>
        <v/>
      </c>
      <c r="I50" s="157">
        <f>ROUND(SUM(I46:I49),0)</f>
        <v/>
      </c>
      <c r="J50" s="157">
        <f>ROUND(SUM(J46:J49),0)</f>
        <v/>
      </c>
      <c r="K50" s="157">
        <f>ROUND(SUM(K46:K49),0)</f>
        <v/>
      </c>
      <c r="L50" s="157">
        <f>ROUND(SUM(L46:L49),0)</f>
        <v/>
      </c>
      <c r="M50" s="157">
        <f>ROUND(SUM(M46:M49),0)</f>
        <v/>
      </c>
      <c r="N50" s="157">
        <f>ROUND(SUM(N46:N49),0)</f>
        <v/>
      </c>
      <c r="O50" s="157">
        <f>ROUND(SUM(O46:O49),0)</f>
        <v/>
      </c>
      <c r="P50" s="157">
        <f>ROUND(SUM(P46:P49),0)</f>
        <v/>
      </c>
      <c r="Q50" s="157">
        <f>ROUND(SUM(Q46:Q49),0)</f>
        <v/>
      </c>
      <c r="R50" s="157">
        <f>ROUND(SUM(R46:R49),0)</f>
        <v/>
      </c>
      <c r="S50" s="157">
        <f>ROUND(SUM(S46:S49),0)</f>
        <v/>
      </c>
      <c r="T50" s="157">
        <f>ROUND(SUM(T46:T49),0)</f>
        <v/>
      </c>
      <c r="U50" s="157">
        <f>ROUND(SUM(U46:U49),0)</f>
        <v/>
      </c>
      <c r="V50" s="157">
        <f>ROUND(SUM(V46:V49),0)</f>
        <v/>
      </c>
      <c r="W50" s="157">
        <f>ROUND(SUM(W46:W49),0)</f>
        <v/>
      </c>
      <c r="X50" s="157">
        <f>ROUND(SUM(X46:X49),0)</f>
        <v/>
      </c>
      <c r="Y50" s="157">
        <f>ROUND(SUM(Y46:Y49),0)</f>
        <v/>
      </c>
      <c r="Z50" s="157">
        <f>ROUND(SUM(Z46:Z49),0)</f>
        <v/>
      </c>
      <c r="AA50" s="157">
        <f>ROUND(SUM(AA46:AA49),0)</f>
        <v/>
      </c>
      <c r="AB50" s="157">
        <f>ROUND(SUM(AB46:AB49),0)</f>
        <v/>
      </c>
      <c r="AC50" s="157">
        <f>ROUND(SUM(AC46:AC49),0)</f>
        <v/>
      </c>
      <c r="AD50" s="157">
        <f>ROUND(SUM(AD46:AD49),0)</f>
        <v/>
      </c>
      <c r="AE50" s="157">
        <f>ROUND(SUM(AE46:AE49),0)</f>
        <v/>
      </c>
      <c r="AF50" s="157">
        <f>ROUND(SUM(AF46:AF49),0)</f>
        <v/>
      </c>
      <c r="AG50" s="157">
        <f>ROUND(SUM(AG46:AG49),0)</f>
        <v/>
      </c>
      <c r="AH50" s="157">
        <f>ROUND(SUM(AH46:AH49),0)</f>
        <v/>
      </c>
      <c r="AI50" s="157">
        <f>ROUND(SUM(AI46:AI49),0)</f>
        <v/>
      </c>
      <c r="AJ50" s="157">
        <f>ROUND(SUM(AJ46:AJ49),0)</f>
        <v/>
      </c>
      <c r="AK50" s="157">
        <f>ROUND(SUM(AK46:AK49),0)</f>
        <v/>
      </c>
      <c r="AL50" s="157">
        <f>ROUND(SUM(AL46:AL49),0)</f>
        <v/>
      </c>
      <c r="AM50" s="157">
        <f>ROUND(SUM(AM46:AM49),0)</f>
        <v/>
      </c>
      <c r="AN50" s="157">
        <f>ROUND(SUM(AN46:AN49),0)</f>
        <v/>
      </c>
      <c r="AO50" s="157">
        <f>ROUND(SUM(AO46:AO49),0)</f>
        <v/>
      </c>
      <c r="AP50" s="157">
        <f>ROUND(SUM(AP46:AP49),0)</f>
        <v/>
      </c>
      <c r="AQ50" s="157">
        <f>ROUND(SUM(AQ46:AQ49),0)</f>
        <v/>
      </c>
      <c r="AR50" s="157">
        <f>ROUND(SUM(AR46:AR49),0)</f>
        <v/>
      </c>
      <c r="AS50" s="157">
        <f>ROUND(SUM(AS46:AS49),0)</f>
        <v/>
      </c>
      <c r="AT50" s="157">
        <f>ROUND(SUM(AT46:AT49),0)</f>
        <v/>
      </c>
      <c r="AU50" s="157">
        <f>ROUND(SUM(AU46:AU49),0)</f>
        <v/>
      </c>
      <c r="AV50" s="157">
        <f>ROUND(SUM(AV46:AV49),0)</f>
        <v/>
      </c>
      <c r="AW50" s="157">
        <f>ROUND(SUM(AW46:AW49),0)</f>
        <v/>
      </c>
      <c r="AX50" s="157">
        <f>ROUND(SUM(AX46:AX49),0)</f>
        <v/>
      </c>
      <c r="AY50" s="157">
        <f>ROUND(SUM(AY46:AY49),0)</f>
        <v/>
      </c>
      <c r="AZ50" s="157">
        <f>ROUND(SUM(AZ46:AZ49),0)</f>
        <v/>
      </c>
      <c r="BA50" s="157">
        <f>ROUND(SUM(BA46:BA49),0)</f>
        <v/>
      </c>
      <c r="BB50" s="157">
        <f>ROUND(SUM(BB46:BB49),0)</f>
        <v/>
      </c>
      <c r="BC50" s="157">
        <f>ROUND(SUM(BC46:BC49),0)</f>
        <v/>
      </c>
      <c r="BD50" s="157">
        <f>ROUND(SUM(BD46:BD49),0)</f>
        <v/>
      </c>
      <c r="BE50" s="157">
        <f>ROUND(SUM(BE46:BE49),0)</f>
        <v/>
      </c>
      <c r="BF50" s="157">
        <f>ROUND(SUM(BF46:BF49),0)</f>
        <v/>
      </c>
      <c r="BG50" s="157">
        <f>ROUND(SUM(BG46:BG49),0)</f>
        <v/>
      </c>
      <c r="BH50" s="157">
        <f>ROUND(SUM(BH46:BH49),0)</f>
        <v/>
      </c>
      <c r="BI50" s="157">
        <f>ROUND(SUM(BI46:BI49),0)</f>
        <v/>
      </c>
      <c r="BJ50" s="157">
        <f>ROUND(SUM(BJ46:BJ49),0)</f>
        <v/>
      </c>
      <c r="BK50" s="157">
        <f>ROUND(SUM(BK46:BK49),0)</f>
        <v/>
      </c>
      <c r="BL50" s="157">
        <f>ROUND(SUM(BL46:BL49),0)</f>
        <v/>
      </c>
      <c r="BM50" s="157">
        <f>ROUND(SUM(BM46:BM49),0)</f>
        <v/>
      </c>
      <c r="BN50" s="157">
        <f>ROUND(SUM(BN46:BN49),0)</f>
        <v/>
      </c>
      <c r="BO50" s="157">
        <f>ROUND(SUM(BO46:BO49),0)</f>
        <v/>
      </c>
      <c r="BP50" s="157">
        <f>ROUND(SUM(BP46:BP49),0)</f>
        <v/>
      </c>
      <c r="BQ50" s="157">
        <f>ROUND(SUM(BQ46:BQ49),0)</f>
        <v/>
      </c>
      <c r="BR50" s="157">
        <f>ROUND(SUM(BR46:BR49),0)</f>
        <v/>
      </c>
      <c r="BS50" s="157">
        <f>ROUND(SUM(BS46:BS49),0)</f>
        <v/>
      </c>
      <c r="BT50" s="157">
        <f>ROUND(SUM(BT46:BT49),0)</f>
        <v/>
      </c>
      <c r="BU50" s="157">
        <f>ROUND(SUM(BU46:BU49),0)</f>
        <v/>
      </c>
      <c r="BV50" s="157">
        <f>ROUND(SUM(BV46:BV49),0)</f>
        <v/>
      </c>
      <c r="BW50" s="157">
        <f>ROUND(SUM(BW46:BW49),0)</f>
        <v/>
      </c>
      <c r="BX50" s="157">
        <f>ROUND(SUM(BX46:BX49),0)</f>
        <v/>
      </c>
      <c r="BY50" s="157">
        <f>ROUND(SUM(BY46:BY49),0)</f>
        <v/>
      </c>
      <c r="BZ50" s="157">
        <f>ROUND(SUM(BZ46:BZ49),0)</f>
        <v/>
      </c>
      <c r="CA50" s="157">
        <f>ROUND(SUM(CA46:CA49),0)</f>
        <v/>
      </c>
      <c r="CB50" s="157">
        <f>ROUND(SUM(CB46:CB49),0)</f>
        <v/>
      </c>
      <c r="CC50" s="157">
        <f>ROUND(SUM(CC46:CC49),0)</f>
        <v/>
      </c>
      <c r="CD50" s="157">
        <f>ROUND(SUM(CD46:CD49),0)</f>
        <v/>
      </c>
      <c r="CE50" s="157">
        <f>ROUND(SUM(CE46:CE49),0)</f>
        <v/>
      </c>
      <c r="CF50" s="157">
        <f>ROUND(SUM(CF46:CF49),0)</f>
        <v/>
      </c>
      <c r="CG50" s="157">
        <f>ROUND(SUM(CG46:CG49),0)</f>
        <v/>
      </c>
      <c r="CH50" s="157">
        <f>ROUND(SUM(CH46:CH49),0)</f>
        <v/>
      </c>
      <c r="CI50" s="157">
        <f>ROUND(SUM(CI46:CI49),0)</f>
        <v/>
      </c>
      <c r="CJ50" s="157">
        <f>ROUND(SUM(CJ46:CJ49),0)</f>
        <v/>
      </c>
      <c r="CK50" s="157">
        <f>ROUND(SUM(CK46:CK49),0)</f>
        <v/>
      </c>
      <c r="CL50" s="157">
        <f>ROUND(SUM(CL46:CL49),0)</f>
        <v/>
      </c>
      <c r="CM50" s="157">
        <f>ROUND(SUM(CM46:CM49),0)</f>
        <v/>
      </c>
      <c r="CN50" s="157">
        <f>ROUND(SUM(CN46:CN49),0)</f>
        <v/>
      </c>
      <c r="CO50" s="157">
        <f>ROUND(SUM(CO46:CO49),0)</f>
        <v/>
      </c>
      <c r="CP50" s="157">
        <f>ROUND(SUM(CP46:CP49),0)</f>
        <v/>
      </c>
      <c r="CQ50" s="157">
        <f>ROUND(SUM(CQ46:CQ49),0)</f>
        <v/>
      </c>
      <c r="CR50" s="157">
        <f>ROUND(SUM(CR46:CR49),0)</f>
        <v/>
      </c>
      <c r="CS50" s="157">
        <f>ROUND(SUM(CS46:CS49),0)</f>
        <v/>
      </c>
      <c r="CT50" s="157">
        <f>ROUND(SUM(CT46:CT49),0)</f>
        <v/>
      </c>
      <c r="CU50" s="157">
        <f>ROUND(SUM(CU46:CU49),0)</f>
        <v/>
      </c>
      <c r="CV50" s="157">
        <f>ROUND(SUM(CV46:CV49),0)</f>
        <v/>
      </c>
      <c r="CW50" s="157">
        <f>ROUND(SUM(CW46:CW49),0)</f>
        <v/>
      </c>
    </row>
    <row r="51" ht="15.75" customHeight="1" s="25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  <c r="BX51" s="56" t="n"/>
      <c r="BY51" s="56" t="n"/>
      <c r="BZ51" s="56" t="n"/>
      <c r="CA51" s="56" t="n"/>
      <c r="CB51" s="56" t="n"/>
      <c r="CC51" s="56" t="n"/>
      <c r="CD51" s="56" t="n"/>
      <c r="CE51" s="56" t="n"/>
      <c r="CF51" s="56" t="n"/>
      <c r="CG51" s="56" t="n"/>
      <c r="CH51" s="56" t="n"/>
      <c r="CI51" s="56" t="n"/>
      <c r="CJ51" s="56" t="n"/>
      <c r="CK51" s="56" t="n"/>
      <c r="CL51" s="56" t="n"/>
      <c r="CM51" s="56" t="n"/>
      <c r="CN51" s="56" t="n"/>
      <c r="CO51" s="56" t="n"/>
      <c r="CP51" s="56" t="n"/>
      <c r="CQ51" s="56" t="n"/>
      <c r="CR51" s="56" t="n"/>
      <c r="CS51" s="56" t="n"/>
      <c r="CT51" s="56" t="n"/>
      <c r="CU51" s="56" t="n"/>
      <c r="CV51" s="56" t="n"/>
      <c r="CW51" s="56" t="n"/>
    </row>
    <row r="52" ht="15.75" customHeight="1" s="255">
      <c r="A52" s="60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  <c r="BS52" s="56" t="n"/>
      <c r="BT52" s="56" t="n"/>
      <c r="BU52" s="56" t="n"/>
      <c r="BV52" s="56" t="n"/>
      <c r="BW52" s="56" t="n"/>
      <c r="BX52" s="56" t="n"/>
      <c r="BY52" s="56" t="n"/>
      <c r="BZ52" s="56" t="n"/>
      <c r="CA52" s="56" t="n"/>
      <c r="CB52" s="56" t="n"/>
      <c r="CC52" s="56" t="n"/>
      <c r="CD52" s="56" t="n"/>
      <c r="CE52" s="56" t="n"/>
      <c r="CF52" s="56" t="n"/>
      <c r="CG52" s="56" t="n"/>
      <c r="CH52" s="56" t="n"/>
      <c r="CI52" s="56" t="n"/>
      <c r="CJ52" s="56" t="n"/>
      <c r="CK52" s="56" t="n"/>
      <c r="CL52" s="56" t="n"/>
      <c r="CM52" s="56" t="n"/>
      <c r="CN52" s="56" t="n"/>
      <c r="CO52" s="56" t="n"/>
      <c r="CP52" s="56" t="n"/>
      <c r="CQ52" s="56" t="n"/>
      <c r="CR52" s="56" t="n"/>
      <c r="CS52" s="56" t="n"/>
      <c r="CT52" s="56" t="n"/>
      <c r="CU52" s="56" t="n"/>
      <c r="CV52" s="56" t="n"/>
      <c r="CW52" s="56" t="n"/>
    </row>
    <row r="53" ht="15.75" customHeight="1" s="255">
      <c r="A53" s="60" t="inlineStr">
        <is>
          <t>LIABILITIES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  <c r="BX53" s="56" t="n"/>
      <c r="BY53" s="56" t="n"/>
      <c r="BZ53" s="56" t="n"/>
      <c r="CA53" s="56" t="n"/>
      <c r="CB53" s="56" t="n"/>
      <c r="CC53" s="56" t="n"/>
      <c r="CD53" s="56" t="n"/>
      <c r="CE53" s="56" t="n"/>
      <c r="CF53" s="56" t="n"/>
      <c r="CG53" s="56" t="n"/>
      <c r="CH53" s="56" t="n"/>
      <c r="CI53" s="56" t="n"/>
      <c r="CJ53" s="56" t="n"/>
      <c r="CK53" s="56" t="n"/>
      <c r="CL53" s="56" t="n"/>
      <c r="CM53" s="56" t="n"/>
      <c r="CN53" s="56" t="n"/>
      <c r="CO53" s="56" t="n"/>
      <c r="CP53" s="56" t="n"/>
      <c r="CQ53" s="56" t="n"/>
      <c r="CR53" s="56" t="n"/>
      <c r="CS53" s="56" t="n"/>
      <c r="CT53" s="56" t="n"/>
      <c r="CU53" s="56" t="n"/>
      <c r="CV53" s="56" t="n"/>
      <c r="CW53" s="56" t="n"/>
    </row>
    <row r="54" ht="15.75" customHeight="1" s="255">
      <c r="A54" s="56" t="inlineStr">
        <is>
          <t>Accounts payable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</row>
    <row r="55" ht="15.75" customHeight="1" s="255">
      <c r="A55" s="56" t="inlineStr">
        <is>
          <t>Debt</t>
        </is>
      </c>
      <c r="B55" s="56" t="n"/>
      <c r="C55" s="56">
        <f>C35</f>
        <v/>
      </c>
      <c r="D55" s="56">
        <f>C55</f>
        <v/>
      </c>
      <c r="E55" s="56">
        <f>D55</f>
        <v/>
      </c>
      <c r="F55" s="56">
        <f>E55</f>
        <v/>
      </c>
      <c r="G55" s="56">
        <f>F55</f>
        <v/>
      </c>
      <c r="H55" s="56">
        <f>G55</f>
        <v/>
      </c>
      <c r="I55" s="56">
        <f>H55</f>
        <v/>
      </c>
      <c r="J55" s="56">
        <f>I55</f>
        <v/>
      </c>
      <c r="K55" s="56">
        <f>J55</f>
        <v/>
      </c>
      <c r="L55" s="56">
        <f>K55</f>
        <v/>
      </c>
      <c r="M55" s="56">
        <f>L55</f>
        <v/>
      </c>
      <c r="N55" s="56">
        <f>M55</f>
        <v/>
      </c>
      <c r="O55" s="56">
        <f>N55</f>
        <v/>
      </c>
      <c r="P55" s="56">
        <f>O55</f>
        <v/>
      </c>
      <c r="Q55" s="56">
        <f>P55</f>
        <v/>
      </c>
      <c r="R55" s="56">
        <f>Q55</f>
        <v/>
      </c>
      <c r="S55" s="56">
        <f>R55</f>
        <v/>
      </c>
      <c r="T55" s="56">
        <f>S55</f>
        <v/>
      </c>
      <c r="U55" s="56">
        <f>T55</f>
        <v/>
      </c>
      <c r="V55" s="56">
        <f>U55</f>
        <v/>
      </c>
      <c r="W55" s="56">
        <f>V55</f>
        <v/>
      </c>
      <c r="X55" s="56">
        <f>W55</f>
        <v/>
      </c>
      <c r="Y55" s="56">
        <f>X55</f>
        <v/>
      </c>
      <c r="Z55" s="56">
        <f>Y55</f>
        <v/>
      </c>
      <c r="AA55" s="56">
        <f>Z55</f>
        <v/>
      </c>
      <c r="AB55" s="56">
        <f>AA55</f>
        <v/>
      </c>
      <c r="AC55" s="56">
        <f>AB55</f>
        <v/>
      </c>
      <c r="AD55" s="56">
        <f>AC55</f>
        <v/>
      </c>
      <c r="AE55" s="56">
        <f>AD55</f>
        <v/>
      </c>
      <c r="AF55" s="56">
        <f>AE55</f>
        <v/>
      </c>
      <c r="AG55" s="56">
        <f>AF55</f>
        <v/>
      </c>
      <c r="AH55" s="56">
        <f>AG55</f>
        <v/>
      </c>
      <c r="AI55" s="56">
        <f>AH55</f>
        <v/>
      </c>
      <c r="AJ55" s="56">
        <f>AI55</f>
        <v/>
      </c>
      <c r="AK55" s="56">
        <f>AJ55</f>
        <v/>
      </c>
      <c r="AL55" s="56">
        <f>AK55</f>
        <v/>
      </c>
      <c r="AM55" s="56">
        <f>AL55</f>
        <v/>
      </c>
      <c r="AN55" s="56">
        <f>AM55</f>
        <v/>
      </c>
      <c r="AO55" s="56">
        <f>AN55</f>
        <v/>
      </c>
      <c r="AP55" s="56">
        <f>AO55</f>
        <v/>
      </c>
      <c r="AQ55" s="56">
        <f>AP55</f>
        <v/>
      </c>
      <c r="AR55" s="56">
        <f>AQ55</f>
        <v/>
      </c>
      <c r="AS55" s="56">
        <f>AR55</f>
        <v/>
      </c>
      <c r="AT55" s="56">
        <f>AS55</f>
        <v/>
      </c>
      <c r="AU55" s="56">
        <f>AT55</f>
        <v/>
      </c>
      <c r="AV55" s="56">
        <f>AU55</f>
        <v/>
      </c>
      <c r="AW55" s="56">
        <f>AV55</f>
        <v/>
      </c>
      <c r="AX55" s="56">
        <f>AW55</f>
        <v/>
      </c>
      <c r="AY55" s="56">
        <f>AX55</f>
        <v/>
      </c>
      <c r="AZ55" s="56">
        <f>AY55</f>
        <v/>
      </c>
      <c r="BA55" s="56">
        <f>AZ55</f>
        <v/>
      </c>
      <c r="BB55" s="56">
        <f>BA55</f>
        <v/>
      </c>
      <c r="BC55" s="56">
        <f>BB55</f>
        <v/>
      </c>
      <c r="BD55" s="56">
        <f>BC55</f>
        <v/>
      </c>
      <c r="BE55" s="56">
        <f>BD55</f>
        <v/>
      </c>
      <c r="BF55" s="56">
        <f>BE55</f>
        <v/>
      </c>
      <c r="BG55" s="56">
        <f>BF55</f>
        <v/>
      </c>
      <c r="BH55" s="56">
        <f>BG55</f>
        <v/>
      </c>
      <c r="BI55" s="56">
        <f>BH55</f>
        <v/>
      </c>
      <c r="BJ55" s="56">
        <f>BI55</f>
        <v/>
      </c>
      <c r="BK55" s="56">
        <f>BJ55</f>
        <v/>
      </c>
      <c r="BL55" s="56">
        <f>BK55</f>
        <v/>
      </c>
      <c r="BM55" s="56">
        <f>BL55</f>
        <v/>
      </c>
      <c r="BN55" s="56">
        <f>BM55</f>
        <v/>
      </c>
      <c r="BO55" s="56">
        <f>BN55</f>
        <v/>
      </c>
      <c r="BP55" s="56">
        <f>BO55</f>
        <v/>
      </c>
      <c r="BQ55" s="56">
        <f>BP55</f>
        <v/>
      </c>
      <c r="BR55" s="56">
        <f>BQ55</f>
        <v/>
      </c>
      <c r="BS55" s="56">
        <f>BR55</f>
        <v/>
      </c>
      <c r="BT55" s="56">
        <f>BS55</f>
        <v/>
      </c>
      <c r="BU55" s="56">
        <f>BT55</f>
        <v/>
      </c>
      <c r="BV55" s="56">
        <f>BU55</f>
        <v/>
      </c>
      <c r="BW55" s="56">
        <f>BV55</f>
        <v/>
      </c>
      <c r="BX55" s="56">
        <f>BW55</f>
        <v/>
      </c>
      <c r="BY55" s="56">
        <f>BX55</f>
        <v/>
      </c>
      <c r="BZ55" s="56">
        <f>BY55</f>
        <v/>
      </c>
      <c r="CA55" s="56">
        <f>BZ55</f>
        <v/>
      </c>
      <c r="CB55" s="56">
        <f>CA55</f>
        <v/>
      </c>
      <c r="CC55" s="56">
        <f>CB55</f>
        <v/>
      </c>
      <c r="CD55" s="56">
        <f>CC55</f>
        <v/>
      </c>
      <c r="CE55" s="56">
        <f>CD55</f>
        <v/>
      </c>
      <c r="CF55" s="56">
        <f>CE55</f>
        <v/>
      </c>
      <c r="CG55" s="56">
        <f>CF55</f>
        <v/>
      </c>
      <c r="CH55" s="56">
        <f>CG55</f>
        <v/>
      </c>
      <c r="CI55" s="56">
        <f>CH55</f>
        <v/>
      </c>
      <c r="CJ55" s="56">
        <f>CI55</f>
        <v/>
      </c>
      <c r="CK55" s="56">
        <f>CJ55</f>
        <v/>
      </c>
      <c r="CL55" s="56">
        <f>CK55</f>
        <v/>
      </c>
      <c r="CM55" s="56">
        <f>CL55</f>
        <v/>
      </c>
      <c r="CN55" s="56">
        <f>CM55</f>
        <v/>
      </c>
      <c r="CO55" s="56">
        <f>CN55</f>
        <v/>
      </c>
      <c r="CP55" s="56">
        <f>CO55</f>
        <v/>
      </c>
      <c r="CQ55" s="56">
        <f>CP55</f>
        <v/>
      </c>
      <c r="CR55" s="56">
        <f>CQ55</f>
        <v/>
      </c>
      <c r="CS55" s="56">
        <f>CR55</f>
        <v/>
      </c>
      <c r="CT55" s="56">
        <f>CS55</f>
        <v/>
      </c>
      <c r="CU55" s="56">
        <f>CT55</f>
        <v/>
      </c>
      <c r="CV55" s="56">
        <f>CU55</f>
        <v/>
      </c>
      <c r="CW55" s="56">
        <f>CV55</f>
        <v/>
      </c>
    </row>
    <row r="56" ht="15.75" customHeight="1" s="255">
      <c r="A56" s="60" t="inlineStr">
        <is>
          <t>Total liabilities</t>
        </is>
      </c>
      <c r="B56" s="56" t="n"/>
      <c r="C56" s="157">
        <f>SUM(C54:C55)</f>
        <v/>
      </c>
      <c r="D56" s="157">
        <f>SUM(D54:D55)</f>
        <v/>
      </c>
      <c r="E56" s="157">
        <f>SUM(E54:E55)</f>
        <v/>
      </c>
      <c r="F56" s="157">
        <f>SUM(F54:F55)</f>
        <v/>
      </c>
      <c r="G56" s="157">
        <f>SUM(G54:G55)</f>
        <v/>
      </c>
      <c r="H56" s="157">
        <f>SUM(H54:H55)</f>
        <v/>
      </c>
      <c r="I56" s="157">
        <f>SUM(I54:I55)</f>
        <v/>
      </c>
      <c r="J56" s="157">
        <f>SUM(J54:J55)</f>
        <v/>
      </c>
      <c r="K56" s="157">
        <f>SUM(K54:K55)</f>
        <v/>
      </c>
      <c r="L56" s="157">
        <f>SUM(L54:L55)</f>
        <v/>
      </c>
      <c r="M56" s="157">
        <f>SUM(M54:M55)</f>
        <v/>
      </c>
      <c r="N56" s="157">
        <f>SUM(N54:N55)</f>
        <v/>
      </c>
      <c r="O56" s="157">
        <f>SUM(O54:O55)</f>
        <v/>
      </c>
      <c r="P56" s="157">
        <f>SUM(P54:P55)</f>
        <v/>
      </c>
      <c r="Q56" s="157">
        <f>SUM(Q54:Q55)</f>
        <v/>
      </c>
      <c r="R56" s="157">
        <f>SUM(R54:R55)</f>
        <v/>
      </c>
      <c r="S56" s="157">
        <f>SUM(S54:S55)</f>
        <v/>
      </c>
      <c r="T56" s="157">
        <f>SUM(T54:T55)</f>
        <v/>
      </c>
      <c r="U56" s="157">
        <f>SUM(U54:U55)</f>
        <v/>
      </c>
      <c r="V56" s="157">
        <f>SUM(V54:V55)</f>
        <v/>
      </c>
      <c r="W56" s="157">
        <f>SUM(W54:W55)</f>
        <v/>
      </c>
      <c r="X56" s="157">
        <f>SUM(X54:X55)</f>
        <v/>
      </c>
      <c r="Y56" s="157">
        <f>SUM(Y54:Y55)</f>
        <v/>
      </c>
      <c r="Z56" s="157">
        <f>SUM(Z54:Z55)</f>
        <v/>
      </c>
      <c r="AA56" s="157">
        <f>SUM(AA54:AA55)</f>
        <v/>
      </c>
      <c r="AB56" s="157">
        <f>SUM(AB54:AB55)</f>
        <v/>
      </c>
      <c r="AC56" s="157">
        <f>SUM(AC54:AC55)</f>
        <v/>
      </c>
      <c r="AD56" s="157">
        <f>SUM(AD54:AD55)</f>
        <v/>
      </c>
      <c r="AE56" s="157">
        <f>SUM(AE54:AE55)</f>
        <v/>
      </c>
      <c r="AF56" s="157">
        <f>SUM(AF54:AF55)</f>
        <v/>
      </c>
      <c r="AG56" s="157">
        <f>SUM(AG54:AG55)</f>
        <v/>
      </c>
      <c r="AH56" s="157">
        <f>SUM(AH54:AH55)</f>
        <v/>
      </c>
      <c r="AI56" s="157">
        <f>SUM(AI54:AI55)</f>
        <v/>
      </c>
      <c r="AJ56" s="157">
        <f>SUM(AJ54:AJ55)</f>
        <v/>
      </c>
      <c r="AK56" s="157">
        <f>SUM(AK54:AK55)</f>
        <v/>
      </c>
      <c r="AL56" s="157">
        <f>SUM(AL54:AL55)</f>
        <v/>
      </c>
      <c r="AM56" s="157">
        <f>SUM(AM54:AM55)</f>
        <v/>
      </c>
      <c r="AN56" s="157">
        <f>SUM(AN54:AN55)</f>
        <v/>
      </c>
      <c r="AO56" s="157">
        <f>SUM(AO54:AO55)</f>
        <v/>
      </c>
      <c r="AP56" s="157">
        <f>SUM(AP54:AP55)</f>
        <v/>
      </c>
      <c r="AQ56" s="157">
        <f>SUM(AQ54:AQ55)</f>
        <v/>
      </c>
      <c r="AR56" s="157">
        <f>SUM(AR54:AR55)</f>
        <v/>
      </c>
      <c r="AS56" s="157">
        <f>SUM(AS54:AS55)</f>
        <v/>
      </c>
      <c r="AT56" s="157">
        <f>SUM(AT54:AT55)</f>
        <v/>
      </c>
      <c r="AU56" s="157">
        <f>SUM(AU54:AU55)</f>
        <v/>
      </c>
      <c r="AV56" s="157">
        <f>SUM(AV54:AV55)</f>
        <v/>
      </c>
      <c r="AW56" s="157">
        <f>SUM(AW54:AW55)</f>
        <v/>
      </c>
      <c r="AX56" s="157">
        <f>SUM(AX54:AX55)</f>
        <v/>
      </c>
      <c r="AY56" s="157">
        <f>SUM(AY54:AY55)</f>
        <v/>
      </c>
      <c r="AZ56" s="157">
        <f>SUM(AZ54:AZ55)</f>
        <v/>
      </c>
      <c r="BA56" s="157">
        <f>SUM(BA54:BA55)</f>
        <v/>
      </c>
      <c r="BB56" s="157">
        <f>SUM(BB54:BB55)</f>
        <v/>
      </c>
      <c r="BC56" s="157">
        <f>SUM(BC54:BC55)</f>
        <v/>
      </c>
      <c r="BD56" s="157">
        <f>SUM(BD54:BD55)</f>
        <v/>
      </c>
      <c r="BE56" s="157">
        <f>SUM(BE54:BE55)</f>
        <v/>
      </c>
      <c r="BF56" s="157">
        <f>SUM(BF54:BF55)</f>
        <v/>
      </c>
      <c r="BG56" s="157">
        <f>SUM(BG54:BG55)</f>
        <v/>
      </c>
      <c r="BH56" s="157">
        <f>SUM(BH54:BH55)</f>
        <v/>
      </c>
      <c r="BI56" s="157">
        <f>SUM(BI54:BI55)</f>
        <v/>
      </c>
      <c r="BJ56" s="157">
        <f>SUM(BJ54:BJ55)</f>
        <v/>
      </c>
      <c r="BK56" s="157">
        <f>SUM(BK54:BK55)</f>
        <v/>
      </c>
      <c r="BL56" s="157">
        <f>SUM(BL54:BL55)</f>
        <v/>
      </c>
      <c r="BM56" s="157">
        <f>SUM(BM54:BM55)</f>
        <v/>
      </c>
      <c r="BN56" s="157">
        <f>SUM(BN54:BN55)</f>
        <v/>
      </c>
      <c r="BO56" s="157">
        <f>SUM(BO54:BO55)</f>
        <v/>
      </c>
      <c r="BP56" s="157">
        <f>SUM(BP54:BP55)</f>
        <v/>
      </c>
      <c r="BQ56" s="157">
        <f>SUM(BQ54:BQ55)</f>
        <v/>
      </c>
      <c r="BR56" s="157">
        <f>SUM(BR54:BR55)</f>
        <v/>
      </c>
      <c r="BS56" s="157">
        <f>SUM(BS54:BS55)</f>
        <v/>
      </c>
      <c r="BT56" s="157">
        <f>SUM(BT54:BT55)</f>
        <v/>
      </c>
      <c r="BU56" s="157">
        <f>SUM(BU54:BU55)</f>
        <v/>
      </c>
      <c r="BV56" s="157">
        <f>SUM(BV54:BV55)</f>
        <v/>
      </c>
      <c r="BW56" s="157">
        <f>SUM(BW54:BW55)</f>
        <v/>
      </c>
      <c r="BX56" s="157">
        <f>SUM(BX54:BX55)</f>
        <v/>
      </c>
      <c r="BY56" s="157">
        <f>SUM(BY54:BY55)</f>
        <v/>
      </c>
      <c r="BZ56" s="157">
        <f>SUM(BZ54:BZ55)</f>
        <v/>
      </c>
      <c r="CA56" s="157">
        <f>SUM(CA54:CA55)</f>
        <v/>
      </c>
      <c r="CB56" s="157">
        <f>SUM(CB54:CB55)</f>
        <v/>
      </c>
      <c r="CC56" s="157">
        <f>SUM(CC54:CC55)</f>
        <v/>
      </c>
      <c r="CD56" s="157">
        <f>SUM(CD54:CD55)</f>
        <v/>
      </c>
      <c r="CE56" s="157">
        <f>SUM(CE54:CE55)</f>
        <v/>
      </c>
      <c r="CF56" s="157">
        <f>SUM(CF54:CF55)</f>
        <v/>
      </c>
      <c r="CG56" s="157">
        <f>SUM(CG54:CG55)</f>
        <v/>
      </c>
      <c r="CH56" s="157">
        <f>SUM(CH54:CH55)</f>
        <v/>
      </c>
      <c r="CI56" s="157">
        <f>SUM(CI54:CI55)</f>
        <v/>
      </c>
      <c r="CJ56" s="157">
        <f>SUM(CJ54:CJ55)</f>
        <v/>
      </c>
      <c r="CK56" s="157">
        <f>SUM(CK54:CK55)</f>
        <v/>
      </c>
      <c r="CL56" s="157">
        <f>SUM(CL54:CL55)</f>
        <v/>
      </c>
      <c r="CM56" s="157">
        <f>SUM(CM54:CM55)</f>
        <v/>
      </c>
      <c r="CN56" s="157">
        <f>SUM(CN54:CN55)</f>
        <v/>
      </c>
      <c r="CO56" s="157">
        <f>SUM(CO54:CO55)</f>
        <v/>
      </c>
      <c r="CP56" s="157">
        <f>SUM(CP54:CP55)</f>
        <v/>
      </c>
      <c r="CQ56" s="157">
        <f>SUM(CQ54:CQ55)</f>
        <v/>
      </c>
      <c r="CR56" s="157">
        <f>SUM(CR54:CR55)</f>
        <v/>
      </c>
      <c r="CS56" s="157">
        <f>SUM(CS54:CS55)</f>
        <v/>
      </c>
      <c r="CT56" s="157">
        <f>SUM(CT54:CT55)</f>
        <v/>
      </c>
      <c r="CU56" s="157">
        <f>SUM(CU54:CU55)</f>
        <v/>
      </c>
      <c r="CV56" s="157">
        <f>SUM(CV54:CV55)</f>
        <v/>
      </c>
      <c r="CW56" s="157">
        <f>SUM(CW54:CW55)</f>
        <v/>
      </c>
    </row>
    <row r="57" ht="15.75" customHeight="1" s="25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  <c r="BX57" s="56" t="n"/>
      <c r="BY57" s="56" t="n"/>
      <c r="BZ57" s="56" t="n"/>
      <c r="CA57" s="56" t="n"/>
      <c r="CB57" s="56" t="n"/>
      <c r="CC57" s="56" t="n"/>
      <c r="CD57" s="56" t="n"/>
      <c r="CE57" s="56" t="n"/>
      <c r="CF57" s="56" t="n"/>
      <c r="CG57" s="56" t="n"/>
      <c r="CH57" s="56" t="n"/>
      <c r="CI57" s="56" t="n"/>
      <c r="CJ57" s="56" t="n"/>
      <c r="CK57" s="56" t="n"/>
      <c r="CL57" s="56" t="n"/>
      <c r="CM57" s="56" t="n"/>
      <c r="CN57" s="56" t="n"/>
      <c r="CO57" s="56" t="n"/>
      <c r="CP57" s="56" t="n"/>
      <c r="CQ57" s="56" t="n"/>
      <c r="CR57" s="56" t="n"/>
      <c r="CS57" s="56" t="n"/>
      <c r="CT57" s="56" t="n"/>
      <c r="CU57" s="56" t="n"/>
      <c r="CV57" s="56" t="n"/>
      <c r="CW57" s="56" t="n"/>
    </row>
    <row r="58" ht="15.75" customHeight="1" s="255">
      <c r="A58" s="60" t="inlineStr">
        <is>
          <t>SHAREHOLDER'S EQUITY</t>
        </is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56" t="n"/>
      <c r="BT58" s="56" t="n"/>
      <c r="BU58" s="56" t="n"/>
      <c r="BV58" s="56" t="n"/>
      <c r="BW58" s="56" t="n"/>
      <c r="BX58" s="56" t="n"/>
      <c r="BY58" s="56" t="n"/>
      <c r="BZ58" s="56" t="n"/>
      <c r="CA58" s="56" t="n"/>
      <c r="CB58" s="56" t="n"/>
      <c r="CC58" s="56" t="n"/>
      <c r="CD58" s="56" t="n"/>
      <c r="CE58" s="56" t="n"/>
      <c r="CF58" s="56" t="n"/>
      <c r="CG58" s="56" t="n"/>
      <c r="CH58" s="56" t="n"/>
      <c r="CI58" s="56" t="n"/>
      <c r="CJ58" s="56" t="n"/>
      <c r="CK58" s="56" t="n"/>
      <c r="CL58" s="56" t="n"/>
      <c r="CM58" s="56" t="n"/>
      <c r="CN58" s="56" t="n"/>
      <c r="CO58" s="56" t="n"/>
      <c r="CP58" s="56" t="n"/>
      <c r="CQ58" s="56" t="n"/>
      <c r="CR58" s="56" t="n"/>
      <c r="CS58" s="56" t="n"/>
      <c r="CT58" s="56" t="n"/>
      <c r="CU58" s="56" t="n"/>
      <c r="CV58" s="56" t="n"/>
      <c r="CW58" s="56" t="n"/>
    </row>
    <row r="59" ht="15.75" customHeight="1" s="255">
      <c r="A59" s="56" t="inlineStr">
        <is>
          <t>Equity capital</t>
        </is>
      </c>
      <c r="B59" s="56" t="n"/>
      <c r="C59" s="56">
        <f>Settings!$B$10</f>
        <v/>
      </c>
      <c r="D59" s="56">
        <f>C59</f>
        <v/>
      </c>
      <c r="E59" s="56">
        <f>D59</f>
        <v/>
      </c>
      <c r="F59" s="56">
        <f>E59</f>
        <v/>
      </c>
      <c r="G59" s="56">
        <f>F59</f>
        <v/>
      </c>
      <c r="H59" s="56">
        <f>G59</f>
        <v/>
      </c>
      <c r="I59" s="56">
        <f>H59</f>
        <v/>
      </c>
      <c r="J59" s="56">
        <f>I59</f>
        <v/>
      </c>
      <c r="K59" s="56">
        <f>J59</f>
        <v/>
      </c>
      <c r="L59" s="56">
        <f>K59</f>
        <v/>
      </c>
      <c r="M59" s="56">
        <f>L59</f>
        <v/>
      </c>
      <c r="N59" s="56">
        <f>M59</f>
        <v/>
      </c>
      <c r="O59" s="56">
        <f>N59</f>
        <v/>
      </c>
      <c r="P59" s="56">
        <f>O59</f>
        <v/>
      </c>
      <c r="Q59" s="56">
        <f>P59</f>
        <v/>
      </c>
      <c r="R59" s="56">
        <f>Q59</f>
        <v/>
      </c>
      <c r="S59" s="56">
        <f>R59</f>
        <v/>
      </c>
      <c r="T59" s="56">
        <f>S59</f>
        <v/>
      </c>
      <c r="U59" s="56">
        <f>T59</f>
        <v/>
      </c>
      <c r="V59" s="56">
        <f>U59</f>
        <v/>
      </c>
      <c r="W59" s="56">
        <f>V59</f>
        <v/>
      </c>
      <c r="X59" s="56">
        <f>W59</f>
        <v/>
      </c>
      <c r="Y59" s="56">
        <f>X59</f>
        <v/>
      </c>
      <c r="Z59" s="56">
        <f>Y59</f>
        <v/>
      </c>
      <c r="AA59" s="56">
        <f>Z59</f>
        <v/>
      </c>
      <c r="AB59" s="56">
        <f>AA59</f>
        <v/>
      </c>
      <c r="AC59" s="56">
        <f>AB59</f>
        <v/>
      </c>
      <c r="AD59" s="56">
        <f>AC59</f>
        <v/>
      </c>
      <c r="AE59" s="56">
        <f>AD59</f>
        <v/>
      </c>
      <c r="AF59" s="56">
        <f>AE59</f>
        <v/>
      </c>
      <c r="AG59" s="56">
        <f>AF59</f>
        <v/>
      </c>
      <c r="AH59" s="56">
        <f>AG59</f>
        <v/>
      </c>
      <c r="AI59" s="56">
        <f>AH59</f>
        <v/>
      </c>
      <c r="AJ59" s="56">
        <f>AI59</f>
        <v/>
      </c>
      <c r="AK59" s="56">
        <f>AJ59</f>
        <v/>
      </c>
      <c r="AL59" s="56">
        <f>AK59</f>
        <v/>
      </c>
      <c r="AM59" s="56">
        <f>AL59</f>
        <v/>
      </c>
      <c r="AN59" s="56">
        <f>AM59</f>
        <v/>
      </c>
      <c r="AO59" s="56">
        <f>AN59</f>
        <v/>
      </c>
      <c r="AP59" s="56">
        <f>AO59</f>
        <v/>
      </c>
      <c r="AQ59" s="56">
        <f>AP59</f>
        <v/>
      </c>
      <c r="AR59" s="56">
        <f>AQ59</f>
        <v/>
      </c>
      <c r="AS59" s="56">
        <f>AR59</f>
        <v/>
      </c>
      <c r="AT59" s="56">
        <f>AS59</f>
        <v/>
      </c>
      <c r="AU59" s="56">
        <f>AT59</f>
        <v/>
      </c>
      <c r="AV59" s="56">
        <f>AU59</f>
        <v/>
      </c>
      <c r="AW59" s="56">
        <f>AV59</f>
        <v/>
      </c>
      <c r="AX59" s="56">
        <f>AW59</f>
        <v/>
      </c>
      <c r="AY59" s="56">
        <f>AX59</f>
        <v/>
      </c>
      <c r="AZ59" s="56">
        <f>AY59</f>
        <v/>
      </c>
      <c r="BA59" s="56">
        <f>AZ59</f>
        <v/>
      </c>
      <c r="BB59" s="56">
        <f>BA59</f>
        <v/>
      </c>
      <c r="BC59" s="56">
        <f>BB59</f>
        <v/>
      </c>
      <c r="BD59" s="56">
        <f>BC59</f>
        <v/>
      </c>
      <c r="BE59" s="56">
        <f>BD59</f>
        <v/>
      </c>
      <c r="BF59" s="56">
        <f>BE59</f>
        <v/>
      </c>
      <c r="BG59" s="56">
        <f>BF59</f>
        <v/>
      </c>
      <c r="BH59" s="56">
        <f>BG59</f>
        <v/>
      </c>
      <c r="BI59" s="56">
        <f>BH59</f>
        <v/>
      </c>
      <c r="BJ59" s="56">
        <f>BI59</f>
        <v/>
      </c>
      <c r="BK59" s="56">
        <f>BJ59</f>
        <v/>
      </c>
      <c r="BL59" s="56">
        <f>BK59</f>
        <v/>
      </c>
      <c r="BM59" s="56">
        <f>BL59</f>
        <v/>
      </c>
      <c r="BN59" s="56">
        <f>BM59</f>
        <v/>
      </c>
      <c r="BO59" s="56">
        <f>BN59</f>
        <v/>
      </c>
      <c r="BP59" s="56">
        <f>BO59</f>
        <v/>
      </c>
      <c r="BQ59" s="56">
        <f>BP59</f>
        <v/>
      </c>
      <c r="BR59" s="56">
        <f>BQ59</f>
        <v/>
      </c>
      <c r="BS59" s="56">
        <f>BR59</f>
        <v/>
      </c>
      <c r="BT59" s="56">
        <f>BS59</f>
        <v/>
      </c>
      <c r="BU59" s="56">
        <f>BT59</f>
        <v/>
      </c>
      <c r="BV59" s="56">
        <f>BU59</f>
        <v/>
      </c>
      <c r="BW59" s="56">
        <f>BV59</f>
        <v/>
      </c>
      <c r="BX59" s="56">
        <f>BW59</f>
        <v/>
      </c>
      <c r="BY59" s="56">
        <f>BX59</f>
        <v/>
      </c>
      <c r="BZ59" s="56">
        <f>BY59</f>
        <v/>
      </c>
      <c r="CA59" s="56">
        <f>BZ59</f>
        <v/>
      </c>
      <c r="CB59" s="56">
        <f>CA59</f>
        <v/>
      </c>
      <c r="CC59" s="56">
        <f>CB59</f>
        <v/>
      </c>
      <c r="CD59" s="56">
        <f>CC59</f>
        <v/>
      </c>
      <c r="CE59" s="56">
        <f>CD59</f>
        <v/>
      </c>
      <c r="CF59" s="56">
        <f>CE59</f>
        <v/>
      </c>
      <c r="CG59" s="56">
        <f>CF59</f>
        <v/>
      </c>
      <c r="CH59" s="56">
        <f>CG59</f>
        <v/>
      </c>
      <c r="CI59" s="56">
        <f>CH59</f>
        <v/>
      </c>
      <c r="CJ59" s="56">
        <f>CI59</f>
        <v/>
      </c>
      <c r="CK59" s="56">
        <f>CJ59</f>
        <v/>
      </c>
      <c r="CL59" s="56">
        <f>CK59</f>
        <v/>
      </c>
      <c r="CM59" s="56">
        <f>CL59</f>
        <v/>
      </c>
      <c r="CN59" s="56">
        <f>CM59</f>
        <v/>
      </c>
      <c r="CO59" s="56">
        <f>CN59</f>
        <v/>
      </c>
      <c r="CP59" s="56">
        <f>CO59</f>
        <v/>
      </c>
      <c r="CQ59" s="56">
        <f>CP59</f>
        <v/>
      </c>
      <c r="CR59" s="56">
        <f>CQ59</f>
        <v/>
      </c>
      <c r="CS59" s="56">
        <f>CR59</f>
        <v/>
      </c>
      <c r="CT59" s="56">
        <f>CS59</f>
        <v/>
      </c>
      <c r="CU59" s="56">
        <f>CT59</f>
        <v/>
      </c>
      <c r="CV59" s="56">
        <f>CU59</f>
        <v/>
      </c>
      <c r="CW59" s="56">
        <f>CV59</f>
        <v/>
      </c>
    </row>
    <row r="60" ht="15.75" customHeight="1" s="255">
      <c r="A60" s="56" t="inlineStr">
        <is>
          <t>Retained earnings</t>
        </is>
      </c>
      <c r="B60" s="56" t="n"/>
      <c r="C60" s="56">
        <f>C28</f>
        <v/>
      </c>
      <c r="D60" s="56">
        <f>C60+D28</f>
        <v/>
      </c>
      <c r="E60" s="56">
        <f>D60+E28</f>
        <v/>
      </c>
      <c r="F60" s="56">
        <f>E60+F28</f>
        <v/>
      </c>
      <c r="G60" s="56">
        <f>F60+G28</f>
        <v/>
      </c>
      <c r="H60" s="56">
        <f>G60+H28</f>
        <v/>
      </c>
      <c r="I60" s="56">
        <f>H60+I28</f>
        <v/>
      </c>
      <c r="J60" s="56">
        <f>I60+J28</f>
        <v/>
      </c>
      <c r="K60" s="56">
        <f>J60+K28</f>
        <v/>
      </c>
      <c r="L60" s="56">
        <f>K60+L28</f>
        <v/>
      </c>
      <c r="M60" s="56">
        <f>L60+M28</f>
        <v/>
      </c>
      <c r="N60" s="56">
        <f>M60+N28</f>
        <v/>
      </c>
      <c r="O60" s="56">
        <f>N60+O28</f>
        <v/>
      </c>
      <c r="P60" s="56">
        <f>O60+P28</f>
        <v/>
      </c>
      <c r="Q60" s="56">
        <f>P60+Q28</f>
        <v/>
      </c>
      <c r="R60" s="56">
        <f>Q60+R28</f>
        <v/>
      </c>
      <c r="S60" s="56">
        <f>R60+S28</f>
        <v/>
      </c>
      <c r="T60" s="56">
        <f>S60+T28</f>
        <v/>
      </c>
      <c r="U60" s="56">
        <f>T60+U28</f>
        <v/>
      </c>
      <c r="V60" s="56">
        <f>U60+V28</f>
        <v/>
      </c>
      <c r="W60" s="56">
        <f>V60+W28</f>
        <v/>
      </c>
      <c r="X60" s="56">
        <f>W60+X28</f>
        <v/>
      </c>
      <c r="Y60" s="56">
        <f>X60+Y28</f>
        <v/>
      </c>
      <c r="Z60" s="56">
        <f>Y60+Z28</f>
        <v/>
      </c>
      <c r="AA60" s="56">
        <f>Z60+AA28</f>
        <v/>
      </c>
      <c r="AB60" s="56">
        <f>AA60+AB28</f>
        <v/>
      </c>
      <c r="AC60" s="56">
        <f>AB60+AC28</f>
        <v/>
      </c>
      <c r="AD60" s="56">
        <f>AC60+AD28</f>
        <v/>
      </c>
      <c r="AE60" s="56">
        <f>AD60+AE28</f>
        <v/>
      </c>
      <c r="AF60" s="56">
        <f>AE60+AF28</f>
        <v/>
      </c>
      <c r="AG60" s="56">
        <f>AF60+AG28</f>
        <v/>
      </c>
      <c r="AH60" s="56">
        <f>AG60+AH28</f>
        <v/>
      </c>
      <c r="AI60" s="56">
        <f>AH60+AI28</f>
        <v/>
      </c>
      <c r="AJ60" s="56">
        <f>AI60+AJ28</f>
        <v/>
      </c>
      <c r="AK60" s="56">
        <f>AJ60+AK28</f>
        <v/>
      </c>
      <c r="AL60" s="56">
        <f>AK60+AL28</f>
        <v/>
      </c>
      <c r="AM60" s="56">
        <f>AL60+AM28</f>
        <v/>
      </c>
      <c r="AN60" s="56">
        <f>AM60+AN28</f>
        <v/>
      </c>
      <c r="AO60" s="56">
        <f>AN60+AO28</f>
        <v/>
      </c>
      <c r="AP60" s="56">
        <f>AO60+AP28</f>
        <v/>
      </c>
      <c r="AQ60" s="56">
        <f>AP60+AQ28</f>
        <v/>
      </c>
      <c r="AR60" s="56">
        <f>AQ60+AR28</f>
        <v/>
      </c>
      <c r="AS60" s="56">
        <f>AR60+AS28</f>
        <v/>
      </c>
      <c r="AT60" s="56">
        <f>AS60+AT28</f>
        <v/>
      </c>
      <c r="AU60" s="56">
        <f>AT60+AU28</f>
        <v/>
      </c>
      <c r="AV60" s="56">
        <f>AU60+AV28</f>
        <v/>
      </c>
      <c r="AW60" s="56">
        <f>AV60+AW28</f>
        <v/>
      </c>
      <c r="AX60" s="56">
        <f>AW60+AX28</f>
        <v/>
      </c>
      <c r="AY60" s="56">
        <f>AX60+AY28</f>
        <v/>
      </c>
      <c r="AZ60" s="56">
        <f>AY60+AZ28</f>
        <v/>
      </c>
      <c r="BA60" s="56">
        <f>AZ60+BA28</f>
        <v/>
      </c>
      <c r="BB60" s="56">
        <f>BA60+BB28</f>
        <v/>
      </c>
      <c r="BC60" s="56">
        <f>BB60+BC28</f>
        <v/>
      </c>
      <c r="BD60" s="56">
        <f>BC60+BD28</f>
        <v/>
      </c>
      <c r="BE60" s="56">
        <f>BD60+BE28</f>
        <v/>
      </c>
      <c r="BF60" s="56">
        <f>BE60+BF28</f>
        <v/>
      </c>
      <c r="BG60" s="56">
        <f>BF60+BG28</f>
        <v/>
      </c>
      <c r="BH60" s="56">
        <f>BG60+BH28</f>
        <v/>
      </c>
      <c r="BI60" s="56">
        <f>BH60+BI28</f>
        <v/>
      </c>
      <c r="BJ60" s="56">
        <f>BI60+BJ28</f>
        <v/>
      </c>
      <c r="BK60" s="56">
        <f>BJ60+BK28</f>
        <v/>
      </c>
      <c r="BL60" s="56">
        <f>BK60+BL28</f>
        <v/>
      </c>
      <c r="BM60" s="56">
        <f>BL60+BM28</f>
        <v/>
      </c>
      <c r="BN60" s="56">
        <f>BM60+BN28</f>
        <v/>
      </c>
      <c r="BO60" s="56">
        <f>BN60+BO28</f>
        <v/>
      </c>
      <c r="BP60" s="56">
        <f>BO60+BP28</f>
        <v/>
      </c>
      <c r="BQ60" s="56">
        <f>BP60+BQ28</f>
        <v/>
      </c>
      <c r="BR60" s="56">
        <f>BQ60+BR28</f>
        <v/>
      </c>
      <c r="BS60" s="56">
        <f>BR60+BS28</f>
        <v/>
      </c>
      <c r="BT60" s="56">
        <f>BS60+BT28</f>
        <v/>
      </c>
      <c r="BU60" s="56">
        <f>BT60+BU28</f>
        <v/>
      </c>
      <c r="BV60" s="56">
        <f>BU60+BV28</f>
        <v/>
      </c>
      <c r="BW60" s="56">
        <f>BV60+BW28</f>
        <v/>
      </c>
      <c r="BX60" s="56">
        <f>BW60+BX28</f>
        <v/>
      </c>
      <c r="BY60" s="56">
        <f>BX60+BY28</f>
        <v/>
      </c>
      <c r="BZ60" s="56">
        <f>BY60+BZ28</f>
        <v/>
      </c>
      <c r="CA60" s="56">
        <f>BZ60+CA28</f>
        <v/>
      </c>
      <c r="CB60" s="56">
        <f>CA60+CB28</f>
        <v/>
      </c>
      <c r="CC60" s="56">
        <f>CB60+CC28</f>
        <v/>
      </c>
      <c r="CD60" s="56">
        <f>CC60+CD28</f>
        <v/>
      </c>
      <c r="CE60" s="56">
        <f>CD60+CE28</f>
        <v/>
      </c>
      <c r="CF60" s="56">
        <f>CE60+CF28</f>
        <v/>
      </c>
      <c r="CG60" s="56">
        <f>CF60+CG28</f>
        <v/>
      </c>
      <c r="CH60" s="56">
        <f>CG60+CH28</f>
        <v/>
      </c>
      <c r="CI60" s="56">
        <f>CH60+CI28</f>
        <v/>
      </c>
      <c r="CJ60" s="56">
        <f>CI60+CJ28</f>
        <v/>
      </c>
      <c r="CK60" s="56">
        <f>CJ60+CK28</f>
        <v/>
      </c>
      <c r="CL60" s="56">
        <f>CK60+CL28</f>
        <v/>
      </c>
      <c r="CM60" s="56">
        <f>CL60+CM28</f>
        <v/>
      </c>
      <c r="CN60" s="56">
        <f>CM60+CN28</f>
        <v/>
      </c>
      <c r="CO60" s="56">
        <f>CN60+CO28</f>
        <v/>
      </c>
      <c r="CP60" s="56">
        <f>CO60+CP28</f>
        <v/>
      </c>
      <c r="CQ60" s="56">
        <f>CP60+CQ28</f>
        <v/>
      </c>
      <c r="CR60" s="56">
        <f>CQ60+CR28</f>
        <v/>
      </c>
      <c r="CS60" s="56">
        <f>CR60+CS28</f>
        <v/>
      </c>
      <c r="CT60" s="56">
        <f>CS60+CT28</f>
        <v/>
      </c>
      <c r="CU60" s="56">
        <f>CT60+CU28</f>
        <v/>
      </c>
      <c r="CV60" s="56">
        <f>CU60+CV28</f>
        <v/>
      </c>
      <c r="CW60" s="56">
        <f>CV60+CW28</f>
        <v/>
      </c>
    </row>
    <row r="61" ht="15.75" customHeight="1" s="255">
      <c r="A61" s="60" t="inlineStr">
        <is>
          <t>Shareholder's equity</t>
        </is>
      </c>
      <c r="B61" s="56" t="n"/>
      <c r="C61" s="157">
        <f>SUM(C59:C60)</f>
        <v/>
      </c>
      <c r="D61" s="157">
        <f>SUM(D59:D60)</f>
        <v/>
      </c>
      <c r="E61" s="157">
        <f>SUM(E59:E60)</f>
        <v/>
      </c>
      <c r="F61" s="157">
        <f>SUM(F59:F60)</f>
        <v/>
      </c>
      <c r="G61" s="157">
        <f>SUM(G59:G60)</f>
        <v/>
      </c>
      <c r="H61" s="157">
        <f>SUM(H59:H60)</f>
        <v/>
      </c>
      <c r="I61" s="157">
        <f>SUM(I59:I60)</f>
        <v/>
      </c>
      <c r="J61" s="157">
        <f>SUM(J59:J60)</f>
        <v/>
      </c>
      <c r="K61" s="157">
        <f>SUM(K59:K60)</f>
        <v/>
      </c>
      <c r="L61" s="157">
        <f>SUM(L59:L60)</f>
        <v/>
      </c>
      <c r="M61" s="157">
        <f>SUM(M59:M60)</f>
        <v/>
      </c>
      <c r="N61" s="157">
        <f>SUM(N59:N60)</f>
        <v/>
      </c>
      <c r="O61" s="157">
        <f>SUM(O59:O60)</f>
        <v/>
      </c>
      <c r="P61" s="157">
        <f>SUM(P59:P60)</f>
        <v/>
      </c>
      <c r="Q61" s="157">
        <f>SUM(Q59:Q60)</f>
        <v/>
      </c>
      <c r="R61" s="157">
        <f>SUM(R59:R60)</f>
        <v/>
      </c>
      <c r="S61" s="157">
        <f>SUM(S59:S60)</f>
        <v/>
      </c>
      <c r="T61" s="157">
        <f>SUM(T59:T60)</f>
        <v/>
      </c>
      <c r="U61" s="157">
        <f>SUM(U59:U60)</f>
        <v/>
      </c>
      <c r="V61" s="157">
        <f>SUM(V59:V60)</f>
        <v/>
      </c>
      <c r="W61" s="157">
        <f>SUM(W59:W60)</f>
        <v/>
      </c>
      <c r="X61" s="157">
        <f>SUM(X59:X60)</f>
        <v/>
      </c>
      <c r="Y61" s="157">
        <f>SUM(Y59:Y60)</f>
        <v/>
      </c>
      <c r="Z61" s="157">
        <f>SUM(Z59:Z60)</f>
        <v/>
      </c>
      <c r="AA61" s="157">
        <f>SUM(AA59:AA60)</f>
        <v/>
      </c>
      <c r="AB61" s="157">
        <f>SUM(AB59:AB60)</f>
        <v/>
      </c>
      <c r="AC61" s="157">
        <f>SUM(AC59:AC60)</f>
        <v/>
      </c>
      <c r="AD61" s="157">
        <f>SUM(AD59:AD60)</f>
        <v/>
      </c>
      <c r="AE61" s="157">
        <f>SUM(AE59:AE60)</f>
        <v/>
      </c>
      <c r="AF61" s="157">
        <f>SUM(AF59:AF60)</f>
        <v/>
      </c>
      <c r="AG61" s="157">
        <f>SUM(AG59:AG60)</f>
        <v/>
      </c>
      <c r="AH61" s="157">
        <f>SUM(AH59:AH60)</f>
        <v/>
      </c>
      <c r="AI61" s="157">
        <f>SUM(AI59:AI60)</f>
        <v/>
      </c>
      <c r="AJ61" s="157">
        <f>SUM(AJ59:AJ60)</f>
        <v/>
      </c>
      <c r="AK61" s="157">
        <f>SUM(AK59:AK60)</f>
        <v/>
      </c>
      <c r="AL61" s="157">
        <f>SUM(AL59:AL60)</f>
        <v/>
      </c>
      <c r="AM61" s="157">
        <f>SUM(AM59:AM60)</f>
        <v/>
      </c>
      <c r="AN61" s="157">
        <f>SUM(AN59:AN60)</f>
        <v/>
      </c>
      <c r="AO61" s="157">
        <f>SUM(AO59:AO60)</f>
        <v/>
      </c>
      <c r="AP61" s="157">
        <f>SUM(AP59:AP60)</f>
        <v/>
      </c>
      <c r="AQ61" s="157">
        <f>SUM(AQ59:AQ60)</f>
        <v/>
      </c>
      <c r="AR61" s="157">
        <f>SUM(AR59:AR60)</f>
        <v/>
      </c>
      <c r="AS61" s="157">
        <f>SUM(AS59:AS60)</f>
        <v/>
      </c>
      <c r="AT61" s="157">
        <f>SUM(AT59:AT60)</f>
        <v/>
      </c>
      <c r="AU61" s="157">
        <f>SUM(AU59:AU60)</f>
        <v/>
      </c>
      <c r="AV61" s="157">
        <f>SUM(AV59:AV60)</f>
        <v/>
      </c>
      <c r="AW61" s="157">
        <f>SUM(AW59:AW60)</f>
        <v/>
      </c>
      <c r="AX61" s="157">
        <f>SUM(AX59:AX60)</f>
        <v/>
      </c>
      <c r="AY61" s="157">
        <f>SUM(AY59:AY60)</f>
        <v/>
      </c>
      <c r="AZ61" s="157">
        <f>SUM(AZ59:AZ60)</f>
        <v/>
      </c>
      <c r="BA61" s="157">
        <f>SUM(BA59:BA60)</f>
        <v/>
      </c>
      <c r="BB61" s="157">
        <f>SUM(BB59:BB60)</f>
        <v/>
      </c>
      <c r="BC61" s="157">
        <f>SUM(BC59:BC60)</f>
        <v/>
      </c>
      <c r="BD61" s="157">
        <f>SUM(BD59:BD60)</f>
        <v/>
      </c>
      <c r="BE61" s="157">
        <f>SUM(BE59:BE60)</f>
        <v/>
      </c>
      <c r="BF61" s="157">
        <f>SUM(BF59:BF60)</f>
        <v/>
      </c>
      <c r="BG61" s="157">
        <f>SUM(BG59:BG60)</f>
        <v/>
      </c>
      <c r="BH61" s="157">
        <f>SUM(BH59:BH60)</f>
        <v/>
      </c>
      <c r="BI61" s="157">
        <f>SUM(BI59:BI60)</f>
        <v/>
      </c>
      <c r="BJ61" s="157">
        <f>SUM(BJ59:BJ60)</f>
        <v/>
      </c>
      <c r="BK61" s="157">
        <f>SUM(BK59:BK60)</f>
        <v/>
      </c>
      <c r="BL61" s="157">
        <f>SUM(BL59:BL60)</f>
        <v/>
      </c>
      <c r="BM61" s="157">
        <f>SUM(BM59:BM60)</f>
        <v/>
      </c>
      <c r="BN61" s="157">
        <f>SUM(BN59:BN60)</f>
        <v/>
      </c>
      <c r="BO61" s="157">
        <f>SUM(BO59:BO60)</f>
        <v/>
      </c>
      <c r="BP61" s="157">
        <f>SUM(BP59:BP60)</f>
        <v/>
      </c>
      <c r="BQ61" s="157">
        <f>SUM(BQ59:BQ60)</f>
        <v/>
      </c>
      <c r="BR61" s="157">
        <f>SUM(BR59:BR60)</f>
        <v/>
      </c>
      <c r="BS61" s="157">
        <f>SUM(BS59:BS60)</f>
        <v/>
      </c>
      <c r="BT61" s="157">
        <f>SUM(BT59:BT60)</f>
        <v/>
      </c>
      <c r="BU61" s="157">
        <f>SUM(BU59:BU60)</f>
        <v/>
      </c>
      <c r="BV61" s="157">
        <f>SUM(BV59:BV60)</f>
        <v/>
      </c>
      <c r="BW61" s="157">
        <f>SUM(BW59:BW60)</f>
        <v/>
      </c>
      <c r="BX61" s="157">
        <f>SUM(BX59:BX60)</f>
        <v/>
      </c>
      <c r="BY61" s="157">
        <f>SUM(BY59:BY60)</f>
        <v/>
      </c>
      <c r="BZ61" s="157">
        <f>SUM(BZ59:BZ60)</f>
        <v/>
      </c>
      <c r="CA61" s="157">
        <f>SUM(CA59:CA60)</f>
        <v/>
      </c>
      <c r="CB61" s="157">
        <f>SUM(CB59:CB60)</f>
        <v/>
      </c>
      <c r="CC61" s="157">
        <f>SUM(CC59:CC60)</f>
        <v/>
      </c>
      <c r="CD61" s="157">
        <f>SUM(CD59:CD60)</f>
        <v/>
      </c>
      <c r="CE61" s="157">
        <f>SUM(CE59:CE60)</f>
        <v/>
      </c>
      <c r="CF61" s="157">
        <f>SUM(CF59:CF60)</f>
        <v/>
      </c>
      <c r="CG61" s="157">
        <f>SUM(CG59:CG60)</f>
        <v/>
      </c>
      <c r="CH61" s="157">
        <f>SUM(CH59:CH60)</f>
        <v/>
      </c>
      <c r="CI61" s="157">
        <f>SUM(CI59:CI60)</f>
        <v/>
      </c>
      <c r="CJ61" s="157">
        <f>SUM(CJ59:CJ60)</f>
        <v/>
      </c>
      <c r="CK61" s="157">
        <f>SUM(CK59:CK60)</f>
        <v/>
      </c>
      <c r="CL61" s="157">
        <f>SUM(CL59:CL60)</f>
        <v/>
      </c>
      <c r="CM61" s="157">
        <f>SUM(CM59:CM60)</f>
        <v/>
      </c>
      <c r="CN61" s="157">
        <f>SUM(CN59:CN60)</f>
        <v/>
      </c>
      <c r="CO61" s="157">
        <f>SUM(CO59:CO60)</f>
        <v/>
      </c>
      <c r="CP61" s="157">
        <f>SUM(CP59:CP60)</f>
        <v/>
      </c>
      <c r="CQ61" s="157">
        <f>SUM(CQ59:CQ60)</f>
        <v/>
      </c>
      <c r="CR61" s="157">
        <f>SUM(CR59:CR60)</f>
        <v/>
      </c>
      <c r="CS61" s="157">
        <f>SUM(CS59:CS60)</f>
        <v/>
      </c>
      <c r="CT61" s="157">
        <f>SUM(CT59:CT60)</f>
        <v/>
      </c>
      <c r="CU61" s="157">
        <f>SUM(CU59:CU60)</f>
        <v/>
      </c>
      <c r="CV61" s="157">
        <f>SUM(CV59:CV60)</f>
        <v/>
      </c>
      <c r="CW61" s="157">
        <f>SUM(CW59:CW60)</f>
        <v/>
      </c>
    </row>
    <row r="62" ht="15.75" customHeight="1" s="255">
      <c r="A62" s="60" t="inlineStr">
        <is>
          <t>Total liabilities &amp; Shareholder's equity</t>
        </is>
      </c>
      <c r="B62" s="56" t="n"/>
      <c r="C62" s="157">
        <f>ROUND(C56+C61,0)</f>
        <v/>
      </c>
      <c r="D62" s="157">
        <f>ROUND(D56+D61,0)</f>
        <v/>
      </c>
      <c r="E62" s="157">
        <f>ROUND(E56+E61,0)</f>
        <v/>
      </c>
      <c r="F62" s="157">
        <f>ROUND(F56+F61,0)</f>
        <v/>
      </c>
      <c r="G62" s="157">
        <f>ROUND(G56+G61,0)</f>
        <v/>
      </c>
      <c r="H62" s="157">
        <f>ROUND(H56+H61,0)</f>
        <v/>
      </c>
      <c r="I62" s="157">
        <f>ROUND(I56+I61,0)</f>
        <v/>
      </c>
      <c r="J62" s="157">
        <f>ROUND(J56+J61,0)</f>
        <v/>
      </c>
      <c r="K62" s="157">
        <f>ROUND(K56+K61,0)</f>
        <v/>
      </c>
      <c r="L62" s="157">
        <f>ROUND(L56+L61,0)</f>
        <v/>
      </c>
      <c r="M62" s="157">
        <f>ROUND(M56+M61,0)</f>
        <v/>
      </c>
      <c r="N62" s="157">
        <f>ROUND(N56+N61,0)</f>
        <v/>
      </c>
      <c r="O62" s="157">
        <f>ROUND(O56+O61,0)</f>
        <v/>
      </c>
      <c r="P62" s="157">
        <f>ROUND(P56+P61,0)</f>
        <v/>
      </c>
      <c r="Q62" s="157">
        <f>ROUND(Q56+Q61,0)</f>
        <v/>
      </c>
      <c r="R62" s="157">
        <f>ROUND(R56+R61,0)</f>
        <v/>
      </c>
      <c r="S62" s="157">
        <f>ROUND(S56+S61,0)</f>
        <v/>
      </c>
      <c r="T62" s="157">
        <f>ROUND(T56+T61,0)</f>
        <v/>
      </c>
      <c r="U62" s="157">
        <f>ROUND(U56+U61,0)</f>
        <v/>
      </c>
      <c r="V62" s="157">
        <f>ROUND(V56+V61,0)</f>
        <v/>
      </c>
      <c r="W62" s="157">
        <f>ROUND(W56+W61,0)</f>
        <v/>
      </c>
      <c r="X62" s="157">
        <f>ROUND(X56+X61,0)</f>
        <v/>
      </c>
      <c r="Y62" s="157">
        <f>ROUND(Y56+Y61,0)</f>
        <v/>
      </c>
      <c r="Z62" s="157">
        <f>ROUND(Z56+Z61,0)</f>
        <v/>
      </c>
      <c r="AA62" s="157">
        <f>ROUND(AA56+AA61,0)</f>
        <v/>
      </c>
      <c r="AB62" s="157">
        <f>ROUND(AB56+AB61,0)</f>
        <v/>
      </c>
      <c r="AC62" s="157">
        <f>ROUND(AC56+AC61,0)</f>
        <v/>
      </c>
      <c r="AD62" s="157">
        <f>ROUND(AD56+AD61,0)</f>
        <v/>
      </c>
      <c r="AE62" s="157">
        <f>ROUND(AE56+AE61,0)</f>
        <v/>
      </c>
      <c r="AF62" s="157">
        <f>ROUND(AF56+AF61,0)</f>
        <v/>
      </c>
      <c r="AG62" s="157">
        <f>ROUND(AG56+AG61,0)</f>
        <v/>
      </c>
      <c r="AH62" s="157">
        <f>ROUND(AH56+AH61,0)</f>
        <v/>
      </c>
      <c r="AI62" s="157">
        <f>ROUND(AI56+AI61,0)</f>
        <v/>
      </c>
      <c r="AJ62" s="157">
        <f>ROUND(AJ56+AJ61,0)</f>
        <v/>
      </c>
      <c r="AK62" s="157">
        <f>ROUND(AK56+AK61,0)</f>
        <v/>
      </c>
      <c r="AL62" s="157">
        <f>ROUND(AL56+AL61,0)</f>
        <v/>
      </c>
      <c r="AM62" s="157">
        <f>ROUND(AM56+AM61,0)</f>
        <v/>
      </c>
      <c r="AN62" s="157">
        <f>ROUND(AN56+AN61,0)</f>
        <v/>
      </c>
      <c r="AO62" s="157">
        <f>ROUND(AO56+AO61,0)</f>
        <v/>
      </c>
      <c r="AP62" s="157">
        <f>ROUND(AP56+AP61,0)</f>
        <v/>
      </c>
      <c r="AQ62" s="157">
        <f>ROUND(AQ56+AQ61,0)</f>
        <v/>
      </c>
      <c r="AR62" s="157">
        <f>ROUND(AR56+AR61,0)</f>
        <v/>
      </c>
      <c r="AS62" s="157">
        <f>ROUND(AS56+AS61,0)</f>
        <v/>
      </c>
      <c r="AT62" s="157">
        <f>ROUND(AT56+AT61,0)</f>
        <v/>
      </c>
      <c r="AU62" s="157">
        <f>ROUND(AU56+AU61,0)</f>
        <v/>
      </c>
      <c r="AV62" s="157">
        <f>ROUND(AV56+AV61,0)</f>
        <v/>
      </c>
      <c r="AW62" s="157">
        <f>ROUND(AW56+AW61,0)</f>
        <v/>
      </c>
      <c r="AX62" s="157">
        <f>ROUND(AX56+AX61,0)</f>
        <v/>
      </c>
      <c r="AY62" s="157">
        <f>ROUND(AY56+AY61,0)</f>
        <v/>
      </c>
      <c r="AZ62" s="157">
        <f>ROUND(AZ56+AZ61,0)</f>
        <v/>
      </c>
      <c r="BA62" s="157">
        <f>ROUND(BA56+BA61,0)</f>
        <v/>
      </c>
      <c r="BB62" s="157">
        <f>ROUND(BB56+BB61,0)</f>
        <v/>
      </c>
      <c r="BC62" s="157">
        <f>ROUND(BC56+BC61,0)</f>
        <v/>
      </c>
      <c r="BD62" s="157">
        <f>ROUND(BD56+BD61,0)</f>
        <v/>
      </c>
      <c r="BE62" s="157">
        <f>ROUND(BE56+BE61,0)</f>
        <v/>
      </c>
      <c r="BF62" s="157">
        <f>ROUND(BF56+BF61,0)</f>
        <v/>
      </c>
      <c r="BG62" s="157">
        <f>ROUND(BG56+BG61,0)</f>
        <v/>
      </c>
      <c r="BH62" s="157">
        <f>ROUND(BH56+BH61,0)</f>
        <v/>
      </c>
      <c r="BI62" s="157">
        <f>ROUND(BI56+BI61,0)</f>
        <v/>
      </c>
      <c r="BJ62" s="157">
        <f>ROUND(BJ56+BJ61,0)</f>
        <v/>
      </c>
      <c r="BK62" s="157">
        <f>ROUND(BK56+BK61,0)</f>
        <v/>
      </c>
      <c r="BL62" s="157">
        <f>ROUND(BL56+BL61,0)</f>
        <v/>
      </c>
      <c r="BM62" s="157">
        <f>ROUND(BM56+BM61,0)</f>
        <v/>
      </c>
      <c r="BN62" s="157">
        <f>ROUND(BN56+BN61,0)</f>
        <v/>
      </c>
      <c r="BO62" s="157">
        <f>ROUND(BO56+BO61,0)</f>
        <v/>
      </c>
      <c r="BP62" s="157">
        <f>ROUND(BP56+BP61,0)</f>
        <v/>
      </c>
      <c r="BQ62" s="157">
        <f>ROUND(BQ56+BQ61,0)</f>
        <v/>
      </c>
      <c r="BR62" s="157">
        <f>ROUND(BR56+BR61,0)</f>
        <v/>
      </c>
      <c r="BS62" s="157">
        <f>ROUND(BS56+BS61,0)</f>
        <v/>
      </c>
      <c r="BT62" s="157">
        <f>ROUND(BT56+BT61,0)</f>
        <v/>
      </c>
      <c r="BU62" s="157">
        <f>ROUND(BU56+BU61,0)</f>
        <v/>
      </c>
      <c r="BV62" s="157">
        <f>ROUND(BV56+BV61,0)</f>
        <v/>
      </c>
      <c r="BW62" s="157">
        <f>ROUND(BW56+BW61,0)</f>
        <v/>
      </c>
      <c r="BX62" s="157">
        <f>ROUND(BX56+BX61,0)</f>
        <v/>
      </c>
      <c r="BY62" s="157">
        <f>ROUND(BY56+BY61,0)</f>
        <v/>
      </c>
      <c r="BZ62" s="157">
        <f>ROUND(BZ56+BZ61,0)</f>
        <v/>
      </c>
      <c r="CA62" s="157">
        <f>ROUND(CA56+CA61,0)</f>
        <v/>
      </c>
      <c r="CB62" s="157">
        <f>ROUND(CB56+CB61,0)</f>
        <v/>
      </c>
      <c r="CC62" s="157">
        <f>ROUND(CC56+CC61,0)</f>
        <v/>
      </c>
      <c r="CD62" s="157">
        <f>ROUND(CD56+CD61,0)</f>
        <v/>
      </c>
      <c r="CE62" s="157">
        <f>ROUND(CE56+CE61,0)</f>
        <v/>
      </c>
      <c r="CF62" s="157">
        <f>ROUND(CF56+CF61,0)</f>
        <v/>
      </c>
      <c r="CG62" s="157">
        <f>ROUND(CG56+CG61,0)</f>
        <v/>
      </c>
      <c r="CH62" s="157">
        <f>ROUND(CH56+CH61,0)</f>
        <v/>
      </c>
      <c r="CI62" s="157">
        <f>ROUND(CI56+CI61,0)</f>
        <v/>
      </c>
      <c r="CJ62" s="157">
        <f>ROUND(CJ56+CJ61,0)</f>
        <v/>
      </c>
      <c r="CK62" s="157">
        <f>ROUND(CK56+CK61,0)</f>
        <v/>
      </c>
      <c r="CL62" s="157">
        <f>ROUND(CL56+CL61,0)</f>
        <v/>
      </c>
      <c r="CM62" s="157">
        <f>ROUND(CM56+CM61,0)</f>
        <v/>
      </c>
      <c r="CN62" s="157">
        <f>ROUND(CN56+CN61,0)</f>
        <v/>
      </c>
      <c r="CO62" s="157">
        <f>ROUND(CO56+CO61,0)</f>
        <v/>
      </c>
      <c r="CP62" s="157">
        <f>ROUND(CP56+CP61,0)</f>
        <v/>
      </c>
      <c r="CQ62" s="157">
        <f>ROUND(CQ56+CQ61,0)</f>
        <v/>
      </c>
      <c r="CR62" s="157">
        <f>ROUND(CR56+CR61,0)</f>
        <v/>
      </c>
      <c r="CS62" s="157">
        <f>ROUND(CS56+CS61,0)</f>
        <v/>
      </c>
      <c r="CT62" s="157">
        <f>ROUND(CT56+CT61,0)</f>
        <v/>
      </c>
      <c r="CU62" s="157">
        <f>ROUND(CU56+CU61,0)</f>
        <v/>
      </c>
      <c r="CV62" s="157">
        <f>ROUND(CV56+CV61,0)</f>
        <v/>
      </c>
      <c r="CW62" s="157">
        <f>ROUND(CW56+CW61,0)</f>
        <v/>
      </c>
    </row>
    <row r="63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</row>
    <row r="64" ht="15.75" customHeight="1" s="255">
      <c r="A64" s="56" t="inlineStr">
        <is>
          <t>Balance sheet check</t>
        </is>
      </c>
      <c r="B64" s="56" t="n"/>
      <c r="C64" s="176">
        <f>C62-C50</f>
        <v/>
      </c>
      <c r="D64" s="176">
        <f>D62-D50</f>
        <v/>
      </c>
      <c r="E64" s="176">
        <f>E62-E50</f>
        <v/>
      </c>
      <c r="F64" s="176">
        <f>F62-F50</f>
        <v/>
      </c>
      <c r="G64" s="176">
        <f>G62-G50</f>
        <v/>
      </c>
      <c r="H64" s="176">
        <f>H62-H50</f>
        <v/>
      </c>
      <c r="I64" s="176">
        <f>I62-I50</f>
        <v/>
      </c>
      <c r="J64" s="176">
        <f>J62-J50</f>
        <v/>
      </c>
      <c r="K64" s="176">
        <f>K62-K50</f>
        <v/>
      </c>
      <c r="L64" s="176">
        <f>L62-L50</f>
        <v/>
      </c>
      <c r="M64" s="176">
        <f>M62-M50</f>
        <v/>
      </c>
      <c r="N64" s="176">
        <f>N62-N50</f>
        <v/>
      </c>
      <c r="O64" s="176">
        <f>O62-O50</f>
        <v/>
      </c>
      <c r="P64" s="176">
        <f>P62-P50</f>
        <v/>
      </c>
      <c r="Q64" s="176">
        <f>Q62-Q50</f>
        <v/>
      </c>
      <c r="R64" s="176">
        <f>R62-R50</f>
        <v/>
      </c>
      <c r="S64" s="176">
        <f>S62-S50</f>
        <v/>
      </c>
      <c r="T64" s="176">
        <f>T62-T50</f>
        <v/>
      </c>
      <c r="U64" s="176">
        <f>U62-U50</f>
        <v/>
      </c>
      <c r="V64" s="176">
        <f>V62-V50</f>
        <v/>
      </c>
      <c r="W64" s="176">
        <f>W62-W50</f>
        <v/>
      </c>
      <c r="X64" s="176">
        <f>X62-X50</f>
        <v/>
      </c>
      <c r="Y64" s="176">
        <f>Y62-Y50</f>
        <v/>
      </c>
      <c r="Z64" s="176">
        <f>Z62-Z50</f>
        <v/>
      </c>
      <c r="AA64" s="176">
        <f>AA62-AA50</f>
        <v/>
      </c>
      <c r="AB64" s="176">
        <f>AB62-AB50</f>
        <v/>
      </c>
      <c r="AC64" s="176">
        <f>AC62-AC50</f>
        <v/>
      </c>
      <c r="AD64" s="176">
        <f>AD62-AD50</f>
        <v/>
      </c>
      <c r="AE64" s="176">
        <f>AE62-AE50</f>
        <v/>
      </c>
      <c r="AF64" s="176">
        <f>AF62-AF50</f>
        <v/>
      </c>
      <c r="AG64" s="176">
        <f>AG62-AG50</f>
        <v/>
      </c>
      <c r="AH64" s="176">
        <f>AH62-AH50</f>
        <v/>
      </c>
      <c r="AI64" s="176">
        <f>AI62-AI50</f>
        <v/>
      </c>
      <c r="AJ64" s="176">
        <f>AJ62-AJ50</f>
        <v/>
      </c>
      <c r="AK64" s="176">
        <f>AK62-AK50</f>
        <v/>
      </c>
      <c r="AL64" s="176">
        <f>AL62-AL50</f>
        <v/>
      </c>
      <c r="AM64" s="176">
        <f>AM62-AM50</f>
        <v/>
      </c>
      <c r="AN64" s="176">
        <f>AN62-AN50</f>
        <v/>
      </c>
      <c r="AO64" s="176">
        <f>AO62-AO50</f>
        <v/>
      </c>
      <c r="AP64" s="176">
        <f>AP62-AP50</f>
        <v/>
      </c>
      <c r="AQ64" s="176">
        <f>AQ62-AQ50</f>
        <v/>
      </c>
      <c r="AR64" s="176">
        <f>AR62-AR50</f>
        <v/>
      </c>
      <c r="AS64" s="176">
        <f>AS62-AS50</f>
        <v/>
      </c>
      <c r="AT64" s="176">
        <f>AT62-AT50</f>
        <v/>
      </c>
      <c r="AU64" s="176">
        <f>AU62-AU50</f>
        <v/>
      </c>
      <c r="AV64" s="176">
        <f>AV62-AV50</f>
        <v/>
      </c>
      <c r="AW64" s="176">
        <f>AW62-AW50</f>
        <v/>
      </c>
      <c r="AX64" s="176">
        <f>AX62-AX50</f>
        <v/>
      </c>
      <c r="AY64" s="176">
        <f>AY62-AY50</f>
        <v/>
      </c>
      <c r="AZ64" s="176">
        <f>AZ62-AZ50</f>
        <v/>
      </c>
      <c r="BA64" s="176">
        <f>BA62-BA50</f>
        <v/>
      </c>
      <c r="BB64" s="176">
        <f>BB62-BB50</f>
        <v/>
      </c>
      <c r="BC64" s="176">
        <f>BC62-BC50</f>
        <v/>
      </c>
      <c r="BD64" s="176">
        <f>BD62-BD50</f>
        <v/>
      </c>
      <c r="BE64" s="176">
        <f>BE62-BE50</f>
        <v/>
      </c>
      <c r="BF64" s="176">
        <f>BF62-BF50</f>
        <v/>
      </c>
      <c r="BG64" s="176">
        <f>BG62-BG50</f>
        <v/>
      </c>
      <c r="BH64" s="176">
        <f>BH62-BH50</f>
        <v/>
      </c>
      <c r="BI64" s="176">
        <f>BI62-BI50</f>
        <v/>
      </c>
      <c r="BJ64" s="176">
        <f>BJ62-BJ50</f>
        <v/>
      </c>
      <c r="BK64" s="176">
        <f>BK62-BK50</f>
        <v/>
      </c>
      <c r="BL64" s="176">
        <f>BL62-BL50</f>
        <v/>
      </c>
      <c r="BM64" s="176">
        <f>BM62-BM50</f>
        <v/>
      </c>
      <c r="BN64" s="176">
        <f>BN62-BN50</f>
        <v/>
      </c>
      <c r="BO64" s="176">
        <f>BO62-BO50</f>
        <v/>
      </c>
      <c r="BP64" s="176">
        <f>BP62-BP50</f>
        <v/>
      </c>
      <c r="BQ64" s="176">
        <f>BQ62-BQ50</f>
        <v/>
      </c>
      <c r="BR64" s="176">
        <f>BR62-BR50</f>
        <v/>
      </c>
      <c r="BS64" s="176">
        <f>BS62-BS50</f>
        <v/>
      </c>
      <c r="BT64" s="176">
        <f>BT62-BT50</f>
        <v/>
      </c>
      <c r="BU64" s="176">
        <f>BU62-BU50</f>
        <v/>
      </c>
      <c r="BV64" s="176">
        <f>BV62-BV50</f>
        <v/>
      </c>
      <c r="BW64" s="176">
        <f>BW62-BW50</f>
        <v/>
      </c>
      <c r="BX64" s="176">
        <f>BX62-BX50</f>
        <v/>
      </c>
      <c r="BY64" s="176">
        <f>BY62-BY50</f>
        <v/>
      </c>
      <c r="BZ64" s="176">
        <f>BZ62-BZ50</f>
        <v/>
      </c>
      <c r="CA64" s="176">
        <f>CA62-CA50</f>
        <v/>
      </c>
      <c r="CB64" s="176">
        <f>CB62-CB50</f>
        <v/>
      </c>
      <c r="CC64" s="176">
        <f>CC62-CC50</f>
        <v/>
      </c>
      <c r="CD64" s="176">
        <f>CD62-CD50</f>
        <v/>
      </c>
      <c r="CE64" s="176">
        <f>CE62-CE50</f>
        <v/>
      </c>
      <c r="CF64" s="176">
        <f>CF62-CF50</f>
        <v/>
      </c>
      <c r="CG64" s="176">
        <f>CG62-CG50</f>
        <v/>
      </c>
      <c r="CH64" s="176">
        <f>CH62-CH50</f>
        <v/>
      </c>
      <c r="CI64" s="176">
        <f>CI62-CI50</f>
        <v/>
      </c>
      <c r="CJ64" s="176">
        <f>CJ62-CJ50</f>
        <v/>
      </c>
      <c r="CK64" s="176">
        <f>CK62-CK50</f>
        <v/>
      </c>
      <c r="CL64" s="176">
        <f>CL62-CL50</f>
        <v/>
      </c>
      <c r="CM64" s="176">
        <f>CM62-CM50</f>
        <v/>
      </c>
      <c r="CN64" s="176">
        <f>CN62-CN50</f>
        <v/>
      </c>
      <c r="CO64" s="176">
        <f>CO62-CO50</f>
        <v/>
      </c>
      <c r="CP64" s="176">
        <f>CP62-CP50</f>
        <v/>
      </c>
      <c r="CQ64" s="176">
        <f>CQ62-CQ50</f>
        <v/>
      </c>
      <c r="CR64" s="176">
        <f>CR62-CR50</f>
        <v/>
      </c>
      <c r="CS64" s="176">
        <f>CS62-CS50</f>
        <v/>
      </c>
      <c r="CT64" s="176">
        <f>CT62-CT50</f>
        <v/>
      </c>
      <c r="CU64" s="176">
        <f>CU62-CU50</f>
        <v/>
      </c>
      <c r="CV64" s="176">
        <f>CV62-CV50</f>
        <v/>
      </c>
      <c r="CW64" s="176">
        <f>CW62-CW50</f>
        <v/>
      </c>
    </row>
    <row r="65" ht="15.75" customHeight="1" s="25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  <c r="CW65" s="56" t="n"/>
    </row>
    <row r="66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</row>
    <row r="67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</row>
    <row r="68" ht="15.75" customHeight="1" s="25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  <c r="CW68" s="56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</row>
  </sheetData>
  <printOptions horizontalCentered="1"/>
  <pageMargins left="0.7" right="0.7" top="0.75" bottom="1.34692992257437" header="0" footer="0"/>
  <pageSetup orientation="landscape" paperSize="9" fitToHeight="0" pageOrder="overThenDown"/>
</worksheet>
</file>

<file path=xl/worksheets/sheet14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N230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14.63" customWidth="1" style="255" min="2" max="2"/>
    <col width="12.63" customWidth="1" style="255" min="3" max="3"/>
    <col width="12.75" customWidth="1" style="255" min="4" max="5"/>
    <col width="1.75" customWidth="1" style="255" min="6" max="6"/>
    <col width="17.38" customWidth="1" style="255" min="7" max="7"/>
    <col width="2.25" customWidth="1" style="255" min="11" max="11"/>
    <col width="16.63" customWidth="1" style="255" min="12" max="12"/>
    <col width="2.25" customWidth="1" style="255" min="16" max="16"/>
    <col width="16.63" customWidth="1" style="255" min="17" max="17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  <c r="AG1" s="178" t="n"/>
      <c r="AH1" s="178" t="n"/>
      <c r="AI1" s="178" t="n"/>
      <c r="AJ1" s="178" t="n"/>
      <c r="AK1" s="178" t="n"/>
      <c r="AL1" s="178" t="n"/>
      <c r="AM1" s="178" t="n"/>
      <c r="AN1" s="178" t="n"/>
    </row>
    <row r="2" ht="15.75" customHeight="1" s="255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</row>
    <row r="3" ht="15.75" customHeight="1" s="255">
      <c r="A3" s="5" t="n"/>
      <c r="B3" s="180" t="inlineStr">
        <is>
          <t>Foundation</t>
        </is>
      </c>
      <c r="C3" s="181" t="n"/>
      <c r="D3" s="181" t="n"/>
      <c r="E3" s="182" t="n"/>
      <c r="F3" s="5" t="n"/>
      <c r="G3" s="180" t="inlineStr">
        <is>
          <t>Round 1</t>
        </is>
      </c>
      <c r="H3" s="181" t="n"/>
      <c r="I3" s="181" t="n"/>
      <c r="J3" s="182" t="n"/>
      <c r="K3" s="5" t="n"/>
      <c r="L3" s="180" t="inlineStr">
        <is>
          <t>Round 2</t>
        </is>
      </c>
      <c r="M3" s="181" t="n"/>
      <c r="N3" s="181" t="n"/>
      <c r="O3" s="182" t="n"/>
      <c r="P3" s="5" t="n"/>
      <c r="Q3" s="180" t="inlineStr">
        <is>
          <t>Round 3</t>
        </is>
      </c>
      <c r="R3" s="181" t="n"/>
      <c r="S3" s="181" t="n"/>
      <c r="T3" s="182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 ht="15.75" customHeight="1" s="255">
      <c r="A4" s="5" t="n"/>
      <c r="B4" s="183" t="inlineStr">
        <is>
          <t>Date</t>
        </is>
      </c>
      <c r="C4" s="184">
        <f>Roadmap!C7</f>
        <v/>
      </c>
      <c r="D4" s="185" t="n"/>
      <c r="E4" s="186" t="n"/>
      <c r="F4" s="5" t="n"/>
      <c r="G4" s="183" t="inlineStr">
        <is>
          <t>Date</t>
        </is>
      </c>
      <c r="H4" s="184" t="n">
        <v>45444</v>
      </c>
      <c r="I4" s="185" t="n"/>
      <c r="J4" s="186" t="n"/>
      <c r="K4" s="5" t="n"/>
      <c r="L4" s="183" t="inlineStr">
        <is>
          <t>Date</t>
        </is>
      </c>
      <c r="M4" s="184" t="n">
        <v>45809</v>
      </c>
      <c r="N4" s="185" t="n"/>
      <c r="O4" s="186" t="n"/>
      <c r="P4" s="5" t="n"/>
      <c r="Q4" s="183" t="inlineStr">
        <is>
          <t>Date</t>
        </is>
      </c>
      <c r="R4" s="184" t="n">
        <v>46174</v>
      </c>
      <c r="S4" s="185" t="n"/>
      <c r="T4" s="186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15.75" customHeight="1" s="255">
      <c r="A5" s="66" t="n"/>
      <c r="B5" s="187" t="n"/>
      <c r="C5" s="66" t="n"/>
      <c r="D5" s="66" t="n"/>
      <c r="E5" s="188" t="n"/>
      <c r="F5" s="66" t="n"/>
      <c r="G5" s="189" t="n"/>
      <c r="H5" s="66" t="n"/>
      <c r="I5" s="66" t="n"/>
      <c r="J5" s="188" t="n"/>
      <c r="K5" s="66" t="n"/>
      <c r="L5" s="189" t="n"/>
      <c r="M5" s="66" t="n"/>
      <c r="N5" s="66" t="n"/>
      <c r="O5" s="188" t="n"/>
      <c r="P5" s="66" t="n"/>
      <c r="Q5" s="189" t="n"/>
      <c r="R5" s="66" t="n"/>
      <c r="S5" s="66" t="n"/>
      <c r="T5" s="188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.75" customHeight="1" s="255">
      <c r="A6" s="66" t="n"/>
      <c r="B6" s="190" t="inlineStr">
        <is>
          <t>Company Valuation</t>
        </is>
      </c>
      <c r="C6" s="191" t="n"/>
      <c r="D6" s="191" t="n"/>
      <c r="E6" s="192" t="n"/>
      <c r="F6" s="5" t="n"/>
      <c r="G6" s="190" t="inlineStr">
        <is>
          <t>Company Valuation</t>
        </is>
      </c>
      <c r="H6" s="191" t="n"/>
      <c r="I6" s="191" t="n"/>
      <c r="J6" s="192" t="n"/>
      <c r="K6" s="5" t="n"/>
      <c r="L6" s="190" t="inlineStr">
        <is>
          <t>Company Valuation</t>
        </is>
      </c>
      <c r="M6" s="191" t="n"/>
      <c r="N6" s="191" t="n"/>
      <c r="O6" s="192" t="n"/>
      <c r="P6" s="5" t="n"/>
      <c r="Q6" s="190" t="inlineStr">
        <is>
          <t>Company Valuation</t>
        </is>
      </c>
      <c r="R6" s="191" t="n"/>
      <c r="S6" s="191" t="n"/>
      <c r="T6" s="192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.75" customHeight="1" s="255">
      <c r="A7" s="66" t="n"/>
      <c r="B7" s="193" t="n"/>
      <c r="C7" s="194" t="inlineStr">
        <is>
          <t>Value</t>
        </is>
      </c>
      <c r="D7" s="194" t="inlineStr">
        <is>
          <t>Share Price</t>
        </is>
      </c>
      <c r="E7" s="195" t="inlineStr">
        <is>
          <t>Number of Shares</t>
        </is>
      </c>
      <c r="F7" s="5" t="n"/>
      <c r="G7" s="193" t="n"/>
      <c r="H7" s="194" t="inlineStr">
        <is>
          <t>Value</t>
        </is>
      </c>
      <c r="I7" s="194" t="inlineStr">
        <is>
          <t>Share Price</t>
        </is>
      </c>
      <c r="J7" s="195" t="inlineStr">
        <is>
          <t>Number of Shares</t>
        </is>
      </c>
      <c r="K7" s="5" t="n"/>
      <c r="L7" s="193" t="n"/>
      <c r="M7" s="194" t="inlineStr">
        <is>
          <t>Value</t>
        </is>
      </c>
      <c r="N7" s="194" t="inlineStr">
        <is>
          <t>Share Price</t>
        </is>
      </c>
      <c r="O7" s="195" t="inlineStr">
        <is>
          <t>Number of Shares</t>
        </is>
      </c>
      <c r="P7" s="5" t="n"/>
      <c r="Q7" s="193" t="n"/>
      <c r="R7" s="194" t="inlineStr">
        <is>
          <t>Value</t>
        </is>
      </c>
      <c r="S7" s="194" t="inlineStr">
        <is>
          <t>Share Price</t>
        </is>
      </c>
      <c r="T7" s="195" t="inlineStr">
        <is>
          <t>Number of Shares</t>
        </is>
      </c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.75" customHeight="1" s="255">
      <c r="A8" s="66" t="n"/>
      <c r="B8" s="196" t="inlineStr">
        <is>
          <t>Valuation</t>
        </is>
      </c>
      <c r="C8" s="197" t="n">
        <v>0</v>
      </c>
      <c r="D8" s="197">
        <f>C8/E8</f>
        <v/>
      </c>
      <c r="E8" s="198" t="n">
        <v>1000000</v>
      </c>
      <c r="F8" s="66" t="n"/>
      <c r="G8" s="196" t="inlineStr">
        <is>
          <t>Valuation</t>
        </is>
      </c>
      <c r="H8" s="197" t="n">
        <v>1000000</v>
      </c>
      <c r="I8" s="197">
        <f>H8/J8</f>
        <v/>
      </c>
      <c r="J8" s="198" t="n">
        <v>1000000</v>
      </c>
      <c r="K8" s="66" t="n"/>
      <c r="L8" s="196" t="inlineStr">
        <is>
          <t>Valuation</t>
        </is>
      </c>
      <c r="M8" s="197" t="n">
        <v>5000000</v>
      </c>
      <c r="N8" s="197">
        <f>M8/O8</f>
        <v/>
      </c>
      <c r="O8" s="198">
        <f>J11</f>
        <v/>
      </c>
      <c r="P8" s="66" t="n"/>
      <c r="Q8" s="196" t="inlineStr">
        <is>
          <t>Valuation</t>
        </is>
      </c>
      <c r="R8" s="197" t="n">
        <v>10000000</v>
      </c>
      <c r="S8" s="197">
        <f>R8/T8</f>
        <v/>
      </c>
      <c r="T8" s="198">
        <f>O11</f>
        <v/>
      </c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.75" customHeight="1" s="255">
      <c r="A9" s="66" t="n"/>
      <c r="B9" s="187" t="n"/>
      <c r="C9" s="56" t="n"/>
      <c r="D9" s="199" t="n"/>
      <c r="E9" s="200" t="n"/>
      <c r="F9" s="66" t="n"/>
      <c r="G9" s="201" t="inlineStr">
        <is>
          <t>New Capital Raised</t>
        </is>
      </c>
      <c r="H9" s="202">
        <f>SUM(H20:H23)</f>
        <v/>
      </c>
      <c r="I9" s="202">
        <f>I8</f>
        <v/>
      </c>
      <c r="J9" s="203">
        <f>H9/I8</f>
        <v/>
      </c>
      <c r="K9" s="66" t="n"/>
      <c r="L9" s="201" t="inlineStr">
        <is>
          <t>New Capital Raised</t>
        </is>
      </c>
      <c r="M9" s="202">
        <f>SUM(M15:M27)</f>
        <v/>
      </c>
      <c r="N9" s="202">
        <f>N8</f>
        <v/>
      </c>
      <c r="O9" s="203">
        <f>M9/N8</f>
        <v/>
      </c>
      <c r="P9" s="66" t="n"/>
      <c r="Q9" s="201" t="inlineStr">
        <is>
          <t>New Capital Raised</t>
        </is>
      </c>
      <c r="R9" s="202">
        <f>SUM(R15:R29)</f>
        <v/>
      </c>
      <c r="S9" s="202">
        <f>S8</f>
        <v/>
      </c>
      <c r="T9" s="203">
        <f>R9/S8</f>
        <v/>
      </c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.75" customHeight="1" s="255">
      <c r="A10" s="66" t="n"/>
      <c r="B10" s="187" t="n"/>
      <c r="C10" s="56" t="n"/>
      <c r="D10" s="42" t="n"/>
      <c r="E10" s="204" t="n"/>
      <c r="F10" s="66" t="n"/>
      <c r="G10" s="201" t="inlineStr">
        <is>
          <t>Post-money Valuation</t>
        </is>
      </c>
      <c r="H10" s="205">
        <f>H8+H9</f>
        <v/>
      </c>
      <c r="I10" s="206" t="n"/>
      <c r="J10" s="188" t="n"/>
      <c r="K10" s="66" t="n"/>
      <c r="L10" s="201" t="inlineStr">
        <is>
          <t>Post-money Valuation</t>
        </is>
      </c>
      <c r="M10" s="205">
        <f>M8+M9</f>
        <v/>
      </c>
      <c r="N10" s="206" t="n"/>
      <c r="O10" s="188" t="n"/>
      <c r="P10" s="66" t="n"/>
      <c r="Q10" s="201" t="inlineStr">
        <is>
          <t>Post-money Valuation</t>
        </is>
      </c>
      <c r="R10" s="205">
        <f>R8+R9</f>
        <v/>
      </c>
      <c r="S10" s="206" t="n"/>
      <c r="T10" s="188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.75" customHeight="1" s="255">
      <c r="A11" s="66" t="n"/>
      <c r="B11" s="207" t="inlineStr">
        <is>
          <t>Total</t>
        </is>
      </c>
      <c r="C11" s="66" t="n"/>
      <c r="D11" s="66" t="n"/>
      <c r="E11" s="208">
        <f>E8+E9</f>
        <v/>
      </c>
      <c r="F11" s="66" t="n"/>
      <c r="G11" s="207" t="inlineStr">
        <is>
          <t>Total</t>
        </is>
      </c>
      <c r="H11" s="66" t="n"/>
      <c r="I11" s="66" t="n"/>
      <c r="J11" s="208">
        <f>J8+J9</f>
        <v/>
      </c>
      <c r="K11" s="66" t="n"/>
      <c r="L11" s="207" t="inlineStr">
        <is>
          <t>Total</t>
        </is>
      </c>
      <c r="M11" s="66" t="n"/>
      <c r="N11" s="66" t="n"/>
      <c r="O11" s="208">
        <f>O8+O9</f>
        <v/>
      </c>
      <c r="P11" s="66" t="n"/>
      <c r="Q11" s="207" t="inlineStr">
        <is>
          <t>Total</t>
        </is>
      </c>
      <c r="R11" s="66" t="n"/>
      <c r="S11" s="66" t="n"/>
      <c r="T11" s="208">
        <f>T8+T9</f>
        <v/>
      </c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.75" customHeight="1" s="255">
      <c r="A12" s="66" t="n"/>
      <c r="B12" s="187" t="n"/>
      <c r="C12" s="66" t="n"/>
      <c r="D12" s="66" t="n"/>
      <c r="E12" s="188" t="n"/>
      <c r="F12" s="66" t="n"/>
      <c r="G12" s="189" t="n"/>
      <c r="H12" s="66" t="n"/>
      <c r="I12" s="66" t="n"/>
      <c r="J12" s="188" t="n"/>
      <c r="K12" s="66" t="n"/>
      <c r="L12" s="189" t="n"/>
      <c r="M12" s="66" t="n"/>
      <c r="N12" s="66" t="n"/>
      <c r="O12" s="188" t="n"/>
      <c r="P12" s="66" t="n"/>
      <c r="Q12" s="189" t="n"/>
      <c r="R12" s="66" t="n"/>
      <c r="S12" s="66" t="n"/>
      <c r="T12" s="188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5.75" customHeight="1" s="255">
      <c r="A13" s="5" t="n"/>
      <c r="B13" s="190" t="inlineStr">
        <is>
          <t>Company Ownership Capitalization Table</t>
        </is>
      </c>
      <c r="C13" s="191" t="n"/>
      <c r="D13" s="191" t="n"/>
      <c r="E13" s="192" t="n"/>
      <c r="F13" s="5" t="n"/>
      <c r="G13" s="190" t="inlineStr">
        <is>
          <t>Company Ownership Capitalization Table</t>
        </is>
      </c>
      <c r="H13" s="191" t="n"/>
      <c r="I13" s="191" t="n"/>
      <c r="J13" s="192" t="n"/>
      <c r="K13" s="5" t="n"/>
      <c r="L13" s="190" t="inlineStr">
        <is>
          <t>Company Ownership Capitalization Table</t>
        </is>
      </c>
      <c r="M13" s="191" t="n"/>
      <c r="N13" s="191" t="n"/>
      <c r="O13" s="192" t="n"/>
      <c r="P13" s="5" t="n"/>
      <c r="Q13" s="190" t="inlineStr">
        <is>
          <t>Company Ownership Capitalization Table</t>
        </is>
      </c>
      <c r="R13" s="191" t="n"/>
      <c r="S13" s="191" t="n"/>
      <c r="T13" s="19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 ht="15.75" customHeight="1" s="255">
      <c r="A14" s="5" t="n"/>
      <c r="B14" s="193" t="n"/>
      <c r="C14" s="194" t="inlineStr">
        <is>
          <t>Capital</t>
        </is>
      </c>
      <c r="D14" s="194" t="inlineStr">
        <is>
          <t>Number of Shares</t>
        </is>
      </c>
      <c r="E14" s="195" t="inlineStr">
        <is>
          <t>% of Ownership</t>
        </is>
      </c>
      <c r="F14" s="5" t="n"/>
      <c r="G14" s="193" t="n"/>
      <c r="H14" s="194" t="inlineStr">
        <is>
          <t>Capital Raised in this Round</t>
        </is>
      </c>
      <c r="I14" s="194" t="inlineStr">
        <is>
          <t>Number of Shares</t>
        </is>
      </c>
      <c r="J14" s="195" t="inlineStr">
        <is>
          <t>% of Ownership</t>
        </is>
      </c>
      <c r="K14" s="5" t="n"/>
      <c r="L14" s="193" t="n"/>
      <c r="M14" s="194" t="inlineStr">
        <is>
          <t>Capital Raised in this Round</t>
        </is>
      </c>
      <c r="N14" s="194" t="inlineStr">
        <is>
          <t>Number of Shares</t>
        </is>
      </c>
      <c r="O14" s="195" t="inlineStr">
        <is>
          <t>% of Ownership</t>
        </is>
      </c>
      <c r="P14" s="5" t="n"/>
      <c r="Q14" s="193" t="n"/>
      <c r="R14" s="194" t="inlineStr">
        <is>
          <t>Capital Raised in this Round</t>
        </is>
      </c>
      <c r="S14" s="194" t="inlineStr">
        <is>
          <t>Number of Shares</t>
        </is>
      </c>
      <c r="T14" s="195" t="inlineStr">
        <is>
          <t>% of Ownership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 ht="15.75" customHeight="1" s="255">
      <c r="A15" s="66" t="n"/>
      <c r="B15" s="196" t="inlineStr">
        <is>
          <t>Founder 1</t>
        </is>
      </c>
      <c r="C15" s="197" t="n">
        <v>0</v>
      </c>
      <c r="D15" s="209">
        <f>$E$8*E15</f>
        <v/>
      </c>
      <c r="E15" s="210" t="n">
        <v>0.35</v>
      </c>
      <c r="F15" s="66" t="n"/>
      <c r="G15" s="196" t="inlineStr">
        <is>
          <t>Founder 1</t>
        </is>
      </c>
      <c r="H15" s="197" t="n">
        <v>0</v>
      </c>
      <c r="I15" s="209">
        <f>D15</f>
        <v/>
      </c>
      <c r="J15" s="211">
        <f>I15/$J$11</f>
        <v/>
      </c>
      <c r="K15" s="66" t="n"/>
      <c r="L15" s="196" t="inlineStr">
        <is>
          <t>Founder 1</t>
        </is>
      </c>
      <c r="M15" s="197" t="n">
        <v>0</v>
      </c>
      <c r="N15" s="209">
        <f>IF(M15&gt;0,I15+(M15/$N$9),I15)</f>
        <v/>
      </c>
      <c r="O15" s="211">
        <f>N15/$O$11</f>
        <v/>
      </c>
      <c r="P15" s="66" t="n"/>
      <c r="Q15" s="196" t="inlineStr">
        <is>
          <t>Founder 1</t>
        </is>
      </c>
      <c r="R15" s="197" t="n">
        <v>0</v>
      </c>
      <c r="S15" s="209">
        <f>IF(R15&gt;0,N15+(R15/$S$9),N15)</f>
        <v/>
      </c>
      <c r="T15" s="211">
        <f>S15/$T$11</f>
        <v/>
      </c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5.75" customHeight="1" s="255">
      <c r="A16" s="66" t="n"/>
      <c r="B16" s="196" t="inlineStr">
        <is>
          <t>Founder 2</t>
        </is>
      </c>
      <c r="C16" s="197" t="n">
        <v>0</v>
      </c>
      <c r="D16" s="209">
        <f>$E$8*E16</f>
        <v/>
      </c>
      <c r="E16" s="210" t="n">
        <v>0.35</v>
      </c>
      <c r="F16" s="66" t="n"/>
      <c r="G16" s="196" t="inlineStr">
        <is>
          <t>Founder 2</t>
        </is>
      </c>
      <c r="H16" s="197" t="n">
        <v>0</v>
      </c>
      <c r="I16" s="209">
        <f>D16</f>
        <v/>
      </c>
      <c r="J16" s="211">
        <f>I16/$J$11</f>
        <v/>
      </c>
      <c r="K16" s="66" t="n"/>
      <c r="L16" s="196" t="inlineStr">
        <is>
          <t>Founder 2</t>
        </is>
      </c>
      <c r="M16" s="197" t="n">
        <v>0</v>
      </c>
      <c r="N16" s="209">
        <f>IF(M16&gt;0,I16+(M16/$N$9),I16)</f>
        <v/>
      </c>
      <c r="O16" s="211">
        <f>N16/$O$11</f>
        <v/>
      </c>
      <c r="P16" s="66" t="n"/>
      <c r="Q16" s="196" t="inlineStr">
        <is>
          <t>Founder 2</t>
        </is>
      </c>
      <c r="R16" s="197" t="n">
        <v>0</v>
      </c>
      <c r="S16" s="209">
        <f>IF(R16&gt;0,N16+(R16/$S$9),N16)</f>
        <v/>
      </c>
      <c r="T16" s="211">
        <f>S16/$T$11</f>
        <v/>
      </c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15.75" customHeight="1" s="255">
      <c r="A17" s="66" t="n"/>
      <c r="B17" s="196" t="inlineStr">
        <is>
          <t>Founder 3</t>
        </is>
      </c>
      <c r="C17" s="197" t="n">
        <v>0</v>
      </c>
      <c r="D17" s="209">
        <f>$E$8*E17</f>
        <v/>
      </c>
      <c r="E17" s="210" t="n">
        <v>0.24</v>
      </c>
      <c r="F17" s="66" t="n"/>
      <c r="G17" s="196" t="inlineStr">
        <is>
          <t>Founder 3</t>
        </is>
      </c>
      <c r="H17" s="197" t="n">
        <v>0</v>
      </c>
      <c r="I17" s="209">
        <f>D17</f>
        <v/>
      </c>
      <c r="J17" s="211">
        <f>I17/$J$11</f>
        <v/>
      </c>
      <c r="K17" s="66" t="n"/>
      <c r="L17" s="196" t="inlineStr">
        <is>
          <t>Founder 3</t>
        </is>
      </c>
      <c r="M17" s="197" t="n">
        <v>0</v>
      </c>
      <c r="N17" s="209">
        <f>IF(M17&gt;0,I17+(M17/$N$9),I17)</f>
        <v/>
      </c>
      <c r="O17" s="211">
        <f>N17/$O$11</f>
        <v/>
      </c>
      <c r="P17" s="66" t="n"/>
      <c r="Q17" s="196" t="inlineStr">
        <is>
          <t>Founder 3</t>
        </is>
      </c>
      <c r="R17" s="197" t="n">
        <v>0</v>
      </c>
      <c r="S17" s="209">
        <f>IF(R17&gt;0,N17+(R17/$S$9),N17)</f>
        <v/>
      </c>
      <c r="T17" s="211">
        <f>S17/$T$11</f>
        <v/>
      </c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15.75" customHeight="1" s="255">
      <c r="A18" s="66" t="n"/>
      <c r="B18" s="196" t="inlineStr">
        <is>
          <t>Key Employees</t>
        </is>
      </c>
      <c r="C18" s="197" t="n">
        <v>0</v>
      </c>
      <c r="D18" s="209">
        <f>$E$8*E18</f>
        <v/>
      </c>
      <c r="E18" s="210" t="n">
        <v>0.05</v>
      </c>
      <c r="F18" s="66" t="n"/>
      <c r="G18" s="196" t="inlineStr">
        <is>
          <t>Key Employees</t>
        </is>
      </c>
      <c r="H18" s="197" t="n">
        <v>0</v>
      </c>
      <c r="I18" s="209">
        <f>D18</f>
        <v/>
      </c>
      <c r="J18" s="211">
        <f>I18/$J$11</f>
        <v/>
      </c>
      <c r="K18" s="66" t="n"/>
      <c r="L18" s="196" t="inlineStr">
        <is>
          <t>Key Employees</t>
        </is>
      </c>
      <c r="M18" s="197" t="n">
        <v>0</v>
      </c>
      <c r="N18" s="209">
        <f>IF(M18&gt;0,I18+(M18/$N$9),I18)</f>
        <v/>
      </c>
      <c r="O18" s="211">
        <f>N18/$O$11</f>
        <v/>
      </c>
      <c r="P18" s="66" t="n"/>
      <c r="Q18" s="196" t="inlineStr">
        <is>
          <t>Key Employees</t>
        </is>
      </c>
      <c r="R18" s="197" t="n">
        <v>0</v>
      </c>
      <c r="S18" s="209">
        <f>IF(R18&gt;0,N18+(R18/$S$9),N18)</f>
        <v/>
      </c>
      <c r="T18" s="211">
        <f>S18/$T$11</f>
        <v/>
      </c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15.75" customHeight="1" s="255">
      <c r="A19" s="66" t="n"/>
      <c r="B19" s="196" t="inlineStr">
        <is>
          <t>Advisors</t>
        </is>
      </c>
      <c r="C19" s="197" t="n">
        <v>0</v>
      </c>
      <c r="D19" s="209">
        <f>$E$8*E19</f>
        <v/>
      </c>
      <c r="E19" s="210" t="n">
        <v>0.01</v>
      </c>
      <c r="F19" s="66" t="n"/>
      <c r="G19" s="196" t="inlineStr">
        <is>
          <t>Advisors</t>
        </is>
      </c>
      <c r="H19" s="197" t="n">
        <v>0</v>
      </c>
      <c r="I19" s="209">
        <f>D19</f>
        <v/>
      </c>
      <c r="J19" s="211">
        <f>I19/$J$11</f>
        <v/>
      </c>
      <c r="K19" s="66" t="n"/>
      <c r="L19" s="196" t="inlineStr">
        <is>
          <t>Advisors</t>
        </is>
      </c>
      <c r="M19" s="197" t="n">
        <v>0</v>
      </c>
      <c r="N19" s="209">
        <f>IF(M19&gt;0,I19+(M19/$N$9),I19)</f>
        <v/>
      </c>
      <c r="O19" s="211">
        <f>N19/$O$11</f>
        <v/>
      </c>
      <c r="P19" s="66" t="n"/>
      <c r="Q19" s="196" t="inlineStr">
        <is>
          <t>Advisors</t>
        </is>
      </c>
      <c r="R19" s="197" t="n">
        <v>0</v>
      </c>
      <c r="S19" s="209">
        <f>IF(R19&gt;0,N19+(R19/$S$9),N19)</f>
        <v/>
      </c>
      <c r="T19" s="211">
        <f>S19/$T$11</f>
        <v/>
      </c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15.75" customHeight="1" s="255">
      <c r="A20" s="66" t="n"/>
      <c r="B20" s="212" t="n"/>
      <c r="C20" s="213" t="n"/>
      <c r="D20" s="214" t="n"/>
      <c r="E20" s="215" t="n"/>
      <c r="F20" s="66" t="n"/>
      <c r="G20" s="196" t="inlineStr">
        <is>
          <t>Investor 1</t>
        </is>
      </c>
      <c r="H20" s="197" t="n">
        <v>500000</v>
      </c>
      <c r="I20" s="216">
        <f>H20/$I$9</f>
        <v/>
      </c>
      <c r="J20" s="211">
        <f>I20/$J$11</f>
        <v/>
      </c>
      <c r="K20" s="66" t="n"/>
      <c r="L20" s="196" t="inlineStr">
        <is>
          <t>Investor 1</t>
        </is>
      </c>
      <c r="M20" s="197" t="n">
        <v>100000</v>
      </c>
      <c r="N20" s="209">
        <f>IF(M20&gt;0,I20+(M20/$N$9),I20)</f>
        <v/>
      </c>
      <c r="O20" s="211">
        <f>N20/$O$11</f>
        <v/>
      </c>
      <c r="P20" s="66" t="n"/>
      <c r="Q20" s="196" t="inlineStr">
        <is>
          <t>Investor 1</t>
        </is>
      </c>
      <c r="R20" s="197" t="n">
        <v>0</v>
      </c>
      <c r="S20" s="209">
        <f>IF(R20&gt;0,N20+(R20/$S$9),N20)</f>
        <v/>
      </c>
      <c r="T20" s="211">
        <f>S20/$T$11</f>
        <v/>
      </c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15.75" customHeight="1" s="255">
      <c r="A21" s="66" t="n"/>
      <c r="B21" s="66" t="n"/>
      <c r="C21" s="197" t="n"/>
      <c r="D21" s="216" t="n"/>
      <c r="E21" s="217" t="n"/>
      <c r="F21" s="66" t="n"/>
      <c r="G21" s="196" t="inlineStr">
        <is>
          <t>Investor 2</t>
        </is>
      </c>
      <c r="H21" s="197" t="n">
        <v>300000</v>
      </c>
      <c r="I21" s="216">
        <f>H21/$I$9</f>
        <v/>
      </c>
      <c r="J21" s="211">
        <f>I21/$J$11</f>
        <v/>
      </c>
      <c r="K21" s="66" t="n"/>
      <c r="L21" s="196" t="inlineStr">
        <is>
          <t>Investor 2</t>
        </is>
      </c>
      <c r="M21" s="197" t="n">
        <v>0</v>
      </c>
      <c r="N21" s="209">
        <f>IF(M21&gt;0,I21+(M21/$N$9),I21)</f>
        <v/>
      </c>
      <c r="O21" s="211">
        <f>N21/$O$11</f>
        <v/>
      </c>
      <c r="P21" s="66" t="n"/>
      <c r="Q21" s="196" t="inlineStr">
        <is>
          <t>Investor 2</t>
        </is>
      </c>
      <c r="R21" s="197" t="n">
        <v>500000</v>
      </c>
      <c r="S21" s="209">
        <f>IF(R21&gt;0,N21+(R21/$S$9),N21)</f>
        <v/>
      </c>
      <c r="T21" s="211">
        <f>S21/$T$11</f>
        <v/>
      </c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15.75" customHeight="1" s="255">
      <c r="A22" s="66" t="n"/>
      <c r="B22" s="66" t="n"/>
      <c r="C22" s="197" t="n"/>
      <c r="D22" s="216" t="n"/>
      <c r="E22" s="217" t="n"/>
      <c r="F22" s="66" t="n"/>
      <c r="G22" s="196" t="inlineStr">
        <is>
          <t>Investor 3</t>
        </is>
      </c>
      <c r="H22" s="197" t="n">
        <v>100000</v>
      </c>
      <c r="I22" s="216">
        <f>H22/$I$9</f>
        <v/>
      </c>
      <c r="J22" s="211">
        <f>I22/$J$11</f>
        <v/>
      </c>
      <c r="K22" s="66" t="n"/>
      <c r="L22" s="196" t="inlineStr">
        <is>
          <t>Investor 3</t>
        </is>
      </c>
      <c r="M22" s="197" t="n">
        <v>200000</v>
      </c>
      <c r="N22" s="209">
        <f>IF(M22&gt;0,I22+(M22/$N$9),I22)</f>
        <v/>
      </c>
      <c r="O22" s="211">
        <f>N22/$O$11</f>
        <v/>
      </c>
      <c r="P22" s="66" t="n"/>
      <c r="Q22" s="196" t="inlineStr">
        <is>
          <t>Investor 3</t>
        </is>
      </c>
      <c r="R22" s="197" t="n">
        <v>0</v>
      </c>
      <c r="S22" s="209">
        <f>IF(R22&gt;0,N22+(R22/$S$9),N22)</f>
        <v/>
      </c>
      <c r="T22" s="211">
        <f>S22/$T$11</f>
        <v/>
      </c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15.75" customHeight="1" s="255">
      <c r="A23" s="66" t="n"/>
      <c r="B23" s="66" t="n"/>
      <c r="C23" s="66" t="n"/>
      <c r="D23" s="66" t="n"/>
      <c r="E23" s="66" t="n"/>
      <c r="F23" s="66" t="n"/>
      <c r="G23" s="196" t="inlineStr">
        <is>
          <t>Investor 4</t>
        </is>
      </c>
      <c r="H23" s="197" t="n">
        <v>100000</v>
      </c>
      <c r="I23" s="216">
        <f>H23/$I$9</f>
        <v/>
      </c>
      <c r="J23" s="211">
        <f>I23/$J$11</f>
        <v/>
      </c>
      <c r="K23" s="66" t="n"/>
      <c r="L23" s="196" t="inlineStr">
        <is>
          <t>Investor 4</t>
        </is>
      </c>
      <c r="M23" s="197" t="n">
        <v>0</v>
      </c>
      <c r="N23" s="209">
        <f>IF(M23&gt;0,I23+(M23/$N$9),I23)</f>
        <v/>
      </c>
      <c r="O23" s="211">
        <f>N23/$O$11</f>
        <v/>
      </c>
      <c r="P23" s="66" t="n"/>
      <c r="Q23" s="196" t="inlineStr">
        <is>
          <t>Investor 4</t>
        </is>
      </c>
      <c r="R23" s="197" t="n">
        <v>0</v>
      </c>
      <c r="S23" s="209">
        <f>IF(R23&gt;0,N23+(R23/$S$9),N23)</f>
        <v/>
      </c>
      <c r="T23" s="211">
        <f>S23/$T$11</f>
        <v/>
      </c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15.75" customHeight="1" s="255">
      <c r="A24" s="66" t="n"/>
      <c r="B24" s="66" t="n"/>
      <c r="C24" s="66" t="n"/>
      <c r="D24" s="66" t="n"/>
      <c r="E24" s="66" t="n"/>
      <c r="F24" s="66" t="n"/>
      <c r="G24" s="212" t="n"/>
      <c r="H24" s="213" t="n"/>
      <c r="I24" s="218">
        <f>SUM(I15:I23)</f>
        <v/>
      </c>
      <c r="J24" s="219" t="n"/>
      <c r="K24" s="66" t="n"/>
      <c r="L24" s="196" t="inlineStr">
        <is>
          <t>Investor 5</t>
        </is>
      </c>
      <c r="M24" s="197" t="n">
        <v>600000</v>
      </c>
      <c r="N24" s="209">
        <f>M24/$N$9</f>
        <v/>
      </c>
      <c r="O24" s="211">
        <f>N24/$O$11</f>
        <v/>
      </c>
      <c r="P24" s="66" t="n"/>
      <c r="Q24" s="196" t="inlineStr">
        <is>
          <t>Investor 5</t>
        </is>
      </c>
      <c r="R24" s="197" t="n">
        <v>0</v>
      </c>
      <c r="S24" s="209">
        <f>IF(R24&gt;0,N24+(R24/$S$9),N24)</f>
        <v/>
      </c>
      <c r="T24" s="211">
        <f>S24/$T$11</f>
        <v/>
      </c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15.75" customHeight="1" s="25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196" t="inlineStr">
        <is>
          <t>Investor 6</t>
        </is>
      </c>
      <c r="M25" s="197" t="n">
        <v>500000</v>
      </c>
      <c r="N25" s="209">
        <f>M25/$N$9</f>
        <v/>
      </c>
      <c r="O25" s="211">
        <f>N25/$O$11</f>
        <v/>
      </c>
      <c r="P25" s="66" t="n"/>
      <c r="Q25" s="196" t="inlineStr">
        <is>
          <t>Investor 6</t>
        </is>
      </c>
      <c r="R25" s="197" t="n">
        <v>0</v>
      </c>
      <c r="S25" s="209">
        <f>IF(R25&gt;0,N25+(R25/$S$9),N25)</f>
        <v/>
      </c>
      <c r="T25" s="211">
        <f>S25/$T$11</f>
        <v/>
      </c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15.75" customHeight="1" s="255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196" t="inlineStr">
        <is>
          <t>Investor 7</t>
        </is>
      </c>
      <c r="M26" s="197" t="n">
        <v>300000</v>
      </c>
      <c r="N26" s="209">
        <f>M26/$N$9</f>
        <v/>
      </c>
      <c r="O26" s="211">
        <f>N26/$O$11</f>
        <v/>
      </c>
      <c r="P26" s="66" t="n"/>
      <c r="Q26" s="196" t="inlineStr">
        <is>
          <t>Investor 7</t>
        </is>
      </c>
      <c r="R26" s="197" t="n">
        <v>0</v>
      </c>
      <c r="S26" s="209">
        <f>IF(R26&gt;0,N26+(R26/$S$9),N26)</f>
        <v/>
      </c>
      <c r="T26" s="211">
        <f>S26/$T$11</f>
        <v/>
      </c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15.75" customHeight="1" s="255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196" t="inlineStr">
        <is>
          <t>Investor 8</t>
        </is>
      </c>
      <c r="M27" s="197" t="n">
        <v>600000</v>
      </c>
      <c r="N27" s="209">
        <f>M27/$N$9</f>
        <v/>
      </c>
      <c r="O27" s="211">
        <f>N27/$O$11</f>
        <v/>
      </c>
      <c r="P27" s="66" t="n"/>
      <c r="Q27" s="196" t="inlineStr">
        <is>
          <t>Investor 8</t>
        </is>
      </c>
      <c r="R27" s="197" t="n">
        <v>0</v>
      </c>
      <c r="S27" s="209">
        <f>IF(R27&gt;0,N27+(R27/$S$9),N27)</f>
        <v/>
      </c>
      <c r="T27" s="211">
        <f>S27/$T$11</f>
        <v/>
      </c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15.75" customHeight="1" s="255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212" t="n"/>
      <c r="M28" s="220" t="n"/>
      <c r="N28" s="218">
        <f>SUM(N15:N27)</f>
        <v/>
      </c>
      <c r="O28" s="219" t="n"/>
      <c r="P28" s="66" t="n"/>
      <c r="Q28" s="196" t="inlineStr">
        <is>
          <t>Investor 9</t>
        </is>
      </c>
      <c r="R28" s="197" t="n">
        <v>1000000</v>
      </c>
      <c r="S28" s="209">
        <f>R28/$S$9</f>
        <v/>
      </c>
      <c r="T28" s="211">
        <f>S28/$T$11</f>
        <v/>
      </c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15.75" customHeight="1" s="255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196" t="inlineStr">
        <is>
          <t>Investor 10</t>
        </is>
      </c>
      <c r="R29" s="197" t="n">
        <v>500000</v>
      </c>
      <c r="S29" s="209">
        <f>R29/$S$9</f>
        <v/>
      </c>
      <c r="T29" s="211">
        <f>S29/$T$11</f>
        <v/>
      </c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15.75" customHeight="1" s="255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212" t="n"/>
      <c r="R30" s="220" t="n"/>
      <c r="S30" s="218">
        <f>SUM(S15:S29)</f>
        <v/>
      </c>
      <c r="T30" s="219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15.75" customHeight="1" s="255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15.75" customHeight="1" s="255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15.75" customHeight="1" s="255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15.75" customHeight="1" s="255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15.75" customHeight="1" s="25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15.75" customHeight="1" s="255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15.75" customHeight="1" s="255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15.75" customHeight="1" s="255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15.75" customHeight="1" s="255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15.75" customHeight="1" s="255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15.75" customHeight="1" s="255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15.75" customHeight="1" s="255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15.75" customHeight="1" s="255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15.75" customHeight="1" s="255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15.75" customHeight="1" s="25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15.75" customHeight="1" s="255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15.75" customHeight="1" s="255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15.75" customHeight="1" s="255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15.75" customHeight="1" s="255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15.75" customHeight="1" s="255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15.75" customHeight="1" s="255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15.75" customHeight="1" s="255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15.75" customHeight="1" s="255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15.75" customHeight="1" s="255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15.75" customHeight="1" s="2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</row>
    <row r="56" ht="15.75" customHeight="1" s="255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ht="15.75" customHeight="1" s="255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ht="15.75" customHeight="1" s="255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ht="15.75" customHeight="1" s="255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ht="15.75" customHeight="1" s="255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ht="15.75" customHeight="1" s="255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ht="15.75" customHeight="1" s="255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ht="15.75" customHeight="1" s="255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ht="15.75" customHeight="1" s="255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ht="15.75" customHeight="1" s="25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ht="15.75" customHeight="1" s="255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ht="15.75" customHeight="1" s="255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ht="15.75" customHeight="1" s="255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ht="15.75" customHeight="1" s="255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ht="15.75" customHeight="1" s="255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ht="15.75" customHeight="1" s="255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ht="15.75" customHeight="1" s="255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ht="15.75" customHeight="1" s="255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ht="15.75" customHeight="1" s="255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ht="15.75" customHeight="1" s="25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ht="15.75" customHeight="1" s="255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ht="15.75" customHeight="1" s="255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ht="15.75" customHeight="1" s="255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ht="15.75" customHeight="1" s="255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ht="15.75" customHeight="1" s="255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ht="15.75" customHeight="1" s="255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ht="15.75" customHeight="1" s="255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ht="15.75" customHeight="1" s="255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ht="15.75" customHeight="1" s="255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ht="15.75" customHeight="1" s="25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ht="15.75" customHeight="1" s="255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ht="15.75" customHeight="1" s="255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ht="15.75" customHeight="1" s="255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ht="15.75" customHeight="1" s="255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ht="15.75" customHeight="1" s="255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ht="15.75" customHeight="1" s="255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</row>
    <row r="92" ht="15.75" customHeight="1" s="255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 ht="15.75" customHeight="1" s="255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  <row r="94" ht="15.75" customHeight="1" s="255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</row>
    <row r="95" ht="15.75" customHeight="1" s="25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</row>
    <row r="96" ht="15.75" customHeight="1" s="255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</row>
    <row r="97" ht="15.75" customHeight="1" s="255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</row>
    <row r="98" ht="15.75" customHeight="1" s="255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</row>
    <row r="99" ht="15.75" customHeight="1" s="255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</row>
    <row r="100" ht="15.75" customHeight="1" s="255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</row>
    <row r="101" ht="15.75" customHeight="1" s="255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</row>
    <row r="102" ht="15.75" customHeight="1" s="255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</row>
    <row r="103" ht="15.75" customHeight="1" s="255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</row>
    <row r="104" ht="15.75" customHeight="1" s="255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</row>
    <row r="105" ht="15.75" customHeight="1" s="25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</row>
    <row r="106" ht="15.75" customHeight="1" s="255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</row>
    <row r="107" ht="15.75" customHeight="1" s="255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</row>
    <row r="108" ht="15.75" customHeight="1" s="255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</row>
    <row r="109" ht="15.75" customHeight="1" s="255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</row>
    <row r="110" ht="15.75" customHeight="1" s="255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</row>
    <row r="111" ht="15.75" customHeight="1" s="255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</row>
    <row r="112" ht="15.75" customHeight="1" s="255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</row>
    <row r="113" ht="15.75" customHeight="1" s="255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</row>
    <row r="114" ht="15.75" customHeight="1" s="255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</row>
    <row r="115" ht="15.75" customHeight="1" s="25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</row>
    <row r="116" ht="15.75" customHeight="1" s="255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</row>
    <row r="117" ht="15.75" customHeight="1" s="255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</row>
    <row r="118" ht="15.75" customHeight="1" s="255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</row>
    <row r="119" ht="15.75" customHeight="1" s="255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</row>
    <row r="120" ht="15.75" customHeight="1" s="255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</row>
    <row r="121" ht="15.75" customHeight="1" s="255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</row>
    <row r="122" ht="15.75" customHeight="1" s="255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</row>
    <row r="123" ht="15.75" customHeight="1" s="255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</row>
    <row r="124" ht="15.75" customHeight="1" s="255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</row>
    <row r="125" ht="15.75" customHeight="1" s="25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</row>
    <row r="126" ht="15.75" customHeight="1" s="255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</row>
    <row r="127" ht="15.75" customHeight="1" s="255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</row>
    <row r="128" ht="15.75" customHeight="1" s="255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</row>
    <row r="129" ht="15.75" customHeight="1" s="255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</row>
    <row r="130" ht="15.75" customHeight="1" s="255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</row>
    <row r="131" ht="15.75" customHeight="1" s="255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</row>
    <row r="132" ht="15.75" customHeight="1" s="255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</row>
    <row r="133" ht="15.75" customHeight="1" s="255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</row>
    <row r="134" ht="15.75" customHeight="1" s="255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</row>
    <row r="135" ht="15.75" customHeight="1" s="25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</row>
    <row r="136" ht="15.75" customHeight="1" s="255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</row>
    <row r="137" ht="15.75" customHeight="1" s="255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</row>
    <row r="138" ht="15.75" customHeight="1" s="255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</row>
    <row r="139" ht="15.75" customHeight="1" s="255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</row>
    <row r="140" ht="15.75" customHeight="1" s="255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</row>
    <row r="141" ht="15.75" customHeight="1" s="255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</row>
    <row r="142" ht="15.75" customHeight="1" s="255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</row>
    <row r="143" ht="15.75" customHeight="1" s="255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</row>
    <row r="144" ht="15.75" customHeight="1" s="255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</row>
    <row r="145" ht="15.75" customHeight="1" s="25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</row>
    <row r="146" ht="15.75" customHeight="1" s="255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</row>
    <row r="147" ht="15.75" customHeight="1" s="255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</row>
    <row r="148" ht="15.75" customHeight="1" s="255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</row>
    <row r="149" ht="15.75" customHeight="1" s="255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</row>
    <row r="150" ht="15.75" customHeight="1" s="255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</row>
    <row r="151" ht="15.75" customHeight="1" s="255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</row>
    <row r="152" ht="15.75" customHeight="1" s="255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</row>
    <row r="153" ht="15.75" customHeight="1" s="255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</row>
    <row r="154" ht="15.75" customHeight="1" s="255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</row>
    <row r="155" ht="15.75" customHeight="1" s="2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</row>
    <row r="156" ht="15.75" customHeight="1" s="255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</row>
    <row r="157" ht="15.75" customHeight="1" s="255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</row>
    <row r="158" ht="15.75" customHeight="1" s="255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</row>
    <row r="159" ht="15.75" customHeight="1" s="255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</row>
    <row r="160" ht="15.75" customHeight="1" s="255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</row>
    <row r="161" ht="15.75" customHeight="1" s="255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</row>
    <row r="162" ht="15.75" customHeight="1" s="255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</row>
    <row r="163" ht="15.75" customHeight="1" s="255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</row>
    <row r="164" ht="15.75" customHeight="1" s="255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</row>
    <row r="165" ht="15.75" customHeight="1" s="25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</row>
    <row r="166" ht="15.75" customHeight="1" s="255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</row>
    <row r="167" ht="15.75" customHeight="1" s="255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</row>
    <row r="168" ht="15.75" customHeight="1" s="255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</row>
    <row r="169" ht="15.75" customHeight="1" s="255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</row>
    <row r="170" ht="15.75" customHeight="1" s="255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</row>
    <row r="171" ht="15.75" customHeight="1" s="255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</row>
    <row r="172" ht="15.75" customHeight="1" s="255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</row>
    <row r="173" ht="15.75" customHeight="1" s="255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</row>
    <row r="174" ht="15.75" customHeight="1" s="255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</row>
    <row r="175" ht="15.75" customHeight="1" s="25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</row>
    <row r="176" ht="15.75" customHeight="1" s="255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</row>
    <row r="177" ht="15.75" customHeight="1" s="255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</row>
    <row r="178" ht="15.75" customHeight="1" s="255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</row>
    <row r="179" ht="15.75" customHeight="1" s="255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</row>
    <row r="180" ht="15.75" customHeight="1" s="255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</row>
    <row r="181" ht="15.75" customHeight="1" s="255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</row>
    <row r="182" ht="15.75" customHeight="1" s="255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</row>
    <row r="183" ht="15.75" customHeight="1" s="255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</row>
    <row r="184" ht="15.75" customHeight="1" s="255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</row>
    <row r="185" ht="15.75" customHeight="1" s="25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</row>
    <row r="186" ht="15.75" customHeight="1" s="255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</row>
    <row r="187" ht="15.75" customHeight="1" s="255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</row>
    <row r="188" ht="15.75" customHeight="1" s="255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</row>
    <row r="189" ht="15.75" customHeight="1" s="255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</row>
    <row r="190" ht="15.75" customHeight="1" s="255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</row>
    <row r="191" ht="15.75" customHeight="1" s="255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</row>
    <row r="192" ht="15.75" customHeight="1" s="255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</row>
    <row r="193" ht="15.75" customHeight="1" s="255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</row>
    <row r="194" ht="15.75" customHeight="1" s="255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</row>
    <row r="195" ht="15.75" customHeight="1" s="25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</row>
    <row r="196" ht="15.75" customHeight="1" s="255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</row>
    <row r="197" ht="15.75" customHeight="1" s="255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</row>
    <row r="198" ht="15.75" customHeight="1" s="255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</row>
    <row r="199" ht="15.75" customHeight="1" s="255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</row>
    <row r="200" ht="15.75" customHeight="1" s="255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</row>
    <row r="201" ht="15.75" customHeight="1" s="255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</row>
    <row r="202" ht="15.75" customHeight="1" s="255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</row>
    <row r="203" ht="15.75" customHeight="1" s="255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</row>
    <row r="204" ht="15.75" customHeight="1" s="255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</row>
    <row r="205" ht="15.75" customHeight="1" s="25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</row>
    <row r="206" ht="15.75" customHeight="1" s="255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</row>
    <row r="207" ht="15.75" customHeight="1" s="255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</row>
    <row r="208" ht="15.75" customHeight="1" s="255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</row>
    <row r="209" ht="15.75" customHeight="1" s="255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</row>
    <row r="210" ht="15.75" customHeight="1" s="255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</row>
    <row r="211" ht="15.75" customHeight="1" s="255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</row>
    <row r="212" ht="15.75" customHeight="1" s="255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</row>
    <row r="213" ht="15.75" customHeight="1" s="255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</row>
    <row r="214" ht="15.75" customHeight="1" s="255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</row>
    <row r="215" ht="15.75" customHeight="1" s="25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</row>
    <row r="216" ht="15.75" customHeight="1" s="255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</row>
    <row r="217" ht="15.75" customHeight="1" s="255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</row>
    <row r="218" ht="15.75" customHeight="1" s="255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</row>
    <row r="219" ht="15.75" customHeight="1" s="255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</row>
    <row r="220" ht="15.75" customHeight="1" s="255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</row>
    <row r="221" ht="15.75" customHeight="1" s="255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</row>
    <row r="222" ht="15.75" customHeight="1" s="255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</row>
    <row r="223" ht="15.75" customHeight="1" s="255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</row>
    <row r="224" ht="15.75" customHeight="1" s="255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</row>
    <row r="225" ht="15.75" customHeight="1" s="25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</row>
    <row r="226" ht="15.75" customHeight="1" s="255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</row>
    <row r="227" ht="15.75" customHeight="1" s="255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</row>
    <row r="228" ht="15.75" customHeight="1" s="255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</row>
    <row r="229" ht="15.75" customHeight="1" s="255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</row>
    <row r="230" ht="15.75" customHeight="1" s="255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</row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5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F23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24.38" customWidth="1" style="255" min="2" max="2"/>
    <col width="12.63" customWidth="1" style="255" min="3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</row>
    <row r="2" ht="15.75" customHeight="1" s="255"/>
    <row r="3" ht="15.75" customHeight="1" s="255">
      <c r="B3" s="221" t="n"/>
      <c r="C3" s="275">
        <f>'For Pitchdeck'!C2</f>
        <v/>
      </c>
      <c r="D3" s="276" t="n"/>
      <c r="E3" s="275">
        <f>'For Pitchdeck'!D2</f>
        <v/>
      </c>
      <c r="F3" s="276" t="n"/>
      <c r="G3" s="275">
        <f>'For Pitchdeck'!E2</f>
        <v/>
      </c>
      <c r="H3" s="276" t="n"/>
      <c r="I3" s="275">
        <f>'For Pitchdeck'!F2</f>
        <v/>
      </c>
      <c r="J3" s="276" t="n"/>
      <c r="K3" s="275">
        <f>'For Pitchdeck'!G2</f>
        <v/>
      </c>
      <c r="L3" s="276" t="n"/>
    </row>
    <row r="4" ht="15.75" customHeight="1" s="255">
      <c r="A4" s="224" t="n">
        <v>1</v>
      </c>
      <c r="B4" s="225" t="inlineStr">
        <is>
          <t>Net Income</t>
        </is>
      </c>
      <c r="C4" s="277">
        <f>'For Pitchdeck'!C8</f>
        <v/>
      </c>
      <c r="D4" s="276" t="n"/>
      <c r="E4" s="277">
        <f>'For Pitchdeck'!D8</f>
        <v/>
      </c>
      <c r="F4" s="276" t="n"/>
      <c r="G4" s="277">
        <f>'For Pitchdeck'!E8</f>
        <v/>
      </c>
      <c r="H4" s="276" t="n"/>
      <c r="I4" s="277">
        <f>'For Pitchdeck'!F8</f>
        <v/>
      </c>
      <c r="J4" s="276" t="n"/>
      <c r="K4" s="277">
        <f>'For Pitchdeck'!G8</f>
        <v/>
      </c>
      <c r="L4" s="276" t="n"/>
    </row>
    <row r="5" ht="15.75" customHeight="1" s="255">
      <c r="C5" s="227" t="n"/>
      <c r="D5" s="227" t="n"/>
      <c r="E5" s="227" t="n"/>
    </row>
    <row r="6" ht="15.75" customHeight="1" s="255">
      <c r="B6" s="228" t="n"/>
      <c r="C6" s="278">
        <f>C3</f>
        <v/>
      </c>
      <c r="D6" s="279" t="n"/>
      <c r="E6" s="278">
        <f>E3</f>
        <v/>
      </c>
      <c r="F6" s="279" t="n"/>
      <c r="G6" s="278">
        <f>G3</f>
        <v/>
      </c>
      <c r="H6" s="279" t="n"/>
      <c r="I6" s="278">
        <f>I3</f>
        <v/>
      </c>
      <c r="J6" s="279" t="n"/>
      <c r="K6" s="280">
        <f>K3</f>
        <v/>
      </c>
      <c r="L6" s="281" t="n"/>
    </row>
    <row r="7" ht="15.75" customHeight="1" s="255">
      <c r="A7" s="232" t="n"/>
      <c r="B7" s="233" t="n"/>
      <c r="C7" s="234" t="inlineStr">
        <is>
          <t>Share</t>
        </is>
      </c>
      <c r="D7" s="234" t="inlineStr">
        <is>
          <t>Dividends</t>
        </is>
      </c>
      <c r="E7" s="234" t="inlineStr">
        <is>
          <t>Share</t>
        </is>
      </c>
      <c r="F7" s="234" t="inlineStr">
        <is>
          <t>Dividends</t>
        </is>
      </c>
      <c r="G7" s="234" t="inlineStr">
        <is>
          <t>Share</t>
        </is>
      </c>
      <c r="H7" s="234" t="inlineStr">
        <is>
          <t>Dividends</t>
        </is>
      </c>
      <c r="I7" s="234" t="inlineStr">
        <is>
          <t>Share</t>
        </is>
      </c>
      <c r="J7" s="234" t="inlineStr">
        <is>
          <t>Dividends</t>
        </is>
      </c>
      <c r="K7" s="234" t="inlineStr">
        <is>
          <t>Share</t>
        </is>
      </c>
      <c r="L7" s="235" t="inlineStr">
        <is>
          <t>Dividends</t>
        </is>
      </c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</row>
    <row r="8" ht="15.75" customHeight="1" s="255">
      <c r="B8" s="236">
        <f>'Cap Table'!Q15</f>
        <v/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/>
      </c>
      <c r="D8" s="238">
        <f>if(and($C$4&gt;0,$A$4&gt;0),$C$4*C8,if(and($C$4&gt;0,$A$4&lt;0),($C$4+$A$4)*C8,0))</f>
        <v/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/>
      </c>
      <c r="F8" s="5">
        <f>if(and($E$4&gt;0,$C$4&gt;0),$E$4*E8,if(and($E$4&gt;0,$C$4&lt;0),($E$4+$C$4)*E8,0))</f>
        <v/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/>
      </c>
      <c r="H8" s="134">
        <f>if(and($G$4&gt;0,$E$4&gt;0),$G$4*G8,if(and($G$4&gt;0,$E$4&lt;0),($G$4+$E$4)*G8,0))</f>
        <v/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/>
      </c>
      <c r="J8" s="134">
        <f>if(and($I$4&gt;0,$G$4&gt;0),$I$4*I8,if(and($I$4&gt;0,$G$4&lt;0),($I$4+$G$4)*I8,0))</f>
        <v/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/>
      </c>
      <c r="L8" s="239">
        <f>if(and($K$4&gt;0,$I$4&gt;0),$K$4*K8,if(and($K$4&gt;0,$I$4&lt;0),($K$4+$I$4)*K8,0))</f>
        <v/>
      </c>
    </row>
    <row r="9" ht="15.75" customHeight="1" s="255">
      <c r="B9" s="236">
        <f>'Cap Table'!Q16</f>
        <v/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/>
      </c>
      <c r="D9" s="238">
        <f>if(and($C$4&gt;0,$A$4&gt;0),$C$4*C9,if(and($C$4&gt;0,$A$4&lt;0),($C$4+$A$4)*C9,0))</f>
        <v/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/>
      </c>
      <c r="F9" s="5">
        <f>if(and($E$4&gt;0,$C$4&gt;0),$E$4*E9,if(and($E$4&gt;0,$C$4&lt;0),($E$4+$C$4)*E9,0))</f>
        <v/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/>
      </c>
      <c r="H9" s="134">
        <f>if(and($G$4&gt;0,$E$4&gt;0),$G$4*G9,if(and($G$4&gt;0,$E$4&lt;0),($G$4+$E$4)*G9,0))</f>
        <v/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/>
      </c>
      <c r="J9" s="134">
        <f>if(and($I$4&gt;0,$G$4&gt;0),$I$4*I9,if(and($I$4&gt;0,$G$4&lt;0),($I$4+$G$4)*I9,0))</f>
        <v/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/>
      </c>
      <c r="L9" s="239">
        <f>if(and($K$4&gt;0,$I$4&gt;0),$K$4*K9,if(and($K$4&gt;0,$I$4&lt;0),($K$4+$I$4)*K9,0))</f>
        <v/>
      </c>
    </row>
    <row r="10" ht="15.75" customHeight="1" s="255">
      <c r="B10" s="236">
        <f>'Cap Table'!Q17</f>
        <v/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/>
      </c>
      <c r="D10" s="238">
        <f>if(and($C$4&gt;0,$A$4&gt;0),$C$4*C10,if(and($C$4&gt;0,$A$4&lt;0),($C$4+$A$4)*C10,0))</f>
        <v/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/>
      </c>
      <c r="F10" s="5">
        <f>if(and($E$4&gt;0,$C$4&gt;0),$E$4*E10,if(and($E$4&gt;0,$C$4&lt;0),($E$4+$C$4)*E10,0))</f>
        <v/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/>
      </c>
      <c r="H10" s="134">
        <f>if(and($G$4&gt;0,$E$4&gt;0),$G$4*G10,if(and($G$4&gt;0,$E$4&lt;0),($G$4+$E$4)*G10,0))</f>
        <v/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/>
      </c>
      <c r="J10" s="134">
        <f>if(and($I$4&gt;0,$G$4&gt;0),$I$4*I10,if(and($I$4&gt;0,$G$4&lt;0),($I$4+$G$4)*I10,0))</f>
        <v/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/>
      </c>
      <c r="L10" s="239">
        <f>if(and($K$4&gt;0,$I$4&gt;0),$K$4*K10,if(and($K$4&gt;0,$I$4&lt;0),($K$4+$I$4)*K10,0))</f>
        <v/>
      </c>
    </row>
    <row r="11" ht="15.75" customHeight="1" s="255">
      <c r="B11" s="236">
        <f>'Cap Table'!Q18</f>
        <v/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/>
      </c>
      <c r="D11" s="238">
        <f>if(and($C$4&gt;0,$A$4&gt;0),$C$4*C11,if(and($C$4&gt;0,$A$4&lt;0),($C$4+$A$4)*C11,0))</f>
        <v/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/>
      </c>
      <c r="F11" s="5">
        <f>if(and($E$4&gt;0,$C$4&gt;0),$E$4*E11,if(and($E$4&gt;0,$C$4&lt;0),($E$4+$C$4)*E11,0))</f>
        <v/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/>
      </c>
      <c r="H11" s="134">
        <f>if(and($G$4&gt;0,$E$4&gt;0),$G$4*G11,if(and($G$4&gt;0,$E$4&lt;0),($G$4+$E$4)*G11,0))</f>
        <v/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/>
      </c>
      <c r="J11" s="134">
        <f>if(and($I$4&gt;0,$G$4&gt;0),$I$4*I11,if(and($I$4&gt;0,$G$4&lt;0),($I$4+$G$4)*I11,0))</f>
        <v/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/>
      </c>
      <c r="L11" s="239">
        <f>if(and($K$4&gt;0,$I$4&gt;0),$K$4*K11,if(and($K$4&gt;0,$I$4&lt;0),($K$4+$I$4)*K11,0))</f>
        <v/>
      </c>
    </row>
    <row r="12" ht="15.75" customHeight="1" s="255">
      <c r="B12" s="236">
        <f>'Cap Table'!Q19</f>
        <v/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/>
      </c>
      <c r="D12" s="238">
        <f>if(and($C$4&gt;0,$A$4&gt;0),$C$4*C12,if(and($C$4&gt;0,$A$4&lt;0),($C$4+$A$4)*C12,0))</f>
        <v/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/>
      </c>
      <c r="F12" s="5">
        <f>if(and($E$4&gt;0,$C$4&gt;0),$E$4*E12,if(and($E$4&gt;0,$C$4&lt;0),($E$4+$C$4)*E12,0))</f>
        <v/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/>
      </c>
      <c r="H12" s="134">
        <f>if(and($G$4&gt;0,$E$4&gt;0),$G$4*G12,if(and($G$4&gt;0,$E$4&lt;0),($G$4+$E$4)*G12,0))</f>
        <v/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/>
      </c>
      <c r="J12" s="134">
        <f>if(and($I$4&gt;0,$G$4&gt;0),$I$4*I12,if(and($I$4&gt;0,$G$4&lt;0),($I$4+$G$4)*I12,0))</f>
        <v/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/>
      </c>
      <c r="L12" s="239">
        <f>if(and($K$4&gt;0,$I$4&gt;0),$K$4*K12,if(and($K$4&gt;0,$I$4&lt;0),($K$4+$I$4)*K12,0))</f>
        <v/>
      </c>
    </row>
    <row r="13" ht="15.75" customHeight="1" s="255">
      <c r="B13" s="236">
        <f>'Cap Table'!Q20</f>
        <v/>
      </c>
      <c r="C13" s="237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>if(and($C$4&gt;0,$A$4&gt;0),$C$4*C13,if(and($C$4&gt;0,$A$4&lt;0),($C$4+$A$4)*C13,0))</f>
        <v/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/>
      </c>
      <c r="F13" s="5">
        <f>if(and($E$4&gt;0,$C$4&gt;0),$E$4*E13,if(and($E$4&gt;0,$C$4&lt;0),($E$4+$C$4)*E13,0))</f>
        <v/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/>
      </c>
      <c r="H13" s="134">
        <f>if(and($G$4&gt;0,$E$4&gt;0),$G$4*G13,if(and($G$4&gt;0,$E$4&lt;0),($G$4+$E$4)*G13,0))</f>
        <v/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/>
      </c>
      <c r="J13" s="134">
        <f>if(and($I$4&gt;0,$G$4&gt;0),$I$4*I13,if(and($I$4&gt;0,$G$4&lt;0),($I$4+$G$4)*I13,0))</f>
        <v/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/>
      </c>
      <c r="L13" s="239">
        <f>if(and($K$4&gt;0,$I$4&gt;0),$K$4*K13,if(and($K$4&gt;0,$I$4&lt;0),($K$4+$I$4)*K13,0))</f>
        <v/>
      </c>
    </row>
    <row r="14" ht="15.75" customHeight="1" s="255">
      <c r="B14" s="236">
        <f>'Cap Table'!Q21</f>
        <v/>
      </c>
      <c r="C14" s="237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>if(and($C$4&gt;0,$A$4&gt;0),$C$4*C14,if(and($C$4&gt;0,$A$4&lt;0),($C$4+$A$4)*C14,0))</f>
        <v/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/>
      </c>
      <c r="F14" s="5">
        <f>if(and($E$4&gt;0,$C$4&gt;0),$E$4*E14,if(and($E$4&gt;0,$C$4&lt;0),($E$4+$C$4)*E14,0))</f>
        <v/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/>
      </c>
      <c r="H14" s="134">
        <f>if(and($G$4&gt;0,$E$4&gt;0),$G$4*G14,if(and($G$4&gt;0,$E$4&lt;0),($G$4+$E$4)*G14,0))</f>
        <v/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/>
      </c>
      <c r="J14" s="134">
        <f>if(and($I$4&gt;0,$G$4&gt;0),$I$4*I14,if(and($I$4&gt;0,$G$4&lt;0),($I$4+$G$4)*I14,0))</f>
        <v/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/>
      </c>
      <c r="L14" s="239">
        <f>if(and($K$4&gt;0,$I$4&gt;0),$K$4*K14,if(and($K$4&gt;0,$I$4&lt;0),($K$4+$I$4)*K14,0))</f>
        <v/>
      </c>
    </row>
    <row r="15" ht="15.75" customHeight="1" s="255">
      <c r="B15" s="236">
        <f>'Cap Table'!Q22</f>
        <v/>
      </c>
      <c r="C15" s="237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>if(and($C$4&gt;0,$A$4&gt;0),$C$4*C15,if(and($C$4&gt;0,$A$4&lt;0),($C$4+$A$4)*C15,0))</f>
        <v/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/>
      </c>
      <c r="F15" s="5">
        <f>if(and($E$4&gt;0,$C$4&gt;0),$E$4*E15,if(and($E$4&gt;0,$C$4&lt;0),($E$4+$C$4)*E15,0))</f>
        <v/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/>
      </c>
      <c r="H15" s="134">
        <f>if(and($G$4&gt;0,$E$4&gt;0),$G$4*G15,if(and($G$4&gt;0,$E$4&lt;0),($G$4+$E$4)*G15,0))</f>
        <v/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/>
      </c>
      <c r="J15" s="134">
        <f>if(and($I$4&gt;0,$G$4&gt;0),$I$4*I15,if(and($I$4&gt;0,$G$4&lt;0),($I$4+$G$4)*I15,0))</f>
        <v/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/>
      </c>
      <c r="L15" s="239">
        <f>if(and($K$4&gt;0,$I$4&gt;0),$K$4*K15,if(and($K$4&gt;0,$I$4&lt;0),($K$4+$I$4)*K15,0))</f>
        <v/>
      </c>
    </row>
    <row r="16" ht="15.75" customHeight="1" s="255">
      <c r="B16" s="236">
        <f>'Cap Table'!Q23</f>
        <v/>
      </c>
      <c r="C16" s="237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>if(and($C$4&gt;0,$A$4&gt;0),$C$4*C16,if(and($C$4&gt;0,$A$4&lt;0),($C$4+$A$4)*C16,0))</f>
        <v/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/>
      </c>
      <c r="F16" s="5">
        <f>if(and($E$4&gt;0,$C$4&gt;0),$E$4*E16,if(and($E$4&gt;0,$C$4&lt;0),($E$4+$C$4)*E16,0))</f>
        <v/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/>
      </c>
      <c r="H16" s="134">
        <f>if(and($G$4&gt;0,$E$4&gt;0),$G$4*G16,if(and($G$4&gt;0,$E$4&lt;0),($G$4+$E$4)*G16,0))</f>
        <v/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/>
      </c>
      <c r="J16" s="134">
        <f>if(and($I$4&gt;0,$G$4&gt;0),$I$4*I16,if(and($I$4&gt;0,$G$4&lt;0),($I$4+$G$4)*I16,0))</f>
        <v/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/>
      </c>
      <c r="L16" s="239">
        <f>if(and($K$4&gt;0,$I$4&gt;0),$K$4*K16,if(and($K$4&gt;0,$I$4&lt;0),($K$4+$I$4)*K16,0))</f>
        <v/>
      </c>
    </row>
    <row r="17" ht="15.75" customHeight="1" s="255">
      <c r="B17" s="236">
        <f>'Cap Table'!Q24</f>
        <v/>
      </c>
      <c r="C17" s="237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>if(and($C$4&gt;0,$A$4&gt;0),$C$4*C17,if(and($C$4&gt;0,$A$4&lt;0),($C$4+$A$4)*C17,0))</f>
        <v/>
      </c>
      <c r="E17" s="237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>if(and($E$4&gt;0,$C$4&gt;0),$E$4*E17,if(and($E$4&gt;0,$C$4&lt;0),($E$4+$C$4)*E17,0))</f>
        <v/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/>
      </c>
      <c r="H17" s="134">
        <f>if(and($G$4&gt;0,$E$4&gt;0),$G$4*G17,if(and($G$4&gt;0,$E$4&lt;0),($G$4+$E$4)*G17,0))</f>
        <v/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/>
      </c>
      <c r="J17" s="134">
        <f>if(and($I$4&gt;0,$G$4&gt;0),$I$4*I17,if(and($I$4&gt;0,$G$4&lt;0),($I$4+$G$4)*I17,0))</f>
        <v/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/>
      </c>
      <c r="L17" s="239">
        <f>if(and($K$4&gt;0,$I$4&gt;0),$K$4*K17,if(and($K$4&gt;0,$I$4&lt;0),($K$4+$I$4)*K17,0))</f>
        <v/>
      </c>
    </row>
    <row r="18" ht="15.75" customHeight="1" s="255">
      <c r="B18" s="236">
        <f>'Cap Table'!Q25</f>
        <v/>
      </c>
      <c r="C18" s="237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>if(and($C$4&gt;0,$A$4&gt;0),$C$4*C18,if(and($C$4&gt;0,$A$4&lt;0),($C$4+$A$4)*C18,0))</f>
        <v/>
      </c>
      <c r="E18" s="237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>if(and($E$4&gt;0,$C$4&gt;0),$E$4*E18,if(and($E$4&gt;0,$C$4&lt;0),($E$4+$C$4)*E18,0))</f>
        <v/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/>
      </c>
      <c r="H18" s="134">
        <f>if(and($G$4&gt;0,$E$4&gt;0),$G$4*G18,if(and($G$4&gt;0,$E$4&lt;0),($G$4+$E$4)*G18,0))</f>
        <v/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/>
      </c>
      <c r="J18" s="134">
        <f>if(and($I$4&gt;0,$G$4&gt;0),$I$4*I18,if(and($I$4&gt;0,$G$4&lt;0),($I$4+$G$4)*I18,0))</f>
        <v/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/>
      </c>
      <c r="L18" s="239">
        <f>if(and($K$4&gt;0,$I$4&gt;0),$K$4*K18,if(and($K$4&gt;0,$I$4&lt;0),($K$4+$I$4)*K18,0))</f>
        <v/>
      </c>
    </row>
    <row r="19" ht="15.75" customHeight="1" s="255">
      <c r="B19" s="236">
        <f>'Cap Table'!Q26</f>
        <v/>
      </c>
      <c r="C19" s="237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>if(and($C$4&gt;0,$A$4&gt;0),$C$4*C19,if(and($C$4&gt;0,$A$4&lt;0),($C$4+$A$4)*C19,0))</f>
        <v/>
      </c>
      <c r="E19" s="237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>if(and($E$4&gt;0,$C$4&gt;0),$E$4*E19,if(and($E$4&gt;0,$C$4&lt;0),($E$4+$C$4)*E19,0))</f>
        <v/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/>
      </c>
      <c r="H19" s="134">
        <f>if(and($G$4&gt;0,$E$4&gt;0),$G$4*G19,if(and($G$4&gt;0,$E$4&lt;0),($G$4+$E$4)*G19,0))</f>
        <v/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/>
      </c>
      <c r="J19" s="134">
        <f>if(and($I$4&gt;0,$G$4&gt;0),$I$4*I19,if(and($I$4&gt;0,$G$4&lt;0),($I$4+$G$4)*I19,0))</f>
        <v/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/>
      </c>
      <c r="L19" s="239">
        <f>if(and($K$4&gt;0,$I$4&gt;0),$K$4*K19,if(and($K$4&gt;0,$I$4&lt;0),($K$4+$I$4)*K19,0))</f>
        <v/>
      </c>
    </row>
    <row r="20" ht="15.75" customHeight="1" s="255">
      <c r="B20" s="236">
        <f>'Cap Table'!Q27</f>
        <v/>
      </c>
      <c r="C20" s="237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>if(and($C$4&gt;0,$A$4&gt;0),$C$4*C20,if(and($C$4&gt;0,$A$4&lt;0),($C$4+$A$4)*C20,0))</f>
        <v/>
      </c>
      <c r="E20" s="237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>if(and($E$4&gt;0,$C$4&gt;0),$E$4*E20,if(and($E$4&gt;0,$C$4&lt;0),($E$4+$C$4)*E20,0))</f>
        <v/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/>
      </c>
      <c r="H20" s="134">
        <f>if(and($G$4&gt;0,$E$4&gt;0),$G$4*G20,if(and($G$4&gt;0,$E$4&lt;0),($G$4+$E$4)*G20,0))</f>
        <v/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/>
      </c>
      <c r="J20" s="134">
        <f>if(and($I$4&gt;0,$G$4&gt;0),$I$4*I20,if(and($I$4&gt;0,$G$4&lt;0),($I$4+$G$4)*I20,0))</f>
        <v/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/>
      </c>
      <c r="L20" s="239">
        <f>if(and($K$4&gt;0,$I$4&gt;0),$K$4*K20,if(and($K$4&gt;0,$I$4&lt;0),($K$4+$I$4)*K20,0))</f>
        <v/>
      </c>
    </row>
    <row r="21" ht="15.75" customHeight="1" s="255">
      <c r="B21" s="236">
        <f>'Cap Table'!Q28</f>
        <v/>
      </c>
      <c r="C21" s="237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>if(and($C$4&gt;0,$A$4&gt;0),$C$4*C21,if(and($C$4&gt;0,$A$4&lt;0),($C$4+$A$4)*C21,0))</f>
        <v/>
      </c>
      <c r="E21" s="237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>if(and($E$4&gt;0,$C$4&gt;0),$E$4*E21,if(and($E$4&gt;0,$C$4&lt;0),($E$4+$C$4)*E21,0))</f>
        <v/>
      </c>
      <c r="G21" s="237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>if(and($G$4&gt;0,$E$4&gt;0),$G$4*G21,if(and($G$4&gt;0,$E$4&lt;0),($G$4+$E$4)*G21,0))</f>
        <v/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/>
      </c>
      <c r="J21" s="134">
        <f>if(and($I$4&gt;0,$G$4&gt;0),$I$4*I21,if(and($I$4&gt;0,$G$4&lt;0),($I$4+$G$4)*I21,0))</f>
        <v/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/>
      </c>
      <c r="L21" s="239">
        <f>if(and($K$4&gt;0,$I$4&gt;0),$K$4*K21,if(and($K$4&gt;0,$I$4&lt;0),($K$4+$I$4)*K21,0))</f>
        <v/>
      </c>
    </row>
    <row r="22" ht="15.75" customHeight="1" s="255">
      <c r="B22" s="240">
        <f>'Cap Table'!Q29</f>
        <v/>
      </c>
      <c r="C22" s="241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>if(and($C$4&gt;0,$A$4&gt;0),$C$4*C22,if(and($C$4&gt;0,$A$4&lt;0),($C$4+$A$4)*C22,0))</f>
        <v/>
      </c>
      <c r="E22" s="241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>if(and($E$4&gt;0,$C$4&gt;0),$E$4*E22,if(and($E$4&gt;0,$C$4&lt;0),($E$4+$C$4)*E22,0))</f>
        <v/>
      </c>
      <c r="G22" s="241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>if(and($G$4&gt;0,$E$4&gt;0),$G$4*G22,if(and($G$4&gt;0,$E$4&lt;0),($G$4+$E$4)*G22,0))</f>
        <v/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/>
      </c>
      <c r="J22" s="243">
        <f>if(and($I$4&gt;0,$G$4&gt;0),$I$4*I22,if(and($I$4&gt;0,$G$4&lt;0),($I$4+$G$4)*I22,0))</f>
        <v/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/>
      </c>
      <c r="L22" s="244">
        <f>if(and($K$4&gt;0,$I$4&gt;0),$K$4*K22,if(and($K$4&gt;0,$I$4&lt;0),($K$4+$I$4)*K22,0))</f>
        <v/>
      </c>
    </row>
    <row r="23" ht="15.75" customHeight="1" s="255">
      <c r="B23" s="5">
        <f>'Cap Table'!Q30</f>
        <v/>
      </c>
      <c r="E23" s="237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 s="255"/>
    <row r="25" ht="15.75" customHeight="1" s="255"/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5">
    <mergeCell ref="G4:H4"/>
    <mergeCell ref="E4:F4"/>
    <mergeCell ref="E6:F6"/>
    <mergeCell ref="C6:D6"/>
    <mergeCell ref="I4:J4"/>
    <mergeCell ref="I6:J6"/>
    <mergeCell ref="K6:L6"/>
    <mergeCell ref="C4:D4"/>
    <mergeCell ref="G6:H6"/>
    <mergeCell ref="K4:L4"/>
    <mergeCell ref="C3:D3"/>
    <mergeCell ref="G3:H3"/>
    <mergeCell ref="E3:F3"/>
    <mergeCell ref="K3:L3"/>
    <mergeCell ref="I3:J3"/>
  </mergeCells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6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225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255" min="1" max="1"/>
    <col width="26.13" customWidth="1" style="255" min="2" max="2"/>
    <col width="24.5" customWidth="1" style="255" min="3" max="3"/>
    <col width="17.88" customWidth="1" style="255" min="4" max="4"/>
    <col width="16.38" customWidth="1" style="255" min="5" max="5"/>
    <col width="12.63" customWidth="1" style="255" min="6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</row>
    <row r="2" ht="15.75" customHeight="1" s="255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5" t="n"/>
      <c r="B3" s="245" t="inlineStr">
        <is>
          <t>Expected Exit Scenario</t>
        </is>
      </c>
      <c r="C3" s="246" t="inlineStr">
        <is>
          <t>Strategic acquasition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5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55">
      <c r="A5" s="5" t="n"/>
      <c r="B5" s="245" t="inlineStr">
        <is>
          <t>Target valuation</t>
        </is>
      </c>
      <c r="C5" s="247" t="n">
        <v>40000000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5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55">
      <c r="A7" s="5" t="n"/>
      <c r="B7" s="245" t="inlineStr">
        <is>
          <t>Expected Year of Exit</t>
        </is>
      </c>
      <c r="C7" s="248" t="n">
        <v>2027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5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55">
      <c r="A9" s="5" t="n"/>
      <c r="B9" s="249" t="inlineStr">
        <is>
          <t>Shareholder</t>
        </is>
      </c>
      <c r="C9" s="249" t="inlineStr">
        <is>
          <t>Share</t>
        </is>
      </c>
      <c r="D9" s="249" t="inlineStr">
        <is>
          <t>Capital Invested</t>
        </is>
      </c>
      <c r="E9" s="249" t="inlineStr">
        <is>
          <t>Exit</t>
        </is>
      </c>
      <c r="F9" s="249" t="inlineStr">
        <is>
          <t>ROI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55">
      <c r="A10" s="42" t="n"/>
      <c r="B10" s="250">
        <f>Dividends!B8</f>
        <v/>
      </c>
      <c r="C10" s="34">
        <f>'Cap Table'!T15</f>
        <v/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/>
      </c>
      <c r="E10" s="56">
        <f>$C$5*C10</f>
        <v/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250">
        <f>Dividends!B9</f>
        <v/>
      </c>
      <c r="C11" s="34">
        <f>'Cap Table'!T16</f>
        <v/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/>
      </c>
      <c r="E11" s="56">
        <f>$C$5*C11</f>
        <v/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250">
        <f>Dividends!B10</f>
        <v/>
      </c>
      <c r="C12" s="34">
        <f>'Cap Table'!T17</f>
        <v/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/>
      </c>
      <c r="E12" s="56">
        <f>$C$5*C12</f>
        <v/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250">
        <f>Dividends!B11</f>
        <v/>
      </c>
      <c r="C13" s="34">
        <f>'Cap Table'!T18</f>
        <v/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/>
      </c>
      <c r="E13" s="56">
        <f>$C$5*C13</f>
        <v/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250">
        <f>Dividends!B12</f>
        <v/>
      </c>
      <c r="C14" s="34">
        <f>'Cap Table'!T19</f>
        <v/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/>
      </c>
      <c r="E14" s="56">
        <f>$C$5*C14</f>
        <v/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250">
        <f>Dividends!B13</f>
        <v/>
      </c>
      <c r="C15" s="34">
        <f>'Cap Table'!T20</f>
        <v/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/>
      </c>
      <c r="E15" s="56">
        <f>$C$5*C15</f>
        <v/>
      </c>
      <c r="F15" s="172">
        <f>(E15-D15)/D15</f>
        <v/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250">
        <f>Dividends!B14</f>
        <v/>
      </c>
      <c r="C16" s="34">
        <f>'Cap Table'!T21</f>
        <v/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/>
      </c>
      <c r="E16" s="56">
        <f>$C$5*C16</f>
        <v/>
      </c>
      <c r="F16" s="172">
        <f>(E16-D16)/D16</f>
        <v/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250">
        <f>Dividends!B15</f>
        <v/>
      </c>
      <c r="C17" s="34">
        <f>'Cap Table'!T22</f>
        <v/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/>
      </c>
      <c r="E17" s="56">
        <f>$C$5*C17</f>
        <v/>
      </c>
      <c r="F17" s="172">
        <f>(E17-D17)/D17</f>
        <v/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250">
        <f>Dividends!B16</f>
        <v/>
      </c>
      <c r="C18" s="34">
        <f>'Cap Table'!T23</f>
        <v/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/>
      </c>
      <c r="E18" s="56">
        <f>$C$5*C18</f>
        <v/>
      </c>
      <c r="F18" s="172">
        <f>(E18-D18)/D18</f>
        <v/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250">
        <f>Dividends!B17</f>
        <v/>
      </c>
      <c r="C19" s="34">
        <f>'Cap Table'!T24</f>
        <v/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/>
      </c>
      <c r="E19" s="56">
        <f>$C$5*C19</f>
        <v/>
      </c>
      <c r="F19" s="172">
        <f>(E19-D19)/D19</f>
        <v/>
      </c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250">
        <f>Dividends!B18</f>
        <v/>
      </c>
      <c r="C20" s="34">
        <f>'Cap Table'!T25</f>
        <v/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/>
      </c>
      <c r="E20" s="56">
        <f>$C$5*C20</f>
        <v/>
      </c>
      <c r="F20" s="172">
        <f>(E20-D20)/D20</f>
        <v/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250">
        <f>Dividends!B19</f>
        <v/>
      </c>
      <c r="C21" s="34">
        <f>'Cap Table'!T26</f>
        <v/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/>
      </c>
      <c r="E21" s="56">
        <f>$C$5*C21</f>
        <v/>
      </c>
      <c r="F21" s="172">
        <f>(E21-D21)/D21</f>
        <v/>
      </c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250">
        <f>Dividends!B20</f>
        <v/>
      </c>
      <c r="C22" s="34">
        <f>'Cap Table'!T27</f>
        <v/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/>
      </c>
      <c r="E22" s="56">
        <f>$C$5*C22</f>
        <v/>
      </c>
      <c r="F22" s="172">
        <f>(E22-D22)/D22</f>
        <v/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250">
        <f>Dividends!B21</f>
        <v/>
      </c>
      <c r="C23" s="34">
        <f>'Cap Table'!T28</f>
        <v/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/>
      </c>
      <c r="E23" s="56">
        <f>$C$5*C23</f>
        <v/>
      </c>
      <c r="F23" s="172">
        <f>(E23-D23)/D23</f>
        <v/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250">
        <f>Dividends!B22</f>
        <v/>
      </c>
      <c r="C24" s="34">
        <f>'Cap Table'!T29</f>
        <v/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/>
      </c>
      <c r="E24" s="56">
        <f>$C$5*C24</f>
        <v/>
      </c>
      <c r="F24" s="172">
        <f>(E24-D24)/D24</f>
        <v/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>
        <f>Dividends!B23</f>
        <v/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7.xml><?xml version="1.0" encoding="utf-8"?>
<worksheet xmlns="http://schemas.openxmlformats.org/spreadsheetml/2006/main">
  <sheetPr>
    <tabColor rgb="FFD8DEE5"/>
    <outlinePr summaryBelow="0" summaryRight="0"/>
    <pageSetUpPr/>
  </sheetPr>
  <dimension ref="A1:CV122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55" min="1" max="1"/>
    <col width="12.63" customWidth="1" style="255" min="2" max="6"/>
  </cols>
  <sheetData>
    <row r="1" ht="29.25" customHeight="1" s="255">
      <c r="A1" s="119">
        <f>Settings!B4</f>
        <v/>
      </c>
      <c r="B1" s="125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</row>
    <row r="2" ht="29.25" customHeight="1" s="255">
      <c r="A2" s="123" t="inlineStr">
        <is>
          <t>Month</t>
        </is>
      </c>
      <c r="B2" s="125">
        <f>EDATE(C2,-1)</f>
        <v/>
      </c>
      <c r="C2" s="126">
        <f>Projections!$B$4</f>
        <v/>
      </c>
      <c r="D2" s="126">
        <f>EDATE(C2,1)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</row>
    <row r="3" ht="15.75" customHeight="1" s="255"/>
    <row r="4" ht="15.75" customHeight="1" s="255">
      <c r="A4" s="167" t="inlineStr">
        <is>
          <t>USE OF FUNDS</t>
        </is>
      </c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  <c r="AA4" s="251" t="n"/>
      <c r="AB4" s="251" t="n"/>
      <c r="AC4" s="251" t="n"/>
      <c r="AD4" s="251" t="n"/>
      <c r="AE4" s="251" t="n"/>
      <c r="AF4" s="251" t="n"/>
      <c r="AG4" s="251" t="n"/>
      <c r="AH4" s="251" t="n"/>
      <c r="AI4" s="251" t="n"/>
      <c r="AJ4" s="251" t="n"/>
      <c r="AK4" s="251" t="n"/>
      <c r="AL4" s="251" t="n"/>
      <c r="AM4" s="251" t="n"/>
      <c r="AN4" s="251" t="n"/>
      <c r="AO4" s="251" t="n"/>
      <c r="AP4" s="251" t="n"/>
      <c r="AQ4" s="251" t="n"/>
      <c r="AR4" s="251" t="n"/>
      <c r="AS4" s="251" t="n"/>
      <c r="AT4" s="251" t="n"/>
      <c r="AU4" s="251" t="n"/>
      <c r="AV4" s="251" t="n"/>
      <c r="AW4" s="251" t="n"/>
      <c r="AX4" s="251" t="n"/>
      <c r="AY4" s="251" t="n"/>
      <c r="AZ4" s="251" t="n"/>
      <c r="BA4" s="251" t="n"/>
      <c r="BB4" s="251" t="n"/>
      <c r="BC4" s="251" t="n"/>
      <c r="BD4" s="251" t="n"/>
      <c r="BE4" s="251" t="n"/>
      <c r="BF4" s="251" t="n"/>
      <c r="BG4" s="251" t="n"/>
      <c r="BH4" s="251" t="n"/>
      <c r="BI4" s="251" t="n"/>
      <c r="BJ4" s="251" t="n"/>
      <c r="BK4" s="251" t="n"/>
      <c r="BL4" s="251" t="n"/>
      <c r="BM4" s="251" t="n"/>
      <c r="BN4" s="251" t="n"/>
      <c r="BO4" s="251" t="n"/>
      <c r="BP4" s="251" t="n"/>
      <c r="BQ4" s="251" t="n"/>
      <c r="BR4" s="251" t="n"/>
      <c r="BS4" s="251" t="n"/>
      <c r="BT4" s="251" t="n"/>
      <c r="BU4" s="251" t="n"/>
      <c r="BV4" s="251" t="n"/>
      <c r="BW4" s="251" t="n"/>
      <c r="BX4" s="251" t="n"/>
      <c r="BY4" s="251" t="n"/>
      <c r="BZ4" s="251" t="n"/>
      <c r="CA4" s="251" t="n"/>
      <c r="CB4" s="251" t="n"/>
      <c r="CC4" s="251" t="n"/>
      <c r="CD4" s="251" t="n"/>
      <c r="CE4" s="251" t="n"/>
      <c r="CF4" s="251" t="n"/>
      <c r="CG4" s="251" t="n"/>
      <c r="CH4" s="251" t="n"/>
      <c r="CI4" s="251" t="n"/>
      <c r="CJ4" s="251" t="n"/>
      <c r="CK4" s="251" t="n"/>
      <c r="CL4" s="251" t="n"/>
      <c r="CM4" s="251" t="n"/>
      <c r="CN4" s="251" t="n"/>
      <c r="CO4" s="251" t="n"/>
      <c r="CP4" s="251" t="n"/>
      <c r="CQ4" s="251" t="n"/>
      <c r="CR4" s="251" t="n"/>
      <c r="CS4" s="251" t="n"/>
      <c r="CT4" s="251" t="n"/>
      <c r="CU4" s="251" t="n"/>
      <c r="CV4" s="251" t="n"/>
    </row>
    <row r="5" ht="15.75" customHeight="1" s="255">
      <c r="A5" s="134" t="inlineStr">
        <is>
          <t>Development</t>
        </is>
      </c>
      <c r="B5" s="134">
        <f>SUMIF('Monthly forecast'!$B:$B,$A$5,'Monthly forecast'!D:D)</f>
        <v/>
      </c>
      <c r="C5" s="134">
        <f>SUMIF('Monthly forecast'!$B:$B,$A$5,'Monthly forecast'!E:E)</f>
        <v/>
      </c>
      <c r="D5" s="134">
        <f>SUMIF('Monthly forecast'!$B:$B,$A$5,'Monthly forecast'!F:F)</f>
        <v/>
      </c>
      <c r="E5" s="134">
        <f>SUMIF('Monthly forecast'!$B:$B,$A$5,'Monthly forecast'!G:G)</f>
        <v/>
      </c>
      <c r="F5" s="134">
        <f>SUMIF('Monthly forecast'!$B:$B,$A$5,'Monthly forecast'!H:H)</f>
        <v/>
      </c>
      <c r="G5" s="134">
        <f>SUMIF('Monthly forecast'!$B:$B,$A$5,'Monthly forecast'!I:I)</f>
        <v/>
      </c>
      <c r="H5" s="134">
        <f>SUMIF('Monthly forecast'!$B:$B,$A$5,'Monthly forecast'!J:J)</f>
        <v/>
      </c>
      <c r="I5" s="134">
        <f>SUMIF('Monthly forecast'!$B:$B,$A$5,'Monthly forecast'!K:K)</f>
        <v/>
      </c>
      <c r="J5" s="134">
        <f>SUMIF('Monthly forecast'!$B:$B,$A$5,'Monthly forecast'!L:L)</f>
        <v/>
      </c>
      <c r="K5" s="134">
        <f>SUMIF('Monthly forecast'!$B:$B,$A$5,'Monthly forecast'!M:M)</f>
        <v/>
      </c>
      <c r="L5" s="134">
        <f>SUMIF('Monthly forecast'!$B:$B,$A$5,'Monthly forecast'!N:N)</f>
        <v/>
      </c>
      <c r="M5" s="134">
        <f>SUMIF('Monthly forecast'!$B:$B,$A$5,'Monthly forecast'!O:O)</f>
        <v/>
      </c>
      <c r="N5" s="134">
        <f>SUMIF('Monthly forecast'!$B:$B,$A$5,'Monthly forecast'!P:P)</f>
        <v/>
      </c>
      <c r="O5" s="134">
        <f>SUMIF('Monthly forecast'!$B:$B,$A$5,'Monthly forecast'!Q:Q)</f>
        <v/>
      </c>
      <c r="P5" s="134">
        <f>SUMIF('Monthly forecast'!$B:$B,$A$5,'Monthly forecast'!R:R)</f>
        <v/>
      </c>
      <c r="Q5" s="134">
        <f>SUMIF('Monthly forecast'!$B:$B,$A$5,'Monthly forecast'!S:S)</f>
        <v/>
      </c>
      <c r="R5" s="134">
        <f>SUMIF('Monthly forecast'!$B:$B,$A$5,'Monthly forecast'!T:T)</f>
        <v/>
      </c>
      <c r="S5" s="134">
        <f>SUMIF('Monthly forecast'!$B:$B,$A$5,'Monthly forecast'!U:U)</f>
        <v/>
      </c>
      <c r="T5" s="134">
        <f>SUMIF('Monthly forecast'!$B:$B,$A$5,'Monthly forecast'!V:V)</f>
        <v/>
      </c>
      <c r="U5" s="134">
        <f>SUMIF('Monthly forecast'!$B:$B,$A$5,'Monthly forecast'!W:W)</f>
        <v/>
      </c>
      <c r="V5" s="134">
        <f>SUMIF('Monthly forecast'!$B:$B,$A$5,'Monthly forecast'!X:X)</f>
        <v/>
      </c>
      <c r="W5" s="134">
        <f>SUMIF('Monthly forecast'!$B:$B,$A$5,'Monthly forecast'!Y:Y)</f>
        <v/>
      </c>
      <c r="X5" s="134">
        <f>SUMIF('Monthly forecast'!$B:$B,$A$5,'Monthly forecast'!Z:Z)</f>
        <v/>
      </c>
      <c r="Y5" s="134">
        <f>SUMIF('Monthly forecast'!$B:$B,$A$5,'Monthly forecast'!AA:AA)</f>
        <v/>
      </c>
      <c r="Z5" s="134">
        <f>SUMIF('Monthly forecast'!$B:$B,$A$5,'Monthly forecast'!AB:AB)</f>
        <v/>
      </c>
      <c r="AA5" s="134">
        <f>SUMIF('Monthly forecast'!$B:$B,$A$5,'Monthly forecast'!AC:AC)</f>
        <v/>
      </c>
      <c r="AB5" s="134">
        <f>SUMIF('Monthly forecast'!$B:$B,$A$5,'Monthly forecast'!AD:AD)</f>
        <v/>
      </c>
      <c r="AC5" s="134">
        <f>SUMIF('Monthly forecast'!$B:$B,$A$5,'Monthly forecast'!AE:AE)</f>
        <v/>
      </c>
      <c r="AD5" s="134">
        <f>SUMIF('Monthly forecast'!$B:$B,$A$5,'Monthly forecast'!AF:AF)</f>
        <v/>
      </c>
      <c r="AE5" s="134">
        <f>SUMIF('Monthly forecast'!$B:$B,$A$5,'Monthly forecast'!AG:AG)</f>
        <v/>
      </c>
      <c r="AF5" s="134">
        <f>SUMIF('Monthly forecast'!$B:$B,$A$5,'Monthly forecast'!AH:AH)</f>
        <v/>
      </c>
      <c r="AG5" s="134">
        <f>SUMIF('Monthly forecast'!$B:$B,$A$5,'Monthly forecast'!AI:AI)</f>
        <v/>
      </c>
      <c r="AH5" s="134">
        <f>SUMIF('Monthly forecast'!$B:$B,$A$5,'Monthly forecast'!AJ:AJ)</f>
        <v/>
      </c>
      <c r="AI5" s="134">
        <f>SUMIF('Monthly forecast'!$B:$B,$A$5,'Monthly forecast'!AK:AK)</f>
        <v/>
      </c>
      <c r="AJ5" s="134">
        <f>SUMIF('Monthly forecast'!$B:$B,$A$5,'Monthly forecast'!AL:AL)</f>
        <v/>
      </c>
      <c r="AK5" s="134">
        <f>SUMIF('Monthly forecast'!$B:$B,$A$5,'Monthly forecast'!AM:AM)</f>
        <v/>
      </c>
      <c r="AL5" s="134">
        <f>SUMIF('Monthly forecast'!$B:$B,$A$5,'Monthly forecast'!AN:AN)</f>
        <v/>
      </c>
      <c r="AM5" s="134">
        <f>SUMIF('Monthly forecast'!$B:$B,$A$5,'Monthly forecast'!AO:AO)</f>
        <v/>
      </c>
      <c r="AN5" s="134">
        <f>SUMIF('Monthly forecast'!$B:$B,$A$5,'Monthly forecast'!AP:AP)</f>
        <v/>
      </c>
      <c r="AO5" s="134">
        <f>SUMIF('Monthly forecast'!$B:$B,$A$5,'Monthly forecast'!AQ:AQ)</f>
        <v/>
      </c>
      <c r="AP5" s="134">
        <f>SUMIF('Monthly forecast'!$B:$B,$A$5,'Monthly forecast'!AR:AR)</f>
        <v/>
      </c>
      <c r="AQ5" s="134">
        <f>SUMIF('Monthly forecast'!$B:$B,$A$5,'Monthly forecast'!AS:AS)</f>
        <v/>
      </c>
      <c r="AR5" s="134">
        <f>SUMIF('Monthly forecast'!$B:$B,$A$5,'Monthly forecast'!AT:AT)</f>
        <v/>
      </c>
      <c r="AS5" s="134">
        <f>SUMIF('Monthly forecast'!$B:$B,$A$5,'Monthly forecast'!AU:AU)</f>
        <v/>
      </c>
      <c r="AT5" s="134">
        <f>SUMIF('Monthly forecast'!$B:$B,$A$5,'Monthly forecast'!AV:AV)</f>
        <v/>
      </c>
      <c r="AU5" s="134">
        <f>SUMIF('Monthly forecast'!$B:$B,$A$5,'Monthly forecast'!AW:AW)</f>
        <v/>
      </c>
      <c r="AV5" s="134">
        <f>SUMIF('Monthly forecast'!$B:$B,$A$5,'Monthly forecast'!AX:AX)</f>
        <v/>
      </c>
      <c r="AW5" s="134">
        <f>SUMIF('Monthly forecast'!$B:$B,$A$5,'Monthly forecast'!AY:AY)</f>
        <v/>
      </c>
      <c r="AX5" s="134">
        <f>SUMIF('Monthly forecast'!$B:$B,$A$5,'Monthly forecast'!AZ:AZ)</f>
        <v/>
      </c>
      <c r="AY5" s="134">
        <f>SUMIF('Monthly forecast'!$B:$B,$A$5,'Monthly forecast'!BA:BA)</f>
        <v/>
      </c>
      <c r="AZ5" s="134">
        <f>SUMIF('Monthly forecast'!$B:$B,$A$5,'Monthly forecast'!BB:BB)</f>
        <v/>
      </c>
      <c r="BA5" s="134">
        <f>SUMIF('Monthly forecast'!$B:$B,$A$5,'Monthly forecast'!BC:BC)</f>
        <v/>
      </c>
      <c r="BB5" s="134">
        <f>SUMIF('Monthly forecast'!$B:$B,$A$5,'Monthly forecast'!BD:BD)</f>
        <v/>
      </c>
      <c r="BC5" s="134">
        <f>SUMIF('Monthly forecast'!$B:$B,$A$5,'Monthly forecast'!BE:BE)</f>
        <v/>
      </c>
      <c r="BD5" s="134">
        <f>SUMIF('Monthly forecast'!$B:$B,$A$5,'Monthly forecast'!BF:BF)</f>
        <v/>
      </c>
      <c r="BE5" s="134">
        <f>SUMIF('Monthly forecast'!$B:$B,$A$5,'Monthly forecast'!BG:BG)</f>
        <v/>
      </c>
      <c r="BF5" s="134">
        <f>SUMIF('Monthly forecast'!$B:$B,$A$5,'Monthly forecast'!BH:BH)</f>
        <v/>
      </c>
      <c r="BG5" s="134">
        <f>SUMIF('Monthly forecast'!$B:$B,$A$5,'Monthly forecast'!BI:BI)</f>
        <v/>
      </c>
      <c r="BH5" s="134">
        <f>SUMIF('Monthly forecast'!$B:$B,$A$5,'Monthly forecast'!BJ:BJ)</f>
        <v/>
      </c>
      <c r="BI5" s="134">
        <f>SUMIF('Monthly forecast'!$B:$B,$A$5,'Monthly forecast'!BK:BK)</f>
        <v/>
      </c>
      <c r="BJ5" s="134">
        <f>SUMIF('Monthly forecast'!$B:$B,$A$5,'Monthly forecast'!BL:BL)</f>
        <v/>
      </c>
      <c r="BK5" s="134">
        <f>SUMIF('Monthly forecast'!$B:$B,$A$5,'Monthly forecast'!BM:BM)</f>
        <v/>
      </c>
      <c r="BL5" s="134">
        <f>SUMIF('Monthly forecast'!$B:$B,$A$5,'Monthly forecast'!BN:BN)</f>
        <v/>
      </c>
      <c r="BM5" s="134">
        <f>SUMIF('Monthly forecast'!$B:$B,$A$5,'Monthly forecast'!BO:BO)</f>
        <v/>
      </c>
      <c r="BN5" s="134">
        <f>SUMIF('Monthly forecast'!$B:$B,$A$5,'Monthly forecast'!BP:BP)</f>
        <v/>
      </c>
      <c r="BO5" s="134">
        <f>SUMIF('Monthly forecast'!$B:$B,$A$5,'Monthly forecast'!BQ:BQ)</f>
        <v/>
      </c>
      <c r="BP5" s="134">
        <f>SUMIF('Monthly forecast'!$B:$B,$A$5,'Monthly forecast'!BR:BR)</f>
        <v/>
      </c>
      <c r="BQ5" s="134">
        <f>SUMIF('Monthly forecast'!$B:$B,$A$5,'Monthly forecast'!BS:BS)</f>
        <v/>
      </c>
      <c r="BR5" s="134">
        <f>SUMIF('Monthly forecast'!$B:$B,$A$5,'Monthly forecast'!BT:BT)</f>
        <v/>
      </c>
      <c r="BS5" s="134">
        <f>SUMIF('Monthly forecast'!$B:$B,$A$5,'Monthly forecast'!BU:BU)</f>
        <v/>
      </c>
      <c r="BT5" s="134">
        <f>SUMIF('Monthly forecast'!$B:$B,$A$5,'Monthly forecast'!BV:BV)</f>
        <v/>
      </c>
      <c r="BU5" s="134">
        <f>SUMIF('Monthly forecast'!$B:$B,$A$5,'Monthly forecast'!BW:BW)</f>
        <v/>
      </c>
      <c r="BV5" s="134">
        <f>SUMIF('Monthly forecast'!$B:$B,$A$5,'Monthly forecast'!BX:BX)</f>
        <v/>
      </c>
      <c r="BW5" s="134">
        <f>SUMIF('Monthly forecast'!$B:$B,$A$5,'Monthly forecast'!BY:BY)</f>
        <v/>
      </c>
      <c r="BX5" s="134">
        <f>SUMIF('Monthly forecast'!$B:$B,$A$5,'Monthly forecast'!BZ:BZ)</f>
        <v/>
      </c>
      <c r="BY5" s="134">
        <f>SUMIF('Monthly forecast'!$B:$B,$A$5,'Monthly forecast'!CA:CA)</f>
        <v/>
      </c>
      <c r="BZ5" s="134">
        <f>SUMIF('Monthly forecast'!$B:$B,$A$5,'Monthly forecast'!CB:CB)</f>
        <v/>
      </c>
      <c r="CA5" s="134">
        <f>SUMIF('Monthly forecast'!$B:$B,$A$5,'Monthly forecast'!CC:CC)</f>
        <v/>
      </c>
      <c r="CB5" s="134">
        <f>SUMIF('Monthly forecast'!$B:$B,$A$5,'Monthly forecast'!CD:CD)</f>
        <v/>
      </c>
      <c r="CC5" s="134">
        <f>SUMIF('Monthly forecast'!$B:$B,$A$5,'Monthly forecast'!CE:CE)</f>
        <v/>
      </c>
      <c r="CD5" s="134">
        <f>SUMIF('Monthly forecast'!$B:$B,$A$5,'Monthly forecast'!CF:CF)</f>
        <v/>
      </c>
      <c r="CE5" s="134">
        <f>SUMIF('Monthly forecast'!$B:$B,$A$5,'Monthly forecast'!CG:CG)</f>
        <v/>
      </c>
      <c r="CF5" s="134">
        <f>SUMIF('Monthly forecast'!$B:$B,$A$5,'Monthly forecast'!CH:CH)</f>
        <v/>
      </c>
      <c r="CG5" s="134">
        <f>SUMIF('Monthly forecast'!$B:$B,$A$5,'Monthly forecast'!CI:CI)</f>
        <v/>
      </c>
      <c r="CH5" s="134">
        <f>SUMIF('Monthly forecast'!$B:$B,$A$5,'Monthly forecast'!CJ:CJ)</f>
        <v/>
      </c>
      <c r="CI5" s="134">
        <f>SUMIF('Monthly forecast'!$B:$B,$A$5,'Monthly forecast'!CK:CK)</f>
        <v/>
      </c>
      <c r="CJ5" s="134">
        <f>SUMIF('Monthly forecast'!$B:$B,$A$5,'Monthly forecast'!CL:CL)</f>
        <v/>
      </c>
      <c r="CK5" s="134">
        <f>SUMIF('Monthly forecast'!$B:$B,$A$5,'Monthly forecast'!CM:CM)</f>
        <v/>
      </c>
      <c r="CL5" s="134">
        <f>SUMIF('Monthly forecast'!$B:$B,$A$5,'Monthly forecast'!CN:CN)</f>
        <v/>
      </c>
      <c r="CM5" s="134">
        <f>SUMIF('Monthly forecast'!$B:$B,$A$5,'Monthly forecast'!CO:CO)</f>
        <v/>
      </c>
      <c r="CN5" s="134">
        <f>SUMIF('Monthly forecast'!$B:$B,$A$5,'Monthly forecast'!CP:CP)</f>
        <v/>
      </c>
      <c r="CO5" s="134">
        <f>SUMIF('Monthly forecast'!$B:$B,$A$5,'Monthly forecast'!CQ:CQ)</f>
        <v/>
      </c>
      <c r="CP5" s="134">
        <f>SUMIF('Monthly forecast'!$B:$B,$A$5,'Monthly forecast'!CR:CR)</f>
        <v/>
      </c>
      <c r="CQ5" s="134">
        <f>SUMIF('Monthly forecast'!$B:$B,$A$5,'Monthly forecast'!CS:CS)</f>
        <v/>
      </c>
      <c r="CR5" s="134">
        <f>SUMIF('Monthly forecast'!$B:$B,$A$5,'Monthly forecast'!CT:CT)</f>
        <v/>
      </c>
      <c r="CS5" s="134">
        <f>SUMIF('Monthly forecast'!$B:$B,$A$5,'Monthly forecast'!CU:CU)</f>
        <v/>
      </c>
      <c r="CT5" s="134">
        <f>SUMIF('Monthly forecast'!$B:$B,$A$5,'Monthly forecast'!CV:CV)</f>
        <v/>
      </c>
      <c r="CU5" s="134">
        <f>SUMIF('Monthly forecast'!$B:$B,$A$5,'Monthly forecast'!CW:CW)</f>
        <v/>
      </c>
      <c r="CV5" s="134">
        <f>SUMIF('Monthly forecast'!$B:$B,$A$5,'Monthly forecast'!CX:CX)</f>
        <v/>
      </c>
    </row>
    <row r="6" ht="15.75" customHeight="1" s="255">
      <c r="A6" s="134" t="inlineStr">
        <is>
          <t>Marketing</t>
        </is>
      </c>
      <c r="B6" s="134">
        <f>SUMIF('Monthly forecast'!$B:$B,$A$6,'Monthly forecast'!D:D)</f>
        <v/>
      </c>
      <c r="C6" s="134">
        <f>SUMIF('Monthly forecast'!$B:$B,$A$6,'Monthly forecast'!E:E)</f>
        <v/>
      </c>
      <c r="D6" s="134">
        <f>SUMIF('Monthly forecast'!$B:$B,$A$6,'Monthly forecast'!F:F)</f>
        <v/>
      </c>
      <c r="E6" s="134">
        <f>SUMIF('Monthly forecast'!$B:$B,$A$6,'Monthly forecast'!G:G)</f>
        <v/>
      </c>
      <c r="F6" s="134">
        <f>SUMIF('Monthly forecast'!$B:$B,$A$6,'Monthly forecast'!H:H)</f>
        <v/>
      </c>
      <c r="G6" s="134">
        <f>SUMIF('Monthly forecast'!$B:$B,$A$6,'Monthly forecast'!I:I)</f>
        <v/>
      </c>
      <c r="H6" s="134">
        <f>SUMIF('Monthly forecast'!$B:$B,$A$6,'Monthly forecast'!J:J)</f>
        <v/>
      </c>
      <c r="I6" s="134">
        <f>SUMIF('Monthly forecast'!$B:$B,$A$6,'Monthly forecast'!K:K)</f>
        <v/>
      </c>
      <c r="J6" s="134">
        <f>SUMIF('Monthly forecast'!$B:$B,$A$6,'Monthly forecast'!L:L)</f>
        <v/>
      </c>
      <c r="K6" s="134">
        <f>SUMIF('Monthly forecast'!$B:$B,$A$6,'Monthly forecast'!M:M)</f>
        <v/>
      </c>
      <c r="L6" s="134">
        <f>SUMIF('Monthly forecast'!$B:$B,$A$6,'Monthly forecast'!N:N)</f>
        <v/>
      </c>
      <c r="M6" s="134">
        <f>SUMIF('Monthly forecast'!$B:$B,$A$6,'Monthly forecast'!O:O)</f>
        <v/>
      </c>
      <c r="N6" s="134">
        <f>SUMIF('Monthly forecast'!$B:$B,$A$6,'Monthly forecast'!P:P)</f>
        <v/>
      </c>
      <c r="O6" s="134">
        <f>SUMIF('Monthly forecast'!$B:$B,$A$6,'Monthly forecast'!Q:Q)</f>
        <v/>
      </c>
      <c r="P6" s="134">
        <f>SUMIF('Monthly forecast'!$B:$B,$A$6,'Monthly forecast'!R:R)</f>
        <v/>
      </c>
      <c r="Q6" s="134">
        <f>SUMIF('Monthly forecast'!$B:$B,$A$6,'Monthly forecast'!S:S)</f>
        <v/>
      </c>
      <c r="R6" s="134">
        <f>SUMIF('Monthly forecast'!$B:$B,$A$6,'Monthly forecast'!T:T)</f>
        <v/>
      </c>
      <c r="S6" s="134">
        <f>SUMIF('Monthly forecast'!$B:$B,$A$6,'Monthly forecast'!U:U)</f>
        <v/>
      </c>
      <c r="T6" s="134">
        <f>SUMIF('Monthly forecast'!$B:$B,$A$6,'Monthly forecast'!V:V)</f>
        <v/>
      </c>
      <c r="U6" s="134">
        <f>SUMIF('Monthly forecast'!$B:$B,$A$6,'Monthly forecast'!W:W)</f>
        <v/>
      </c>
      <c r="V6" s="134">
        <f>SUMIF('Monthly forecast'!$B:$B,$A$6,'Monthly forecast'!X:X)</f>
        <v/>
      </c>
      <c r="W6" s="134">
        <f>SUMIF('Monthly forecast'!$B:$B,$A$6,'Monthly forecast'!Y:Y)</f>
        <v/>
      </c>
      <c r="X6" s="134">
        <f>SUMIF('Monthly forecast'!$B:$B,$A$6,'Monthly forecast'!Z:Z)</f>
        <v/>
      </c>
      <c r="Y6" s="134">
        <f>SUMIF('Monthly forecast'!$B:$B,$A$6,'Monthly forecast'!AA:AA)</f>
        <v/>
      </c>
      <c r="Z6" s="134">
        <f>SUMIF('Monthly forecast'!$B:$B,$A$6,'Monthly forecast'!AB:AB)</f>
        <v/>
      </c>
      <c r="AA6" s="134">
        <f>SUMIF('Monthly forecast'!$B:$B,$A$6,'Monthly forecast'!AC:AC)</f>
        <v/>
      </c>
      <c r="AB6" s="134">
        <f>SUMIF('Monthly forecast'!$B:$B,$A$6,'Monthly forecast'!AD:AD)</f>
        <v/>
      </c>
      <c r="AC6" s="134">
        <f>SUMIF('Monthly forecast'!$B:$B,$A$6,'Monthly forecast'!AE:AE)</f>
        <v/>
      </c>
      <c r="AD6" s="134">
        <f>SUMIF('Monthly forecast'!$B:$B,$A$6,'Monthly forecast'!AF:AF)</f>
        <v/>
      </c>
      <c r="AE6" s="134">
        <f>SUMIF('Monthly forecast'!$B:$B,$A$6,'Monthly forecast'!AG:AG)</f>
        <v/>
      </c>
      <c r="AF6" s="134">
        <f>SUMIF('Monthly forecast'!$B:$B,$A$6,'Monthly forecast'!AH:AH)</f>
        <v/>
      </c>
      <c r="AG6" s="134">
        <f>SUMIF('Monthly forecast'!$B:$B,$A$6,'Monthly forecast'!AI:AI)</f>
        <v/>
      </c>
      <c r="AH6" s="134">
        <f>SUMIF('Monthly forecast'!$B:$B,$A$6,'Monthly forecast'!AJ:AJ)</f>
        <v/>
      </c>
      <c r="AI6" s="134">
        <f>SUMIF('Monthly forecast'!$B:$B,$A$6,'Monthly forecast'!AK:AK)</f>
        <v/>
      </c>
      <c r="AJ6" s="134">
        <f>SUMIF('Monthly forecast'!$B:$B,$A$6,'Monthly forecast'!AL:AL)</f>
        <v/>
      </c>
      <c r="AK6" s="134">
        <f>SUMIF('Monthly forecast'!$B:$B,$A$6,'Monthly forecast'!AM:AM)</f>
        <v/>
      </c>
      <c r="AL6" s="134">
        <f>SUMIF('Monthly forecast'!$B:$B,$A$6,'Monthly forecast'!AN:AN)</f>
        <v/>
      </c>
      <c r="AM6" s="134">
        <f>SUMIF('Monthly forecast'!$B:$B,$A$6,'Monthly forecast'!AO:AO)</f>
        <v/>
      </c>
      <c r="AN6" s="134">
        <f>SUMIF('Monthly forecast'!$B:$B,$A$6,'Monthly forecast'!AP:AP)</f>
        <v/>
      </c>
      <c r="AO6" s="134">
        <f>SUMIF('Monthly forecast'!$B:$B,$A$6,'Monthly forecast'!AQ:AQ)</f>
        <v/>
      </c>
      <c r="AP6" s="134">
        <f>SUMIF('Monthly forecast'!$B:$B,$A$6,'Monthly forecast'!AR:AR)</f>
        <v/>
      </c>
      <c r="AQ6" s="134">
        <f>SUMIF('Monthly forecast'!$B:$B,$A$6,'Monthly forecast'!AS:AS)</f>
        <v/>
      </c>
      <c r="AR6" s="134">
        <f>SUMIF('Monthly forecast'!$B:$B,$A$6,'Monthly forecast'!AT:AT)</f>
        <v/>
      </c>
      <c r="AS6" s="134">
        <f>SUMIF('Monthly forecast'!$B:$B,$A$6,'Monthly forecast'!AU:AU)</f>
        <v/>
      </c>
      <c r="AT6" s="134">
        <f>SUMIF('Monthly forecast'!$B:$B,$A$6,'Monthly forecast'!AV:AV)</f>
        <v/>
      </c>
      <c r="AU6" s="134">
        <f>SUMIF('Monthly forecast'!$B:$B,$A$6,'Monthly forecast'!AW:AW)</f>
        <v/>
      </c>
      <c r="AV6" s="134">
        <f>SUMIF('Monthly forecast'!$B:$B,$A$6,'Monthly forecast'!AX:AX)</f>
        <v/>
      </c>
      <c r="AW6" s="134">
        <f>SUMIF('Monthly forecast'!$B:$B,$A$6,'Monthly forecast'!AY:AY)</f>
        <v/>
      </c>
      <c r="AX6" s="134">
        <f>SUMIF('Monthly forecast'!$B:$B,$A$6,'Monthly forecast'!AZ:AZ)</f>
        <v/>
      </c>
      <c r="AY6" s="134">
        <f>SUMIF('Monthly forecast'!$B:$B,$A$6,'Monthly forecast'!BA:BA)</f>
        <v/>
      </c>
      <c r="AZ6" s="134">
        <f>SUMIF('Monthly forecast'!$B:$B,$A$6,'Monthly forecast'!BB:BB)</f>
        <v/>
      </c>
      <c r="BA6" s="134">
        <f>SUMIF('Monthly forecast'!$B:$B,$A$6,'Monthly forecast'!BC:BC)</f>
        <v/>
      </c>
      <c r="BB6" s="134">
        <f>SUMIF('Monthly forecast'!$B:$B,$A$6,'Monthly forecast'!BD:BD)</f>
        <v/>
      </c>
      <c r="BC6" s="134">
        <f>SUMIF('Monthly forecast'!$B:$B,$A$6,'Monthly forecast'!BE:BE)</f>
        <v/>
      </c>
      <c r="BD6" s="134">
        <f>SUMIF('Monthly forecast'!$B:$B,$A$6,'Monthly forecast'!BF:BF)</f>
        <v/>
      </c>
      <c r="BE6" s="134">
        <f>SUMIF('Monthly forecast'!$B:$B,$A$6,'Monthly forecast'!BG:BG)</f>
        <v/>
      </c>
      <c r="BF6" s="134">
        <f>SUMIF('Monthly forecast'!$B:$B,$A$6,'Monthly forecast'!BH:BH)</f>
        <v/>
      </c>
      <c r="BG6" s="134">
        <f>SUMIF('Monthly forecast'!$B:$B,$A$6,'Monthly forecast'!BI:BI)</f>
        <v/>
      </c>
      <c r="BH6" s="134">
        <f>SUMIF('Monthly forecast'!$B:$B,$A$6,'Monthly forecast'!BJ:BJ)</f>
        <v/>
      </c>
      <c r="BI6" s="134">
        <f>SUMIF('Monthly forecast'!$B:$B,$A$6,'Monthly forecast'!BK:BK)</f>
        <v/>
      </c>
      <c r="BJ6" s="134">
        <f>SUMIF('Monthly forecast'!$B:$B,$A$6,'Monthly forecast'!BL:BL)</f>
        <v/>
      </c>
      <c r="BK6" s="134">
        <f>SUMIF('Monthly forecast'!$B:$B,$A$6,'Monthly forecast'!BM:BM)</f>
        <v/>
      </c>
      <c r="BL6" s="134">
        <f>SUMIF('Monthly forecast'!$B:$B,$A$6,'Monthly forecast'!BN:BN)</f>
        <v/>
      </c>
      <c r="BM6" s="134">
        <f>SUMIF('Monthly forecast'!$B:$B,$A$6,'Monthly forecast'!BO:BO)</f>
        <v/>
      </c>
      <c r="BN6" s="134">
        <f>SUMIF('Monthly forecast'!$B:$B,$A$6,'Monthly forecast'!BP:BP)</f>
        <v/>
      </c>
      <c r="BO6" s="134">
        <f>SUMIF('Monthly forecast'!$B:$B,$A$6,'Monthly forecast'!BQ:BQ)</f>
        <v/>
      </c>
      <c r="BP6" s="134">
        <f>SUMIF('Monthly forecast'!$B:$B,$A$6,'Monthly forecast'!BR:BR)</f>
        <v/>
      </c>
      <c r="BQ6" s="134">
        <f>SUMIF('Monthly forecast'!$B:$B,$A$6,'Monthly forecast'!BS:BS)</f>
        <v/>
      </c>
      <c r="BR6" s="134">
        <f>SUMIF('Monthly forecast'!$B:$B,$A$6,'Monthly forecast'!BT:BT)</f>
        <v/>
      </c>
      <c r="BS6" s="134">
        <f>SUMIF('Monthly forecast'!$B:$B,$A$6,'Monthly forecast'!BU:BU)</f>
        <v/>
      </c>
      <c r="BT6" s="134">
        <f>SUMIF('Monthly forecast'!$B:$B,$A$6,'Monthly forecast'!BV:BV)</f>
        <v/>
      </c>
      <c r="BU6" s="134">
        <f>SUMIF('Monthly forecast'!$B:$B,$A$6,'Monthly forecast'!BW:BW)</f>
        <v/>
      </c>
      <c r="BV6" s="134">
        <f>SUMIF('Monthly forecast'!$B:$B,$A$6,'Monthly forecast'!BX:BX)</f>
        <v/>
      </c>
      <c r="BW6" s="134">
        <f>SUMIF('Monthly forecast'!$B:$B,$A$6,'Monthly forecast'!BY:BY)</f>
        <v/>
      </c>
      <c r="BX6" s="134">
        <f>SUMIF('Monthly forecast'!$B:$B,$A$6,'Monthly forecast'!BZ:BZ)</f>
        <v/>
      </c>
      <c r="BY6" s="134">
        <f>SUMIF('Monthly forecast'!$B:$B,$A$6,'Monthly forecast'!CA:CA)</f>
        <v/>
      </c>
      <c r="BZ6" s="134">
        <f>SUMIF('Monthly forecast'!$B:$B,$A$6,'Monthly forecast'!CB:CB)</f>
        <v/>
      </c>
      <c r="CA6" s="134">
        <f>SUMIF('Monthly forecast'!$B:$B,$A$6,'Monthly forecast'!CC:CC)</f>
        <v/>
      </c>
      <c r="CB6" s="134">
        <f>SUMIF('Monthly forecast'!$B:$B,$A$6,'Monthly forecast'!CD:CD)</f>
        <v/>
      </c>
      <c r="CC6" s="134">
        <f>SUMIF('Monthly forecast'!$B:$B,$A$6,'Monthly forecast'!CE:CE)</f>
        <v/>
      </c>
      <c r="CD6" s="134">
        <f>SUMIF('Monthly forecast'!$B:$B,$A$6,'Monthly forecast'!CF:CF)</f>
        <v/>
      </c>
      <c r="CE6" s="134">
        <f>SUMIF('Monthly forecast'!$B:$B,$A$6,'Monthly forecast'!CG:CG)</f>
        <v/>
      </c>
      <c r="CF6" s="134">
        <f>SUMIF('Monthly forecast'!$B:$B,$A$6,'Monthly forecast'!CH:CH)</f>
        <v/>
      </c>
      <c r="CG6" s="134">
        <f>SUMIF('Monthly forecast'!$B:$B,$A$6,'Monthly forecast'!CI:CI)</f>
        <v/>
      </c>
      <c r="CH6" s="134">
        <f>SUMIF('Monthly forecast'!$B:$B,$A$6,'Monthly forecast'!CJ:CJ)</f>
        <v/>
      </c>
      <c r="CI6" s="134">
        <f>SUMIF('Monthly forecast'!$B:$B,$A$6,'Monthly forecast'!CK:CK)</f>
        <v/>
      </c>
      <c r="CJ6" s="134">
        <f>SUMIF('Monthly forecast'!$B:$B,$A$6,'Monthly forecast'!CL:CL)</f>
        <v/>
      </c>
      <c r="CK6" s="134">
        <f>SUMIF('Monthly forecast'!$B:$B,$A$6,'Monthly forecast'!CM:CM)</f>
        <v/>
      </c>
      <c r="CL6" s="134">
        <f>SUMIF('Monthly forecast'!$B:$B,$A$6,'Monthly forecast'!CN:CN)</f>
        <v/>
      </c>
      <c r="CM6" s="134">
        <f>SUMIF('Monthly forecast'!$B:$B,$A$6,'Monthly forecast'!CO:CO)</f>
        <v/>
      </c>
      <c r="CN6" s="134">
        <f>SUMIF('Monthly forecast'!$B:$B,$A$6,'Monthly forecast'!CP:CP)</f>
        <v/>
      </c>
      <c r="CO6" s="134">
        <f>SUMIF('Monthly forecast'!$B:$B,$A$6,'Monthly forecast'!CQ:CQ)</f>
        <v/>
      </c>
      <c r="CP6" s="134">
        <f>SUMIF('Monthly forecast'!$B:$B,$A$6,'Monthly forecast'!CR:CR)</f>
        <v/>
      </c>
      <c r="CQ6" s="134">
        <f>SUMIF('Monthly forecast'!$B:$B,$A$6,'Monthly forecast'!CS:CS)</f>
        <v/>
      </c>
      <c r="CR6" s="134">
        <f>SUMIF('Monthly forecast'!$B:$B,$A$6,'Monthly forecast'!CT:CT)</f>
        <v/>
      </c>
      <c r="CS6" s="134">
        <f>SUMIF('Monthly forecast'!$B:$B,$A$6,'Monthly forecast'!CU:CU)</f>
        <v/>
      </c>
      <c r="CT6" s="134">
        <f>SUMIF('Monthly forecast'!$B:$B,$A$6,'Monthly forecast'!CV:CV)</f>
        <v/>
      </c>
      <c r="CU6" s="134">
        <f>SUMIF('Monthly forecast'!$B:$B,$A$6,'Monthly forecast'!CW:CW)</f>
        <v/>
      </c>
      <c r="CV6" s="134">
        <f>SUMIF('Monthly forecast'!$B:$B,$A$6,'Monthly forecast'!CX:CX)</f>
        <v/>
      </c>
    </row>
    <row r="7" ht="15.75" customHeight="1" s="255">
      <c r="A7" s="134" t="inlineStr">
        <is>
          <t>Operations</t>
        </is>
      </c>
      <c r="B7" s="134">
        <f>SUMIF('Monthly forecast'!$B:$B,$A$7,'Monthly forecast'!D:D)</f>
        <v/>
      </c>
      <c r="C7" s="134">
        <f>SUMIF('Monthly forecast'!$B:$B,$A$7,'Monthly forecast'!E:E)</f>
        <v/>
      </c>
      <c r="D7" s="134">
        <f>SUMIF('Monthly forecast'!$B:$B,$A$7,'Monthly forecast'!F:F)</f>
        <v/>
      </c>
      <c r="E7" s="134">
        <f>SUMIF('Monthly forecast'!$B:$B,$A$7,'Monthly forecast'!G:G)</f>
        <v/>
      </c>
      <c r="F7" s="134">
        <f>SUMIF('Monthly forecast'!$B:$B,$A$7,'Monthly forecast'!H:H)</f>
        <v/>
      </c>
      <c r="G7" s="134">
        <f>SUMIF('Monthly forecast'!$B:$B,$A$7,'Monthly forecast'!I:I)</f>
        <v/>
      </c>
      <c r="H7" s="134">
        <f>SUMIF('Monthly forecast'!$B:$B,$A$7,'Monthly forecast'!J:J)</f>
        <v/>
      </c>
      <c r="I7" s="134">
        <f>SUMIF('Monthly forecast'!$B:$B,$A$7,'Monthly forecast'!K:K)</f>
        <v/>
      </c>
      <c r="J7" s="134">
        <f>SUMIF('Monthly forecast'!$B:$B,$A$7,'Monthly forecast'!L:L)</f>
        <v/>
      </c>
      <c r="K7" s="134">
        <f>SUMIF('Monthly forecast'!$B:$B,$A$7,'Monthly forecast'!M:M)</f>
        <v/>
      </c>
      <c r="L7" s="134">
        <f>SUMIF('Monthly forecast'!$B:$B,$A$7,'Monthly forecast'!N:N)</f>
        <v/>
      </c>
      <c r="M7" s="134">
        <f>SUMIF('Monthly forecast'!$B:$B,$A$7,'Monthly forecast'!O:O)</f>
        <v/>
      </c>
      <c r="N7" s="134">
        <f>SUMIF('Monthly forecast'!$B:$B,$A$7,'Monthly forecast'!P:P)</f>
        <v/>
      </c>
      <c r="O7" s="134">
        <f>SUMIF('Monthly forecast'!$B:$B,$A$7,'Monthly forecast'!Q:Q)</f>
        <v/>
      </c>
      <c r="P7" s="134">
        <f>SUMIF('Monthly forecast'!$B:$B,$A$7,'Monthly forecast'!R:R)</f>
        <v/>
      </c>
      <c r="Q7" s="134">
        <f>SUMIF('Monthly forecast'!$B:$B,$A$7,'Monthly forecast'!S:S)</f>
        <v/>
      </c>
      <c r="R7" s="134">
        <f>SUMIF('Monthly forecast'!$B:$B,$A$7,'Monthly forecast'!T:T)</f>
        <v/>
      </c>
      <c r="S7" s="134">
        <f>SUMIF('Monthly forecast'!$B:$B,$A$7,'Monthly forecast'!U:U)</f>
        <v/>
      </c>
      <c r="T7" s="134">
        <f>SUMIF('Monthly forecast'!$B:$B,$A$7,'Monthly forecast'!V:V)</f>
        <v/>
      </c>
      <c r="U7" s="134">
        <f>SUMIF('Monthly forecast'!$B:$B,$A$7,'Monthly forecast'!W:W)</f>
        <v/>
      </c>
      <c r="V7" s="134">
        <f>SUMIF('Monthly forecast'!$B:$B,$A$7,'Monthly forecast'!X:X)</f>
        <v/>
      </c>
      <c r="W7" s="134">
        <f>SUMIF('Monthly forecast'!$B:$B,$A$7,'Monthly forecast'!Y:Y)</f>
        <v/>
      </c>
      <c r="X7" s="134">
        <f>SUMIF('Monthly forecast'!$B:$B,$A$7,'Monthly forecast'!Z:Z)</f>
        <v/>
      </c>
      <c r="Y7" s="134">
        <f>SUMIF('Monthly forecast'!$B:$B,$A$7,'Monthly forecast'!AA:AA)</f>
        <v/>
      </c>
      <c r="Z7" s="134">
        <f>SUMIF('Monthly forecast'!$B:$B,$A$7,'Monthly forecast'!AB:AB)</f>
        <v/>
      </c>
      <c r="AA7" s="134">
        <f>SUMIF('Monthly forecast'!$B:$B,$A$7,'Monthly forecast'!AC:AC)</f>
        <v/>
      </c>
      <c r="AB7" s="134">
        <f>SUMIF('Monthly forecast'!$B:$B,$A$7,'Monthly forecast'!AD:AD)</f>
        <v/>
      </c>
      <c r="AC7" s="134">
        <f>SUMIF('Monthly forecast'!$B:$B,$A$7,'Monthly forecast'!AE:AE)</f>
        <v/>
      </c>
      <c r="AD7" s="134">
        <f>SUMIF('Monthly forecast'!$B:$B,$A$7,'Monthly forecast'!AF:AF)</f>
        <v/>
      </c>
      <c r="AE7" s="134">
        <f>SUMIF('Monthly forecast'!$B:$B,$A$7,'Monthly forecast'!AG:AG)</f>
        <v/>
      </c>
      <c r="AF7" s="134">
        <f>SUMIF('Monthly forecast'!$B:$B,$A$7,'Monthly forecast'!AH:AH)</f>
        <v/>
      </c>
      <c r="AG7" s="134">
        <f>SUMIF('Monthly forecast'!$B:$B,$A$7,'Monthly forecast'!AI:AI)</f>
        <v/>
      </c>
      <c r="AH7" s="134">
        <f>SUMIF('Monthly forecast'!$B:$B,$A$7,'Monthly forecast'!AJ:AJ)</f>
        <v/>
      </c>
      <c r="AI7" s="134">
        <f>SUMIF('Monthly forecast'!$B:$B,$A$7,'Monthly forecast'!AK:AK)</f>
        <v/>
      </c>
      <c r="AJ7" s="134">
        <f>SUMIF('Monthly forecast'!$B:$B,$A$7,'Monthly forecast'!AL:AL)</f>
        <v/>
      </c>
      <c r="AK7" s="134">
        <f>SUMIF('Monthly forecast'!$B:$B,$A$7,'Monthly forecast'!AM:AM)</f>
        <v/>
      </c>
      <c r="AL7" s="134">
        <f>SUMIF('Monthly forecast'!$B:$B,$A$7,'Monthly forecast'!AN:AN)</f>
        <v/>
      </c>
      <c r="AM7" s="134">
        <f>SUMIF('Monthly forecast'!$B:$B,$A$7,'Monthly forecast'!AO:AO)</f>
        <v/>
      </c>
      <c r="AN7" s="134">
        <f>SUMIF('Monthly forecast'!$B:$B,$A$7,'Monthly forecast'!AP:AP)</f>
        <v/>
      </c>
      <c r="AO7" s="134">
        <f>SUMIF('Monthly forecast'!$B:$B,$A$7,'Monthly forecast'!AQ:AQ)</f>
        <v/>
      </c>
      <c r="AP7" s="134">
        <f>SUMIF('Monthly forecast'!$B:$B,$A$7,'Monthly forecast'!AR:AR)</f>
        <v/>
      </c>
      <c r="AQ7" s="134">
        <f>SUMIF('Monthly forecast'!$B:$B,$A$7,'Monthly forecast'!AS:AS)</f>
        <v/>
      </c>
      <c r="AR7" s="134">
        <f>SUMIF('Monthly forecast'!$B:$B,$A$7,'Monthly forecast'!AT:AT)</f>
        <v/>
      </c>
      <c r="AS7" s="134">
        <f>SUMIF('Monthly forecast'!$B:$B,$A$7,'Monthly forecast'!AU:AU)</f>
        <v/>
      </c>
      <c r="AT7" s="134">
        <f>SUMIF('Monthly forecast'!$B:$B,$A$7,'Monthly forecast'!AV:AV)</f>
        <v/>
      </c>
      <c r="AU7" s="134">
        <f>SUMIF('Monthly forecast'!$B:$B,$A$7,'Monthly forecast'!AW:AW)</f>
        <v/>
      </c>
      <c r="AV7" s="134">
        <f>SUMIF('Monthly forecast'!$B:$B,$A$7,'Monthly forecast'!AX:AX)</f>
        <v/>
      </c>
      <c r="AW7" s="134">
        <f>SUMIF('Monthly forecast'!$B:$B,$A$7,'Monthly forecast'!AY:AY)</f>
        <v/>
      </c>
      <c r="AX7" s="134">
        <f>SUMIF('Monthly forecast'!$B:$B,$A$7,'Monthly forecast'!AZ:AZ)</f>
        <v/>
      </c>
      <c r="AY7" s="134">
        <f>SUMIF('Monthly forecast'!$B:$B,$A$7,'Monthly forecast'!BA:BA)</f>
        <v/>
      </c>
      <c r="AZ7" s="134">
        <f>SUMIF('Monthly forecast'!$B:$B,$A$7,'Monthly forecast'!BB:BB)</f>
        <v/>
      </c>
      <c r="BA7" s="134">
        <f>SUMIF('Monthly forecast'!$B:$B,$A$7,'Monthly forecast'!BC:BC)</f>
        <v/>
      </c>
      <c r="BB7" s="134">
        <f>SUMIF('Monthly forecast'!$B:$B,$A$7,'Monthly forecast'!BD:BD)</f>
        <v/>
      </c>
      <c r="BC7" s="134">
        <f>SUMIF('Monthly forecast'!$B:$B,$A$7,'Monthly forecast'!BE:BE)</f>
        <v/>
      </c>
      <c r="BD7" s="134">
        <f>SUMIF('Monthly forecast'!$B:$B,$A$7,'Monthly forecast'!BF:BF)</f>
        <v/>
      </c>
      <c r="BE7" s="134">
        <f>SUMIF('Monthly forecast'!$B:$B,$A$7,'Monthly forecast'!BG:BG)</f>
        <v/>
      </c>
      <c r="BF7" s="134">
        <f>SUMIF('Monthly forecast'!$B:$B,$A$7,'Monthly forecast'!BH:BH)</f>
        <v/>
      </c>
      <c r="BG7" s="134">
        <f>SUMIF('Monthly forecast'!$B:$B,$A$7,'Monthly forecast'!BI:BI)</f>
        <v/>
      </c>
      <c r="BH7" s="134">
        <f>SUMIF('Monthly forecast'!$B:$B,$A$7,'Monthly forecast'!BJ:BJ)</f>
        <v/>
      </c>
      <c r="BI7" s="134">
        <f>SUMIF('Monthly forecast'!$B:$B,$A$7,'Monthly forecast'!BK:BK)</f>
        <v/>
      </c>
      <c r="BJ7" s="134">
        <f>SUMIF('Monthly forecast'!$B:$B,$A$7,'Monthly forecast'!BL:BL)</f>
        <v/>
      </c>
      <c r="BK7" s="134">
        <f>SUMIF('Monthly forecast'!$B:$B,$A$7,'Monthly forecast'!BM:BM)</f>
        <v/>
      </c>
      <c r="BL7" s="134">
        <f>SUMIF('Monthly forecast'!$B:$B,$A$7,'Monthly forecast'!BN:BN)</f>
        <v/>
      </c>
      <c r="BM7" s="134">
        <f>SUMIF('Monthly forecast'!$B:$B,$A$7,'Monthly forecast'!BO:BO)</f>
        <v/>
      </c>
      <c r="BN7" s="134">
        <f>SUMIF('Monthly forecast'!$B:$B,$A$7,'Monthly forecast'!BP:BP)</f>
        <v/>
      </c>
      <c r="BO7" s="134">
        <f>SUMIF('Monthly forecast'!$B:$B,$A$7,'Monthly forecast'!BQ:BQ)</f>
        <v/>
      </c>
      <c r="BP7" s="134">
        <f>SUMIF('Monthly forecast'!$B:$B,$A$7,'Monthly forecast'!BR:BR)</f>
        <v/>
      </c>
      <c r="BQ7" s="134">
        <f>SUMIF('Monthly forecast'!$B:$B,$A$7,'Monthly forecast'!BS:BS)</f>
        <v/>
      </c>
      <c r="BR7" s="134">
        <f>SUMIF('Monthly forecast'!$B:$B,$A$7,'Monthly forecast'!BT:BT)</f>
        <v/>
      </c>
      <c r="BS7" s="134">
        <f>SUMIF('Monthly forecast'!$B:$B,$A$7,'Monthly forecast'!BU:BU)</f>
        <v/>
      </c>
      <c r="BT7" s="134">
        <f>SUMIF('Monthly forecast'!$B:$B,$A$7,'Monthly forecast'!BV:BV)</f>
        <v/>
      </c>
      <c r="BU7" s="134">
        <f>SUMIF('Monthly forecast'!$B:$B,$A$7,'Monthly forecast'!BW:BW)</f>
        <v/>
      </c>
      <c r="BV7" s="134">
        <f>SUMIF('Monthly forecast'!$B:$B,$A$7,'Monthly forecast'!BX:BX)</f>
        <v/>
      </c>
      <c r="BW7" s="134">
        <f>SUMIF('Monthly forecast'!$B:$B,$A$7,'Monthly forecast'!BY:BY)</f>
        <v/>
      </c>
      <c r="BX7" s="134">
        <f>SUMIF('Monthly forecast'!$B:$B,$A$7,'Monthly forecast'!BZ:BZ)</f>
        <v/>
      </c>
      <c r="BY7" s="134">
        <f>SUMIF('Monthly forecast'!$B:$B,$A$7,'Monthly forecast'!CA:CA)</f>
        <v/>
      </c>
      <c r="BZ7" s="134">
        <f>SUMIF('Monthly forecast'!$B:$B,$A$7,'Monthly forecast'!CB:CB)</f>
        <v/>
      </c>
      <c r="CA7" s="134">
        <f>SUMIF('Monthly forecast'!$B:$B,$A$7,'Monthly forecast'!CC:CC)</f>
        <v/>
      </c>
      <c r="CB7" s="134">
        <f>SUMIF('Monthly forecast'!$B:$B,$A$7,'Monthly forecast'!CD:CD)</f>
        <v/>
      </c>
      <c r="CC7" s="134">
        <f>SUMIF('Monthly forecast'!$B:$B,$A$7,'Monthly forecast'!CE:CE)</f>
        <v/>
      </c>
      <c r="CD7" s="134">
        <f>SUMIF('Monthly forecast'!$B:$B,$A$7,'Monthly forecast'!CF:CF)</f>
        <v/>
      </c>
      <c r="CE7" s="134">
        <f>SUMIF('Monthly forecast'!$B:$B,$A$7,'Monthly forecast'!CG:CG)</f>
        <v/>
      </c>
      <c r="CF7" s="134">
        <f>SUMIF('Monthly forecast'!$B:$B,$A$7,'Monthly forecast'!CH:CH)</f>
        <v/>
      </c>
      <c r="CG7" s="134">
        <f>SUMIF('Monthly forecast'!$B:$B,$A$7,'Monthly forecast'!CI:CI)</f>
        <v/>
      </c>
      <c r="CH7" s="134">
        <f>SUMIF('Monthly forecast'!$B:$B,$A$7,'Monthly forecast'!CJ:CJ)</f>
        <v/>
      </c>
      <c r="CI7" s="134">
        <f>SUMIF('Monthly forecast'!$B:$B,$A$7,'Monthly forecast'!CK:CK)</f>
        <v/>
      </c>
      <c r="CJ7" s="134">
        <f>SUMIF('Monthly forecast'!$B:$B,$A$7,'Monthly forecast'!CL:CL)</f>
        <v/>
      </c>
      <c r="CK7" s="134">
        <f>SUMIF('Monthly forecast'!$B:$B,$A$7,'Monthly forecast'!CM:CM)</f>
        <v/>
      </c>
      <c r="CL7" s="134">
        <f>SUMIF('Monthly forecast'!$B:$B,$A$7,'Monthly forecast'!CN:CN)</f>
        <v/>
      </c>
      <c r="CM7" s="134">
        <f>SUMIF('Monthly forecast'!$B:$B,$A$7,'Monthly forecast'!CO:CO)</f>
        <v/>
      </c>
      <c r="CN7" s="134">
        <f>SUMIF('Monthly forecast'!$B:$B,$A$7,'Monthly forecast'!CP:CP)</f>
        <v/>
      </c>
      <c r="CO7" s="134">
        <f>SUMIF('Monthly forecast'!$B:$B,$A$7,'Monthly forecast'!CQ:CQ)</f>
        <v/>
      </c>
      <c r="CP7" s="134">
        <f>SUMIF('Monthly forecast'!$B:$B,$A$7,'Monthly forecast'!CR:CR)</f>
        <v/>
      </c>
      <c r="CQ7" s="134">
        <f>SUMIF('Monthly forecast'!$B:$B,$A$7,'Monthly forecast'!CS:CS)</f>
        <v/>
      </c>
      <c r="CR7" s="134">
        <f>SUMIF('Monthly forecast'!$B:$B,$A$7,'Monthly forecast'!CT:CT)</f>
        <v/>
      </c>
      <c r="CS7" s="134">
        <f>SUMIF('Monthly forecast'!$B:$B,$A$7,'Monthly forecast'!CU:CU)</f>
        <v/>
      </c>
      <c r="CT7" s="134">
        <f>SUMIF('Monthly forecast'!$B:$B,$A$7,'Monthly forecast'!CV:CV)</f>
        <v/>
      </c>
      <c r="CU7" s="134">
        <f>SUMIF('Monthly forecast'!$B:$B,$A$7,'Monthly forecast'!CW:CW)</f>
        <v/>
      </c>
      <c r="CV7" s="134">
        <f>SUMIF('Monthly forecast'!$B:$B,$A$7,'Monthly forecast'!CX:CX)</f>
        <v/>
      </c>
    </row>
    <row r="8" ht="15.75" customHeight="1" s="255">
      <c r="A8" s="252" t="inlineStr">
        <is>
          <t>Capital Expenditures</t>
        </is>
      </c>
      <c r="B8" s="134">
        <f>SUMIF('Monthly forecast'!$B:$B,$A$8,'Monthly forecast'!D:D)</f>
        <v/>
      </c>
      <c r="C8" s="134">
        <f>SUMIF('Monthly forecast'!$B:$B,$A$8,'Monthly forecast'!E:E)</f>
        <v/>
      </c>
      <c r="D8" s="134">
        <f>SUMIF('Monthly forecast'!$B:$B,$A$8,'Monthly forecast'!F:F)</f>
        <v/>
      </c>
      <c r="E8" s="134">
        <f>SUMIF('Monthly forecast'!$B:$B,$A$8,'Monthly forecast'!G:G)</f>
        <v/>
      </c>
      <c r="F8" s="134">
        <f>SUMIF('Monthly forecast'!$B:$B,$A$8,'Monthly forecast'!H:H)</f>
        <v/>
      </c>
      <c r="G8" s="134">
        <f>SUMIF('Monthly forecast'!$B:$B,$A$8,'Monthly forecast'!I:I)</f>
        <v/>
      </c>
      <c r="H8" s="134">
        <f>SUMIF('Monthly forecast'!$B:$B,$A$8,'Monthly forecast'!J:J)</f>
        <v/>
      </c>
      <c r="I8" s="134">
        <f>SUMIF('Monthly forecast'!$B:$B,$A$8,'Monthly forecast'!K:K)</f>
        <v/>
      </c>
      <c r="J8" s="134">
        <f>SUMIF('Monthly forecast'!$B:$B,$A$8,'Monthly forecast'!L:L)</f>
        <v/>
      </c>
      <c r="K8" s="134">
        <f>SUMIF('Monthly forecast'!$B:$B,$A$8,'Monthly forecast'!M:M)</f>
        <v/>
      </c>
      <c r="L8" s="134">
        <f>SUMIF('Monthly forecast'!$B:$B,$A$8,'Monthly forecast'!N:N)</f>
        <v/>
      </c>
      <c r="M8" s="134">
        <f>SUMIF('Monthly forecast'!$B:$B,$A$8,'Monthly forecast'!O:O)</f>
        <v/>
      </c>
      <c r="N8" s="134">
        <f>SUMIF('Monthly forecast'!$B:$B,$A$8,'Monthly forecast'!P:P)</f>
        <v/>
      </c>
      <c r="O8" s="134">
        <f>SUMIF('Monthly forecast'!$B:$B,$A$8,'Monthly forecast'!Q:Q)</f>
        <v/>
      </c>
      <c r="P8" s="134">
        <f>SUMIF('Monthly forecast'!$B:$B,$A$8,'Monthly forecast'!R:R)</f>
        <v/>
      </c>
      <c r="Q8" s="134">
        <f>SUMIF('Monthly forecast'!$B:$B,$A$8,'Monthly forecast'!S:S)</f>
        <v/>
      </c>
      <c r="R8" s="134">
        <f>SUMIF('Monthly forecast'!$B:$B,$A$8,'Monthly forecast'!T:T)</f>
        <v/>
      </c>
      <c r="S8" s="134">
        <f>SUMIF('Monthly forecast'!$B:$B,$A$8,'Monthly forecast'!U:U)</f>
        <v/>
      </c>
      <c r="T8" s="134">
        <f>SUMIF('Monthly forecast'!$B:$B,$A$8,'Monthly forecast'!V:V)</f>
        <v/>
      </c>
      <c r="U8" s="134">
        <f>SUMIF('Monthly forecast'!$B:$B,$A$8,'Monthly forecast'!W:W)</f>
        <v/>
      </c>
      <c r="V8" s="134">
        <f>SUMIF('Monthly forecast'!$B:$B,$A$8,'Monthly forecast'!X:X)</f>
        <v/>
      </c>
      <c r="W8" s="134">
        <f>SUMIF('Monthly forecast'!$B:$B,$A$8,'Monthly forecast'!Y:Y)</f>
        <v/>
      </c>
      <c r="X8" s="134">
        <f>SUMIF('Monthly forecast'!$B:$B,$A$8,'Monthly forecast'!Z:Z)</f>
        <v/>
      </c>
      <c r="Y8" s="134">
        <f>SUMIF('Monthly forecast'!$B:$B,$A$8,'Monthly forecast'!AA:AA)</f>
        <v/>
      </c>
      <c r="Z8" s="134">
        <f>SUMIF('Monthly forecast'!$B:$B,$A$8,'Monthly forecast'!AB:AB)</f>
        <v/>
      </c>
      <c r="AA8" s="134">
        <f>SUMIF('Monthly forecast'!$B:$B,$A$8,'Monthly forecast'!AC:AC)</f>
        <v/>
      </c>
      <c r="AB8" s="134">
        <f>SUMIF('Monthly forecast'!$B:$B,$A$8,'Monthly forecast'!AD:AD)</f>
        <v/>
      </c>
      <c r="AC8" s="134">
        <f>SUMIF('Monthly forecast'!$B:$B,$A$8,'Monthly forecast'!AE:AE)</f>
        <v/>
      </c>
      <c r="AD8" s="134">
        <f>SUMIF('Monthly forecast'!$B:$B,$A$8,'Monthly forecast'!AF:AF)</f>
        <v/>
      </c>
      <c r="AE8" s="134">
        <f>SUMIF('Monthly forecast'!$B:$B,$A$8,'Monthly forecast'!AG:AG)</f>
        <v/>
      </c>
      <c r="AF8" s="134">
        <f>SUMIF('Monthly forecast'!$B:$B,$A$8,'Monthly forecast'!AH:AH)</f>
        <v/>
      </c>
      <c r="AG8" s="134">
        <f>SUMIF('Monthly forecast'!$B:$B,$A$8,'Monthly forecast'!AI:AI)</f>
        <v/>
      </c>
      <c r="AH8" s="134">
        <f>SUMIF('Monthly forecast'!$B:$B,$A$8,'Monthly forecast'!AJ:AJ)</f>
        <v/>
      </c>
      <c r="AI8" s="134">
        <f>SUMIF('Monthly forecast'!$B:$B,$A$8,'Monthly forecast'!AK:AK)</f>
        <v/>
      </c>
      <c r="AJ8" s="134">
        <f>SUMIF('Monthly forecast'!$B:$B,$A$8,'Monthly forecast'!AL:AL)</f>
        <v/>
      </c>
      <c r="AK8" s="134">
        <f>SUMIF('Monthly forecast'!$B:$B,$A$8,'Monthly forecast'!AM:AM)</f>
        <v/>
      </c>
      <c r="AL8" s="134">
        <f>SUMIF('Monthly forecast'!$B:$B,$A$8,'Monthly forecast'!AN:AN)</f>
        <v/>
      </c>
      <c r="AM8" s="134">
        <f>SUMIF('Monthly forecast'!$B:$B,$A$8,'Monthly forecast'!AO:AO)</f>
        <v/>
      </c>
      <c r="AN8" s="134">
        <f>SUMIF('Monthly forecast'!$B:$B,$A$8,'Monthly forecast'!AP:AP)</f>
        <v/>
      </c>
      <c r="AO8" s="134">
        <f>SUMIF('Monthly forecast'!$B:$B,$A$8,'Monthly forecast'!AQ:AQ)</f>
        <v/>
      </c>
      <c r="AP8" s="134">
        <f>SUMIF('Monthly forecast'!$B:$B,$A$8,'Monthly forecast'!AR:AR)</f>
        <v/>
      </c>
      <c r="AQ8" s="134">
        <f>SUMIF('Monthly forecast'!$B:$B,$A$8,'Monthly forecast'!AS:AS)</f>
        <v/>
      </c>
      <c r="AR8" s="134">
        <f>SUMIF('Monthly forecast'!$B:$B,$A$8,'Monthly forecast'!AT:AT)</f>
        <v/>
      </c>
      <c r="AS8" s="134">
        <f>SUMIF('Monthly forecast'!$B:$B,$A$8,'Monthly forecast'!AU:AU)</f>
        <v/>
      </c>
      <c r="AT8" s="134">
        <f>SUMIF('Monthly forecast'!$B:$B,$A$8,'Monthly forecast'!AV:AV)</f>
        <v/>
      </c>
      <c r="AU8" s="134">
        <f>SUMIF('Monthly forecast'!$B:$B,$A$8,'Monthly forecast'!AW:AW)</f>
        <v/>
      </c>
      <c r="AV8" s="134">
        <f>SUMIF('Monthly forecast'!$B:$B,$A$8,'Monthly forecast'!AX:AX)</f>
        <v/>
      </c>
      <c r="AW8" s="134">
        <f>SUMIF('Monthly forecast'!$B:$B,$A$8,'Monthly forecast'!AY:AY)</f>
        <v/>
      </c>
      <c r="AX8" s="134">
        <f>SUMIF('Monthly forecast'!$B:$B,$A$8,'Monthly forecast'!AZ:AZ)</f>
        <v/>
      </c>
      <c r="AY8" s="134">
        <f>SUMIF('Monthly forecast'!$B:$B,$A$8,'Monthly forecast'!BA:BA)</f>
        <v/>
      </c>
      <c r="AZ8" s="134">
        <f>SUMIF('Monthly forecast'!$B:$B,$A$8,'Monthly forecast'!BB:BB)</f>
        <v/>
      </c>
      <c r="BA8" s="134">
        <f>SUMIF('Monthly forecast'!$B:$B,$A$8,'Monthly forecast'!BC:BC)</f>
        <v/>
      </c>
      <c r="BB8" s="134">
        <f>SUMIF('Monthly forecast'!$B:$B,$A$8,'Monthly forecast'!BD:BD)</f>
        <v/>
      </c>
      <c r="BC8" s="134">
        <f>SUMIF('Monthly forecast'!$B:$B,$A$8,'Monthly forecast'!BE:BE)</f>
        <v/>
      </c>
      <c r="BD8" s="134">
        <f>SUMIF('Monthly forecast'!$B:$B,$A$8,'Monthly forecast'!BF:BF)</f>
        <v/>
      </c>
      <c r="BE8" s="134">
        <f>SUMIF('Monthly forecast'!$B:$B,$A$8,'Monthly forecast'!BG:BG)</f>
        <v/>
      </c>
      <c r="BF8" s="134">
        <f>SUMIF('Monthly forecast'!$B:$B,$A$8,'Monthly forecast'!BH:BH)</f>
        <v/>
      </c>
      <c r="BG8" s="134">
        <f>SUMIF('Monthly forecast'!$B:$B,$A$8,'Monthly forecast'!BI:BI)</f>
        <v/>
      </c>
      <c r="BH8" s="134">
        <f>SUMIF('Monthly forecast'!$B:$B,$A$8,'Monthly forecast'!BJ:BJ)</f>
        <v/>
      </c>
      <c r="BI8" s="134">
        <f>SUMIF('Monthly forecast'!$B:$B,$A$8,'Monthly forecast'!BK:BK)</f>
        <v/>
      </c>
      <c r="BJ8" s="134">
        <f>SUMIF('Monthly forecast'!$B:$B,$A$8,'Monthly forecast'!BL:BL)</f>
        <v/>
      </c>
      <c r="BK8" s="134">
        <f>SUMIF('Monthly forecast'!$B:$B,$A$8,'Monthly forecast'!BM:BM)</f>
        <v/>
      </c>
      <c r="BL8" s="134">
        <f>SUMIF('Monthly forecast'!$B:$B,$A$8,'Monthly forecast'!BN:BN)</f>
        <v/>
      </c>
      <c r="BM8" s="134">
        <f>SUMIF('Monthly forecast'!$B:$B,$A$8,'Monthly forecast'!BO:BO)</f>
        <v/>
      </c>
      <c r="BN8" s="134">
        <f>SUMIF('Monthly forecast'!$B:$B,$A$8,'Monthly forecast'!BP:BP)</f>
        <v/>
      </c>
      <c r="BO8" s="134">
        <f>SUMIF('Monthly forecast'!$B:$B,$A$8,'Monthly forecast'!BQ:BQ)</f>
        <v/>
      </c>
      <c r="BP8" s="134">
        <f>SUMIF('Monthly forecast'!$B:$B,$A$8,'Monthly forecast'!BR:BR)</f>
        <v/>
      </c>
      <c r="BQ8" s="134">
        <f>SUMIF('Monthly forecast'!$B:$B,$A$8,'Monthly forecast'!BS:BS)</f>
        <v/>
      </c>
      <c r="BR8" s="134">
        <f>SUMIF('Monthly forecast'!$B:$B,$A$8,'Monthly forecast'!BT:BT)</f>
        <v/>
      </c>
      <c r="BS8" s="134">
        <f>SUMIF('Monthly forecast'!$B:$B,$A$8,'Monthly forecast'!BU:BU)</f>
        <v/>
      </c>
      <c r="BT8" s="134">
        <f>SUMIF('Monthly forecast'!$B:$B,$A$8,'Monthly forecast'!BV:BV)</f>
        <v/>
      </c>
      <c r="BU8" s="134">
        <f>SUMIF('Monthly forecast'!$B:$B,$A$8,'Monthly forecast'!BW:BW)</f>
        <v/>
      </c>
      <c r="BV8" s="134">
        <f>SUMIF('Monthly forecast'!$B:$B,$A$8,'Monthly forecast'!BX:BX)</f>
        <v/>
      </c>
      <c r="BW8" s="134">
        <f>SUMIF('Monthly forecast'!$B:$B,$A$8,'Monthly forecast'!BY:BY)</f>
        <v/>
      </c>
      <c r="BX8" s="134">
        <f>SUMIF('Monthly forecast'!$B:$B,$A$8,'Monthly forecast'!BZ:BZ)</f>
        <v/>
      </c>
      <c r="BY8" s="134">
        <f>SUMIF('Monthly forecast'!$B:$B,$A$8,'Monthly forecast'!CA:CA)</f>
        <v/>
      </c>
      <c r="BZ8" s="134">
        <f>SUMIF('Monthly forecast'!$B:$B,$A$8,'Monthly forecast'!CB:CB)</f>
        <v/>
      </c>
      <c r="CA8" s="134">
        <f>SUMIF('Monthly forecast'!$B:$B,$A$8,'Monthly forecast'!CC:CC)</f>
        <v/>
      </c>
      <c r="CB8" s="134">
        <f>SUMIF('Monthly forecast'!$B:$B,$A$8,'Monthly forecast'!CD:CD)</f>
        <v/>
      </c>
      <c r="CC8" s="134">
        <f>SUMIF('Monthly forecast'!$B:$B,$A$8,'Monthly forecast'!CE:CE)</f>
        <v/>
      </c>
      <c r="CD8" s="134">
        <f>SUMIF('Monthly forecast'!$B:$B,$A$8,'Monthly forecast'!CF:CF)</f>
        <v/>
      </c>
      <c r="CE8" s="134">
        <f>SUMIF('Monthly forecast'!$B:$B,$A$8,'Monthly forecast'!CG:CG)</f>
        <v/>
      </c>
      <c r="CF8" s="134">
        <f>SUMIF('Monthly forecast'!$B:$B,$A$8,'Monthly forecast'!CH:CH)</f>
        <v/>
      </c>
      <c r="CG8" s="134">
        <f>SUMIF('Monthly forecast'!$B:$B,$A$8,'Monthly forecast'!CI:CI)</f>
        <v/>
      </c>
      <c r="CH8" s="134">
        <f>SUMIF('Monthly forecast'!$B:$B,$A$8,'Monthly forecast'!CJ:CJ)</f>
        <v/>
      </c>
      <c r="CI8" s="134">
        <f>SUMIF('Monthly forecast'!$B:$B,$A$8,'Monthly forecast'!CK:CK)</f>
        <v/>
      </c>
      <c r="CJ8" s="134">
        <f>SUMIF('Monthly forecast'!$B:$B,$A$8,'Monthly forecast'!CL:CL)</f>
        <v/>
      </c>
      <c r="CK8" s="134">
        <f>SUMIF('Monthly forecast'!$B:$B,$A$8,'Monthly forecast'!CM:CM)</f>
        <v/>
      </c>
      <c r="CL8" s="134">
        <f>SUMIF('Monthly forecast'!$B:$B,$A$8,'Monthly forecast'!CN:CN)</f>
        <v/>
      </c>
      <c r="CM8" s="134">
        <f>SUMIF('Monthly forecast'!$B:$B,$A$8,'Monthly forecast'!CO:CO)</f>
        <v/>
      </c>
      <c r="CN8" s="134">
        <f>SUMIF('Monthly forecast'!$B:$B,$A$8,'Monthly forecast'!CP:CP)</f>
        <v/>
      </c>
      <c r="CO8" s="134">
        <f>SUMIF('Monthly forecast'!$B:$B,$A$8,'Monthly forecast'!CQ:CQ)</f>
        <v/>
      </c>
      <c r="CP8" s="134">
        <f>SUMIF('Monthly forecast'!$B:$B,$A$8,'Monthly forecast'!CR:CR)</f>
        <v/>
      </c>
      <c r="CQ8" s="134">
        <f>SUMIF('Monthly forecast'!$B:$B,$A$8,'Monthly forecast'!CS:CS)</f>
        <v/>
      </c>
      <c r="CR8" s="134">
        <f>SUMIF('Monthly forecast'!$B:$B,$A$8,'Monthly forecast'!CT:CT)</f>
        <v/>
      </c>
      <c r="CS8" s="134">
        <f>SUMIF('Monthly forecast'!$B:$B,$A$8,'Monthly forecast'!CU:CU)</f>
        <v/>
      </c>
      <c r="CT8" s="134">
        <f>SUMIF('Monthly forecast'!$B:$B,$A$8,'Monthly forecast'!CV:CV)</f>
        <v/>
      </c>
      <c r="CU8" s="134">
        <f>SUMIF('Monthly forecast'!$B:$B,$A$8,'Monthly forecast'!CW:CW)</f>
        <v/>
      </c>
      <c r="CV8" s="134">
        <f>SUMIF('Monthly forecast'!$B:$B,$A$8,'Monthly forecast'!CX:CX)</f>
        <v/>
      </c>
    </row>
    <row r="9" ht="15.75" customHeight="1" s="255"/>
    <row r="10" ht="15.75" customHeight="1" s="255"/>
    <row r="11" ht="15.75" customHeight="1" s="255">
      <c r="A11" s="131" t="inlineStr">
        <is>
          <t>Pie chart</t>
        </is>
      </c>
    </row>
    <row r="12" ht="15.75" customHeight="1" s="255"/>
    <row r="13" ht="15.75" customHeight="1" s="255">
      <c r="A13" s="5" t="inlineStr">
        <is>
          <t>Development</t>
        </is>
      </c>
      <c r="B13" s="134">
        <f>SUM(C5:P5)</f>
        <v/>
      </c>
    </row>
    <row r="14" ht="15.75" customHeight="1" s="255">
      <c r="A14" s="5" t="inlineStr">
        <is>
          <t>Marketing</t>
        </is>
      </c>
      <c r="B14" s="134">
        <f>SUM(C6:P6)</f>
        <v/>
      </c>
    </row>
    <row r="15" ht="15.75" customHeight="1" s="255">
      <c r="A15" s="5" t="inlineStr">
        <is>
          <t>Operations</t>
        </is>
      </c>
      <c r="B15" s="134">
        <f>SUM(C7:P7)</f>
        <v/>
      </c>
    </row>
    <row r="16" ht="15.75" customHeight="1" s="255">
      <c r="A16" s="253" t="inlineStr">
        <is>
          <t>Capital Expenditures</t>
        </is>
      </c>
      <c r="B16" s="134">
        <f>SUM(C8:P8)</f>
        <v/>
      </c>
    </row>
    <row r="17" ht="15.75" customHeight="1" s="255"/>
    <row r="18" ht="15.75" customHeight="1" s="255"/>
    <row r="19" ht="15.75" customHeight="1" s="255"/>
    <row r="20" ht="15.75" customHeight="1" s="255"/>
    <row r="21" ht="29.25" customHeight="1" s="255">
      <c r="A21" s="123" t="inlineStr">
        <is>
          <t>Month</t>
        </is>
      </c>
      <c r="B21" s="125">
        <f>EDATE(C21,-1)</f>
        <v/>
      </c>
      <c r="C21" s="126">
        <f>Projections!$B$4</f>
        <v/>
      </c>
      <c r="D21" s="126">
        <f>EDATE(C21,1)</f>
        <v/>
      </c>
      <c r="E21" s="126">
        <f>EDATE(D21,1)</f>
        <v/>
      </c>
      <c r="F21" s="126">
        <f>EDATE(E21,1)</f>
        <v/>
      </c>
      <c r="G21" s="126">
        <f>EDATE(F21,1)</f>
        <v/>
      </c>
      <c r="H21" s="126">
        <f>EDATE(G21,1)</f>
        <v/>
      </c>
      <c r="I21" s="126">
        <f>EDATE(H21,1)</f>
        <v/>
      </c>
      <c r="J21" s="126">
        <f>EDATE(I21,1)</f>
        <v/>
      </c>
      <c r="K21" s="126">
        <f>EDATE(J21,1)</f>
        <v/>
      </c>
      <c r="L21" s="126">
        <f>EDATE(K21,1)</f>
        <v/>
      </c>
      <c r="M21" s="126">
        <f>EDATE(L21,1)</f>
        <v/>
      </c>
      <c r="N21" s="126">
        <f>EDATE(M21,1)</f>
        <v/>
      </c>
      <c r="O21" s="126">
        <f>EDATE(N21,1)</f>
        <v/>
      </c>
      <c r="P21" s="126">
        <f>EDATE(O21,1)</f>
        <v/>
      </c>
      <c r="Q21" s="126">
        <f>EDATE(P21,1)</f>
        <v/>
      </c>
      <c r="R21" s="126">
        <f>EDATE(Q21,1)</f>
        <v/>
      </c>
      <c r="S21" s="126">
        <f>EDATE(R21,1)</f>
        <v/>
      </c>
      <c r="T21" s="126">
        <f>EDATE(S21,1)</f>
        <v/>
      </c>
      <c r="U21" s="126">
        <f>EDATE(T21,1)</f>
        <v/>
      </c>
      <c r="V21" s="126">
        <f>EDATE(U21,1)</f>
        <v/>
      </c>
      <c r="W21" s="126">
        <f>EDATE(V21,1)</f>
        <v/>
      </c>
      <c r="X21" s="126">
        <f>EDATE(W21,1)</f>
        <v/>
      </c>
      <c r="Y21" s="126">
        <f>EDATE(X21,1)</f>
        <v/>
      </c>
      <c r="Z21" s="126">
        <f>EDATE(Y21,1)</f>
        <v/>
      </c>
      <c r="AA21" s="126">
        <f>EDATE(Z21,1)</f>
        <v/>
      </c>
      <c r="AB21" s="126">
        <f>EDATE(AA21,1)</f>
        <v/>
      </c>
      <c r="AC21" s="126">
        <f>EDATE(AB21,1)</f>
        <v/>
      </c>
      <c r="AD21" s="126">
        <f>EDATE(AC21,1)</f>
        <v/>
      </c>
      <c r="AE21" s="126">
        <f>EDATE(AD21,1)</f>
        <v/>
      </c>
      <c r="AF21" s="126">
        <f>EDATE(AE21,1)</f>
        <v/>
      </c>
      <c r="AG21" s="126">
        <f>EDATE(AF21,1)</f>
        <v/>
      </c>
      <c r="AH21" s="126">
        <f>EDATE(AG21,1)</f>
        <v/>
      </c>
      <c r="AI21" s="126">
        <f>EDATE(AH21,1)</f>
        <v/>
      </c>
      <c r="AJ21" s="126">
        <f>EDATE(AI21,1)</f>
        <v/>
      </c>
      <c r="AK21" s="126">
        <f>EDATE(AJ21,1)</f>
        <v/>
      </c>
      <c r="AL21" s="126">
        <f>EDATE(AK21,1)</f>
        <v/>
      </c>
      <c r="AM21" s="126">
        <f>EDATE(AL21,1)</f>
        <v/>
      </c>
      <c r="AN21" s="126">
        <f>EDATE(AM21,1)</f>
        <v/>
      </c>
      <c r="AO21" s="126">
        <f>EDATE(AN21,1)</f>
        <v/>
      </c>
      <c r="AP21" s="126">
        <f>EDATE(AO21,1)</f>
        <v/>
      </c>
      <c r="AQ21" s="126">
        <f>EDATE(AP21,1)</f>
        <v/>
      </c>
      <c r="AR21" s="126">
        <f>EDATE(AQ21,1)</f>
        <v/>
      </c>
      <c r="AS21" s="126">
        <f>EDATE(AR21,1)</f>
        <v/>
      </c>
      <c r="AT21" s="126">
        <f>EDATE(AS21,1)</f>
        <v/>
      </c>
      <c r="AU21" s="126">
        <f>EDATE(AT21,1)</f>
        <v/>
      </c>
      <c r="AV21" s="126">
        <f>EDATE(AU21,1)</f>
        <v/>
      </c>
      <c r="AW21" s="126">
        <f>EDATE(AV21,1)</f>
        <v/>
      </c>
      <c r="AX21" s="126">
        <f>EDATE(AW21,1)</f>
        <v/>
      </c>
      <c r="AY21" s="126">
        <f>EDATE(AX21,1)</f>
        <v/>
      </c>
      <c r="AZ21" s="126">
        <f>EDATE(AY21,1)</f>
        <v/>
      </c>
      <c r="BA21" s="126">
        <f>EDATE(AZ21,1)</f>
        <v/>
      </c>
      <c r="BB21" s="126">
        <f>EDATE(BA21,1)</f>
        <v/>
      </c>
      <c r="BC21" s="126">
        <f>EDATE(BB21,1)</f>
        <v/>
      </c>
      <c r="BD21" s="126">
        <f>EDATE(BC21,1)</f>
        <v/>
      </c>
      <c r="BE21" s="126">
        <f>EDATE(BD21,1)</f>
        <v/>
      </c>
      <c r="BF21" s="126">
        <f>EDATE(BE21,1)</f>
        <v/>
      </c>
      <c r="BG21" s="126">
        <f>EDATE(BF21,1)</f>
        <v/>
      </c>
      <c r="BH21" s="126">
        <f>EDATE(BG21,1)</f>
        <v/>
      </c>
      <c r="BI21" s="126">
        <f>EDATE(BH21,1)</f>
        <v/>
      </c>
      <c r="BJ21" s="126">
        <f>EDATE(BI21,1)</f>
        <v/>
      </c>
      <c r="BK21" s="126">
        <f>EDATE(BJ21,1)</f>
        <v/>
      </c>
      <c r="BL21" s="126">
        <f>EDATE(BK21,1)</f>
        <v/>
      </c>
      <c r="BM21" s="126">
        <f>EDATE(BL21,1)</f>
        <v/>
      </c>
      <c r="BN21" s="126">
        <f>EDATE(BM21,1)</f>
        <v/>
      </c>
      <c r="BO21" s="126">
        <f>EDATE(BN21,1)</f>
        <v/>
      </c>
      <c r="BP21" s="126">
        <f>EDATE(BO21,1)</f>
        <v/>
      </c>
      <c r="BQ21" s="126">
        <f>EDATE(BP21,1)</f>
        <v/>
      </c>
      <c r="BR21" s="126">
        <f>EDATE(BQ21,1)</f>
        <v/>
      </c>
      <c r="BS21" s="126">
        <f>EDATE(BR21,1)</f>
        <v/>
      </c>
      <c r="BT21" s="126">
        <f>EDATE(BS21,1)</f>
        <v/>
      </c>
      <c r="BU21" s="126">
        <f>EDATE(BT21,1)</f>
        <v/>
      </c>
      <c r="BV21" s="126">
        <f>EDATE(BU21,1)</f>
        <v/>
      </c>
      <c r="BW21" s="126">
        <f>EDATE(BV21,1)</f>
        <v/>
      </c>
      <c r="BX21" s="126">
        <f>EDATE(BW21,1)</f>
        <v/>
      </c>
      <c r="BY21" s="126">
        <f>EDATE(BX21,1)</f>
        <v/>
      </c>
      <c r="BZ21" s="126">
        <f>EDATE(BY21,1)</f>
        <v/>
      </c>
      <c r="CA21" s="126">
        <f>EDATE(BZ21,1)</f>
        <v/>
      </c>
      <c r="CB21" s="126">
        <f>EDATE(CA21,1)</f>
        <v/>
      </c>
      <c r="CC21" s="126">
        <f>EDATE(CB21,1)</f>
        <v/>
      </c>
      <c r="CD21" s="126">
        <f>EDATE(CC21,1)</f>
        <v/>
      </c>
      <c r="CE21" s="126">
        <f>EDATE(CD21,1)</f>
        <v/>
      </c>
      <c r="CF21" s="126">
        <f>EDATE(CE21,1)</f>
        <v/>
      </c>
      <c r="CG21" s="126">
        <f>EDATE(CF21,1)</f>
        <v/>
      </c>
      <c r="CH21" s="126">
        <f>EDATE(CG21,1)</f>
        <v/>
      </c>
      <c r="CI21" s="126">
        <f>EDATE(CH21,1)</f>
        <v/>
      </c>
      <c r="CJ21" s="126">
        <f>EDATE(CI21,1)</f>
        <v/>
      </c>
      <c r="CK21" s="126">
        <f>EDATE(CJ21,1)</f>
        <v/>
      </c>
      <c r="CL21" s="126">
        <f>EDATE(CK21,1)</f>
        <v/>
      </c>
      <c r="CM21" s="126">
        <f>EDATE(CL21,1)</f>
        <v/>
      </c>
      <c r="CN21" s="126">
        <f>EDATE(CM21,1)</f>
        <v/>
      </c>
      <c r="CO21" s="126">
        <f>EDATE(CN21,1)</f>
        <v/>
      </c>
      <c r="CP21" s="126">
        <f>EDATE(CO21,1)</f>
        <v/>
      </c>
      <c r="CQ21" s="126">
        <f>EDATE(CP21,1)</f>
        <v/>
      </c>
      <c r="CR21" s="126">
        <f>EDATE(CQ21,1)</f>
        <v/>
      </c>
      <c r="CS21" s="126">
        <f>EDATE(CR21,1)</f>
        <v/>
      </c>
      <c r="CT21" s="126">
        <f>EDATE(CS21,1)</f>
        <v/>
      </c>
      <c r="CU21" s="126">
        <f>EDATE(CT21,1)</f>
        <v/>
      </c>
      <c r="CV21" s="126">
        <f>EDATE(CU21,1)</f>
        <v/>
      </c>
    </row>
    <row r="22" ht="15.75" customHeight="1" s="255">
      <c r="A22" s="134" t="inlineStr">
        <is>
          <t>Revenue</t>
        </is>
      </c>
      <c r="B22" s="134" t="n"/>
      <c r="C22" s="134">
        <f>'Monthly forecast'!E45</f>
        <v/>
      </c>
      <c r="D22" s="134">
        <f>'Monthly forecast'!F45</f>
        <v/>
      </c>
      <c r="E22" s="134">
        <f>'Monthly forecast'!G45</f>
        <v/>
      </c>
      <c r="F22" s="134">
        <f>'Monthly forecast'!H45</f>
        <v/>
      </c>
      <c r="G22" s="134">
        <f>'Monthly forecast'!I45</f>
        <v/>
      </c>
      <c r="H22" s="134">
        <f>'Monthly forecast'!J45</f>
        <v/>
      </c>
      <c r="I22" s="134">
        <f>'Monthly forecast'!K45</f>
        <v/>
      </c>
      <c r="J22" s="134">
        <f>'Monthly forecast'!L45</f>
        <v/>
      </c>
      <c r="K22" s="134">
        <f>'Monthly forecast'!M45</f>
        <v/>
      </c>
      <c r="L22" s="134">
        <f>'Monthly forecast'!N45</f>
        <v/>
      </c>
      <c r="M22" s="134">
        <f>'Monthly forecast'!O45</f>
        <v/>
      </c>
      <c r="N22" s="134">
        <f>'Monthly forecast'!P45</f>
        <v/>
      </c>
      <c r="O22" s="134">
        <f>'Monthly forecast'!Q45</f>
        <v/>
      </c>
      <c r="P22" s="134">
        <f>'Monthly forecast'!R45</f>
        <v/>
      </c>
      <c r="Q22" s="134">
        <f>'Monthly forecast'!S45</f>
        <v/>
      </c>
      <c r="R22" s="134">
        <f>'Monthly forecast'!T45</f>
        <v/>
      </c>
      <c r="S22" s="134">
        <f>'Monthly forecast'!U45</f>
        <v/>
      </c>
      <c r="T22" s="134">
        <f>'Monthly forecast'!V45</f>
        <v/>
      </c>
      <c r="U22" s="134">
        <f>'Monthly forecast'!W45</f>
        <v/>
      </c>
      <c r="V22" s="134">
        <f>'Monthly forecast'!X45</f>
        <v/>
      </c>
      <c r="W22" s="134">
        <f>'Monthly forecast'!Y45</f>
        <v/>
      </c>
      <c r="X22" s="134">
        <f>'Monthly forecast'!Z45</f>
        <v/>
      </c>
      <c r="Y22" s="134">
        <f>'Monthly forecast'!AA45</f>
        <v/>
      </c>
      <c r="Z22" s="134">
        <f>'Monthly forecast'!AB45</f>
        <v/>
      </c>
      <c r="AA22" s="134">
        <f>'Monthly forecast'!AC45</f>
        <v/>
      </c>
      <c r="AB22" s="134">
        <f>'Monthly forecast'!AD45</f>
        <v/>
      </c>
      <c r="AC22" s="134">
        <f>'Monthly forecast'!AE45</f>
        <v/>
      </c>
      <c r="AD22" s="134">
        <f>'Monthly forecast'!AF45</f>
        <v/>
      </c>
      <c r="AE22" s="134">
        <f>'Monthly forecast'!AG45</f>
        <v/>
      </c>
      <c r="AF22" s="134">
        <f>'Monthly forecast'!AH45</f>
        <v/>
      </c>
      <c r="AG22" s="134">
        <f>'Monthly forecast'!AI45</f>
        <v/>
      </c>
      <c r="AH22" s="134">
        <f>'Monthly forecast'!AJ45</f>
        <v/>
      </c>
      <c r="AI22" s="134">
        <f>'Monthly forecast'!AK45</f>
        <v/>
      </c>
      <c r="AJ22" s="134">
        <f>'Monthly forecast'!AL45</f>
        <v/>
      </c>
      <c r="AK22" s="134">
        <f>'Monthly forecast'!AM45</f>
        <v/>
      </c>
      <c r="AL22" s="134">
        <f>'Monthly forecast'!AN45</f>
        <v/>
      </c>
      <c r="AM22" s="134">
        <f>'Monthly forecast'!AO45</f>
        <v/>
      </c>
      <c r="AN22" s="134">
        <f>'Monthly forecast'!AP45</f>
        <v/>
      </c>
      <c r="AO22" s="134">
        <f>'Monthly forecast'!AQ45</f>
        <v/>
      </c>
      <c r="AP22" s="134">
        <f>'Monthly forecast'!AR45</f>
        <v/>
      </c>
      <c r="AQ22" s="134">
        <f>'Monthly forecast'!AS45</f>
        <v/>
      </c>
      <c r="AR22" s="134">
        <f>'Monthly forecast'!AT45</f>
        <v/>
      </c>
      <c r="AS22" s="134">
        <f>'Monthly forecast'!AU45</f>
        <v/>
      </c>
      <c r="AT22" s="134">
        <f>'Monthly forecast'!AV45</f>
        <v/>
      </c>
      <c r="AU22" s="134">
        <f>'Monthly forecast'!AW45</f>
        <v/>
      </c>
      <c r="AV22" s="134">
        <f>'Monthly forecast'!AX45</f>
        <v/>
      </c>
      <c r="AW22" s="134">
        <f>'Monthly forecast'!AY45</f>
        <v/>
      </c>
      <c r="AX22" s="134">
        <f>'Monthly forecast'!AZ45</f>
        <v/>
      </c>
      <c r="AY22" s="134">
        <f>'Monthly forecast'!BA45</f>
        <v/>
      </c>
      <c r="AZ22" s="134">
        <f>'Monthly forecast'!BB45</f>
        <v/>
      </c>
      <c r="BA22" s="134">
        <f>'Monthly forecast'!BC45</f>
        <v/>
      </c>
      <c r="BB22" s="134">
        <f>'Monthly forecast'!BD45</f>
        <v/>
      </c>
      <c r="BC22" s="134">
        <f>'Monthly forecast'!BE45</f>
        <v/>
      </c>
      <c r="BD22" s="134">
        <f>'Monthly forecast'!BF45</f>
        <v/>
      </c>
      <c r="BE22" s="134">
        <f>'Monthly forecast'!BG45</f>
        <v/>
      </c>
      <c r="BF22" s="134">
        <f>'Monthly forecast'!BH45</f>
        <v/>
      </c>
      <c r="BG22" s="134">
        <f>'Monthly forecast'!BI45</f>
        <v/>
      </c>
      <c r="BH22" s="134">
        <f>'Monthly forecast'!BJ45</f>
        <v/>
      </c>
      <c r="BI22" s="134">
        <f>'Monthly forecast'!BK45</f>
        <v/>
      </c>
      <c r="BJ22" s="134">
        <f>'Monthly forecast'!BL45</f>
        <v/>
      </c>
      <c r="BK22" s="134">
        <f>'Monthly forecast'!BM45</f>
        <v/>
      </c>
      <c r="BL22" s="134">
        <f>'Monthly forecast'!BN45</f>
        <v/>
      </c>
      <c r="BM22" s="134">
        <f>'Monthly forecast'!BO45</f>
        <v/>
      </c>
      <c r="BN22" s="134">
        <f>'Monthly forecast'!BP45</f>
        <v/>
      </c>
      <c r="BO22" s="134">
        <f>'Monthly forecast'!BQ45</f>
        <v/>
      </c>
      <c r="BP22" s="134">
        <f>'Monthly forecast'!BR45</f>
        <v/>
      </c>
      <c r="BQ22" s="134">
        <f>'Monthly forecast'!BS45</f>
        <v/>
      </c>
      <c r="BR22" s="134">
        <f>'Monthly forecast'!BT45</f>
        <v/>
      </c>
      <c r="BS22" s="134">
        <f>'Monthly forecast'!BU45</f>
        <v/>
      </c>
      <c r="BT22" s="134">
        <f>'Monthly forecast'!BV45</f>
        <v/>
      </c>
      <c r="BU22" s="134">
        <f>'Monthly forecast'!BW45</f>
        <v/>
      </c>
      <c r="BV22" s="134">
        <f>'Monthly forecast'!BX45</f>
        <v/>
      </c>
      <c r="BW22" s="134">
        <f>'Monthly forecast'!BY45</f>
        <v/>
      </c>
      <c r="BX22" s="134">
        <f>'Monthly forecast'!BZ45</f>
        <v/>
      </c>
      <c r="BY22" s="134">
        <f>'Monthly forecast'!CA45</f>
        <v/>
      </c>
      <c r="BZ22" s="134">
        <f>'Monthly forecast'!CB45</f>
        <v/>
      </c>
      <c r="CA22" s="134">
        <f>'Monthly forecast'!CC45</f>
        <v/>
      </c>
      <c r="CB22" s="134">
        <f>'Monthly forecast'!CD45</f>
        <v/>
      </c>
      <c r="CC22" s="134">
        <f>'Monthly forecast'!CE45</f>
        <v/>
      </c>
      <c r="CD22" s="134">
        <f>'Monthly forecast'!CF45</f>
        <v/>
      </c>
      <c r="CE22" s="134">
        <f>'Monthly forecast'!CG45</f>
        <v/>
      </c>
      <c r="CF22" s="134">
        <f>'Monthly forecast'!CH45</f>
        <v/>
      </c>
      <c r="CG22" s="134">
        <f>'Monthly forecast'!CI45</f>
        <v/>
      </c>
      <c r="CH22" s="134">
        <f>'Monthly forecast'!CJ45</f>
        <v/>
      </c>
      <c r="CI22" s="134">
        <f>'Monthly forecast'!CK45</f>
        <v/>
      </c>
      <c r="CJ22" s="134">
        <f>'Monthly forecast'!CL45</f>
        <v/>
      </c>
      <c r="CK22" s="134">
        <f>'Monthly forecast'!CM45</f>
        <v/>
      </c>
      <c r="CL22" s="134">
        <f>'Monthly forecast'!CN45</f>
        <v/>
      </c>
      <c r="CM22" s="134">
        <f>'Monthly forecast'!CO45</f>
        <v/>
      </c>
      <c r="CN22" s="134">
        <f>'Monthly forecast'!CP45</f>
        <v/>
      </c>
      <c r="CO22" s="134">
        <f>'Monthly forecast'!CQ45</f>
        <v/>
      </c>
      <c r="CP22" s="134">
        <f>'Monthly forecast'!CR45</f>
        <v/>
      </c>
      <c r="CQ22" s="134">
        <f>'Monthly forecast'!CS45</f>
        <v/>
      </c>
      <c r="CR22" s="134">
        <f>'Monthly forecast'!CT45</f>
        <v/>
      </c>
      <c r="CS22" s="134">
        <f>'Monthly forecast'!CU45</f>
        <v/>
      </c>
      <c r="CT22" s="134">
        <f>'Monthly forecast'!CV45</f>
        <v/>
      </c>
      <c r="CU22" s="134">
        <f>'Monthly forecast'!CW45</f>
        <v/>
      </c>
      <c r="CV22" s="134">
        <f>'Monthly forecast'!CX45</f>
        <v/>
      </c>
    </row>
    <row r="23" ht="15.75" customHeight="1" s="255">
      <c r="A23" s="134" t="inlineStr">
        <is>
          <t>COGS</t>
        </is>
      </c>
      <c r="B23" s="134">
        <f>'Monthly forecast'!D47</f>
        <v/>
      </c>
      <c r="C23" s="134">
        <f>-'Monthly forecast'!E47</f>
        <v/>
      </c>
      <c r="D23" s="134">
        <f>-'Monthly forecast'!F47</f>
        <v/>
      </c>
      <c r="E23" s="134">
        <f>-'Monthly forecast'!G47</f>
        <v/>
      </c>
      <c r="F23" s="134">
        <f>-'Monthly forecast'!H47</f>
        <v/>
      </c>
      <c r="G23" s="134">
        <f>-'Monthly forecast'!I47</f>
        <v/>
      </c>
      <c r="H23" s="134">
        <f>-'Monthly forecast'!J47</f>
        <v/>
      </c>
      <c r="I23" s="134">
        <f>-'Monthly forecast'!K47</f>
        <v/>
      </c>
      <c r="J23" s="134">
        <f>-'Monthly forecast'!L47</f>
        <v/>
      </c>
      <c r="K23" s="134">
        <f>-'Monthly forecast'!M47</f>
        <v/>
      </c>
      <c r="L23" s="134">
        <f>-'Monthly forecast'!N47</f>
        <v/>
      </c>
      <c r="M23" s="134">
        <f>-'Monthly forecast'!O47</f>
        <v/>
      </c>
      <c r="N23" s="134">
        <f>-'Monthly forecast'!P47</f>
        <v/>
      </c>
      <c r="O23" s="134">
        <f>-'Monthly forecast'!Q47</f>
        <v/>
      </c>
      <c r="P23" s="134">
        <f>-'Monthly forecast'!R47</f>
        <v/>
      </c>
      <c r="Q23" s="134">
        <f>-'Monthly forecast'!S47</f>
        <v/>
      </c>
      <c r="R23" s="134">
        <f>-'Monthly forecast'!T47</f>
        <v/>
      </c>
      <c r="S23" s="134">
        <f>-'Monthly forecast'!U47</f>
        <v/>
      </c>
      <c r="T23" s="134">
        <f>-'Monthly forecast'!V47</f>
        <v/>
      </c>
      <c r="U23" s="134">
        <f>-'Monthly forecast'!W47</f>
        <v/>
      </c>
      <c r="V23" s="134">
        <f>-'Monthly forecast'!X47</f>
        <v/>
      </c>
      <c r="W23" s="134">
        <f>-'Monthly forecast'!Y47</f>
        <v/>
      </c>
      <c r="X23" s="134">
        <f>-'Monthly forecast'!Z47</f>
        <v/>
      </c>
      <c r="Y23" s="134">
        <f>-'Monthly forecast'!AA47</f>
        <v/>
      </c>
      <c r="Z23" s="134">
        <f>-'Monthly forecast'!AB47</f>
        <v/>
      </c>
      <c r="AA23" s="134">
        <f>-'Monthly forecast'!AC47</f>
        <v/>
      </c>
      <c r="AB23" s="134">
        <f>-'Monthly forecast'!AD47</f>
        <v/>
      </c>
      <c r="AC23" s="134">
        <f>-'Monthly forecast'!AE47</f>
        <v/>
      </c>
      <c r="AD23" s="134">
        <f>-'Monthly forecast'!AF47</f>
        <v/>
      </c>
      <c r="AE23" s="134">
        <f>-'Monthly forecast'!AG47</f>
        <v/>
      </c>
      <c r="AF23" s="134">
        <f>-'Monthly forecast'!AH47</f>
        <v/>
      </c>
      <c r="AG23" s="134">
        <f>-'Monthly forecast'!AI47</f>
        <v/>
      </c>
      <c r="AH23" s="134">
        <f>-'Monthly forecast'!AJ47</f>
        <v/>
      </c>
      <c r="AI23" s="134">
        <f>-'Monthly forecast'!AK47</f>
        <v/>
      </c>
      <c r="AJ23" s="134">
        <f>-'Monthly forecast'!AL47</f>
        <v/>
      </c>
      <c r="AK23" s="134">
        <f>-'Monthly forecast'!AM47</f>
        <v/>
      </c>
      <c r="AL23" s="134">
        <f>-'Monthly forecast'!AN47</f>
        <v/>
      </c>
      <c r="AM23" s="134">
        <f>-'Monthly forecast'!AO47</f>
        <v/>
      </c>
      <c r="AN23" s="134">
        <f>-'Monthly forecast'!AP47</f>
        <v/>
      </c>
      <c r="AO23" s="134">
        <f>-'Monthly forecast'!AQ47</f>
        <v/>
      </c>
      <c r="AP23" s="134">
        <f>-'Monthly forecast'!AR47</f>
        <v/>
      </c>
      <c r="AQ23" s="134">
        <f>-'Monthly forecast'!AS47</f>
        <v/>
      </c>
      <c r="AR23" s="134">
        <f>-'Monthly forecast'!AT47</f>
        <v/>
      </c>
      <c r="AS23" s="134">
        <f>-'Monthly forecast'!AU47</f>
        <v/>
      </c>
      <c r="AT23" s="134">
        <f>-'Monthly forecast'!AV47</f>
        <v/>
      </c>
      <c r="AU23" s="134">
        <f>-'Monthly forecast'!AW47</f>
        <v/>
      </c>
      <c r="AV23" s="134">
        <f>-'Monthly forecast'!AX47</f>
        <v/>
      </c>
      <c r="AW23" s="134">
        <f>-'Monthly forecast'!AY47</f>
        <v/>
      </c>
      <c r="AX23" s="134">
        <f>-'Monthly forecast'!AZ47</f>
        <v/>
      </c>
      <c r="AY23" s="134">
        <f>-'Monthly forecast'!BA47</f>
        <v/>
      </c>
      <c r="AZ23" s="134">
        <f>-'Monthly forecast'!BB47</f>
        <v/>
      </c>
      <c r="BA23" s="134">
        <f>-'Monthly forecast'!BC47</f>
        <v/>
      </c>
      <c r="BB23" s="134">
        <f>-'Monthly forecast'!BD47</f>
        <v/>
      </c>
      <c r="BC23" s="134">
        <f>-'Monthly forecast'!BE47</f>
        <v/>
      </c>
      <c r="BD23" s="134">
        <f>-'Monthly forecast'!BF47</f>
        <v/>
      </c>
      <c r="BE23" s="134">
        <f>-'Monthly forecast'!BG47</f>
        <v/>
      </c>
      <c r="BF23" s="134">
        <f>-'Monthly forecast'!BH47</f>
        <v/>
      </c>
      <c r="BG23" s="134">
        <f>-'Monthly forecast'!BI47</f>
        <v/>
      </c>
      <c r="BH23" s="134">
        <f>-'Monthly forecast'!BJ47</f>
        <v/>
      </c>
      <c r="BI23" s="134">
        <f>-'Monthly forecast'!BK47</f>
        <v/>
      </c>
      <c r="BJ23" s="134">
        <f>-'Monthly forecast'!BL47</f>
        <v/>
      </c>
      <c r="BK23" s="134">
        <f>-'Monthly forecast'!BM47</f>
        <v/>
      </c>
      <c r="BL23" s="134">
        <f>-'Monthly forecast'!BN47</f>
        <v/>
      </c>
      <c r="BM23" s="134">
        <f>-'Monthly forecast'!BO47</f>
        <v/>
      </c>
      <c r="BN23" s="134">
        <f>-'Monthly forecast'!BP47</f>
        <v/>
      </c>
      <c r="BO23" s="134">
        <f>-'Monthly forecast'!BQ47</f>
        <v/>
      </c>
      <c r="BP23" s="134">
        <f>-'Monthly forecast'!BR47</f>
        <v/>
      </c>
      <c r="BQ23" s="134">
        <f>-'Monthly forecast'!BS47</f>
        <v/>
      </c>
      <c r="BR23" s="134">
        <f>-'Monthly forecast'!BT47</f>
        <v/>
      </c>
      <c r="BS23" s="134">
        <f>-'Monthly forecast'!BU47</f>
        <v/>
      </c>
      <c r="BT23" s="134">
        <f>-'Monthly forecast'!BV47</f>
        <v/>
      </c>
      <c r="BU23" s="134">
        <f>-'Monthly forecast'!BW47</f>
        <v/>
      </c>
      <c r="BV23" s="134">
        <f>-'Monthly forecast'!BX47</f>
        <v/>
      </c>
      <c r="BW23" s="134">
        <f>-'Monthly forecast'!BY47</f>
        <v/>
      </c>
      <c r="BX23" s="134">
        <f>-'Monthly forecast'!BZ47</f>
        <v/>
      </c>
      <c r="BY23" s="134">
        <f>-'Monthly forecast'!CA47</f>
        <v/>
      </c>
      <c r="BZ23" s="134">
        <f>-'Monthly forecast'!CB47</f>
        <v/>
      </c>
      <c r="CA23" s="134">
        <f>-'Monthly forecast'!CC47</f>
        <v/>
      </c>
      <c r="CB23" s="134">
        <f>-'Monthly forecast'!CD47</f>
        <v/>
      </c>
      <c r="CC23" s="134">
        <f>-'Monthly forecast'!CE47</f>
        <v/>
      </c>
      <c r="CD23" s="134">
        <f>-'Monthly forecast'!CF47</f>
        <v/>
      </c>
      <c r="CE23" s="134">
        <f>-'Monthly forecast'!CG47</f>
        <v/>
      </c>
      <c r="CF23" s="134">
        <f>-'Monthly forecast'!CH47</f>
        <v/>
      </c>
      <c r="CG23" s="134">
        <f>-'Monthly forecast'!CI47</f>
        <v/>
      </c>
      <c r="CH23" s="134">
        <f>-'Monthly forecast'!CJ47</f>
        <v/>
      </c>
      <c r="CI23" s="134">
        <f>-'Monthly forecast'!CK47</f>
        <v/>
      </c>
      <c r="CJ23" s="134">
        <f>-'Monthly forecast'!CL47</f>
        <v/>
      </c>
      <c r="CK23" s="134">
        <f>-'Monthly forecast'!CM47</f>
        <v/>
      </c>
      <c r="CL23" s="134">
        <f>-'Monthly forecast'!CN47</f>
        <v/>
      </c>
      <c r="CM23" s="134">
        <f>-'Monthly forecast'!CO47</f>
        <v/>
      </c>
      <c r="CN23" s="134">
        <f>-'Monthly forecast'!CP47</f>
        <v/>
      </c>
      <c r="CO23" s="134">
        <f>-'Monthly forecast'!CQ47</f>
        <v/>
      </c>
      <c r="CP23" s="134">
        <f>-'Monthly forecast'!CR47</f>
        <v/>
      </c>
      <c r="CQ23" s="134">
        <f>-'Monthly forecast'!CS47</f>
        <v/>
      </c>
      <c r="CR23" s="134">
        <f>-'Monthly forecast'!CT47</f>
        <v/>
      </c>
      <c r="CS23" s="134">
        <f>-'Monthly forecast'!CU47</f>
        <v/>
      </c>
      <c r="CT23" s="134">
        <f>-'Monthly forecast'!CV47</f>
        <v/>
      </c>
      <c r="CU23" s="134">
        <f>-'Monthly forecast'!CW47</f>
        <v/>
      </c>
      <c r="CV23" s="134">
        <f>-'Monthly forecast'!CX47</f>
        <v/>
      </c>
    </row>
    <row r="24" ht="15.75" customHeight="1" s="255">
      <c r="A24" s="134" t="inlineStr">
        <is>
          <t>SG&amp;A</t>
        </is>
      </c>
      <c r="B24" s="134">
        <f>'Monthly forecast'!D53</f>
        <v/>
      </c>
      <c r="C24" s="134">
        <f>-'Monthly forecast'!E53</f>
        <v/>
      </c>
      <c r="D24" s="134">
        <f>-'Monthly forecast'!F53</f>
        <v/>
      </c>
      <c r="E24" s="134">
        <f>-'Monthly forecast'!G53</f>
        <v/>
      </c>
      <c r="F24" s="134">
        <f>-'Monthly forecast'!H53</f>
        <v/>
      </c>
      <c r="G24" s="134">
        <f>-'Monthly forecast'!I53</f>
        <v/>
      </c>
      <c r="H24" s="134">
        <f>-'Monthly forecast'!J53</f>
        <v/>
      </c>
      <c r="I24" s="134">
        <f>-'Monthly forecast'!K53</f>
        <v/>
      </c>
      <c r="J24" s="134">
        <f>-'Monthly forecast'!L53</f>
        <v/>
      </c>
      <c r="K24" s="134">
        <f>-'Monthly forecast'!M53</f>
        <v/>
      </c>
      <c r="L24" s="134">
        <f>-'Monthly forecast'!N53</f>
        <v/>
      </c>
      <c r="M24" s="134">
        <f>-'Monthly forecast'!O53</f>
        <v/>
      </c>
      <c r="N24" s="134">
        <f>-'Monthly forecast'!P53</f>
        <v/>
      </c>
      <c r="O24" s="134">
        <f>-'Monthly forecast'!Q53</f>
        <v/>
      </c>
      <c r="P24" s="134">
        <f>-'Monthly forecast'!R53</f>
        <v/>
      </c>
      <c r="Q24" s="134">
        <f>-'Monthly forecast'!S53</f>
        <v/>
      </c>
      <c r="R24" s="134">
        <f>-'Monthly forecast'!T53</f>
        <v/>
      </c>
      <c r="S24" s="134">
        <f>-'Monthly forecast'!U53</f>
        <v/>
      </c>
      <c r="T24" s="134">
        <f>-'Monthly forecast'!V53</f>
        <v/>
      </c>
      <c r="U24" s="134">
        <f>-'Monthly forecast'!W53</f>
        <v/>
      </c>
      <c r="V24" s="134">
        <f>-'Monthly forecast'!X53</f>
        <v/>
      </c>
      <c r="W24" s="134">
        <f>-'Monthly forecast'!Y53</f>
        <v/>
      </c>
      <c r="X24" s="134">
        <f>-'Monthly forecast'!Z53</f>
        <v/>
      </c>
      <c r="Y24" s="134">
        <f>-'Monthly forecast'!AA53</f>
        <v/>
      </c>
      <c r="Z24" s="134">
        <f>-'Monthly forecast'!AB53</f>
        <v/>
      </c>
      <c r="AA24" s="134">
        <f>-'Monthly forecast'!AC53</f>
        <v/>
      </c>
      <c r="AB24" s="134">
        <f>-'Monthly forecast'!AD53</f>
        <v/>
      </c>
      <c r="AC24" s="134">
        <f>-'Monthly forecast'!AE53</f>
        <v/>
      </c>
      <c r="AD24" s="134">
        <f>-'Monthly forecast'!AF53</f>
        <v/>
      </c>
      <c r="AE24" s="134">
        <f>-'Monthly forecast'!AG53</f>
        <v/>
      </c>
      <c r="AF24" s="134">
        <f>-'Monthly forecast'!AH53</f>
        <v/>
      </c>
      <c r="AG24" s="134">
        <f>-'Monthly forecast'!AI53</f>
        <v/>
      </c>
      <c r="AH24" s="134">
        <f>-'Monthly forecast'!AJ53</f>
        <v/>
      </c>
      <c r="AI24" s="134">
        <f>-'Monthly forecast'!AK53</f>
        <v/>
      </c>
      <c r="AJ24" s="134">
        <f>-'Monthly forecast'!AL53</f>
        <v/>
      </c>
      <c r="AK24" s="134">
        <f>-'Monthly forecast'!AM53</f>
        <v/>
      </c>
      <c r="AL24" s="134">
        <f>-'Monthly forecast'!AN53</f>
        <v/>
      </c>
      <c r="AM24" s="134">
        <f>-'Monthly forecast'!AO53</f>
        <v/>
      </c>
      <c r="AN24" s="134">
        <f>-'Monthly forecast'!AP53</f>
        <v/>
      </c>
      <c r="AO24" s="134">
        <f>-'Monthly forecast'!AQ53</f>
        <v/>
      </c>
      <c r="AP24" s="134">
        <f>-'Monthly forecast'!AR53</f>
        <v/>
      </c>
      <c r="AQ24" s="134">
        <f>-'Monthly forecast'!AS53</f>
        <v/>
      </c>
      <c r="AR24" s="134">
        <f>-'Monthly forecast'!AT53</f>
        <v/>
      </c>
      <c r="AS24" s="134">
        <f>-'Monthly forecast'!AU53</f>
        <v/>
      </c>
      <c r="AT24" s="134">
        <f>-'Monthly forecast'!AV53</f>
        <v/>
      </c>
      <c r="AU24" s="134">
        <f>-'Monthly forecast'!AW53</f>
        <v/>
      </c>
      <c r="AV24" s="134">
        <f>-'Monthly forecast'!AX53</f>
        <v/>
      </c>
      <c r="AW24" s="134">
        <f>-'Monthly forecast'!AY53</f>
        <v/>
      </c>
      <c r="AX24" s="134">
        <f>-'Monthly forecast'!AZ53</f>
        <v/>
      </c>
      <c r="AY24" s="134">
        <f>-'Monthly forecast'!BA53</f>
        <v/>
      </c>
      <c r="AZ24" s="134">
        <f>-'Monthly forecast'!BB53</f>
        <v/>
      </c>
      <c r="BA24" s="134">
        <f>-'Monthly forecast'!BC53</f>
        <v/>
      </c>
      <c r="BB24" s="134">
        <f>-'Monthly forecast'!BD53</f>
        <v/>
      </c>
      <c r="BC24" s="134">
        <f>-'Monthly forecast'!BE53</f>
        <v/>
      </c>
      <c r="BD24" s="134">
        <f>-'Monthly forecast'!BF53</f>
        <v/>
      </c>
      <c r="BE24" s="134">
        <f>-'Monthly forecast'!BG53</f>
        <v/>
      </c>
      <c r="BF24" s="134">
        <f>-'Monthly forecast'!BH53</f>
        <v/>
      </c>
      <c r="BG24" s="134">
        <f>-'Monthly forecast'!BI53</f>
        <v/>
      </c>
      <c r="BH24" s="134">
        <f>-'Monthly forecast'!BJ53</f>
        <v/>
      </c>
      <c r="BI24" s="134">
        <f>-'Monthly forecast'!BK53</f>
        <v/>
      </c>
      <c r="BJ24" s="134">
        <f>-'Monthly forecast'!BL53</f>
        <v/>
      </c>
      <c r="BK24" s="134">
        <f>-'Monthly forecast'!BM53</f>
        <v/>
      </c>
      <c r="BL24" s="134">
        <f>-'Monthly forecast'!BN53</f>
        <v/>
      </c>
      <c r="BM24" s="134">
        <f>-'Monthly forecast'!BO53</f>
        <v/>
      </c>
      <c r="BN24" s="134">
        <f>-'Monthly forecast'!BP53</f>
        <v/>
      </c>
      <c r="BO24" s="134">
        <f>-'Monthly forecast'!BQ53</f>
        <v/>
      </c>
      <c r="BP24" s="134">
        <f>-'Monthly forecast'!BR53</f>
        <v/>
      </c>
      <c r="BQ24" s="134">
        <f>-'Monthly forecast'!BS53</f>
        <v/>
      </c>
      <c r="BR24" s="134">
        <f>-'Monthly forecast'!BT53</f>
        <v/>
      </c>
      <c r="BS24" s="134">
        <f>-'Monthly forecast'!BU53</f>
        <v/>
      </c>
      <c r="BT24" s="134">
        <f>-'Monthly forecast'!BV53</f>
        <v/>
      </c>
      <c r="BU24" s="134">
        <f>-'Monthly forecast'!BW53</f>
        <v/>
      </c>
      <c r="BV24" s="134">
        <f>-'Monthly forecast'!BX53</f>
        <v/>
      </c>
      <c r="BW24" s="134">
        <f>-'Monthly forecast'!BY53</f>
        <v/>
      </c>
      <c r="BX24" s="134">
        <f>-'Monthly forecast'!BZ53</f>
        <v/>
      </c>
      <c r="BY24" s="134">
        <f>-'Monthly forecast'!CA53</f>
        <v/>
      </c>
      <c r="BZ24" s="134">
        <f>-'Monthly forecast'!CB53</f>
        <v/>
      </c>
      <c r="CA24" s="134">
        <f>-'Monthly forecast'!CC53</f>
        <v/>
      </c>
      <c r="CB24" s="134">
        <f>-'Monthly forecast'!CD53</f>
        <v/>
      </c>
      <c r="CC24" s="134">
        <f>-'Monthly forecast'!CE53</f>
        <v/>
      </c>
      <c r="CD24" s="134">
        <f>-'Monthly forecast'!CF53</f>
        <v/>
      </c>
      <c r="CE24" s="134">
        <f>-'Monthly forecast'!CG53</f>
        <v/>
      </c>
      <c r="CF24" s="134">
        <f>-'Monthly forecast'!CH53</f>
        <v/>
      </c>
      <c r="CG24" s="134">
        <f>-'Monthly forecast'!CI53</f>
        <v/>
      </c>
      <c r="CH24" s="134">
        <f>-'Monthly forecast'!CJ53</f>
        <v/>
      </c>
      <c r="CI24" s="134">
        <f>-'Monthly forecast'!CK53</f>
        <v/>
      </c>
      <c r="CJ24" s="134">
        <f>-'Monthly forecast'!CL53</f>
        <v/>
      </c>
      <c r="CK24" s="134">
        <f>-'Monthly forecast'!CM53</f>
        <v/>
      </c>
      <c r="CL24" s="134">
        <f>-'Monthly forecast'!CN53</f>
        <v/>
      </c>
      <c r="CM24" s="134">
        <f>-'Monthly forecast'!CO53</f>
        <v/>
      </c>
      <c r="CN24" s="134">
        <f>-'Monthly forecast'!CP53</f>
        <v/>
      </c>
      <c r="CO24" s="134">
        <f>-'Monthly forecast'!CQ53</f>
        <v/>
      </c>
      <c r="CP24" s="134">
        <f>-'Monthly forecast'!CR53</f>
        <v/>
      </c>
      <c r="CQ24" s="134">
        <f>-'Monthly forecast'!CS53</f>
        <v/>
      </c>
      <c r="CR24" s="134">
        <f>-'Monthly forecast'!CT53</f>
        <v/>
      </c>
      <c r="CS24" s="134">
        <f>-'Monthly forecast'!CU53</f>
        <v/>
      </c>
      <c r="CT24" s="134">
        <f>-'Monthly forecast'!CV53</f>
        <v/>
      </c>
      <c r="CU24" s="134">
        <f>-'Monthly forecast'!CW53</f>
        <v/>
      </c>
      <c r="CV24" s="134">
        <f>-'Monthly forecast'!CX53</f>
        <v/>
      </c>
    </row>
    <row r="25" ht="15.75" customHeight="1" s="255">
      <c r="A25" s="134" t="inlineStr">
        <is>
          <t>CAPEX</t>
        </is>
      </c>
      <c r="B25" s="134">
        <f>'Monthly forecast'!D160</f>
        <v/>
      </c>
      <c r="C25" s="134">
        <f>-'Monthly forecast'!E160</f>
        <v/>
      </c>
      <c r="D25" s="134">
        <f>-'Monthly forecast'!F160</f>
        <v/>
      </c>
      <c r="E25" s="134">
        <f>-'Monthly forecast'!G160</f>
        <v/>
      </c>
      <c r="F25" s="134">
        <f>-'Monthly forecast'!H160</f>
        <v/>
      </c>
      <c r="G25" s="134">
        <f>-'Monthly forecast'!I160</f>
        <v/>
      </c>
      <c r="H25" s="134">
        <f>-'Monthly forecast'!J160</f>
        <v/>
      </c>
      <c r="I25" s="134">
        <f>-'Monthly forecast'!K160</f>
        <v/>
      </c>
      <c r="J25" s="134">
        <f>-'Monthly forecast'!L160</f>
        <v/>
      </c>
      <c r="K25" s="134">
        <f>-'Monthly forecast'!M160</f>
        <v/>
      </c>
      <c r="L25" s="134">
        <f>-'Monthly forecast'!N160</f>
        <v/>
      </c>
      <c r="M25" s="134">
        <f>-'Monthly forecast'!O160</f>
        <v/>
      </c>
      <c r="N25" s="134">
        <f>-'Monthly forecast'!P160</f>
        <v/>
      </c>
      <c r="O25" s="134">
        <f>-'Monthly forecast'!Q160</f>
        <v/>
      </c>
      <c r="P25" s="134">
        <f>-'Monthly forecast'!R160</f>
        <v/>
      </c>
      <c r="Q25" s="134">
        <f>-'Monthly forecast'!S160</f>
        <v/>
      </c>
      <c r="R25" s="134">
        <f>-'Monthly forecast'!T160</f>
        <v/>
      </c>
      <c r="S25" s="134">
        <f>-'Monthly forecast'!U160</f>
        <v/>
      </c>
      <c r="T25" s="134">
        <f>-'Monthly forecast'!V160</f>
        <v/>
      </c>
      <c r="U25" s="134">
        <f>-'Monthly forecast'!W160</f>
        <v/>
      </c>
      <c r="V25" s="134">
        <f>-'Monthly forecast'!X160</f>
        <v/>
      </c>
      <c r="W25" s="134">
        <f>-'Monthly forecast'!Y160</f>
        <v/>
      </c>
      <c r="X25" s="134">
        <f>-'Monthly forecast'!Z160</f>
        <v/>
      </c>
      <c r="Y25" s="134">
        <f>-'Monthly forecast'!AA160</f>
        <v/>
      </c>
      <c r="Z25" s="134">
        <f>-'Monthly forecast'!AB160</f>
        <v/>
      </c>
      <c r="AA25" s="134">
        <f>-'Monthly forecast'!AC160</f>
        <v/>
      </c>
      <c r="AB25" s="134">
        <f>-'Monthly forecast'!AD160</f>
        <v/>
      </c>
      <c r="AC25" s="134">
        <f>-'Monthly forecast'!AE160</f>
        <v/>
      </c>
      <c r="AD25" s="134">
        <f>-'Monthly forecast'!AF160</f>
        <v/>
      </c>
      <c r="AE25" s="134">
        <f>-'Monthly forecast'!AG160</f>
        <v/>
      </c>
      <c r="AF25" s="134">
        <f>-'Monthly forecast'!AH160</f>
        <v/>
      </c>
      <c r="AG25" s="134">
        <f>-'Monthly forecast'!AI160</f>
        <v/>
      </c>
      <c r="AH25" s="134">
        <f>-'Monthly forecast'!AJ160</f>
        <v/>
      </c>
      <c r="AI25" s="134">
        <f>-'Monthly forecast'!AK160</f>
        <v/>
      </c>
      <c r="AJ25" s="134">
        <f>-'Monthly forecast'!AL160</f>
        <v/>
      </c>
      <c r="AK25" s="134">
        <f>-'Monthly forecast'!AM160</f>
        <v/>
      </c>
      <c r="AL25" s="134">
        <f>-'Monthly forecast'!AN160</f>
        <v/>
      </c>
      <c r="AM25" s="134">
        <f>-'Monthly forecast'!AO160</f>
        <v/>
      </c>
      <c r="AN25" s="134">
        <f>-'Monthly forecast'!AP160</f>
        <v/>
      </c>
      <c r="AO25" s="134">
        <f>-'Monthly forecast'!AQ160</f>
        <v/>
      </c>
      <c r="AP25" s="134">
        <f>-'Monthly forecast'!AR160</f>
        <v/>
      </c>
      <c r="AQ25" s="134">
        <f>-'Monthly forecast'!AS160</f>
        <v/>
      </c>
      <c r="AR25" s="134">
        <f>-'Monthly forecast'!AT160</f>
        <v/>
      </c>
      <c r="AS25" s="134">
        <f>-'Monthly forecast'!AU160</f>
        <v/>
      </c>
      <c r="AT25" s="134">
        <f>-'Monthly forecast'!AV160</f>
        <v/>
      </c>
      <c r="AU25" s="134">
        <f>-'Monthly forecast'!AW160</f>
        <v/>
      </c>
      <c r="AV25" s="134">
        <f>-'Monthly forecast'!AX160</f>
        <v/>
      </c>
      <c r="AW25" s="134">
        <f>-'Monthly forecast'!AY160</f>
        <v/>
      </c>
      <c r="AX25" s="134">
        <f>-'Monthly forecast'!AZ160</f>
        <v/>
      </c>
      <c r="AY25" s="134">
        <f>-'Monthly forecast'!BA160</f>
        <v/>
      </c>
      <c r="AZ25" s="134">
        <f>-'Monthly forecast'!BB160</f>
        <v/>
      </c>
      <c r="BA25" s="134">
        <f>-'Monthly forecast'!BC160</f>
        <v/>
      </c>
      <c r="BB25" s="134">
        <f>-'Monthly forecast'!BD160</f>
        <v/>
      </c>
      <c r="BC25" s="134">
        <f>-'Monthly forecast'!BE160</f>
        <v/>
      </c>
      <c r="BD25" s="134">
        <f>-'Monthly forecast'!BF160</f>
        <v/>
      </c>
      <c r="BE25" s="134">
        <f>-'Monthly forecast'!BG160</f>
        <v/>
      </c>
      <c r="BF25" s="134">
        <f>-'Monthly forecast'!BH160</f>
        <v/>
      </c>
      <c r="BG25" s="134">
        <f>-'Monthly forecast'!BI160</f>
        <v/>
      </c>
      <c r="BH25" s="134">
        <f>-'Monthly forecast'!BJ160</f>
        <v/>
      </c>
      <c r="BI25" s="134">
        <f>-'Monthly forecast'!BK160</f>
        <v/>
      </c>
      <c r="BJ25" s="134">
        <f>-'Monthly forecast'!BL160</f>
        <v/>
      </c>
      <c r="BK25" s="134">
        <f>-'Monthly forecast'!BM160</f>
        <v/>
      </c>
      <c r="BL25" s="134">
        <f>-'Monthly forecast'!BN160</f>
        <v/>
      </c>
      <c r="BM25" s="134">
        <f>-'Monthly forecast'!BO160</f>
        <v/>
      </c>
      <c r="BN25" s="134">
        <f>-'Monthly forecast'!BP160</f>
        <v/>
      </c>
      <c r="BO25" s="134">
        <f>-'Monthly forecast'!BQ160</f>
        <v/>
      </c>
      <c r="BP25" s="134">
        <f>-'Monthly forecast'!BR160</f>
        <v/>
      </c>
      <c r="BQ25" s="134">
        <f>-'Monthly forecast'!BS160</f>
        <v/>
      </c>
      <c r="BR25" s="134">
        <f>-'Monthly forecast'!BT160</f>
        <v/>
      </c>
      <c r="BS25" s="134">
        <f>-'Monthly forecast'!BU160</f>
        <v/>
      </c>
      <c r="BT25" s="134">
        <f>-'Monthly forecast'!BV160</f>
        <v/>
      </c>
      <c r="BU25" s="134">
        <f>-'Monthly forecast'!BW160</f>
        <v/>
      </c>
      <c r="BV25" s="134">
        <f>-'Monthly forecast'!BX160</f>
        <v/>
      </c>
      <c r="BW25" s="134">
        <f>-'Monthly forecast'!BY160</f>
        <v/>
      </c>
      <c r="BX25" s="134">
        <f>-'Monthly forecast'!BZ160</f>
        <v/>
      </c>
      <c r="BY25" s="134">
        <f>-'Monthly forecast'!CA160</f>
        <v/>
      </c>
      <c r="BZ25" s="134">
        <f>-'Monthly forecast'!CB160</f>
        <v/>
      </c>
      <c r="CA25" s="134">
        <f>-'Monthly forecast'!CC160</f>
        <v/>
      </c>
      <c r="CB25" s="134">
        <f>-'Monthly forecast'!CD160</f>
        <v/>
      </c>
      <c r="CC25" s="134">
        <f>-'Monthly forecast'!CE160</f>
        <v/>
      </c>
      <c r="CD25" s="134">
        <f>-'Monthly forecast'!CF160</f>
        <v/>
      </c>
      <c r="CE25" s="134">
        <f>-'Monthly forecast'!CG160</f>
        <v/>
      </c>
      <c r="CF25" s="134">
        <f>-'Monthly forecast'!CH160</f>
        <v/>
      </c>
      <c r="CG25" s="134">
        <f>-'Monthly forecast'!CI160</f>
        <v/>
      </c>
      <c r="CH25" s="134">
        <f>-'Monthly forecast'!CJ160</f>
        <v/>
      </c>
      <c r="CI25" s="134">
        <f>-'Monthly forecast'!CK160</f>
        <v/>
      </c>
      <c r="CJ25" s="134">
        <f>-'Monthly forecast'!CL160</f>
        <v/>
      </c>
      <c r="CK25" s="134">
        <f>-'Monthly forecast'!CM160</f>
        <v/>
      </c>
      <c r="CL25" s="134">
        <f>-'Monthly forecast'!CN160</f>
        <v/>
      </c>
      <c r="CM25" s="134">
        <f>-'Monthly forecast'!CO160</f>
        <v/>
      </c>
      <c r="CN25" s="134">
        <f>-'Monthly forecast'!CP160</f>
        <v/>
      </c>
      <c r="CO25" s="134">
        <f>-'Monthly forecast'!CQ160</f>
        <v/>
      </c>
      <c r="CP25" s="134">
        <f>-'Monthly forecast'!CR160</f>
        <v/>
      </c>
      <c r="CQ25" s="134">
        <f>-'Monthly forecast'!CS160</f>
        <v/>
      </c>
      <c r="CR25" s="134">
        <f>-'Monthly forecast'!CT160</f>
        <v/>
      </c>
      <c r="CS25" s="134">
        <f>-'Monthly forecast'!CU160</f>
        <v/>
      </c>
      <c r="CT25" s="134">
        <f>-'Monthly forecast'!CV160</f>
        <v/>
      </c>
      <c r="CU25" s="134">
        <f>-'Monthly forecast'!CW160</f>
        <v/>
      </c>
      <c r="CV25" s="134">
        <f>-'Monthly forecast'!CX160</f>
        <v/>
      </c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29.25" customHeight="1" s="255">
      <c r="A47" s="123" t="inlineStr">
        <is>
          <t>Month</t>
        </is>
      </c>
      <c r="B47" s="125">
        <f>EDATE(C47,-1)</f>
        <v/>
      </c>
      <c r="C47" s="126">
        <f>Projections!$B$4</f>
        <v/>
      </c>
      <c r="D47" s="126">
        <f>EDATE(C47,1)</f>
        <v/>
      </c>
      <c r="E47" s="126">
        <f>EDATE(D47,1)</f>
        <v/>
      </c>
      <c r="F47" s="126">
        <f>EDATE(E47,1)</f>
        <v/>
      </c>
      <c r="G47" s="126">
        <f>EDATE(F47,1)</f>
        <v/>
      </c>
      <c r="H47" s="126">
        <f>EDATE(G47,1)</f>
        <v/>
      </c>
      <c r="I47" s="126">
        <f>EDATE(H47,1)</f>
        <v/>
      </c>
      <c r="J47" s="126">
        <f>EDATE(I47,1)</f>
        <v/>
      </c>
      <c r="K47" s="126">
        <f>EDATE(J47,1)</f>
        <v/>
      </c>
      <c r="L47" s="126">
        <f>EDATE(K47,1)</f>
        <v/>
      </c>
      <c r="M47" s="126">
        <f>EDATE(L47,1)</f>
        <v/>
      </c>
      <c r="N47" s="126">
        <f>EDATE(M47,1)</f>
        <v/>
      </c>
      <c r="O47" s="126">
        <f>EDATE(N47,1)</f>
        <v/>
      </c>
      <c r="P47" s="126">
        <f>EDATE(O47,1)</f>
        <v/>
      </c>
      <c r="Q47" s="126">
        <f>EDATE(P47,1)</f>
        <v/>
      </c>
      <c r="R47" s="126">
        <f>EDATE(Q47,1)</f>
        <v/>
      </c>
      <c r="S47" s="126">
        <f>EDATE(R47,1)</f>
        <v/>
      </c>
      <c r="T47" s="126">
        <f>EDATE(S47,1)</f>
        <v/>
      </c>
      <c r="U47" s="126">
        <f>EDATE(T47,1)</f>
        <v/>
      </c>
      <c r="V47" s="126">
        <f>EDATE(U47,1)</f>
        <v/>
      </c>
      <c r="W47" s="126">
        <f>EDATE(V47,1)</f>
        <v/>
      </c>
      <c r="X47" s="126">
        <f>EDATE(W47,1)</f>
        <v/>
      </c>
      <c r="Y47" s="126">
        <f>EDATE(X47,1)</f>
        <v/>
      </c>
      <c r="Z47" s="126">
        <f>EDATE(Y47,1)</f>
        <v/>
      </c>
      <c r="AA47" s="126">
        <f>EDATE(Z47,1)</f>
        <v/>
      </c>
      <c r="AB47" s="126">
        <f>EDATE(AA47,1)</f>
        <v/>
      </c>
      <c r="AC47" s="126">
        <f>EDATE(AB47,1)</f>
        <v/>
      </c>
      <c r="AD47" s="126">
        <f>EDATE(AC47,1)</f>
        <v/>
      </c>
      <c r="AE47" s="126">
        <f>EDATE(AD47,1)</f>
        <v/>
      </c>
      <c r="AF47" s="126">
        <f>EDATE(AE47,1)</f>
        <v/>
      </c>
      <c r="AG47" s="126">
        <f>EDATE(AF47,1)</f>
        <v/>
      </c>
      <c r="AH47" s="126">
        <f>EDATE(AG47,1)</f>
        <v/>
      </c>
      <c r="AI47" s="126">
        <f>EDATE(AH47,1)</f>
        <v/>
      </c>
      <c r="AJ47" s="126">
        <f>EDATE(AI47,1)</f>
        <v/>
      </c>
      <c r="AK47" s="126">
        <f>EDATE(AJ47,1)</f>
        <v/>
      </c>
      <c r="AL47" s="126">
        <f>EDATE(AK47,1)</f>
        <v/>
      </c>
      <c r="AM47" s="126">
        <f>EDATE(AL47,1)</f>
        <v/>
      </c>
      <c r="AN47" s="126">
        <f>EDATE(AM47,1)</f>
        <v/>
      </c>
      <c r="AO47" s="126">
        <f>EDATE(AN47,1)</f>
        <v/>
      </c>
      <c r="AP47" s="126">
        <f>EDATE(AO47,1)</f>
        <v/>
      </c>
      <c r="AQ47" s="126">
        <f>EDATE(AP47,1)</f>
        <v/>
      </c>
      <c r="AR47" s="126">
        <f>EDATE(AQ47,1)</f>
        <v/>
      </c>
      <c r="AS47" s="126">
        <f>EDATE(AR47,1)</f>
        <v/>
      </c>
      <c r="AT47" s="126">
        <f>EDATE(AS47,1)</f>
        <v/>
      </c>
      <c r="AU47" s="126">
        <f>EDATE(AT47,1)</f>
        <v/>
      </c>
      <c r="AV47" s="126">
        <f>EDATE(AU47,1)</f>
        <v/>
      </c>
      <c r="AW47" s="126">
        <f>EDATE(AV47,1)</f>
        <v/>
      </c>
      <c r="AX47" s="126">
        <f>EDATE(AW47,1)</f>
        <v/>
      </c>
      <c r="AY47" s="126">
        <f>EDATE(AX47,1)</f>
        <v/>
      </c>
      <c r="AZ47" s="126">
        <f>EDATE(AY47,1)</f>
        <v/>
      </c>
      <c r="BA47" s="126">
        <f>EDATE(AZ47,1)</f>
        <v/>
      </c>
      <c r="BB47" s="126">
        <f>EDATE(BA47,1)</f>
        <v/>
      </c>
      <c r="BC47" s="126">
        <f>EDATE(BB47,1)</f>
        <v/>
      </c>
      <c r="BD47" s="126">
        <f>EDATE(BC47,1)</f>
        <v/>
      </c>
      <c r="BE47" s="126">
        <f>EDATE(BD47,1)</f>
        <v/>
      </c>
      <c r="BF47" s="126">
        <f>EDATE(BE47,1)</f>
        <v/>
      </c>
      <c r="BG47" s="126">
        <f>EDATE(BF47,1)</f>
        <v/>
      </c>
      <c r="BH47" s="126">
        <f>EDATE(BG47,1)</f>
        <v/>
      </c>
      <c r="BI47" s="126">
        <f>EDATE(BH47,1)</f>
        <v/>
      </c>
      <c r="BJ47" s="126">
        <f>EDATE(BI47,1)</f>
        <v/>
      </c>
      <c r="BK47" s="126">
        <f>EDATE(BJ47,1)</f>
        <v/>
      </c>
      <c r="BL47" s="126">
        <f>EDATE(BK47,1)</f>
        <v/>
      </c>
      <c r="BM47" s="126">
        <f>EDATE(BL47,1)</f>
        <v/>
      </c>
      <c r="BN47" s="126">
        <f>EDATE(BM47,1)</f>
        <v/>
      </c>
      <c r="BO47" s="126">
        <f>EDATE(BN47,1)</f>
        <v/>
      </c>
      <c r="BP47" s="126">
        <f>EDATE(BO47,1)</f>
        <v/>
      </c>
      <c r="BQ47" s="126">
        <f>EDATE(BP47,1)</f>
        <v/>
      </c>
      <c r="BR47" s="126">
        <f>EDATE(BQ47,1)</f>
        <v/>
      </c>
      <c r="BS47" s="126">
        <f>EDATE(BR47,1)</f>
        <v/>
      </c>
      <c r="BT47" s="126">
        <f>EDATE(BS47,1)</f>
        <v/>
      </c>
      <c r="BU47" s="126">
        <f>EDATE(BT47,1)</f>
        <v/>
      </c>
      <c r="BV47" s="126">
        <f>EDATE(BU47,1)</f>
        <v/>
      </c>
      <c r="BW47" s="126">
        <f>EDATE(BV47,1)</f>
        <v/>
      </c>
      <c r="BX47" s="126">
        <f>EDATE(BW47,1)</f>
        <v/>
      </c>
      <c r="BY47" s="126">
        <f>EDATE(BX47,1)</f>
        <v/>
      </c>
      <c r="BZ47" s="126">
        <f>EDATE(BY47,1)</f>
        <v/>
      </c>
      <c r="CA47" s="126">
        <f>EDATE(BZ47,1)</f>
        <v/>
      </c>
      <c r="CB47" s="126">
        <f>EDATE(CA47,1)</f>
        <v/>
      </c>
      <c r="CC47" s="126">
        <f>EDATE(CB47,1)</f>
        <v/>
      </c>
      <c r="CD47" s="126">
        <f>EDATE(CC47,1)</f>
        <v/>
      </c>
      <c r="CE47" s="126">
        <f>EDATE(CD47,1)</f>
        <v/>
      </c>
      <c r="CF47" s="126">
        <f>EDATE(CE47,1)</f>
        <v/>
      </c>
      <c r="CG47" s="126">
        <f>EDATE(CF47,1)</f>
        <v/>
      </c>
      <c r="CH47" s="126">
        <f>EDATE(CG47,1)</f>
        <v/>
      </c>
      <c r="CI47" s="126">
        <f>EDATE(CH47,1)</f>
        <v/>
      </c>
      <c r="CJ47" s="126">
        <f>EDATE(CI47,1)</f>
        <v/>
      </c>
      <c r="CK47" s="126">
        <f>EDATE(CJ47,1)</f>
        <v/>
      </c>
      <c r="CL47" s="126">
        <f>EDATE(CK47,1)</f>
        <v/>
      </c>
      <c r="CM47" s="126">
        <f>EDATE(CL47,1)</f>
        <v/>
      </c>
      <c r="CN47" s="126">
        <f>EDATE(CM47,1)</f>
        <v/>
      </c>
      <c r="CO47" s="126">
        <f>EDATE(CN47,1)</f>
        <v/>
      </c>
      <c r="CP47" s="126">
        <f>EDATE(CO47,1)</f>
        <v/>
      </c>
      <c r="CQ47" s="126">
        <f>EDATE(CP47,1)</f>
        <v/>
      </c>
      <c r="CR47" s="126">
        <f>EDATE(CQ47,1)</f>
        <v/>
      </c>
      <c r="CS47" s="126">
        <f>EDATE(CR47,1)</f>
        <v/>
      </c>
      <c r="CT47" s="126">
        <f>EDATE(CS47,1)</f>
        <v/>
      </c>
      <c r="CU47" s="126">
        <f>EDATE(CT47,1)</f>
        <v/>
      </c>
      <c r="CV47" s="126">
        <f>EDATE(CU47,1)</f>
        <v/>
      </c>
    </row>
    <row r="48" ht="15.75" customHeight="1" s="255">
      <c r="A48" s="148" t="inlineStr">
        <is>
          <t>Net income</t>
        </is>
      </c>
      <c r="B48" s="134">
        <f>'P&amp;L | Cash Flow | Balance'!C28</f>
        <v/>
      </c>
      <c r="C48" s="134">
        <f>'P&amp;L | Cash Flow | Balance'!D28</f>
        <v/>
      </c>
      <c r="D48" s="134">
        <f>'P&amp;L | Cash Flow | Balance'!E28</f>
        <v/>
      </c>
      <c r="E48" s="134">
        <f>'P&amp;L | Cash Flow | Balance'!F28</f>
        <v/>
      </c>
      <c r="F48" s="134">
        <f>'P&amp;L | Cash Flow | Balance'!G28</f>
        <v/>
      </c>
      <c r="G48" s="134">
        <f>'P&amp;L | Cash Flow | Balance'!H28</f>
        <v/>
      </c>
      <c r="H48" s="134">
        <f>'P&amp;L | Cash Flow | Balance'!I28</f>
        <v/>
      </c>
      <c r="I48" s="134">
        <f>'P&amp;L | Cash Flow | Balance'!J28</f>
        <v/>
      </c>
      <c r="J48" s="134">
        <f>'P&amp;L | Cash Flow | Balance'!K28</f>
        <v/>
      </c>
      <c r="K48" s="134">
        <f>'P&amp;L | Cash Flow | Balance'!L28</f>
        <v/>
      </c>
      <c r="L48" s="134">
        <f>'P&amp;L | Cash Flow | Balance'!M28</f>
        <v/>
      </c>
      <c r="M48" s="134">
        <f>'P&amp;L | Cash Flow | Balance'!N28</f>
        <v/>
      </c>
      <c r="N48" s="134">
        <f>'P&amp;L | Cash Flow | Balance'!O28</f>
        <v/>
      </c>
      <c r="O48" s="134">
        <f>'P&amp;L | Cash Flow | Balance'!P28</f>
        <v/>
      </c>
      <c r="P48" s="134">
        <f>'P&amp;L | Cash Flow | Balance'!Q28</f>
        <v/>
      </c>
      <c r="Q48" s="134">
        <f>'P&amp;L | Cash Flow | Balance'!R28</f>
        <v/>
      </c>
      <c r="R48" s="134">
        <f>'P&amp;L | Cash Flow | Balance'!S28</f>
        <v/>
      </c>
      <c r="S48" s="134">
        <f>'P&amp;L | Cash Flow | Balance'!T28</f>
        <v/>
      </c>
      <c r="T48" s="134">
        <f>'P&amp;L | Cash Flow | Balance'!U28</f>
        <v/>
      </c>
      <c r="U48" s="134">
        <f>'P&amp;L | Cash Flow | Balance'!V28</f>
        <v/>
      </c>
      <c r="V48" s="134">
        <f>'P&amp;L | Cash Flow | Balance'!W28</f>
        <v/>
      </c>
      <c r="W48" s="134">
        <f>'P&amp;L | Cash Flow | Balance'!X28</f>
        <v/>
      </c>
      <c r="X48" s="134">
        <f>'P&amp;L | Cash Flow | Balance'!Y28</f>
        <v/>
      </c>
      <c r="Y48" s="134">
        <f>'P&amp;L | Cash Flow | Balance'!Z28</f>
        <v/>
      </c>
      <c r="Z48" s="134">
        <f>'P&amp;L | Cash Flow | Balance'!AA28</f>
        <v/>
      </c>
      <c r="AA48" s="134">
        <f>'P&amp;L | Cash Flow | Balance'!AB28</f>
        <v/>
      </c>
      <c r="AB48" s="134">
        <f>'P&amp;L | Cash Flow | Balance'!AC28</f>
        <v/>
      </c>
      <c r="AC48" s="134">
        <f>'P&amp;L | Cash Flow | Balance'!AD28</f>
        <v/>
      </c>
      <c r="AD48" s="134">
        <f>'P&amp;L | Cash Flow | Balance'!AE28</f>
        <v/>
      </c>
      <c r="AE48" s="134">
        <f>'P&amp;L | Cash Flow | Balance'!AF28</f>
        <v/>
      </c>
      <c r="AF48" s="134">
        <f>'P&amp;L | Cash Flow | Balance'!AG28</f>
        <v/>
      </c>
      <c r="AG48" s="134">
        <f>'P&amp;L | Cash Flow | Balance'!AH28</f>
        <v/>
      </c>
      <c r="AH48" s="134">
        <f>'P&amp;L | Cash Flow | Balance'!AI28</f>
        <v/>
      </c>
      <c r="AI48" s="134">
        <f>'P&amp;L | Cash Flow | Balance'!AJ28</f>
        <v/>
      </c>
      <c r="AJ48" s="134">
        <f>'P&amp;L | Cash Flow | Balance'!AK28</f>
        <v/>
      </c>
      <c r="AK48" s="134">
        <f>'P&amp;L | Cash Flow | Balance'!AL28</f>
        <v/>
      </c>
      <c r="AL48" s="134">
        <f>'P&amp;L | Cash Flow | Balance'!AM28</f>
        <v/>
      </c>
      <c r="AM48" s="134">
        <f>'P&amp;L | Cash Flow | Balance'!AN28</f>
        <v/>
      </c>
      <c r="AN48" s="134">
        <f>'P&amp;L | Cash Flow | Balance'!AO28</f>
        <v/>
      </c>
      <c r="AO48" s="134">
        <f>'P&amp;L | Cash Flow | Balance'!AP28</f>
        <v/>
      </c>
      <c r="AP48" s="134">
        <f>'P&amp;L | Cash Flow | Balance'!AQ28</f>
        <v/>
      </c>
      <c r="AQ48" s="134">
        <f>'P&amp;L | Cash Flow | Balance'!AR28</f>
        <v/>
      </c>
      <c r="AR48" s="134">
        <f>'P&amp;L | Cash Flow | Balance'!AS28</f>
        <v/>
      </c>
      <c r="AS48" s="134">
        <f>'P&amp;L | Cash Flow | Balance'!AT28</f>
        <v/>
      </c>
      <c r="AT48" s="134">
        <f>'P&amp;L | Cash Flow | Balance'!AU28</f>
        <v/>
      </c>
      <c r="AU48" s="134">
        <f>'P&amp;L | Cash Flow | Balance'!AV28</f>
        <v/>
      </c>
      <c r="AV48" s="134">
        <f>'P&amp;L | Cash Flow | Balance'!AW28</f>
        <v/>
      </c>
      <c r="AW48" s="134">
        <f>'P&amp;L | Cash Flow | Balance'!AX28</f>
        <v/>
      </c>
      <c r="AX48" s="134">
        <f>'P&amp;L | Cash Flow | Balance'!AY28</f>
        <v/>
      </c>
      <c r="AY48" s="134">
        <f>'P&amp;L | Cash Flow | Balance'!AZ28</f>
        <v/>
      </c>
      <c r="AZ48" s="134">
        <f>'P&amp;L | Cash Flow | Balance'!BA28</f>
        <v/>
      </c>
      <c r="BA48" s="134">
        <f>'P&amp;L | Cash Flow | Balance'!BB28</f>
        <v/>
      </c>
      <c r="BB48" s="134">
        <f>'P&amp;L | Cash Flow | Balance'!BC28</f>
        <v/>
      </c>
      <c r="BC48" s="134">
        <f>'P&amp;L | Cash Flow | Balance'!BD28</f>
        <v/>
      </c>
      <c r="BD48" s="134">
        <f>'P&amp;L | Cash Flow | Balance'!BE28</f>
        <v/>
      </c>
      <c r="BE48" s="134">
        <f>'P&amp;L | Cash Flow | Balance'!BF28</f>
        <v/>
      </c>
      <c r="BF48" s="134">
        <f>'P&amp;L | Cash Flow | Balance'!BG28</f>
        <v/>
      </c>
      <c r="BG48" s="134">
        <f>'P&amp;L | Cash Flow | Balance'!BH28</f>
        <v/>
      </c>
      <c r="BH48" s="134">
        <f>'P&amp;L | Cash Flow | Balance'!BI28</f>
        <v/>
      </c>
      <c r="BI48" s="134">
        <f>'P&amp;L | Cash Flow | Balance'!BJ28</f>
        <v/>
      </c>
      <c r="BJ48" s="134">
        <f>'P&amp;L | Cash Flow | Balance'!BK28</f>
        <v/>
      </c>
      <c r="BK48" s="134">
        <f>'P&amp;L | Cash Flow | Balance'!BL28</f>
        <v/>
      </c>
      <c r="BL48" s="134">
        <f>'P&amp;L | Cash Flow | Balance'!BM28</f>
        <v/>
      </c>
      <c r="BM48" s="134">
        <f>'P&amp;L | Cash Flow | Balance'!BN28</f>
        <v/>
      </c>
      <c r="BN48" s="134">
        <f>'P&amp;L | Cash Flow | Balance'!BO28</f>
        <v/>
      </c>
      <c r="BO48" s="134">
        <f>'P&amp;L | Cash Flow | Balance'!BP28</f>
        <v/>
      </c>
      <c r="BP48" s="134">
        <f>'P&amp;L | Cash Flow | Balance'!BQ28</f>
        <v/>
      </c>
      <c r="BQ48" s="134">
        <f>'P&amp;L | Cash Flow | Balance'!BR28</f>
        <v/>
      </c>
      <c r="BR48" s="134">
        <f>'P&amp;L | Cash Flow | Balance'!BS28</f>
        <v/>
      </c>
      <c r="BS48" s="134">
        <f>'P&amp;L | Cash Flow | Balance'!BT28</f>
        <v/>
      </c>
      <c r="BT48" s="134">
        <f>'P&amp;L | Cash Flow | Balance'!BU28</f>
        <v/>
      </c>
      <c r="BU48" s="134">
        <f>'P&amp;L | Cash Flow | Balance'!BV28</f>
        <v/>
      </c>
      <c r="BV48" s="134">
        <f>'P&amp;L | Cash Flow | Balance'!BW28</f>
        <v/>
      </c>
      <c r="BW48" s="134">
        <f>'P&amp;L | Cash Flow | Balance'!BX28</f>
        <v/>
      </c>
      <c r="BX48" s="134">
        <f>'P&amp;L | Cash Flow | Balance'!BY28</f>
        <v/>
      </c>
      <c r="BY48" s="134">
        <f>'P&amp;L | Cash Flow | Balance'!BZ28</f>
        <v/>
      </c>
      <c r="BZ48" s="134">
        <f>'P&amp;L | Cash Flow | Balance'!CA28</f>
        <v/>
      </c>
      <c r="CA48" s="134">
        <f>'P&amp;L | Cash Flow | Balance'!CB28</f>
        <v/>
      </c>
      <c r="CB48" s="134">
        <f>'P&amp;L | Cash Flow | Balance'!CC28</f>
        <v/>
      </c>
      <c r="CC48" s="134">
        <f>'P&amp;L | Cash Flow | Balance'!CD28</f>
        <v/>
      </c>
      <c r="CD48" s="134">
        <f>'P&amp;L | Cash Flow | Balance'!CE28</f>
        <v/>
      </c>
      <c r="CE48" s="134">
        <f>'P&amp;L | Cash Flow | Balance'!CF28</f>
        <v/>
      </c>
      <c r="CF48" s="134">
        <f>'P&amp;L | Cash Flow | Balance'!CG28</f>
        <v/>
      </c>
      <c r="CG48" s="134">
        <f>'P&amp;L | Cash Flow | Balance'!CH28</f>
        <v/>
      </c>
      <c r="CH48" s="134">
        <f>'P&amp;L | Cash Flow | Balance'!CI28</f>
        <v/>
      </c>
      <c r="CI48" s="134">
        <f>'P&amp;L | Cash Flow | Balance'!CJ28</f>
        <v/>
      </c>
      <c r="CJ48" s="134">
        <f>'P&amp;L | Cash Flow | Balance'!CK28</f>
        <v/>
      </c>
      <c r="CK48" s="134">
        <f>'P&amp;L | Cash Flow | Balance'!CL28</f>
        <v/>
      </c>
      <c r="CL48" s="134">
        <f>'P&amp;L | Cash Flow | Balance'!CM28</f>
        <v/>
      </c>
      <c r="CM48" s="134">
        <f>'P&amp;L | Cash Flow | Balance'!CN28</f>
        <v/>
      </c>
      <c r="CN48" s="134">
        <f>'P&amp;L | Cash Flow | Balance'!CO28</f>
        <v/>
      </c>
      <c r="CO48" s="134">
        <f>'P&amp;L | Cash Flow | Balance'!CP28</f>
        <v/>
      </c>
      <c r="CP48" s="134">
        <f>'P&amp;L | Cash Flow | Balance'!CQ28</f>
        <v/>
      </c>
      <c r="CQ48" s="134">
        <f>'P&amp;L | Cash Flow | Balance'!CR28</f>
        <v/>
      </c>
      <c r="CR48" s="134">
        <f>'P&amp;L | Cash Flow | Balance'!CS28</f>
        <v/>
      </c>
      <c r="CS48" s="134">
        <f>'P&amp;L | Cash Flow | Balance'!CT28</f>
        <v/>
      </c>
      <c r="CT48" s="134">
        <f>'P&amp;L | Cash Flow | Balance'!CU28</f>
        <v/>
      </c>
      <c r="CU48" s="134">
        <f>'P&amp;L | Cash Flow | Balance'!CV28</f>
        <v/>
      </c>
      <c r="CV48" s="134">
        <f>'P&amp;L | Cash Flow | Balance'!CW28</f>
        <v/>
      </c>
    </row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29.25" customHeight="1" s="255">
      <c r="A70" s="123" t="inlineStr">
        <is>
          <t>Month</t>
        </is>
      </c>
      <c r="B70" s="125">
        <f>EDATE(C70,-1)</f>
        <v/>
      </c>
      <c r="C70" s="126">
        <f>Projections!$B$4</f>
        <v/>
      </c>
      <c r="D70" s="126">
        <f>EDATE(C70,1)</f>
        <v/>
      </c>
      <c r="E70" s="126">
        <f>EDATE(D70,1)</f>
        <v/>
      </c>
      <c r="F70" s="126">
        <f>EDATE(E70,1)</f>
        <v/>
      </c>
      <c r="G70" s="126">
        <f>EDATE(F70,1)</f>
        <v/>
      </c>
      <c r="H70" s="126">
        <f>EDATE(G70,1)</f>
        <v/>
      </c>
      <c r="I70" s="126">
        <f>EDATE(H70,1)</f>
        <v/>
      </c>
      <c r="J70" s="126">
        <f>EDATE(I70,1)</f>
        <v/>
      </c>
      <c r="K70" s="126">
        <f>EDATE(J70,1)</f>
        <v/>
      </c>
      <c r="L70" s="126">
        <f>EDATE(K70,1)</f>
        <v/>
      </c>
      <c r="M70" s="126">
        <f>EDATE(L70,1)</f>
        <v/>
      </c>
      <c r="N70" s="126">
        <f>EDATE(M70,1)</f>
        <v/>
      </c>
      <c r="O70" s="126">
        <f>EDATE(N70,1)</f>
        <v/>
      </c>
      <c r="P70" s="126">
        <f>EDATE(O70,1)</f>
        <v/>
      </c>
      <c r="Q70" s="126">
        <f>EDATE(P70,1)</f>
        <v/>
      </c>
      <c r="R70" s="126">
        <f>EDATE(Q70,1)</f>
        <v/>
      </c>
      <c r="S70" s="126">
        <f>EDATE(R70,1)</f>
        <v/>
      </c>
      <c r="T70" s="126">
        <f>EDATE(S70,1)</f>
        <v/>
      </c>
      <c r="U70" s="126">
        <f>EDATE(T70,1)</f>
        <v/>
      </c>
      <c r="V70" s="126">
        <f>EDATE(U70,1)</f>
        <v/>
      </c>
      <c r="W70" s="126">
        <f>EDATE(V70,1)</f>
        <v/>
      </c>
      <c r="X70" s="126">
        <f>EDATE(W70,1)</f>
        <v/>
      </c>
      <c r="Y70" s="126">
        <f>EDATE(X70,1)</f>
        <v/>
      </c>
      <c r="Z70" s="126">
        <f>EDATE(Y70,1)</f>
        <v/>
      </c>
      <c r="AA70" s="126">
        <f>EDATE(Z70,1)</f>
        <v/>
      </c>
      <c r="AB70" s="126">
        <f>EDATE(AA70,1)</f>
        <v/>
      </c>
      <c r="AC70" s="126">
        <f>EDATE(AB70,1)</f>
        <v/>
      </c>
      <c r="AD70" s="126">
        <f>EDATE(AC70,1)</f>
        <v/>
      </c>
      <c r="AE70" s="126">
        <f>EDATE(AD70,1)</f>
        <v/>
      </c>
      <c r="AF70" s="126">
        <f>EDATE(AE70,1)</f>
        <v/>
      </c>
      <c r="AG70" s="126">
        <f>EDATE(AF70,1)</f>
        <v/>
      </c>
      <c r="AH70" s="126">
        <f>EDATE(AG70,1)</f>
        <v/>
      </c>
      <c r="AI70" s="126">
        <f>EDATE(AH70,1)</f>
        <v/>
      </c>
      <c r="AJ70" s="126">
        <f>EDATE(AI70,1)</f>
        <v/>
      </c>
      <c r="AK70" s="126">
        <f>EDATE(AJ70,1)</f>
        <v/>
      </c>
      <c r="AL70" s="126">
        <f>EDATE(AK70,1)</f>
        <v/>
      </c>
      <c r="AM70" s="126">
        <f>EDATE(AL70,1)</f>
        <v/>
      </c>
      <c r="AN70" s="126">
        <f>EDATE(AM70,1)</f>
        <v/>
      </c>
      <c r="AO70" s="126">
        <f>EDATE(AN70,1)</f>
        <v/>
      </c>
      <c r="AP70" s="126">
        <f>EDATE(AO70,1)</f>
        <v/>
      </c>
      <c r="AQ70" s="126">
        <f>EDATE(AP70,1)</f>
        <v/>
      </c>
      <c r="AR70" s="126">
        <f>EDATE(AQ70,1)</f>
        <v/>
      </c>
      <c r="AS70" s="126">
        <f>EDATE(AR70,1)</f>
        <v/>
      </c>
      <c r="AT70" s="126">
        <f>EDATE(AS70,1)</f>
        <v/>
      </c>
      <c r="AU70" s="126">
        <f>EDATE(AT70,1)</f>
        <v/>
      </c>
      <c r="AV70" s="126">
        <f>EDATE(AU70,1)</f>
        <v/>
      </c>
      <c r="AW70" s="126">
        <f>EDATE(AV70,1)</f>
        <v/>
      </c>
      <c r="AX70" s="126">
        <f>EDATE(AW70,1)</f>
        <v/>
      </c>
      <c r="AY70" s="126">
        <f>EDATE(AX70,1)</f>
        <v/>
      </c>
      <c r="AZ70" s="126">
        <f>EDATE(AY70,1)</f>
        <v/>
      </c>
      <c r="BA70" s="126">
        <f>EDATE(AZ70,1)</f>
        <v/>
      </c>
      <c r="BB70" s="126">
        <f>EDATE(BA70,1)</f>
        <v/>
      </c>
      <c r="BC70" s="126">
        <f>EDATE(BB70,1)</f>
        <v/>
      </c>
      <c r="BD70" s="126">
        <f>EDATE(BC70,1)</f>
        <v/>
      </c>
      <c r="BE70" s="126">
        <f>EDATE(BD70,1)</f>
        <v/>
      </c>
      <c r="BF70" s="126">
        <f>EDATE(BE70,1)</f>
        <v/>
      </c>
      <c r="BG70" s="126">
        <f>EDATE(BF70,1)</f>
        <v/>
      </c>
      <c r="BH70" s="126">
        <f>EDATE(BG70,1)</f>
        <v/>
      </c>
      <c r="BI70" s="126">
        <f>EDATE(BH70,1)</f>
        <v/>
      </c>
      <c r="BJ70" s="126">
        <f>EDATE(BI70,1)</f>
        <v/>
      </c>
      <c r="BK70" s="126">
        <f>EDATE(BJ70,1)</f>
        <v/>
      </c>
      <c r="BL70" s="126">
        <f>EDATE(BK70,1)</f>
        <v/>
      </c>
      <c r="BM70" s="126">
        <f>EDATE(BL70,1)</f>
        <v/>
      </c>
      <c r="BN70" s="126">
        <f>EDATE(BM70,1)</f>
        <v/>
      </c>
      <c r="BO70" s="126">
        <f>EDATE(BN70,1)</f>
        <v/>
      </c>
      <c r="BP70" s="126">
        <f>EDATE(BO70,1)</f>
        <v/>
      </c>
      <c r="BQ70" s="126">
        <f>EDATE(BP70,1)</f>
        <v/>
      </c>
      <c r="BR70" s="126">
        <f>EDATE(BQ70,1)</f>
        <v/>
      </c>
      <c r="BS70" s="126">
        <f>EDATE(BR70,1)</f>
        <v/>
      </c>
      <c r="BT70" s="126">
        <f>EDATE(BS70,1)</f>
        <v/>
      </c>
      <c r="BU70" s="126">
        <f>EDATE(BT70,1)</f>
        <v/>
      </c>
      <c r="BV70" s="126">
        <f>EDATE(BU70,1)</f>
        <v/>
      </c>
      <c r="BW70" s="126">
        <f>EDATE(BV70,1)</f>
        <v/>
      </c>
      <c r="BX70" s="126">
        <f>EDATE(BW70,1)</f>
        <v/>
      </c>
      <c r="BY70" s="126">
        <f>EDATE(BX70,1)</f>
        <v/>
      </c>
      <c r="BZ70" s="126">
        <f>EDATE(BY70,1)</f>
        <v/>
      </c>
      <c r="CA70" s="126">
        <f>EDATE(BZ70,1)</f>
        <v/>
      </c>
      <c r="CB70" s="126">
        <f>EDATE(CA70,1)</f>
        <v/>
      </c>
      <c r="CC70" s="126">
        <f>EDATE(CB70,1)</f>
        <v/>
      </c>
      <c r="CD70" s="126">
        <f>EDATE(CC70,1)</f>
        <v/>
      </c>
      <c r="CE70" s="126">
        <f>EDATE(CD70,1)</f>
        <v/>
      </c>
      <c r="CF70" s="126">
        <f>EDATE(CE70,1)</f>
        <v/>
      </c>
      <c r="CG70" s="126">
        <f>EDATE(CF70,1)</f>
        <v/>
      </c>
      <c r="CH70" s="126">
        <f>EDATE(CG70,1)</f>
        <v/>
      </c>
      <c r="CI70" s="126">
        <f>EDATE(CH70,1)</f>
        <v/>
      </c>
      <c r="CJ70" s="126">
        <f>EDATE(CI70,1)</f>
        <v/>
      </c>
      <c r="CK70" s="126">
        <f>EDATE(CJ70,1)</f>
        <v/>
      </c>
      <c r="CL70" s="126">
        <f>EDATE(CK70,1)</f>
        <v/>
      </c>
      <c r="CM70" s="126">
        <f>EDATE(CL70,1)</f>
        <v/>
      </c>
      <c r="CN70" s="126">
        <f>EDATE(CM70,1)</f>
        <v/>
      </c>
      <c r="CO70" s="126">
        <f>EDATE(CN70,1)</f>
        <v/>
      </c>
      <c r="CP70" s="126">
        <f>EDATE(CO70,1)</f>
        <v/>
      </c>
      <c r="CQ70" s="126">
        <f>EDATE(CP70,1)</f>
        <v/>
      </c>
      <c r="CR70" s="126">
        <f>EDATE(CQ70,1)</f>
        <v/>
      </c>
      <c r="CS70" s="126">
        <f>EDATE(CR70,1)</f>
        <v/>
      </c>
      <c r="CT70" s="126">
        <f>EDATE(CS70,1)</f>
        <v/>
      </c>
      <c r="CU70" s="126">
        <f>EDATE(CT70,1)</f>
        <v/>
      </c>
      <c r="CV70" s="126">
        <f>EDATE(CU70,1)</f>
        <v/>
      </c>
    </row>
    <row r="71" ht="15.75" customHeight="1" s="255">
      <c r="A71" s="42" t="inlineStr">
        <is>
          <t>Traffic</t>
        </is>
      </c>
      <c r="B71" s="135">
        <f>'Monthly forecast'!D12</f>
        <v/>
      </c>
      <c r="C71" s="135">
        <f>'Monthly forecast'!E12</f>
        <v/>
      </c>
      <c r="D71" s="135">
        <f>'Monthly forecast'!F12</f>
        <v/>
      </c>
      <c r="E71" s="135">
        <f>'Monthly forecast'!G12</f>
        <v/>
      </c>
      <c r="F71" s="135">
        <f>'Monthly forecast'!H12</f>
        <v/>
      </c>
      <c r="G71" s="135">
        <f>'Monthly forecast'!I12</f>
        <v/>
      </c>
      <c r="H71" s="135">
        <f>'Monthly forecast'!J12</f>
        <v/>
      </c>
      <c r="I71" s="135">
        <f>'Monthly forecast'!K12</f>
        <v/>
      </c>
      <c r="J71" s="135">
        <f>'Monthly forecast'!L12</f>
        <v/>
      </c>
      <c r="K71" s="135">
        <f>'Monthly forecast'!M12</f>
        <v/>
      </c>
      <c r="L71" s="135">
        <f>'Monthly forecast'!N12</f>
        <v/>
      </c>
      <c r="M71" s="135">
        <f>'Monthly forecast'!O12</f>
        <v/>
      </c>
      <c r="N71" s="135">
        <f>'Monthly forecast'!P12</f>
        <v/>
      </c>
      <c r="O71" s="135">
        <f>'Monthly forecast'!Q12</f>
        <v/>
      </c>
      <c r="P71" s="135">
        <f>'Monthly forecast'!R12</f>
        <v/>
      </c>
      <c r="Q71" s="135">
        <f>'Monthly forecast'!S12</f>
        <v/>
      </c>
      <c r="R71" s="135">
        <f>'Monthly forecast'!T12</f>
        <v/>
      </c>
      <c r="S71" s="135">
        <f>'Monthly forecast'!U12</f>
        <v/>
      </c>
      <c r="T71" s="135">
        <f>'Monthly forecast'!V12</f>
        <v/>
      </c>
      <c r="U71" s="135">
        <f>'Monthly forecast'!W12</f>
        <v/>
      </c>
      <c r="V71" s="135">
        <f>'Monthly forecast'!X12</f>
        <v/>
      </c>
      <c r="W71" s="135">
        <f>'Monthly forecast'!Y12</f>
        <v/>
      </c>
      <c r="X71" s="135">
        <f>'Monthly forecast'!Z12</f>
        <v/>
      </c>
      <c r="Y71" s="135">
        <f>'Monthly forecast'!AA12</f>
        <v/>
      </c>
      <c r="Z71" s="135">
        <f>'Monthly forecast'!AB12</f>
        <v/>
      </c>
      <c r="AA71" s="135">
        <f>'Monthly forecast'!AC12</f>
        <v/>
      </c>
      <c r="AB71" s="135">
        <f>'Monthly forecast'!AD12</f>
        <v/>
      </c>
      <c r="AC71" s="135">
        <f>'Monthly forecast'!AE12</f>
        <v/>
      </c>
      <c r="AD71" s="135">
        <f>'Monthly forecast'!AF12</f>
        <v/>
      </c>
      <c r="AE71" s="135">
        <f>'Monthly forecast'!AG12</f>
        <v/>
      </c>
      <c r="AF71" s="135">
        <f>'Monthly forecast'!AH12</f>
        <v/>
      </c>
      <c r="AG71" s="135">
        <f>'Monthly forecast'!AI12</f>
        <v/>
      </c>
      <c r="AH71" s="135">
        <f>'Monthly forecast'!AJ12</f>
        <v/>
      </c>
      <c r="AI71" s="135">
        <f>'Monthly forecast'!AK12</f>
        <v/>
      </c>
      <c r="AJ71" s="135">
        <f>'Monthly forecast'!AL12</f>
        <v/>
      </c>
      <c r="AK71" s="135">
        <f>'Monthly forecast'!AM12</f>
        <v/>
      </c>
      <c r="AL71" s="135">
        <f>'Monthly forecast'!AN12</f>
        <v/>
      </c>
      <c r="AM71" s="135">
        <f>'Monthly forecast'!AO12</f>
        <v/>
      </c>
      <c r="AN71" s="135">
        <f>'Monthly forecast'!AP12</f>
        <v/>
      </c>
      <c r="AO71" s="135">
        <f>'Monthly forecast'!AQ12</f>
        <v/>
      </c>
      <c r="AP71" s="135">
        <f>'Monthly forecast'!AR12</f>
        <v/>
      </c>
      <c r="AQ71" s="135">
        <f>'Monthly forecast'!AS12</f>
        <v/>
      </c>
      <c r="AR71" s="135">
        <f>'Monthly forecast'!AT12</f>
        <v/>
      </c>
      <c r="AS71" s="135">
        <f>'Monthly forecast'!AU12</f>
        <v/>
      </c>
      <c r="AT71" s="135">
        <f>'Monthly forecast'!AV12</f>
        <v/>
      </c>
      <c r="AU71" s="135">
        <f>'Monthly forecast'!AW12</f>
        <v/>
      </c>
      <c r="AV71" s="135">
        <f>'Monthly forecast'!AX12</f>
        <v/>
      </c>
      <c r="AW71" s="135">
        <f>'Monthly forecast'!AY12</f>
        <v/>
      </c>
      <c r="AX71" s="135">
        <f>'Monthly forecast'!AZ12</f>
        <v/>
      </c>
      <c r="AY71" s="135">
        <f>'Monthly forecast'!BA12</f>
        <v/>
      </c>
      <c r="AZ71" s="135">
        <f>'Monthly forecast'!BB12</f>
        <v/>
      </c>
      <c r="BA71" s="135">
        <f>'Monthly forecast'!BC12</f>
        <v/>
      </c>
      <c r="BB71" s="135">
        <f>'Monthly forecast'!BD12</f>
        <v/>
      </c>
      <c r="BC71" s="135">
        <f>'Monthly forecast'!BE12</f>
        <v/>
      </c>
      <c r="BD71" s="135">
        <f>'Monthly forecast'!BF12</f>
        <v/>
      </c>
      <c r="BE71" s="135">
        <f>'Monthly forecast'!BG12</f>
        <v/>
      </c>
      <c r="BF71" s="135">
        <f>'Monthly forecast'!BH12</f>
        <v/>
      </c>
      <c r="BG71" s="135">
        <f>'Monthly forecast'!BI12</f>
        <v/>
      </c>
      <c r="BH71" s="135">
        <f>'Monthly forecast'!BJ12</f>
        <v/>
      </c>
      <c r="BI71" s="135">
        <f>'Monthly forecast'!BK12</f>
        <v/>
      </c>
      <c r="BJ71" s="135">
        <f>'Monthly forecast'!BL12</f>
        <v/>
      </c>
      <c r="BK71" s="135">
        <f>'Monthly forecast'!BM12</f>
        <v/>
      </c>
      <c r="BL71" s="135">
        <f>'Monthly forecast'!BN12</f>
        <v/>
      </c>
      <c r="BM71" s="135">
        <f>'Monthly forecast'!BO12</f>
        <v/>
      </c>
      <c r="BN71" s="135">
        <f>'Monthly forecast'!BP12</f>
        <v/>
      </c>
      <c r="BO71" s="135">
        <f>'Monthly forecast'!BQ12</f>
        <v/>
      </c>
      <c r="BP71" s="135">
        <f>'Monthly forecast'!BR12</f>
        <v/>
      </c>
      <c r="BQ71" s="135">
        <f>'Monthly forecast'!BS12</f>
        <v/>
      </c>
      <c r="BR71" s="135">
        <f>'Monthly forecast'!BT12</f>
        <v/>
      </c>
      <c r="BS71" s="135">
        <f>'Monthly forecast'!BU12</f>
        <v/>
      </c>
      <c r="BT71" s="135">
        <f>'Monthly forecast'!BV12</f>
        <v/>
      </c>
      <c r="BU71" s="135">
        <f>'Monthly forecast'!BW12</f>
        <v/>
      </c>
      <c r="BV71" s="135">
        <f>'Monthly forecast'!BX12</f>
        <v/>
      </c>
      <c r="BW71" s="135">
        <f>'Monthly forecast'!BY12</f>
        <v/>
      </c>
      <c r="BX71" s="135">
        <f>'Monthly forecast'!BZ12</f>
        <v/>
      </c>
      <c r="BY71" s="135">
        <f>'Monthly forecast'!CA12</f>
        <v/>
      </c>
      <c r="BZ71" s="135">
        <f>'Monthly forecast'!CB12</f>
        <v/>
      </c>
      <c r="CA71" s="135">
        <f>'Monthly forecast'!CC12</f>
        <v/>
      </c>
      <c r="CB71" s="135">
        <f>'Monthly forecast'!CD12</f>
        <v/>
      </c>
      <c r="CC71" s="135">
        <f>'Monthly forecast'!CE12</f>
        <v/>
      </c>
      <c r="CD71" s="135">
        <f>'Monthly forecast'!CF12</f>
        <v/>
      </c>
      <c r="CE71" s="135">
        <f>'Monthly forecast'!CG12</f>
        <v/>
      </c>
      <c r="CF71" s="135">
        <f>'Monthly forecast'!CH12</f>
        <v/>
      </c>
      <c r="CG71" s="135">
        <f>'Monthly forecast'!CI12</f>
        <v/>
      </c>
      <c r="CH71" s="135">
        <f>'Monthly forecast'!CJ12</f>
        <v/>
      </c>
      <c r="CI71" s="135">
        <f>'Monthly forecast'!CK12</f>
        <v/>
      </c>
      <c r="CJ71" s="135">
        <f>'Monthly forecast'!CL12</f>
        <v/>
      </c>
      <c r="CK71" s="135">
        <f>'Monthly forecast'!CM12</f>
        <v/>
      </c>
      <c r="CL71" s="135">
        <f>'Monthly forecast'!CN12</f>
        <v/>
      </c>
      <c r="CM71" s="135">
        <f>'Monthly forecast'!CO12</f>
        <v/>
      </c>
      <c r="CN71" s="135">
        <f>'Monthly forecast'!CP12</f>
        <v/>
      </c>
      <c r="CO71" s="135">
        <f>'Monthly forecast'!CQ12</f>
        <v/>
      </c>
      <c r="CP71" s="135">
        <f>'Monthly forecast'!CR12</f>
        <v/>
      </c>
      <c r="CQ71" s="135">
        <f>'Monthly forecast'!CS12</f>
        <v/>
      </c>
      <c r="CR71" s="135">
        <f>'Monthly forecast'!CT12</f>
        <v/>
      </c>
      <c r="CS71" s="135">
        <f>'Monthly forecast'!CU12</f>
        <v/>
      </c>
      <c r="CT71" s="135">
        <f>'Monthly forecast'!CV12</f>
        <v/>
      </c>
      <c r="CU71" s="135">
        <f>'Monthly forecast'!CW12</f>
        <v/>
      </c>
      <c r="CV71" s="135">
        <f>'Monthly forecast'!CX12</f>
        <v/>
      </c>
    </row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29.25" customHeight="1" s="255">
      <c r="A94" s="123" t="inlineStr">
        <is>
          <t>Month</t>
        </is>
      </c>
      <c r="B94" s="125">
        <f>EDATE(C94,-1)</f>
        <v/>
      </c>
      <c r="C94" s="126">
        <f>Projections!$B$4</f>
        <v/>
      </c>
      <c r="D94" s="126">
        <f>EDATE(C94,1)</f>
        <v/>
      </c>
      <c r="E94" s="126">
        <f>EDATE(D94,1)</f>
        <v/>
      </c>
      <c r="F94" s="126">
        <f>EDATE(E94,1)</f>
        <v/>
      </c>
      <c r="G94" s="126">
        <f>EDATE(F94,1)</f>
        <v/>
      </c>
      <c r="H94" s="126">
        <f>EDATE(G94,1)</f>
        <v/>
      </c>
      <c r="I94" s="126">
        <f>EDATE(H94,1)</f>
        <v/>
      </c>
      <c r="J94" s="126">
        <f>EDATE(I94,1)</f>
        <v/>
      </c>
      <c r="K94" s="126">
        <f>EDATE(J94,1)</f>
        <v/>
      </c>
      <c r="L94" s="126">
        <f>EDATE(K94,1)</f>
        <v/>
      </c>
      <c r="M94" s="126">
        <f>EDATE(L94,1)</f>
        <v/>
      </c>
      <c r="N94" s="126">
        <f>EDATE(M94,1)</f>
        <v/>
      </c>
      <c r="O94" s="126">
        <f>EDATE(N94,1)</f>
        <v/>
      </c>
      <c r="P94" s="126">
        <f>EDATE(O94,1)</f>
        <v/>
      </c>
      <c r="Q94" s="126">
        <f>EDATE(P94,1)</f>
        <v/>
      </c>
      <c r="R94" s="126">
        <f>EDATE(Q94,1)</f>
        <v/>
      </c>
      <c r="S94" s="126">
        <f>EDATE(R94,1)</f>
        <v/>
      </c>
      <c r="T94" s="126">
        <f>EDATE(S94,1)</f>
        <v/>
      </c>
      <c r="U94" s="126">
        <f>EDATE(T94,1)</f>
        <v/>
      </c>
      <c r="V94" s="126">
        <f>EDATE(U94,1)</f>
        <v/>
      </c>
      <c r="W94" s="126">
        <f>EDATE(V94,1)</f>
        <v/>
      </c>
      <c r="X94" s="126">
        <f>EDATE(W94,1)</f>
        <v/>
      </c>
      <c r="Y94" s="126">
        <f>EDATE(X94,1)</f>
        <v/>
      </c>
      <c r="Z94" s="126">
        <f>EDATE(Y94,1)</f>
        <v/>
      </c>
      <c r="AA94" s="126">
        <f>EDATE(Z94,1)</f>
        <v/>
      </c>
      <c r="AB94" s="126">
        <f>EDATE(AA94,1)</f>
        <v/>
      </c>
      <c r="AC94" s="126">
        <f>EDATE(AB94,1)</f>
        <v/>
      </c>
      <c r="AD94" s="126">
        <f>EDATE(AC94,1)</f>
        <v/>
      </c>
      <c r="AE94" s="126">
        <f>EDATE(AD94,1)</f>
        <v/>
      </c>
      <c r="AF94" s="126">
        <f>EDATE(AE94,1)</f>
        <v/>
      </c>
      <c r="AG94" s="126">
        <f>EDATE(AF94,1)</f>
        <v/>
      </c>
      <c r="AH94" s="126">
        <f>EDATE(AG94,1)</f>
        <v/>
      </c>
      <c r="AI94" s="126">
        <f>EDATE(AH94,1)</f>
        <v/>
      </c>
      <c r="AJ94" s="126">
        <f>EDATE(AI94,1)</f>
        <v/>
      </c>
      <c r="AK94" s="126">
        <f>EDATE(AJ94,1)</f>
        <v/>
      </c>
      <c r="AL94" s="126">
        <f>EDATE(AK94,1)</f>
        <v/>
      </c>
      <c r="AM94" s="126">
        <f>EDATE(AL94,1)</f>
        <v/>
      </c>
      <c r="AN94" s="126">
        <f>EDATE(AM94,1)</f>
        <v/>
      </c>
      <c r="AO94" s="126">
        <f>EDATE(AN94,1)</f>
        <v/>
      </c>
      <c r="AP94" s="126">
        <f>EDATE(AO94,1)</f>
        <v/>
      </c>
      <c r="AQ94" s="126">
        <f>EDATE(AP94,1)</f>
        <v/>
      </c>
      <c r="AR94" s="126">
        <f>EDATE(AQ94,1)</f>
        <v/>
      </c>
      <c r="AS94" s="126">
        <f>EDATE(AR94,1)</f>
        <v/>
      </c>
      <c r="AT94" s="126">
        <f>EDATE(AS94,1)</f>
        <v/>
      </c>
      <c r="AU94" s="126">
        <f>EDATE(AT94,1)</f>
        <v/>
      </c>
      <c r="AV94" s="126">
        <f>EDATE(AU94,1)</f>
        <v/>
      </c>
      <c r="AW94" s="126">
        <f>EDATE(AV94,1)</f>
        <v/>
      </c>
      <c r="AX94" s="126">
        <f>EDATE(AW94,1)</f>
        <v/>
      </c>
      <c r="AY94" s="126">
        <f>EDATE(AX94,1)</f>
        <v/>
      </c>
      <c r="AZ94" s="126">
        <f>EDATE(AY94,1)</f>
        <v/>
      </c>
      <c r="BA94" s="126">
        <f>EDATE(AZ94,1)</f>
        <v/>
      </c>
      <c r="BB94" s="126">
        <f>EDATE(BA94,1)</f>
        <v/>
      </c>
      <c r="BC94" s="126">
        <f>EDATE(BB94,1)</f>
        <v/>
      </c>
      <c r="BD94" s="126">
        <f>EDATE(BC94,1)</f>
        <v/>
      </c>
      <c r="BE94" s="126">
        <f>EDATE(BD94,1)</f>
        <v/>
      </c>
      <c r="BF94" s="126">
        <f>EDATE(BE94,1)</f>
        <v/>
      </c>
      <c r="BG94" s="126">
        <f>EDATE(BF94,1)</f>
        <v/>
      </c>
      <c r="BH94" s="126">
        <f>EDATE(BG94,1)</f>
        <v/>
      </c>
      <c r="BI94" s="126">
        <f>EDATE(BH94,1)</f>
        <v/>
      </c>
      <c r="BJ94" s="126">
        <f>EDATE(BI94,1)</f>
        <v/>
      </c>
      <c r="BK94" s="126">
        <f>EDATE(BJ94,1)</f>
        <v/>
      </c>
      <c r="BL94" s="126">
        <f>EDATE(BK94,1)</f>
        <v/>
      </c>
      <c r="BM94" s="126">
        <f>EDATE(BL94,1)</f>
        <v/>
      </c>
      <c r="BN94" s="126">
        <f>EDATE(BM94,1)</f>
        <v/>
      </c>
      <c r="BO94" s="126">
        <f>EDATE(BN94,1)</f>
        <v/>
      </c>
      <c r="BP94" s="126">
        <f>EDATE(BO94,1)</f>
        <v/>
      </c>
      <c r="BQ94" s="126">
        <f>EDATE(BP94,1)</f>
        <v/>
      </c>
      <c r="BR94" s="126">
        <f>EDATE(BQ94,1)</f>
        <v/>
      </c>
      <c r="BS94" s="126">
        <f>EDATE(BR94,1)</f>
        <v/>
      </c>
      <c r="BT94" s="126">
        <f>EDATE(BS94,1)</f>
        <v/>
      </c>
      <c r="BU94" s="126">
        <f>EDATE(BT94,1)</f>
        <v/>
      </c>
      <c r="BV94" s="126">
        <f>EDATE(BU94,1)</f>
        <v/>
      </c>
      <c r="BW94" s="126">
        <f>EDATE(BV94,1)</f>
        <v/>
      </c>
      <c r="BX94" s="126">
        <f>EDATE(BW94,1)</f>
        <v/>
      </c>
      <c r="BY94" s="126">
        <f>EDATE(BX94,1)</f>
        <v/>
      </c>
      <c r="BZ94" s="126">
        <f>EDATE(BY94,1)</f>
        <v/>
      </c>
      <c r="CA94" s="126">
        <f>EDATE(BZ94,1)</f>
        <v/>
      </c>
      <c r="CB94" s="126">
        <f>EDATE(CA94,1)</f>
        <v/>
      </c>
      <c r="CC94" s="126">
        <f>EDATE(CB94,1)</f>
        <v/>
      </c>
      <c r="CD94" s="126">
        <f>EDATE(CC94,1)</f>
        <v/>
      </c>
      <c r="CE94" s="126">
        <f>EDATE(CD94,1)</f>
        <v/>
      </c>
      <c r="CF94" s="126">
        <f>EDATE(CE94,1)</f>
        <v/>
      </c>
      <c r="CG94" s="126">
        <f>EDATE(CF94,1)</f>
        <v/>
      </c>
      <c r="CH94" s="126">
        <f>EDATE(CG94,1)</f>
        <v/>
      </c>
      <c r="CI94" s="126">
        <f>EDATE(CH94,1)</f>
        <v/>
      </c>
      <c r="CJ94" s="126">
        <f>EDATE(CI94,1)</f>
        <v/>
      </c>
      <c r="CK94" s="126">
        <f>EDATE(CJ94,1)</f>
        <v/>
      </c>
      <c r="CL94" s="126">
        <f>EDATE(CK94,1)</f>
        <v/>
      </c>
      <c r="CM94" s="126">
        <f>EDATE(CL94,1)</f>
        <v/>
      </c>
      <c r="CN94" s="126">
        <f>EDATE(CM94,1)</f>
        <v/>
      </c>
      <c r="CO94" s="126">
        <f>EDATE(CN94,1)</f>
        <v/>
      </c>
      <c r="CP94" s="126">
        <f>EDATE(CO94,1)</f>
        <v/>
      </c>
      <c r="CQ94" s="126">
        <f>EDATE(CP94,1)</f>
        <v/>
      </c>
      <c r="CR94" s="126">
        <f>EDATE(CQ94,1)</f>
        <v/>
      </c>
      <c r="CS94" s="126">
        <f>EDATE(CR94,1)</f>
        <v/>
      </c>
      <c r="CT94" s="126">
        <f>EDATE(CS94,1)</f>
        <v/>
      </c>
      <c r="CU94" s="126">
        <f>EDATE(CT94,1)</f>
        <v/>
      </c>
      <c r="CV94" s="126">
        <f>EDATE(CU94,1)</f>
        <v/>
      </c>
    </row>
    <row r="95" ht="15.75" customHeight="1" s="255">
      <c r="A95" s="61">
        <f>Projections!$A$33</f>
        <v/>
      </c>
      <c r="B95" s="135">
        <f>'Monthly forecast'!D20</f>
        <v/>
      </c>
      <c r="C95" s="135">
        <f>'Monthly forecast'!E20</f>
        <v/>
      </c>
      <c r="D95" s="135">
        <f>'Monthly forecast'!F20</f>
        <v/>
      </c>
      <c r="E95" s="135">
        <f>'Monthly forecast'!G20</f>
        <v/>
      </c>
      <c r="F95" s="135">
        <f>'Monthly forecast'!H20</f>
        <v/>
      </c>
      <c r="G95" s="135">
        <f>'Monthly forecast'!I20</f>
        <v/>
      </c>
      <c r="H95" s="135">
        <f>'Monthly forecast'!J20</f>
        <v/>
      </c>
      <c r="I95" s="135">
        <f>'Monthly forecast'!K20</f>
        <v/>
      </c>
      <c r="J95" s="135">
        <f>'Monthly forecast'!L20</f>
        <v/>
      </c>
      <c r="K95" s="135">
        <f>'Monthly forecast'!M20</f>
        <v/>
      </c>
      <c r="L95" s="135">
        <f>'Monthly forecast'!N20</f>
        <v/>
      </c>
      <c r="M95" s="135">
        <f>'Monthly forecast'!O20</f>
        <v/>
      </c>
      <c r="N95" s="135">
        <f>'Monthly forecast'!P20</f>
        <v/>
      </c>
      <c r="O95" s="135">
        <f>'Monthly forecast'!Q20</f>
        <v/>
      </c>
      <c r="P95" s="135">
        <f>'Monthly forecast'!R20</f>
        <v/>
      </c>
      <c r="Q95" s="135">
        <f>'Monthly forecast'!S20</f>
        <v/>
      </c>
      <c r="R95" s="135">
        <f>'Monthly forecast'!T20</f>
        <v/>
      </c>
      <c r="S95" s="135">
        <f>'Monthly forecast'!U20</f>
        <v/>
      </c>
      <c r="T95" s="135">
        <f>'Monthly forecast'!V20</f>
        <v/>
      </c>
      <c r="U95" s="135">
        <f>'Monthly forecast'!W20</f>
        <v/>
      </c>
      <c r="V95" s="135">
        <f>'Monthly forecast'!X20</f>
        <v/>
      </c>
      <c r="W95" s="135">
        <f>'Monthly forecast'!Y20</f>
        <v/>
      </c>
      <c r="X95" s="135">
        <f>'Monthly forecast'!Z20</f>
        <v/>
      </c>
      <c r="Y95" s="135">
        <f>'Monthly forecast'!AA20</f>
        <v/>
      </c>
      <c r="Z95" s="135">
        <f>'Monthly forecast'!AB20</f>
        <v/>
      </c>
      <c r="AA95" s="135">
        <f>'Monthly forecast'!AC20</f>
        <v/>
      </c>
      <c r="AB95" s="135">
        <f>'Monthly forecast'!AD20</f>
        <v/>
      </c>
      <c r="AC95" s="135">
        <f>'Monthly forecast'!AE20</f>
        <v/>
      </c>
      <c r="AD95" s="135">
        <f>'Monthly forecast'!AF20</f>
        <v/>
      </c>
      <c r="AE95" s="135">
        <f>'Monthly forecast'!AG20</f>
        <v/>
      </c>
      <c r="AF95" s="135">
        <f>'Monthly forecast'!AH20</f>
        <v/>
      </c>
      <c r="AG95" s="135">
        <f>'Monthly forecast'!AI20</f>
        <v/>
      </c>
      <c r="AH95" s="135">
        <f>'Monthly forecast'!AJ20</f>
        <v/>
      </c>
      <c r="AI95" s="135">
        <f>'Monthly forecast'!AK20</f>
        <v/>
      </c>
      <c r="AJ95" s="135">
        <f>'Monthly forecast'!AL20</f>
        <v/>
      </c>
      <c r="AK95" s="135">
        <f>'Monthly forecast'!AM20</f>
        <v/>
      </c>
      <c r="AL95" s="135">
        <f>'Monthly forecast'!AN20</f>
        <v/>
      </c>
      <c r="AM95" s="135">
        <f>'Monthly forecast'!AO20</f>
        <v/>
      </c>
      <c r="AN95" s="135">
        <f>'Monthly forecast'!AP20</f>
        <v/>
      </c>
      <c r="AO95" s="135">
        <f>'Monthly forecast'!AQ20</f>
        <v/>
      </c>
      <c r="AP95" s="135">
        <f>'Monthly forecast'!AR20</f>
        <v/>
      </c>
      <c r="AQ95" s="135">
        <f>'Monthly forecast'!AS20</f>
        <v/>
      </c>
      <c r="AR95" s="135">
        <f>'Monthly forecast'!AT20</f>
        <v/>
      </c>
      <c r="AS95" s="135">
        <f>'Monthly forecast'!AU20</f>
        <v/>
      </c>
      <c r="AT95" s="135">
        <f>'Monthly forecast'!AV20</f>
        <v/>
      </c>
      <c r="AU95" s="135">
        <f>'Monthly forecast'!AW20</f>
        <v/>
      </c>
      <c r="AV95" s="135">
        <f>'Monthly forecast'!AX20</f>
        <v/>
      </c>
      <c r="AW95" s="135">
        <f>'Monthly forecast'!AY20</f>
        <v/>
      </c>
      <c r="AX95" s="135">
        <f>'Monthly forecast'!AZ20</f>
        <v/>
      </c>
      <c r="AY95" s="135">
        <f>'Monthly forecast'!BA20</f>
        <v/>
      </c>
      <c r="AZ95" s="135">
        <f>'Monthly forecast'!BB20</f>
        <v/>
      </c>
      <c r="BA95" s="135">
        <f>'Monthly forecast'!BC20</f>
        <v/>
      </c>
      <c r="BB95" s="135">
        <f>'Monthly forecast'!BD20</f>
        <v/>
      </c>
      <c r="BC95" s="135">
        <f>'Monthly forecast'!BE20</f>
        <v/>
      </c>
      <c r="BD95" s="135">
        <f>'Monthly forecast'!BF20</f>
        <v/>
      </c>
      <c r="BE95" s="135">
        <f>'Monthly forecast'!BG20</f>
        <v/>
      </c>
      <c r="BF95" s="135">
        <f>'Monthly forecast'!BH20</f>
        <v/>
      </c>
      <c r="BG95" s="135">
        <f>'Monthly forecast'!BI20</f>
        <v/>
      </c>
      <c r="BH95" s="135">
        <f>'Monthly forecast'!BJ20</f>
        <v/>
      </c>
      <c r="BI95" s="135">
        <f>'Monthly forecast'!BK20</f>
        <v/>
      </c>
      <c r="BJ95" s="135">
        <f>'Monthly forecast'!BL20</f>
        <v/>
      </c>
      <c r="BK95" s="135">
        <f>'Monthly forecast'!BM20</f>
        <v/>
      </c>
      <c r="BL95" s="135">
        <f>'Monthly forecast'!BN20</f>
        <v/>
      </c>
      <c r="BM95" s="135">
        <f>'Monthly forecast'!BO20</f>
        <v/>
      </c>
      <c r="BN95" s="135">
        <f>'Monthly forecast'!BP20</f>
        <v/>
      </c>
      <c r="BO95" s="135">
        <f>'Monthly forecast'!BQ20</f>
        <v/>
      </c>
      <c r="BP95" s="135">
        <f>'Monthly forecast'!BR20</f>
        <v/>
      </c>
      <c r="BQ95" s="135">
        <f>'Monthly forecast'!BS20</f>
        <v/>
      </c>
      <c r="BR95" s="135">
        <f>'Monthly forecast'!BT20</f>
        <v/>
      </c>
      <c r="BS95" s="135">
        <f>'Monthly forecast'!BU20</f>
        <v/>
      </c>
      <c r="BT95" s="135">
        <f>'Monthly forecast'!BV20</f>
        <v/>
      </c>
      <c r="BU95" s="135">
        <f>'Monthly forecast'!BW20</f>
        <v/>
      </c>
      <c r="BV95" s="135">
        <f>'Monthly forecast'!BX20</f>
        <v/>
      </c>
      <c r="BW95" s="135">
        <f>'Monthly forecast'!BY20</f>
        <v/>
      </c>
      <c r="BX95" s="135">
        <f>'Monthly forecast'!BZ20</f>
        <v/>
      </c>
      <c r="BY95" s="135">
        <f>'Monthly forecast'!CA20</f>
        <v/>
      </c>
      <c r="BZ95" s="135">
        <f>'Monthly forecast'!CB20</f>
        <v/>
      </c>
      <c r="CA95" s="135">
        <f>'Monthly forecast'!CC20</f>
        <v/>
      </c>
      <c r="CB95" s="135">
        <f>'Monthly forecast'!CD20</f>
        <v/>
      </c>
      <c r="CC95" s="135">
        <f>'Monthly forecast'!CE20</f>
        <v/>
      </c>
      <c r="CD95" s="135">
        <f>'Monthly forecast'!CF20</f>
        <v/>
      </c>
      <c r="CE95" s="135">
        <f>'Monthly forecast'!CG20</f>
        <v/>
      </c>
      <c r="CF95" s="135">
        <f>'Monthly forecast'!CH20</f>
        <v/>
      </c>
      <c r="CG95" s="135">
        <f>'Monthly forecast'!CI20</f>
        <v/>
      </c>
      <c r="CH95" s="135">
        <f>'Monthly forecast'!CJ20</f>
        <v/>
      </c>
      <c r="CI95" s="135">
        <f>'Monthly forecast'!CK20</f>
        <v/>
      </c>
      <c r="CJ95" s="135">
        <f>'Monthly forecast'!CL20</f>
        <v/>
      </c>
      <c r="CK95" s="135">
        <f>'Monthly forecast'!CM20</f>
        <v/>
      </c>
      <c r="CL95" s="135">
        <f>'Monthly forecast'!CN20</f>
        <v/>
      </c>
      <c r="CM95" s="135">
        <f>'Monthly forecast'!CO20</f>
        <v/>
      </c>
      <c r="CN95" s="135">
        <f>'Monthly forecast'!CP20</f>
        <v/>
      </c>
      <c r="CO95" s="135">
        <f>'Monthly forecast'!CQ20</f>
        <v/>
      </c>
      <c r="CP95" s="135">
        <f>'Monthly forecast'!CR20</f>
        <v/>
      </c>
      <c r="CQ95" s="135">
        <f>'Monthly forecast'!CS20</f>
        <v/>
      </c>
      <c r="CR95" s="135">
        <f>'Monthly forecast'!CT20</f>
        <v/>
      </c>
      <c r="CS95" s="135">
        <f>'Monthly forecast'!CU20</f>
        <v/>
      </c>
      <c r="CT95" s="135">
        <f>'Monthly forecast'!CV20</f>
        <v/>
      </c>
      <c r="CU95" s="135">
        <f>'Monthly forecast'!CW20</f>
        <v/>
      </c>
      <c r="CV95" s="135">
        <f>'Monthly forecast'!CX20</f>
        <v/>
      </c>
    </row>
    <row r="96" ht="15.75" customHeight="1" s="255">
      <c r="A96" s="254">
        <f>Projections!$A$39</f>
        <v/>
      </c>
      <c r="B96" s="5">
        <f>'Monthly forecast'!D31</f>
        <v/>
      </c>
      <c r="C96" s="140">
        <f>'Monthly forecast'!E31</f>
        <v/>
      </c>
      <c r="D96" s="140">
        <f>'Monthly forecast'!F31</f>
        <v/>
      </c>
      <c r="E96" s="140">
        <f>'Monthly forecast'!G31</f>
        <v/>
      </c>
      <c r="F96" s="140">
        <f>'Monthly forecast'!H31</f>
        <v/>
      </c>
      <c r="G96" s="140">
        <f>'Monthly forecast'!I31</f>
        <v/>
      </c>
      <c r="H96" s="140">
        <f>'Monthly forecast'!J31</f>
        <v/>
      </c>
      <c r="I96" s="140">
        <f>'Monthly forecast'!K31</f>
        <v/>
      </c>
      <c r="J96" s="140">
        <f>'Monthly forecast'!L31</f>
        <v/>
      </c>
      <c r="K96" s="140">
        <f>'Monthly forecast'!M31</f>
        <v/>
      </c>
      <c r="L96" s="140">
        <f>'Monthly forecast'!N31</f>
        <v/>
      </c>
      <c r="M96" s="140">
        <f>'Monthly forecast'!O31</f>
        <v/>
      </c>
      <c r="N96" s="140">
        <f>'Monthly forecast'!P31</f>
        <v/>
      </c>
      <c r="O96" s="140">
        <f>'Monthly forecast'!Q31</f>
        <v/>
      </c>
      <c r="P96" s="140">
        <f>'Monthly forecast'!R31</f>
        <v/>
      </c>
      <c r="Q96" s="140">
        <f>'Monthly forecast'!S31</f>
        <v/>
      </c>
      <c r="R96" s="140">
        <f>'Monthly forecast'!T31</f>
        <v/>
      </c>
      <c r="S96" s="140">
        <f>'Monthly forecast'!U31</f>
        <v/>
      </c>
      <c r="T96" s="140">
        <f>'Monthly forecast'!V31</f>
        <v/>
      </c>
      <c r="U96" s="140">
        <f>'Monthly forecast'!W31</f>
        <v/>
      </c>
      <c r="V96" s="140">
        <f>'Monthly forecast'!X31</f>
        <v/>
      </c>
      <c r="W96" s="140">
        <f>'Monthly forecast'!Y31</f>
        <v/>
      </c>
      <c r="X96" s="140">
        <f>'Monthly forecast'!Z31</f>
        <v/>
      </c>
      <c r="Y96" s="140">
        <f>'Monthly forecast'!AA31</f>
        <v/>
      </c>
      <c r="Z96" s="140">
        <f>'Monthly forecast'!AB31</f>
        <v/>
      </c>
      <c r="AA96" s="140">
        <f>'Monthly forecast'!AC31</f>
        <v/>
      </c>
      <c r="AB96" s="140">
        <f>'Monthly forecast'!AD31</f>
        <v/>
      </c>
      <c r="AC96" s="140">
        <f>'Monthly forecast'!AE31</f>
        <v/>
      </c>
      <c r="AD96" s="140">
        <f>'Monthly forecast'!AF31</f>
        <v/>
      </c>
      <c r="AE96" s="140">
        <f>'Monthly forecast'!AG31</f>
        <v/>
      </c>
      <c r="AF96" s="140">
        <f>'Monthly forecast'!AH31</f>
        <v/>
      </c>
      <c r="AG96" s="140">
        <f>'Monthly forecast'!AI31</f>
        <v/>
      </c>
      <c r="AH96" s="140">
        <f>'Monthly forecast'!AJ31</f>
        <v/>
      </c>
      <c r="AI96" s="140">
        <f>'Monthly forecast'!AK31</f>
        <v/>
      </c>
      <c r="AJ96" s="140">
        <f>'Monthly forecast'!AL31</f>
        <v/>
      </c>
      <c r="AK96" s="140">
        <f>'Monthly forecast'!AM31</f>
        <v/>
      </c>
      <c r="AL96" s="140">
        <f>'Monthly forecast'!AN31</f>
        <v/>
      </c>
      <c r="AM96" s="140">
        <f>'Monthly forecast'!AO31</f>
        <v/>
      </c>
      <c r="AN96" s="140">
        <f>'Monthly forecast'!AP31</f>
        <v/>
      </c>
      <c r="AO96" s="140">
        <f>'Monthly forecast'!AQ31</f>
        <v/>
      </c>
      <c r="AP96" s="140">
        <f>'Monthly forecast'!AR31</f>
        <v/>
      </c>
      <c r="AQ96" s="140">
        <f>'Monthly forecast'!AS31</f>
        <v/>
      </c>
      <c r="AR96" s="140">
        <f>'Monthly forecast'!AT31</f>
        <v/>
      </c>
      <c r="AS96" s="140">
        <f>'Monthly forecast'!AU31</f>
        <v/>
      </c>
      <c r="AT96" s="140">
        <f>'Monthly forecast'!AV31</f>
        <v/>
      </c>
      <c r="AU96" s="140">
        <f>'Monthly forecast'!AW31</f>
        <v/>
      </c>
      <c r="AV96" s="140">
        <f>'Monthly forecast'!AX31</f>
        <v/>
      </c>
      <c r="AW96" s="140">
        <f>'Monthly forecast'!AY31</f>
        <v/>
      </c>
      <c r="AX96" s="140">
        <f>'Monthly forecast'!AZ31</f>
        <v/>
      </c>
      <c r="AY96" s="140">
        <f>'Monthly forecast'!BA31</f>
        <v/>
      </c>
      <c r="AZ96" s="140">
        <f>'Monthly forecast'!BB31</f>
        <v/>
      </c>
      <c r="BA96" s="140">
        <f>'Monthly forecast'!BC31</f>
        <v/>
      </c>
      <c r="BB96" s="140">
        <f>'Monthly forecast'!BD31</f>
        <v/>
      </c>
      <c r="BC96" s="140">
        <f>'Monthly forecast'!BE31</f>
        <v/>
      </c>
      <c r="BD96" s="140">
        <f>'Monthly forecast'!BF31</f>
        <v/>
      </c>
      <c r="BE96" s="140">
        <f>'Monthly forecast'!BG31</f>
        <v/>
      </c>
      <c r="BF96" s="140">
        <f>'Monthly forecast'!BH31</f>
        <v/>
      </c>
      <c r="BG96" s="140">
        <f>'Monthly forecast'!BI31</f>
        <v/>
      </c>
      <c r="BH96" s="140">
        <f>'Monthly forecast'!BJ31</f>
        <v/>
      </c>
      <c r="BI96" s="140">
        <f>'Monthly forecast'!BK31</f>
        <v/>
      </c>
      <c r="BJ96" s="140">
        <f>'Monthly forecast'!BL31</f>
        <v/>
      </c>
      <c r="BK96" s="140">
        <f>'Monthly forecast'!BM31</f>
        <v/>
      </c>
      <c r="BL96" s="140">
        <f>'Monthly forecast'!BN31</f>
        <v/>
      </c>
      <c r="BM96" s="140">
        <f>'Monthly forecast'!BO31</f>
        <v/>
      </c>
      <c r="BN96" s="140">
        <f>'Monthly forecast'!BP31</f>
        <v/>
      </c>
      <c r="BO96" s="140">
        <f>'Monthly forecast'!BQ31</f>
        <v/>
      </c>
      <c r="BP96" s="140">
        <f>'Monthly forecast'!BR31</f>
        <v/>
      </c>
      <c r="BQ96" s="140">
        <f>'Monthly forecast'!BS31</f>
        <v/>
      </c>
      <c r="BR96" s="140">
        <f>'Monthly forecast'!BT31</f>
        <v/>
      </c>
      <c r="BS96" s="140">
        <f>'Monthly forecast'!BU31</f>
        <v/>
      </c>
      <c r="BT96" s="140">
        <f>'Monthly forecast'!BV31</f>
        <v/>
      </c>
      <c r="BU96" s="140">
        <f>'Monthly forecast'!BW31</f>
        <v/>
      </c>
      <c r="BV96" s="140">
        <f>'Monthly forecast'!BX31</f>
        <v/>
      </c>
      <c r="BW96" s="140">
        <f>'Monthly forecast'!BY31</f>
        <v/>
      </c>
      <c r="BX96" s="140">
        <f>'Monthly forecast'!BZ31</f>
        <v/>
      </c>
      <c r="BY96" s="140">
        <f>'Monthly forecast'!CA31</f>
        <v/>
      </c>
      <c r="BZ96" s="140">
        <f>'Monthly forecast'!CB31</f>
        <v/>
      </c>
      <c r="CA96" s="140">
        <f>'Monthly forecast'!CC31</f>
        <v/>
      </c>
      <c r="CB96" s="140">
        <f>'Monthly forecast'!CD31</f>
        <v/>
      </c>
      <c r="CC96" s="140">
        <f>'Monthly forecast'!CE31</f>
        <v/>
      </c>
      <c r="CD96" s="140">
        <f>'Monthly forecast'!CF31</f>
        <v/>
      </c>
      <c r="CE96" s="140">
        <f>'Monthly forecast'!CG31</f>
        <v/>
      </c>
      <c r="CF96" s="140">
        <f>'Monthly forecast'!CH31</f>
        <v/>
      </c>
      <c r="CG96" s="140">
        <f>'Monthly forecast'!CI31</f>
        <v/>
      </c>
      <c r="CH96" s="140">
        <f>'Monthly forecast'!CJ31</f>
        <v/>
      </c>
      <c r="CI96" s="140">
        <f>'Monthly forecast'!CK31</f>
        <v/>
      </c>
      <c r="CJ96" s="140">
        <f>'Monthly forecast'!CL31</f>
        <v/>
      </c>
      <c r="CK96" s="140">
        <f>'Monthly forecast'!CM31</f>
        <v/>
      </c>
      <c r="CL96" s="140">
        <f>'Monthly forecast'!CN31</f>
        <v/>
      </c>
      <c r="CM96" s="140">
        <f>'Monthly forecast'!CO31</f>
        <v/>
      </c>
      <c r="CN96" s="140">
        <f>'Monthly forecast'!CP31</f>
        <v/>
      </c>
      <c r="CO96" s="140">
        <f>'Monthly forecast'!CQ31</f>
        <v/>
      </c>
      <c r="CP96" s="140">
        <f>'Monthly forecast'!CR31</f>
        <v/>
      </c>
      <c r="CQ96" s="140">
        <f>'Monthly forecast'!CS31</f>
        <v/>
      </c>
      <c r="CR96" s="140">
        <f>'Monthly forecast'!CT31</f>
        <v/>
      </c>
      <c r="CS96" s="140">
        <f>'Monthly forecast'!CU31</f>
        <v/>
      </c>
      <c r="CT96" s="140">
        <f>'Monthly forecast'!CV31</f>
        <v/>
      </c>
      <c r="CU96" s="140">
        <f>'Monthly forecast'!CW31</f>
        <v/>
      </c>
      <c r="CV96" s="140">
        <f>'Monthly forecast'!CX31</f>
        <v/>
      </c>
    </row>
    <row r="97" ht="15.75" customHeight="1" s="255">
      <c r="A97" s="254">
        <f>Projections!$A$53</f>
        <v/>
      </c>
      <c r="B97" s="5">
        <f>'Monthly forecast'!D40</f>
        <v/>
      </c>
      <c r="C97" s="140">
        <f>'Monthly forecast'!E40</f>
        <v/>
      </c>
      <c r="D97" s="140">
        <f>'Monthly forecast'!F40</f>
        <v/>
      </c>
      <c r="E97" s="140">
        <f>'Monthly forecast'!G40</f>
        <v/>
      </c>
      <c r="F97" s="140">
        <f>'Monthly forecast'!H40</f>
        <v/>
      </c>
      <c r="G97" s="140">
        <f>'Monthly forecast'!I40</f>
        <v/>
      </c>
      <c r="H97" s="140">
        <f>'Monthly forecast'!J40</f>
        <v/>
      </c>
      <c r="I97" s="140">
        <f>'Monthly forecast'!K40</f>
        <v/>
      </c>
      <c r="J97" s="140">
        <f>'Monthly forecast'!L40</f>
        <v/>
      </c>
      <c r="K97" s="140">
        <f>'Monthly forecast'!M40</f>
        <v/>
      </c>
      <c r="L97" s="140">
        <f>'Monthly forecast'!N40</f>
        <v/>
      </c>
      <c r="M97" s="140">
        <f>'Monthly forecast'!O40</f>
        <v/>
      </c>
      <c r="N97" s="140">
        <f>'Monthly forecast'!P40</f>
        <v/>
      </c>
      <c r="O97" s="140">
        <f>'Monthly forecast'!Q40</f>
        <v/>
      </c>
      <c r="P97" s="140">
        <f>'Monthly forecast'!R40</f>
        <v/>
      </c>
      <c r="Q97" s="140">
        <f>'Monthly forecast'!S40</f>
        <v/>
      </c>
      <c r="R97" s="140">
        <f>'Monthly forecast'!T40</f>
        <v/>
      </c>
      <c r="S97" s="140">
        <f>'Monthly forecast'!U40</f>
        <v/>
      </c>
      <c r="T97" s="140">
        <f>'Monthly forecast'!V40</f>
        <v/>
      </c>
      <c r="U97" s="140">
        <f>'Monthly forecast'!W40</f>
        <v/>
      </c>
      <c r="V97" s="140">
        <f>'Monthly forecast'!X40</f>
        <v/>
      </c>
      <c r="W97" s="140">
        <f>'Monthly forecast'!Y40</f>
        <v/>
      </c>
      <c r="X97" s="140">
        <f>'Monthly forecast'!Z40</f>
        <v/>
      </c>
      <c r="Y97" s="140">
        <f>'Monthly forecast'!AA40</f>
        <v/>
      </c>
      <c r="Z97" s="140">
        <f>'Monthly forecast'!AB40</f>
        <v/>
      </c>
      <c r="AA97" s="140">
        <f>'Monthly forecast'!AC40</f>
        <v/>
      </c>
      <c r="AB97" s="140">
        <f>'Monthly forecast'!AD40</f>
        <v/>
      </c>
      <c r="AC97" s="140">
        <f>'Monthly forecast'!AE40</f>
        <v/>
      </c>
      <c r="AD97" s="140">
        <f>'Monthly forecast'!AF40</f>
        <v/>
      </c>
      <c r="AE97" s="140">
        <f>'Monthly forecast'!AG40</f>
        <v/>
      </c>
      <c r="AF97" s="140">
        <f>'Monthly forecast'!AH40</f>
        <v/>
      </c>
      <c r="AG97" s="140">
        <f>'Monthly forecast'!AI40</f>
        <v/>
      </c>
      <c r="AH97" s="140">
        <f>'Monthly forecast'!AJ40</f>
        <v/>
      </c>
      <c r="AI97" s="140">
        <f>'Monthly forecast'!AK40</f>
        <v/>
      </c>
      <c r="AJ97" s="140">
        <f>'Monthly forecast'!AL40</f>
        <v/>
      </c>
      <c r="AK97" s="140">
        <f>'Monthly forecast'!AM40</f>
        <v/>
      </c>
      <c r="AL97" s="140">
        <f>'Monthly forecast'!AN40</f>
        <v/>
      </c>
      <c r="AM97" s="140">
        <f>'Monthly forecast'!AO40</f>
        <v/>
      </c>
      <c r="AN97" s="140">
        <f>'Monthly forecast'!AP40</f>
        <v/>
      </c>
      <c r="AO97" s="140">
        <f>'Monthly forecast'!AQ40</f>
        <v/>
      </c>
      <c r="AP97" s="140">
        <f>'Monthly forecast'!AR40</f>
        <v/>
      </c>
      <c r="AQ97" s="140">
        <f>'Monthly forecast'!AS40</f>
        <v/>
      </c>
      <c r="AR97" s="140">
        <f>'Monthly forecast'!AT40</f>
        <v/>
      </c>
      <c r="AS97" s="140">
        <f>'Monthly forecast'!AU40</f>
        <v/>
      </c>
      <c r="AT97" s="140">
        <f>'Monthly forecast'!AV40</f>
        <v/>
      </c>
      <c r="AU97" s="140">
        <f>'Monthly forecast'!AW40</f>
        <v/>
      </c>
      <c r="AV97" s="140">
        <f>'Monthly forecast'!AX40</f>
        <v/>
      </c>
      <c r="AW97" s="140">
        <f>'Monthly forecast'!AY40</f>
        <v/>
      </c>
      <c r="AX97" s="140">
        <f>'Monthly forecast'!AZ40</f>
        <v/>
      </c>
      <c r="AY97" s="140">
        <f>'Monthly forecast'!BA40</f>
        <v/>
      </c>
      <c r="AZ97" s="140">
        <f>'Monthly forecast'!BB40</f>
        <v/>
      </c>
      <c r="BA97" s="140">
        <f>'Monthly forecast'!BC40</f>
        <v/>
      </c>
      <c r="BB97" s="140">
        <f>'Monthly forecast'!BD40</f>
        <v/>
      </c>
      <c r="BC97" s="140">
        <f>'Monthly forecast'!BE40</f>
        <v/>
      </c>
      <c r="BD97" s="140">
        <f>'Monthly forecast'!BF40</f>
        <v/>
      </c>
      <c r="BE97" s="140">
        <f>'Monthly forecast'!BG40</f>
        <v/>
      </c>
      <c r="BF97" s="140">
        <f>'Monthly forecast'!BH40</f>
        <v/>
      </c>
      <c r="BG97" s="140">
        <f>'Monthly forecast'!BI40</f>
        <v/>
      </c>
      <c r="BH97" s="140">
        <f>'Monthly forecast'!BJ40</f>
        <v/>
      </c>
      <c r="BI97" s="140">
        <f>'Monthly forecast'!BK40</f>
        <v/>
      </c>
      <c r="BJ97" s="140">
        <f>'Monthly forecast'!BL40</f>
        <v/>
      </c>
      <c r="BK97" s="140">
        <f>'Monthly forecast'!BM40</f>
        <v/>
      </c>
      <c r="BL97" s="140">
        <f>'Monthly forecast'!BN40</f>
        <v/>
      </c>
      <c r="BM97" s="140">
        <f>'Monthly forecast'!BO40</f>
        <v/>
      </c>
      <c r="BN97" s="140">
        <f>'Monthly forecast'!BP40</f>
        <v/>
      </c>
      <c r="BO97" s="140">
        <f>'Monthly forecast'!BQ40</f>
        <v/>
      </c>
      <c r="BP97" s="140">
        <f>'Monthly forecast'!BR40</f>
        <v/>
      </c>
      <c r="BQ97" s="140">
        <f>'Monthly forecast'!BS40</f>
        <v/>
      </c>
      <c r="BR97" s="140">
        <f>'Monthly forecast'!BT40</f>
        <v/>
      </c>
      <c r="BS97" s="140">
        <f>'Monthly forecast'!BU40</f>
        <v/>
      </c>
      <c r="BT97" s="140">
        <f>'Monthly forecast'!BV40</f>
        <v/>
      </c>
      <c r="BU97" s="140">
        <f>'Monthly forecast'!BW40</f>
        <v/>
      </c>
      <c r="BV97" s="140">
        <f>'Monthly forecast'!BX40</f>
        <v/>
      </c>
      <c r="BW97" s="140">
        <f>'Monthly forecast'!BY40</f>
        <v/>
      </c>
      <c r="BX97" s="140">
        <f>'Monthly forecast'!BZ40</f>
        <v/>
      </c>
      <c r="BY97" s="140">
        <f>'Monthly forecast'!CA40</f>
        <v/>
      </c>
      <c r="BZ97" s="140">
        <f>'Monthly forecast'!CB40</f>
        <v/>
      </c>
      <c r="CA97" s="140">
        <f>'Monthly forecast'!CC40</f>
        <v/>
      </c>
      <c r="CB97" s="140">
        <f>'Monthly forecast'!CD40</f>
        <v/>
      </c>
      <c r="CC97" s="140">
        <f>'Monthly forecast'!CE40</f>
        <v/>
      </c>
      <c r="CD97" s="140">
        <f>'Monthly forecast'!CF40</f>
        <v/>
      </c>
      <c r="CE97" s="140">
        <f>'Monthly forecast'!CG40</f>
        <v/>
      </c>
      <c r="CF97" s="140">
        <f>'Monthly forecast'!CH40</f>
        <v/>
      </c>
      <c r="CG97" s="140">
        <f>'Monthly forecast'!CI40</f>
        <v/>
      </c>
      <c r="CH97" s="140">
        <f>'Monthly forecast'!CJ40</f>
        <v/>
      </c>
      <c r="CI97" s="140">
        <f>'Monthly forecast'!CK40</f>
        <v/>
      </c>
      <c r="CJ97" s="140">
        <f>'Monthly forecast'!CL40</f>
        <v/>
      </c>
      <c r="CK97" s="140">
        <f>'Monthly forecast'!CM40</f>
        <v/>
      </c>
      <c r="CL97" s="140">
        <f>'Monthly forecast'!CN40</f>
        <v/>
      </c>
      <c r="CM97" s="140">
        <f>'Monthly forecast'!CO40</f>
        <v/>
      </c>
      <c r="CN97" s="140">
        <f>'Monthly forecast'!CP40</f>
        <v/>
      </c>
      <c r="CO97" s="140">
        <f>'Monthly forecast'!CQ40</f>
        <v/>
      </c>
      <c r="CP97" s="140">
        <f>'Monthly forecast'!CR40</f>
        <v/>
      </c>
      <c r="CQ97" s="140">
        <f>'Monthly forecast'!CS40</f>
        <v/>
      </c>
      <c r="CR97" s="140">
        <f>'Monthly forecast'!CT40</f>
        <v/>
      </c>
      <c r="CS97" s="140">
        <f>'Monthly forecast'!CU40</f>
        <v/>
      </c>
      <c r="CT97" s="140">
        <f>'Monthly forecast'!CV40</f>
        <v/>
      </c>
      <c r="CU97" s="140">
        <f>'Monthly forecast'!CW40</f>
        <v/>
      </c>
      <c r="CV97" s="140">
        <f>'Monthly forecast'!CX40</f>
        <v/>
      </c>
    </row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29.25" customHeight="1" s="255">
      <c r="A119" s="123" t="inlineStr">
        <is>
          <t>Month</t>
        </is>
      </c>
      <c r="B119" s="125">
        <f>EDATE(C119,-1)</f>
        <v/>
      </c>
      <c r="C119" s="126">
        <f>Projections!$B$4</f>
        <v/>
      </c>
      <c r="D119" s="126">
        <f>EDATE(C119,1)</f>
        <v/>
      </c>
      <c r="E119" s="126">
        <f>EDATE(D119,1)</f>
        <v/>
      </c>
      <c r="F119" s="126">
        <f>EDATE(E119,1)</f>
        <v/>
      </c>
      <c r="G119" s="126">
        <f>EDATE(F119,1)</f>
        <v/>
      </c>
      <c r="H119" s="126">
        <f>EDATE(G119,1)</f>
        <v/>
      </c>
      <c r="I119" s="126">
        <f>EDATE(H119,1)</f>
        <v/>
      </c>
      <c r="J119" s="126">
        <f>EDATE(I119,1)</f>
        <v/>
      </c>
      <c r="K119" s="126">
        <f>EDATE(J119,1)</f>
        <v/>
      </c>
      <c r="L119" s="126">
        <f>EDATE(K119,1)</f>
        <v/>
      </c>
      <c r="M119" s="126">
        <f>EDATE(L119,1)</f>
        <v/>
      </c>
      <c r="N119" s="126">
        <f>EDATE(M119,1)</f>
        <v/>
      </c>
      <c r="O119" s="126">
        <f>EDATE(N119,1)</f>
        <v/>
      </c>
      <c r="P119" s="126">
        <f>EDATE(O119,1)</f>
        <v/>
      </c>
      <c r="Q119" s="126">
        <f>EDATE(P119,1)</f>
        <v/>
      </c>
      <c r="R119" s="126">
        <f>EDATE(Q119,1)</f>
        <v/>
      </c>
      <c r="S119" s="126">
        <f>EDATE(R119,1)</f>
        <v/>
      </c>
      <c r="T119" s="126">
        <f>EDATE(S119,1)</f>
        <v/>
      </c>
      <c r="U119" s="126">
        <f>EDATE(T119,1)</f>
        <v/>
      </c>
      <c r="V119" s="126">
        <f>EDATE(U119,1)</f>
        <v/>
      </c>
      <c r="W119" s="126">
        <f>EDATE(V119,1)</f>
        <v/>
      </c>
      <c r="X119" s="126">
        <f>EDATE(W119,1)</f>
        <v/>
      </c>
      <c r="Y119" s="126">
        <f>EDATE(X119,1)</f>
        <v/>
      </c>
      <c r="Z119" s="126">
        <f>EDATE(Y119,1)</f>
        <v/>
      </c>
      <c r="AA119" s="126">
        <f>EDATE(Z119,1)</f>
        <v/>
      </c>
      <c r="AB119" s="126">
        <f>EDATE(AA119,1)</f>
        <v/>
      </c>
      <c r="AC119" s="126">
        <f>EDATE(AB119,1)</f>
        <v/>
      </c>
      <c r="AD119" s="126">
        <f>EDATE(AC119,1)</f>
        <v/>
      </c>
      <c r="AE119" s="126">
        <f>EDATE(AD119,1)</f>
        <v/>
      </c>
      <c r="AF119" s="126">
        <f>EDATE(AE119,1)</f>
        <v/>
      </c>
      <c r="AG119" s="126">
        <f>EDATE(AF119,1)</f>
        <v/>
      </c>
      <c r="AH119" s="126">
        <f>EDATE(AG119,1)</f>
        <v/>
      </c>
      <c r="AI119" s="126">
        <f>EDATE(AH119,1)</f>
        <v/>
      </c>
      <c r="AJ119" s="126">
        <f>EDATE(AI119,1)</f>
        <v/>
      </c>
      <c r="AK119" s="126">
        <f>EDATE(AJ119,1)</f>
        <v/>
      </c>
      <c r="AL119" s="126">
        <f>EDATE(AK119,1)</f>
        <v/>
      </c>
      <c r="AM119" s="126">
        <f>EDATE(AL119,1)</f>
        <v/>
      </c>
      <c r="AN119" s="126">
        <f>EDATE(AM119,1)</f>
        <v/>
      </c>
      <c r="AO119" s="126">
        <f>EDATE(AN119,1)</f>
        <v/>
      </c>
      <c r="AP119" s="126">
        <f>EDATE(AO119,1)</f>
        <v/>
      </c>
      <c r="AQ119" s="126">
        <f>EDATE(AP119,1)</f>
        <v/>
      </c>
      <c r="AR119" s="126">
        <f>EDATE(AQ119,1)</f>
        <v/>
      </c>
      <c r="AS119" s="126">
        <f>EDATE(AR119,1)</f>
        <v/>
      </c>
      <c r="AT119" s="126">
        <f>EDATE(AS119,1)</f>
        <v/>
      </c>
      <c r="AU119" s="126">
        <f>EDATE(AT119,1)</f>
        <v/>
      </c>
      <c r="AV119" s="126">
        <f>EDATE(AU119,1)</f>
        <v/>
      </c>
      <c r="AW119" s="126">
        <f>EDATE(AV119,1)</f>
        <v/>
      </c>
      <c r="AX119" s="126">
        <f>EDATE(AW119,1)</f>
        <v/>
      </c>
      <c r="AY119" s="126">
        <f>EDATE(AX119,1)</f>
        <v/>
      </c>
      <c r="AZ119" s="126">
        <f>EDATE(AY119,1)</f>
        <v/>
      </c>
      <c r="BA119" s="126">
        <f>EDATE(AZ119,1)</f>
        <v/>
      </c>
      <c r="BB119" s="126">
        <f>EDATE(BA119,1)</f>
        <v/>
      </c>
      <c r="BC119" s="126">
        <f>EDATE(BB119,1)</f>
        <v/>
      </c>
      <c r="BD119" s="126">
        <f>EDATE(BC119,1)</f>
        <v/>
      </c>
      <c r="BE119" s="126">
        <f>EDATE(BD119,1)</f>
        <v/>
      </c>
      <c r="BF119" s="126">
        <f>EDATE(BE119,1)</f>
        <v/>
      </c>
      <c r="BG119" s="126">
        <f>EDATE(BF119,1)</f>
        <v/>
      </c>
      <c r="BH119" s="126">
        <f>EDATE(BG119,1)</f>
        <v/>
      </c>
      <c r="BI119" s="126">
        <f>EDATE(BH119,1)</f>
        <v/>
      </c>
      <c r="BJ119" s="126">
        <f>EDATE(BI119,1)</f>
        <v/>
      </c>
      <c r="BK119" s="126">
        <f>EDATE(BJ119,1)</f>
        <v/>
      </c>
      <c r="BL119" s="126">
        <f>EDATE(BK119,1)</f>
        <v/>
      </c>
      <c r="BM119" s="126">
        <f>EDATE(BL119,1)</f>
        <v/>
      </c>
      <c r="BN119" s="126">
        <f>EDATE(BM119,1)</f>
        <v/>
      </c>
      <c r="BO119" s="126">
        <f>EDATE(BN119,1)</f>
        <v/>
      </c>
      <c r="BP119" s="126">
        <f>EDATE(BO119,1)</f>
        <v/>
      </c>
      <c r="BQ119" s="126">
        <f>EDATE(BP119,1)</f>
        <v/>
      </c>
      <c r="BR119" s="126">
        <f>EDATE(BQ119,1)</f>
        <v/>
      </c>
      <c r="BS119" s="126">
        <f>EDATE(BR119,1)</f>
        <v/>
      </c>
      <c r="BT119" s="126">
        <f>EDATE(BS119,1)</f>
        <v/>
      </c>
      <c r="BU119" s="126">
        <f>EDATE(BT119,1)</f>
        <v/>
      </c>
      <c r="BV119" s="126">
        <f>EDATE(BU119,1)</f>
        <v/>
      </c>
      <c r="BW119" s="126">
        <f>EDATE(BV119,1)</f>
        <v/>
      </c>
      <c r="BX119" s="126">
        <f>EDATE(BW119,1)</f>
        <v/>
      </c>
      <c r="BY119" s="126">
        <f>EDATE(BX119,1)</f>
        <v/>
      </c>
      <c r="BZ119" s="126">
        <f>EDATE(BY119,1)</f>
        <v/>
      </c>
      <c r="CA119" s="126">
        <f>EDATE(BZ119,1)</f>
        <v/>
      </c>
      <c r="CB119" s="126">
        <f>EDATE(CA119,1)</f>
        <v/>
      </c>
      <c r="CC119" s="126">
        <f>EDATE(CB119,1)</f>
        <v/>
      </c>
      <c r="CD119" s="126">
        <f>EDATE(CC119,1)</f>
        <v/>
      </c>
      <c r="CE119" s="126">
        <f>EDATE(CD119,1)</f>
        <v/>
      </c>
      <c r="CF119" s="126">
        <f>EDATE(CE119,1)</f>
        <v/>
      </c>
      <c r="CG119" s="126">
        <f>EDATE(CF119,1)</f>
        <v/>
      </c>
      <c r="CH119" s="126">
        <f>EDATE(CG119,1)</f>
        <v/>
      </c>
      <c r="CI119" s="126">
        <f>EDATE(CH119,1)</f>
        <v/>
      </c>
      <c r="CJ119" s="126">
        <f>EDATE(CI119,1)</f>
        <v/>
      </c>
      <c r="CK119" s="126">
        <f>EDATE(CJ119,1)</f>
        <v/>
      </c>
      <c r="CL119" s="126">
        <f>EDATE(CK119,1)</f>
        <v/>
      </c>
      <c r="CM119" s="126">
        <f>EDATE(CL119,1)</f>
        <v/>
      </c>
      <c r="CN119" s="126">
        <f>EDATE(CM119,1)</f>
        <v/>
      </c>
      <c r="CO119" s="126">
        <f>EDATE(CN119,1)</f>
        <v/>
      </c>
      <c r="CP119" s="126">
        <f>EDATE(CO119,1)</f>
        <v/>
      </c>
      <c r="CQ119" s="126">
        <f>EDATE(CP119,1)</f>
        <v/>
      </c>
      <c r="CR119" s="126">
        <f>EDATE(CQ119,1)</f>
        <v/>
      </c>
      <c r="CS119" s="126">
        <f>EDATE(CR119,1)</f>
        <v/>
      </c>
      <c r="CT119" s="126">
        <f>EDATE(CS119,1)</f>
        <v/>
      </c>
      <c r="CU119" s="126">
        <f>EDATE(CT119,1)</f>
        <v/>
      </c>
      <c r="CV119" s="126">
        <f>EDATE(CU119,1)</f>
        <v/>
      </c>
    </row>
    <row r="120" ht="15.75" customHeight="1" s="255">
      <c r="A120" s="56">
        <f>Projections!$A$33</f>
        <v/>
      </c>
      <c r="B120" s="134">
        <f>'P&amp;L | Cash Flow | Balance'!C7</f>
        <v/>
      </c>
      <c r="C120" s="134">
        <f>'P&amp;L | Cash Flow | Balance'!D7</f>
        <v/>
      </c>
      <c r="D120" s="134">
        <f>'P&amp;L | Cash Flow | Balance'!E7</f>
        <v/>
      </c>
      <c r="E120" s="134">
        <f>'P&amp;L | Cash Flow | Balance'!F7</f>
        <v/>
      </c>
      <c r="F120" s="134">
        <f>'P&amp;L | Cash Flow | Balance'!G7</f>
        <v/>
      </c>
      <c r="G120" s="134">
        <f>'P&amp;L | Cash Flow | Balance'!H7</f>
        <v/>
      </c>
      <c r="H120" s="134">
        <f>'P&amp;L | Cash Flow | Balance'!I7</f>
        <v/>
      </c>
      <c r="I120" s="134">
        <f>'P&amp;L | Cash Flow | Balance'!J7</f>
        <v/>
      </c>
      <c r="J120" s="134">
        <f>'P&amp;L | Cash Flow | Balance'!K7</f>
        <v/>
      </c>
      <c r="K120" s="134">
        <f>'P&amp;L | Cash Flow | Balance'!L7</f>
        <v/>
      </c>
      <c r="L120" s="134">
        <f>'P&amp;L | Cash Flow | Balance'!M7</f>
        <v/>
      </c>
      <c r="M120" s="134">
        <f>'P&amp;L | Cash Flow | Balance'!N7</f>
        <v/>
      </c>
      <c r="N120" s="134">
        <f>'P&amp;L | Cash Flow | Balance'!O7</f>
        <v/>
      </c>
      <c r="O120" s="134">
        <f>'P&amp;L | Cash Flow | Balance'!P7</f>
        <v/>
      </c>
      <c r="P120" s="134">
        <f>'P&amp;L | Cash Flow | Balance'!Q7</f>
        <v/>
      </c>
      <c r="Q120" s="134">
        <f>'P&amp;L | Cash Flow | Balance'!R7</f>
        <v/>
      </c>
      <c r="R120" s="134">
        <f>'P&amp;L | Cash Flow | Balance'!S7</f>
        <v/>
      </c>
      <c r="S120" s="134">
        <f>'P&amp;L | Cash Flow | Balance'!T7</f>
        <v/>
      </c>
      <c r="T120" s="134">
        <f>'P&amp;L | Cash Flow | Balance'!U7</f>
        <v/>
      </c>
      <c r="U120" s="134">
        <f>'P&amp;L | Cash Flow | Balance'!V7</f>
        <v/>
      </c>
      <c r="V120" s="134">
        <f>'P&amp;L | Cash Flow | Balance'!W7</f>
        <v/>
      </c>
      <c r="W120" s="134">
        <f>'P&amp;L | Cash Flow | Balance'!X7</f>
        <v/>
      </c>
      <c r="X120" s="134">
        <f>'P&amp;L | Cash Flow | Balance'!Y7</f>
        <v/>
      </c>
      <c r="Y120" s="134">
        <f>'P&amp;L | Cash Flow | Balance'!Z7</f>
        <v/>
      </c>
      <c r="Z120" s="134">
        <f>'P&amp;L | Cash Flow | Balance'!AA7</f>
        <v/>
      </c>
      <c r="AA120" s="134">
        <f>'P&amp;L | Cash Flow | Balance'!AB7</f>
        <v/>
      </c>
      <c r="AB120" s="134">
        <f>'P&amp;L | Cash Flow | Balance'!AC7</f>
        <v/>
      </c>
      <c r="AC120" s="134">
        <f>'P&amp;L | Cash Flow | Balance'!AD7</f>
        <v/>
      </c>
      <c r="AD120" s="134">
        <f>'P&amp;L | Cash Flow | Balance'!AE7</f>
        <v/>
      </c>
      <c r="AE120" s="134">
        <f>'P&amp;L | Cash Flow | Balance'!AF7</f>
        <v/>
      </c>
      <c r="AF120" s="134">
        <f>'P&amp;L | Cash Flow | Balance'!AG7</f>
        <v/>
      </c>
      <c r="AG120" s="134">
        <f>'P&amp;L | Cash Flow | Balance'!AH7</f>
        <v/>
      </c>
      <c r="AH120" s="134">
        <f>'P&amp;L | Cash Flow | Balance'!AI7</f>
        <v/>
      </c>
      <c r="AI120" s="134">
        <f>'P&amp;L | Cash Flow | Balance'!AJ7</f>
        <v/>
      </c>
      <c r="AJ120" s="134">
        <f>'P&amp;L | Cash Flow | Balance'!AK7</f>
        <v/>
      </c>
      <c r="AK120" s="134">
        <f>'P&amp;L | Cash Flow | Balance'!AL7</f>
        <v/>
      </c>
      <c r="AL120" s="134">
        <f>'P&amp;L | Cash Flow | Balance'!AM7</f>
        <v/>
      </c>
      <c r="AM120" s="134">
        <f>'P&amp;L | Cash Flow | Balance'!AN7</f>
        <v/>
      </c>
      <c r="AN120" s="134">
        <f>'P&amp;L | Cash Flow | Balance'!AO7</f>
        <v/>
      </c>
      <c r="AO120" s="134">
        <f>'P&amp;L | Cash Flow | Balance'!AP7</f>
        <v/>
      </c>
      <c r="AP120" s="134">
        <f>'P&amp;L | Cash Flow | Balance'!AQ7</f>
        <v/>
      </c>
      <c r="AQ120" s="134">
        <f>'P&amp;L | Cash Flow | Balance'!AR7</f>
        <v/>
      </c>
      <c r="AR120" s="134">
        <f>'P&amp;L | Cash Flow | Balance'!AS7</f>
        <v/>
      </c>
      <c r="AS120" s="134">
        <f>'P&amp;L | Cash Flow | Balance'!AT7</f>
        <v/>
      </c>
      <c r="AT120" s="134">
        <f>'P&amp;L | Cash Flow | Balance'!AU7</f>
        <v/>
      </c>
      <c r="AU120" s="134">
        <f>'P&amp;L | Cash Flow | Balance'!AV7</f>
        <v/>
      </c>
      <c r="AV120" s="134">
        <f>'P&amp;L | Cash Flow | Balance'!AW7</f>
        <v/>
      </c>
      <c r="AW120" s="134">
        <f>'P&amp;L | Cash Flow | Balance'!AX7</f>
        <v/>
      </c>
      <c r="AX120" s="134">
        <f>'P&amp;L | Cash Flow | Balance'!AY7</f>
        <v/>
      </c>
      <c r="AY120" s="134">
        <f>'P&amp;L | Cash Flow | Balance'!AZ7</f>
        <v/>
      </c>
      <c r="AZ120" s="134">
        <f>'P&amp;L | Cash Flow | Balance'!BA7</f>
        <v/>
      </c>
      <c r="BA120" s="134">
        <f>'P&amp;L | Cash Flow | Balance'!BB7</f>
        <v/>
      </c>
      <c r="BB120" s="134">
        <f>'P&amp;L | Cash Flow | Balance'!BC7</f>
        <v/>
      </c>
      <c r="BC120" s="134">
        <f>'P&amp;L | Cash Flow | Balance'!BD7</f>
        <v/>
      </c>
      <c r="BD120" s="134">
        <f>'P&amp;L | Cash Flow | Balance'!BE7</f>
        <v/>
      </c>
      <c r="BE120" s="134">
        <f>'P&amp;L | Cash Flow | Balance'!BF7</f>
        <v/>
      </c>
      <c r="BF120" s="134">
        <f>'P&amp;L | Cash Flow | Balance'!BG7</f>
        <v/>
      </c>
      <c r="BG120" s="134">
        <f>'P&amp;L | Cash Flow | Balance'!BH7</f>
        <v/>
      </c>
      <c r="BH120" s="134">
        <f>'P&amp;L | Cash Flow | Balance'!BI7</f>
        <v/>
      </c>
      <c r="BI120" s="134">
        <f>'P&amp;L | Cash Flow | Balance'!BJ7</f>
        <v/>
      </c>
      <c r="BJ120" s="134">
        <f>'P&amp;L | Cash Flow | Balance'!BK7</f>
        <v/>
      </c>
      <c r="BK120" s="134">
        <f>'P&amp;L | Cash Flow | Balance'!BL7</f>
        <v/>
      </c>
      <c r="BL120" s="134">
        <f>'P&amp;L | Cash Flow | Balance'!BM7</f>
        <v/>
      </c>
      <c r="BM120" s="134">
        <f>'P&amp;L | Cash Flow | Balance'!BN7</f>
        <v/>
      </c>
      <c r="BN120" s="134">
        <f>'P&amp;L | Cash Flow | Balance'!BO7</f>
        <v/>
      </c>
      <c r="BO120" s="134">
        <f>'P&amp;L | Cash Flow | Balance'!BP7</f>
        <v/>
      </c>
      <c r="BP120" s="134">
        <f>'P&amp;L | Cash Flow | Balance'!BQ7</f>
        <v/>
      </c>
      <c r="BQ120" s="134">
        <f>'P&amp;L | Cash Flow | Balance'!BR7</f>
        <v/>
      </c>
      <c r="BR120" s="134">
        <f>'P&amp;L | Cash Flow | Balance'!BS7</f>
        <v/>
      </c>
      <c r="BS120" s="134">
        <f>'P&amp;L | Cash Flow | Balance'!BT7</f>
        <v/>
      </c>
      <c r="BT120" s="134">
        <f>'P&amp;L | Cash Flow | Balance'!BU7</f>
        <v/>
      </c>
      <c r="BU120" s="134">
        <f>'P&amp;L | Cash Flow | Balance'!BV7</f>
        <v/>
      </c>
      <c r="BV120" s="134">
        <f>'P&amp;L | Cash Flow | Balance'!BW7</f>
        <v/>
      </c>
      <c r="BW120" s="134">
        <f>'P&amp;L | Cash Flow | Balance'!BX7</f>
        <v/>
      </c>
      <c r="BX120" s="134">
        <f>'P&amp;L | Cash Flow | Balance'!BY7</f>
        <v/>
      </c>
      <c r="BY120" s="134">
        <f>'P&amp;L | Cash Flow | Balance'!BZ7</f>
        <v/>
      </c>
      <c r="BZ120" s="134">
        <f>'P&amp;L | Cash Flow | Balance'!CA7</f>
        <v/>
      </c>
      <c r="CA120" s="134">
        <f>'P&amp;L | Cash Flow | Balance'!CB7</f>
        <v/>
      </c>
      <c r="CB120" s="134">
        <f>'P&amp;L | Cash Flow | Balance'!CC7</f>
        <v/>
      </c>
      <c r="CC120" s="134">
        <f>'P&amp;L | Cash Flow | Balance'!CD7</f>
        <v/>
      </c>
      <c r="CD120" s="134">
        <f>'P&amp;L | Cash Flow | Balance'!CE7</f>
        <v/>
      </c>
      <c r="CE120" s="134">
        <f>'P&amp;L | Cash Flow | Balance'!CF7</f>
        <v/>
      </c>
      <c r="CF120" s="134">
        <f>'P&amp;L | Cash Flow | Balance'!CG7</f>
        <v/>
      </c>
      <c r="CG120" s="134">
        <f>'P&amp;L | Cash Flow | Balance'!CH7</f>
        <v/>
      </c>
      <c r="CH120" s="134">
        <f>'P&amp;L | Cash Flow | Balance'!CI7</f>
        <v/>
      </c>
      <c r="CI120" s="134">
        <f>'P&amp;L | Cash Flow | Balance'!CJ7</f>
        <v/>
      </c>
      <c r="CJ120" s="134">
        <f>'P&amp;L | Cash Flow | Balance'!CK7</f>
        <v/>
      </c>
      <c r="CK120" s="134">
        <f>'P&amp;L | Cash Flow | Balance'!CL7</f>
        <v/>
      </c>
      <c r="CL120" s="134">
        <f>'P&amp;L | Cash Flow | Balance'!CM7</f>
        <v/>
      </c>
      <c r="CM120" s="134">
        <f>'P&amp;L | Cash Flow | Balance'!CN7</f>
        <v/>
      </c>
      <c r="CN120" s="134">
        <f>'P&amp;L | Cash Flow | Balance'!CO7</f>
        <v/>
      </c>
      <c r="CO120" s="134">
        <f>'P&amp;L | Cash Flow | Balance'!CP7</f>
        <v/>
      </c>
      <c r="CP120" s="134">
        <f>'P&amp;L | Cash Flow | Balance'!CQ7</f>
        <v/>
      </c>
      <c r="CQ120" s="134">
        <f>'P&amp;L | Cash Flow | Balance'!CR7</f>
        <v/>
      </c>
      <c r="CR120" s="134">
        <f>'P&amp;L | Cash Flow | Balance'!CS7</f>
        <v/>
      </c>
      <c r="CS120" s="134">
        <f>'P&amp;L | Cash Flow | Balance'!CT7</f>
        <v/>
      </c>
      <c r="CT120" s="134">
        <f>'P&amp;L | Cash Flow | Balance'!CU7</f>
        <v/>
      </c>
      <c r="CU120" s="134">
        <f>'P&amp;L | Cash Flow | Balance'!CV7</f>
        <v/>
      </c>
      <c r="CV120" s="134">
        <f>'P&amp;L | Cash Flow | Balance'!CW7</f>
        <v/>
      </c>
    </row>
    <row r="121" ht="15.75" customHeight="1" s="255">
      <c r="A121" s="134">
        <f>Projections!$A$39</f>
        <v/>
      </c>
      <c r="B121" s="134">
        <f>'P&amp;L | Cash Flow | Balance'!C8</f>
        <v/>
      </c>
      <c r="C121" s="134">
        <f>'P&amp;L | Cash Flow | Balance'!D8</f>
        <v/>
      </c>
      <c r="D121" s="134">
        <f>'P&amp;L | Cash Flow | Balance'!E8</f>
        <v/>
      </c>
      <c r="E121" s="134">
        <f>'P&amp;L | Cash Flow | Balance'!F8</f>
        <v/>
      </c>
      <c r="F121" s="134">
        <f>'P&amp;L | Cash Flow | Balance'!G8</f>
        <v/>
      </c>
      <c r="G121" s="134">
        <f>'P&amp;L | Cash Flow | Balance'!H8</f>
        <v/>
      </c>
      <c r="H121" s="134">
        <f>'P&amp;L | Cash Flow | Balance'!I8</f>
        <v/>
      </c>
      <c r="I121" s="134">
        <f>'P&amp;L | Cash Flow | Balance'!J8</f>
        <v/>
      </c>
      <c r="J121" s="134">
        <f>'P&amp;L | Cash Flow | Balance'!K8</f>
        <v/>
      </c>
      <c r="K121" s="134">
        <f>'P&amp;L | Cash Flow | Balance'!L8</f>
        <v/>
      </c>
      <c r="L121" s="134">
        <f>'P&amp;L | Cash Flow | Balance'!M8</f>
        <v/>
      </c>
      <c r="M121" s="134">
        <f>'P&amp;L | Cash Flow | Balance'!N8</f>
        <v/>
      </c>
      <c r="N121" s="134">
        <f>'P&amp;L | Cash Flow | Balance'!O8</f>
        <v/>
      </c>
      <c r="O121" s="134">
        <f>'P&amp;L | Cash Flow | Balance'!P8</f>
        <v/>
      </c>
      <c r="P121" s="134">
        <f>'P&amp;L | Cash Flow | Balance'!Q8</f>
        <v/>
      </c>
      <c r="Q121" s="134">
        <f>'P&amp;L | Cash Flow | Balance'!R8</f>
        <v/>
      </c>
      <c r="R121" s="134">
        <f>'P&amp;L | Cash Flow | Balance'!S8</f>
        <v/>
      </c>
      <c r="S121" s="134">
        <f>'P&amp;L | Cash Flow | Balance'!T8</f>
        <v/>
      </c>
      <c r="T121" s="134">
        <f>'P&amp;L | Cash Flow | Balance'!U8</f>
        <v/>
      </c>
      <c r="U121" s="134">
        <f>'P&amp;L | Cash Flow | Balance'!V8</f>
        <v/>
      </c>
      <c r="V121" s="134">
        <f>'P&amp;L | Cash Flow | Balance'!W8</f>
        <v/>
      </c>
      <c r="W121" s="134">
        <f>'P&amp;L | Cash Flow | Balance'!X8</f>
        <v/>
      </c>
      <c r="X121" s="134">
        <f>'P&amp;L | Cash Flow | Balance'!Y8</f>
        <v/>
      </c>
      <c r="Y121" s="134">
        <f>'P&amp;L | Cash Flow | Balance'!Z8</f>
        <v/>
      </c>
      <c r="Z121" s="134">
        <f>'P&amp;L | Cash Flow | Balance'!AA8</f>
        <v/>
      </c>
      <c r="AA121" s="134">
        <f>'P&amp;L | Cash Flow | Balance'!AB8</f>
        <v/>
      </c>
      <c r="AB121" s="134">
        <f>'P&amp;L | Cash Flow | Balance'!AC8</f>
        <v/>
      </c>
      <c r="AC121" s="134">
        <f>'P&amp;L | Cash Flow | Balance'!AD8</f>
        <v/>
      </c>
      <c r="AD121" s="134">
        <f>'P&amp;L | Cash Flow | Balance'!AE8</f>
        <v/>
      </c>
      <c r="AE121" s="134">
        <f>'P&amp;L | Cash Flow | Balance'!AF8</f>
        <v/>
      </c>
      <c r="AF121" s="134">
        <f>'P&amp;L | Cash Flow | Balance'!AG8</f>
        <v/>
      </c>
      <c r="AG121" s="134">
        <f>'P&amp;L | Cash Flow | Balance'!AH8</f>
        <v/>
      </c>
      <c r="AH121" s="134">
        <f>'P&amp;L | Cash Flow | Balance'!AI8</f>
        <v/>
      </c>
      <c r="AI121" s="134">
        <f>'P&amp;L | Cash Flow | Balance'!AJ8</f>
        <v/>
      </c>
      <c r="AJ121" s="134">
        <f>'P&amp;L | Cash Flow | Balance'!AK8</f>
        <v/>
      </c>
      <c r="AK121" s="134">
        <f>'P&amp;L | Cash Flow | Balance'!AL8</f>
        <v/>
      </c>
      <c r="AL121" s="134">
        <f>'P&amp;L | Cash Flow | Balance'!AM8</f>
        <v/>
      </c>
      <c r="AM121" s="134">
        <f>'P&amp;L | Cash Flow | Balance'!AN8</f>
        <v/>
      </c>
      <c r="AN121" s="134">
        <f>'P&amp;L | Cash Flow | Balance'!AO8</f>
        <v/>
      </c>
      <c r="AO121" s="134">
        <f>'P&amp;L | Cash Flow | Balance'!AP8</f>
        <v/>
      </c>
      <c r="AP121" s="134">
        <f>'P&amp;L | Cash Flow | Balance'!AQ8</f>
        <v/>
      </c>
      <c r="AQ121" s="134">
        <f>'P&amp;L | Cash Flow | Balance'!AR8</f>
        <v/>
      </c>
      <c r="AR121" s="134">
        <f>'P&amp;L | Cash Flow | Balance'!AS8</f>
        <v/>
      </c>
      <c r="AS121" s="134">
        <f>'P&amp;L | Cash Flow | Balance'!AT8</f>
        <v/>
      </c>
      <c r="AT121" s="134">
        <f>'P&amp;L | Cash Flow | Balance'!AU8</f>
        <v/>
      </c>
      <c r="AU121" s="134">
        <f>'P&amp;L | Cash Flow | Balance'!AV8</f>
        <v/>
      </c>
      <c r="AV121" s="134">
        <f>'P&amp;L | Cash Flow | Balance'!AW8</f>
        <v/>
      </c>
      <c r="AW121" s="134">
        <f>'P&amp;L | Cash Flow | Balance'!AX8</f>
        <v/>
      </c>
      <c r="AX121" s="134">
        <f>'P&amp;L | Cash Flow | Balance'!AY8</f>
        <v/>
      </c>
      <c r="AY121" s="134">
        <f>'P&amp;L | Cash Flow | Balance'!AZ8</f>
        <v/>
      </c>
      <c r="AZ121" s="134">
        <f>'P&amp;L | Cash Flow | Balance'!BA8</f>
        <v/>
      </c>
      <c r="BA121" s="134">
        <f>'P&amp;L | Cash Flow | Balance'!BB8</f>
        <v/>
      </c>
      <c r="BB121" s="134">
        <f>'P&amp;L | Cash Flow | Balance'!BC8</f>
        <v/>
      </c>
      <c r="BC121" s="134">
        <f>'P&amp;L | Cash Flow | Balance'!BD8</f>
        <v/>
      </c>
      <c r="BD121" s="134">
        <f>'P&amp;L | Cash Flow | Balance'!BE8</f>
        <v/>
      </c>
      <c r="BE121" s="134">
        <f>'P&amp;L | Cash Flow | Balance'!BF8</f>
        <v/>
      </c>
      <c r="BF121" s="134">
        <f>'P&amp;L | Cash Flow | Balance'!BG8</f>
        <v/>
      </c>
      <c r="BG121" s="134">
        <f>'P&amp;L | Cash Flow | Balance'!BH8</f>
        <v/>
      </c>
      <c r="BH121" s="134">
        <f>'P&amp;L | Cash Flow | Balance'!BI8</f>
        <v/>
      </c>
      <c r="BI121" s="134">
        <f>'P&amp;L | Cash Flow | Balance'!BJ8</f>
        <v/>
      </c>
      <c r="BJ121" s="134">
        <f>'P&amp;L | Cash Flow | Balance'!BK8</f>
        <v/>
      </c>
      <c r="BK121" s="134">
        <f>'P&amp;L | Cash Flow | Balance'!BL8</f>
        <v/>
      </c>
      <c r="BL121" s="134">
        <f>'P&amp;L | Cash Flow | Balance'!BM8</f>
        <v/>
      </c>
      <c r="BM121" s="134">
        <f>'P&amp;L | Cash Flow | Balance'!BN8</f>
        <v/>
      </c>
      <c r="BN121" s="134">
        <f>'P&amp;L | Cash Flow | Balance'!BO8</f>
        <v/>
      </c>
      <c r="BO121" s="134">
        <f>'P&amp;L | Cash Flow | Balance'!BP8</f>
        <v/>
      </c>
      <c r="BP121" s="134">
        <f>'P&amp;L | Cash Flow | Balance'!BQ8</f>
        <v/>
      </c>
      <c r="BQ121" s="134">
        <f>'P&amp;L | Cash Flow | Balance'!BR8</f>
        <v/>
      </c>
      <c r="BR121" s="134">
        <f>'P&amp;L | Cash Flow | Balance'!BS8</f>
        <v/>
      </c>
      <c r="BS121" s="134">
        <f>'P&amp;L | Cash Flow | Balance'!BT8</f>
        <v/>
      </c>
      <c r="BT121" s="134">
        <f>'P&amp;L | Cash Flow | Balance'!BU8</f>
        <v/>
      </c>
      <c r="BU121" s="134">
        <f>'P&amp;L | Cash Flow | Balance'!BV8</f>
        <v/>
      </c>
      <c r="BV121" s="134">
        <f>'P&amp;L | Cash Flow | Balance'!BW8</f>
        <v/>
      </c>
      <c r="BW121" s="134">
        <f>'P&amp;L | Cash Flow | Balance'!BX8</f>
        <v/>
      </c>
      <c r="BX121" s="134">
        <f>'P&amp;L | Cash Flow | Balance'!BY8</f>
        <v/>
      </c>
      <c r="BY121" s="134">
        <f>'P&amp;L | Cash Flow | Balance'!BZ8</f>
        <v/>
      </c>
      <c r="BZ121" s="134">
        <f>'P&amp;L | Cash Flow | Balance'!CA8</f>
        <v/>
      </c>
      <c r="CA121" s="134">
        <f>'P&amp;L | Cash Flow | Balance'!CB8</f>
        <v/>
      </c>
      <c r="CB121" s="134">
        <f>'P&amp;L | Cash Flow | Balance'!CC8</f>
        <v/>
      </c>
      <c r="CC121" s="134">
        <f>'P&amp;L | Cash Flow | Balance'!CD8</f>
        <v/>
      </c>
      <c r="CD121" s="134">
        <f>'P&amp;L | Cash Flow | Balance'!CE8</f>
        <v/>
      </c>
      <c r="CE121" s="134">
        <f>'P&amp;L | Cash Flow | Balance'!CF8</f>
        <v/>
      </c>
      <c r="CF121" s="134">
        <f>'P&amp;L | Cash Flow | Balance'!CG8</f>
        <v/>
      </c>
      <c r="CG121" s="134">
        <f>'P&amp;L | Cash Flow | Balance'!CH8</f>
        <v/>
      </c>
      <c r="CH121" s="134">
        <f>'P&amp;L | Cash Flow | Balance'!CI8</f>
        <v/>
      </c>
      <c r="CI121" s="134">
        <f>'P&amp;L | Cash Flow | Balance'!CJ8</f>
        <v/>
      </c>
      <c r="CJ121" s="134">
        <f>'P&amp;L | Cash Flow | Balance'!CK8</f>
        <v/>
      </c>
      <c r="CK121" s="134">
        <f>'P&amp;L | Cash Flow | Balance'!CL8</f>
        <v/>
      </c>
      <c r="CL121" s="134">
        <f>'P&amp;L | Cash Flow | Balance'!CM8</f>
        <v/>
      </c>
      <c r="CM121" s="134">
        <f>'P&amp;L | Cash Flow | Balance'!CN8</f>
        <v/>
      </c>
      <c r="CN121" s="134">
        <f>'P&amp;L | Cash Flow | Balance'!CO8</f>
        <v/>
      </c>
      <c r="CO121" s="134">
        <f>'P&amp;L | Cash Flow | Balance'!CP8</f>
        <v/>
      </c>
      <c r="CP121" s="134">
        <f>'P&amp;L | Cash Flow | Balance'!CQ8</f>
        <v/>
      </c>
      <c r="CQ121" s="134">
        <f>'P&amp;L | Cash Flow | Balance'!CR8</f>
        <v/>
      </c>
      <c r="CR121" s="134">
        <f>'P&amp;L | Cash Flow | Balance'!CS8</f>
        <v/>
      </c>
      <c r="CS121" s="134">
        <f>'P&amp;L | Cash Flow | Balance'!CT8</f>
        <v/>
      </c>
      <c r="CT121" s="134">
        <f>'P&amp;L | Cash Flow | Balance'!CU8</f>
        <v/>
      </c>
      <c r="CU121" s="134">
        <f>'P&amp;L | Cash Flow | Balance'!CV8</f>
        <v/>
      </c>
      <c r="CV121" s="134">
        <f>'P&amp;L | Cash Flow | Balance'!CW8</f>
        <v/>
      </c>
    </row>
    <row r="122" ht="15.75" customHeight="1" s="255">
      <c r="A122" s="134">
        <f>Projections!$A$53</f>
        <v/>
      </c>
      <c r="B122" s="134">
        <f>'P&amp;L | Cash Flow | Balance'!C9</f>
        <v/>
      </c>
      <c r="C122" s="134">
        <f>'P&amp;L | Cash Flow | Balance'!D9</f>
        <v/>
      </c>
      <c r="D122" s="134">
        <f>'P&amp;L | Cash Flow | Balance'!E9</f>
        <v/>
      </c>
      <c r="E122" s="134">
        <f>'P&amp;L | Cash Flow | Balance'!F9</f>
        <v/>
      </c>
      <c r="F122" s="134">
        <f>'P&amp;L | Cash Flow | Balance'!G9</f>
        <v/>
      </c>
      <c r="G122" s="134">
        <f>'P&amp;L | Cash Flow | Balance'!H9</f>
        <v/>
      </c>
      <c r="H122" s="134">
        <f>'P&amp;L | Cash Flow | Balance'!I9</f>
        <v/>
      </c>
      <c r="I122" s="134">
        <f>'P&amp;L | Cash Flow | Balance'!J9</f>
        <v/>
      </c>
      <c r="J122" s="134">
        <f>'P&amp;L | Cash Flow | Balance'!K9</f>
        <v/>
      </c>
      <c r="K122" s="134">
        <f>'P&amp;L | Cash Flow | Balance'!L9</f>
        <v/>
      </c>
      <c r="L122" s="134">
        <f>'P&amp;L | Cash Flow | Balance'!M9</f>
        <v/>
      </c>
      <c r="M122" s="134">
        <f>'P&amp;L | Cash Flow | Balance'!N9</f>
        <v/>
      </c>
      <c r="N122" s="134">
        <f>'P&amp;L | Cash Flow | Balance'!O9</f>
        <v/>
      </c>
      <c r="O122" s="134">
        <f>'P&amp;L | Cash Flow | Balance'!P9</f>
        <v/>
      </c>
      <c r="P122" s="134">
        <f>'P&amp;L | Cash Flow | Balance'!Q9</f>
        <v/>
      </c>
      <c r="Q122" s="134">
        <f>'P&amp;L | Cash Flow | Balance'!R9</f>
        <v/>
      </c>
      <c r="R122" s="134">
        <f>'P&amp;L | Cash Flow | Balance'!S9</f>
        <v/>
      </c>
      <c r="S122" s="134">
        <f>'P&amp;L | Cash Flow | Balance'!T9</f>
        <v/>
      </c>
      <c r="T122" s="134">
        <f>'P&amp;L | Cash Flow | Balance'!U9</f>
        <v/>
      </c>
      <c r="U122" s="134">
        <f>'P&amp;L | Cash Flow | Balance'!V9</f>
        <v/>
      </c>
      <c r="V122" s="134">
        <f>'P&amp;L | Cash Flow | Balance'!W9</f>
        <v/>
      </c>
      <c r="W122" s="134">
        <f>'P&amp;L | Cash Flow | Balance'!X9</f>
        <v/>
      </c>
      <c r="X122" s="134">
        <f>'P&amp;L | Cash Flow | Balance'!Y9</f>
        <v/>
      </c>
      <c r="Y122" s="134">
        <f>'P&amp;L | Cash Flow | Balance'!Z9</f>
        <v/>
      </c>
      <c r="Z122" s="134">
        <f>'P&amp;L | Cash Flow | Balance'!AA9</f>
        <v/>
      </c>
      <c r="AA122" s="134">
        <f>'P&amp;L | Cash Flow | Balance'!AB9</f>
        <v/>
      </c>
      <c r="AB122" s="134">
        <f>'P&amp;L | Cash Flow | Balance'!AC9</f>
        <v/>
      </c>
      <c r="AC122" s="134">
        <f>'P&amp;L | Cash Flow | Balance'!AD9</f>
        <v/>
      </c>
      <c r="AD122" s="134">
        <f>'P&amp;L | Cash Flow | Balance'!AE9</f>
        <v/>
      </c>
      <c r="AE122" s="134">
        <f>'P&amp;L | Cash Flow | Balance'!AF9</f>
        <v/>
      </c>
      <c r="AF122" s="134">
        <f>'P&amp;L | Cash Flow | Balance'!AG9</f>
        <v/>
      </c>
      <c r="AG122" s="134">
        <f>'P&amp;L | Cash Flow | Balance'!AH9</f>
        <v/>
      </c>
      <c r="AH122" s="134">
        <f>'P&amp;L | Cash Flow | Balance'!AI9</f>
        <v/>
      </c>
      <c r="AI122" s="134">
        <f>'P&amp;L | Cash Flow | Balance'!AJ9</f>
        <v/>
      </c>
      <c r="AJ122" s="134">
        <f>'P&amp;L | Cash Flow | Balance'!AK9</f>
        <v/>
      </c>
      <c r="AK122" s="134">
        <f>'P&amp;L | Cash Flow | Balance'!AL9</f>
        <v/>
      </c>
      <c r="AL122" s="134">
        <f>'P&amp;L | Cash Flow | Balance'!AM9</f>
        <v/>
      </c>
      <c r="AM122" s="134">
        <f>'P&amp;L | Cash Flow | Balance'!AN9</f>
        <v/>
      </c>
      <c r="AN122" s="134">
        <f>'P&amp;L | Cash Flow | Balance'!AO9</f>
        <v/>
      </c>
      <c r="AO122" s="134">
        <f>'P&amp;L | Cash Flow | Balance'!AP9</f>
        <v/>
      </c>
      <c r="AP122" s="134">
        <f>'P&amp;L | Cash Flow | Balance'!AQ9</f>
        <v/>
      </c>
      <c r="AQ122" s="134">
        <f>'P&amp;L | Cash Flow | Balance'!AR9</f>
        <v/>
      </c>
      <c r="AR122" s="134">
        <f>'P&amp;L | Cash Flow | Balance'!AS9</f>
        <v/>
      </c>
      <c r="AS122" s="134">
        <f>'P&amp;L | Cash Flow | Balance'!AT9</f>
        <v/>
      </c>
      <c r="AT122" s="134">
        <f>'P&amp;L | Cash Flow | Balance'!AU9</f>
        <v/>
      </c>
      <c r="AU122" s="134">
        <f>'P&amp;L | Cash Flow | Balance'!AV9</f>
        <v/>
      </c>
      <c r="AV122" s="134">
        <f>'P&amp;L | Cash Flow | Balance'!AW9</f>
        <v/>
      </c>
      <c r="AW122" s="134">
        <f>'P&amp;L | Cash Flow | Balance'!AX9</f>
        <v/>
      </c>
      <c r="AX122" s="134">
        <f>'P&amp;L | Cash Flow | Balance'!AY9</f>
        <v/>
      </c>
      <c r="AY122" s="134">
        <f>'P&amp;L | Cash Flow | Balance'!AZ9</f>
        <v/>
      </c>
      <c r="AZ122" s="134">
        <f>'P&amp;L | Cash Flow | Balance'!BA9</f>
        <v/>
      </c>
      <c r="BA122" s="134">
        <f>'P&amp;L | Cash Flow | Balance'!BB9</f>
        <v/>
      </c>
      <c r="BB122" s="134">
        <f>'P&amp;L | Cash Flow | Balance'!BC9</f>
        <v/>
      </c>
      <c r="BC122" s="134">
        <f>'P&amp;L | Cash Flow | Balance'!BD9</f>
        <v/>
      </c>
      <c r="BD122" s="134">
        <f>'P&amp;L | Cash Flow | Balance'!BE9</f>
        <v/>
      </c>
      <c r="BE122" s="134">
        <f>'P&amp;L | Cash Flow | Balance'!BF9</f>
        <v/>
      </c>
      <c r="BF122" s="134">
        <f>'P&amp;L | Cash Flow | Balance'!BG9</f>
        <v/>
      </c>
      <c r="BG122" s="134">
        <f>'P&amp;L | Cash Flow | Balance'!BH9</f>
        <v/>
      </c>
      <c r="BH122" s="134">
        <f>'P&amp;L | Cash Flow | Balance'!BI9</f>
        <v/>
      </c>
      <c r="BI122" s="134">
        <f>'P&amp;L | Cash Flow | Balance'!BJ9</f>
        <v/>
      </c>
      <c r="BJ122" s="134">
        <f>'P&amp;L | Cash Flow | Balance'!BK9</f>
        <v/>
      </c>
      <c r="BK122" s="134">
        <f>'P&amp;L | Cash Flow | Balance'!BL9</f>
        <v/>
      </c>
      <c r="BL122" s="134">
        <f>'P&amp;L | Cash Flow | Balance'!BM9</f>
        <v/>
      </c>
      <c r="BM122" s="134">
        <f>'P&amp;L | Cash Flow | Balance'!BN9</f>
        <v/>
      </c>
      <c r="BN122" s="134">
        <f>'P&amp;L | Cash Flow | Balance'!BO9</f>
        <v/>
      </c>
      <c r="BO122" s="134">
        <f>'P&amp;L | Cash Flow | Balance'!BP9</f>
        <v/>
      </c>
      <c r="BP122" s="134">
        <f>'P&amp;L | Cash Flow | Balance'!BQ9</f>
        <v/>
      </c>
      <c r="BQ122" s="134">
        <f>'P&amp;L | Cash Flow | Balance'!BR9</f>
        <v/>
      </c>
      <c r="BR122" s="134">
        <f>'P&amp;L | Cash Flow | Balance'!BS9</f>
        <v/>
      </c>
      <c r="BS122" s="134">
        <f>'P&amp;L | Cash Flow | Balance'!BT9</f>
        <v/>
      </c>
      <c r="BT122" s="134">
        <f>'P&amp;L | Cash Flow | Balance'!BU9</f>
        <v/>
      </c>
      <c r="BU122" s="134">
        <f>'P&amp;L | Cash Flow | Balance'!BV9</f>
        <v/>
      </c>
      <c r="BV122" s="134">
        <f>'P&amp;L | Cash Flow | Balance'!BW9</f>
        <v/>
      </c>
      <c r="BW122" s="134">
        <f>'P&amp;L | Cash Flow | Balance'!BX9</f>
        <v/>
      </c>
      <c r="BX122" s="134">
        <f>'P&amp;L | Cash Flow | Balance'!BY9</f>
        <v/>
      </c>
      <c r="BY122" s="134">
        <f>'P&amp;L | Cash Flow | Balance'!BZ9</f>
        <v/>
      </c>
      <c r="BZ122" s="134">
        <f>'P&amp;L | Cash Flow | Balance'!CA9</f>
        <v/>
      </c>
      <c r="CA122" s="134">
        <f>'P&amp;L | Cash Flow | Balance'!CB9</f>
        <v/>
      </c>
      <c r="CB122" s="134">
        <f>'P&amp;L | Cash Flow | Balance'!CC9</f>
        <v/>
      </c>
      <c r="CC122" s="134">
        <f>'P&amp;L | Cash Flow | Balance'!CD9</f>
        <v/>
      </c>
      <c r="CD122" s="134">
        <f>'P&amp;L | Cash Flow | Balance'!CE9</f>
        <v/>
      </c>
      <c r="CE122" s="134">
        <f>'P&amp;L | Cash Flow | Balance'!CF9</f>
        <v/>
      </c>
      <c r="CF122" s="134">
        <f>'P&amp;L | Cash Flow | Balance'!CG9</f>
        <v/>
      </c>
      <c r="CG122" s="134">
        <f>'P&amp;L | Cash Flow | Balance'!CH9</f>
        <v/>
      </c>
      <c r="CH122" s="134">
        <f>'P&amp;L | Cash Flow | Balance'!CI9</f>
        <v/>
      </c>
      <c r="CI122" s="134">
        <f>'P&amp;L | Cash Flow | Balance'!CJ9</f>
        <v/>
      </c>
      <c r="CJ122" s="134">
        <f>'P&amp;L | Cash Flow | Balance'!CK9</f>
        <v/>
      </c>
      <c r="CK122" s="134">
        <f>'P&amp;L | Cash Flow | Balance'!CL9</f>
        <v/>
      </c>
      <c r="CL122" s="134">
        <f>'P&amp;L | Cash Flow | Balance'!CM9</f>
        <v/>
      </c>
      <c r="CM122" s="134">
        <f>'P&amp;L | Cash Flow | Balance'!CN9</f>
        <v/>
      </c>
      <c r="CN122" s="134">
        <f>'P&amp;L | Cash Flow | Balance'!CO9</f>
        <v/>
      </c>
      <c r="CO122" s="134">
        <f>'P&amp;L | Cash Flow | Balance'!CP9</f>
        <v/>
      </c>
      <c r="CP122" s="134">
        <f>'P&amp;L | Cash Flow | Balance'!CQ9</f>
        <v/>
      </c>
      <c r="CQ122" s="134">
        <f>'P&amp;L | Cash Flow | Balance'!CR9</f>
        <v/>
      </c>
      <c r="CR122" s="134">
        <f>'P&amp;L | Cash Flow | Balance'!CS9</f>
        <v/>
      </c>
      <c r="CS122" s="134">
        <f>'P&amp;L | Cash Flow | Balance'!CT9</f>
        <v/>
      </c>
      <c r="CT122" s="134">
        <f>'P&amp;L | Cash Flow | Balance'!CU9</f>
        <v/>
      </c>
      <c r="CU122" s="134">
        <f>'P&amp;L | Cash Flow | Balance'!CV9</f>
        <v/>
      </c>
      <c r="CV122" s="134">
        <f>'P&amp;L | Cash Flow | Balance'!CW9</f>
        <v/>
      </c>
    </row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style="255" min="1" max="1"/>
    <col width="20" customWidth="1" style="255" min="2" max="2"/>
    <col width="40" customWidth="1" style="255" min="3" max="3"/>
    <col width="15" customWidth="1" style="255" min="4" max="4"/>
  </cols>
  <sheetData>
    <row r="1">
      <c r="A1" s="313" t="inlineStr">
        <is>
          <t>Healthy4U Unit Economics</t>
        </is>
      </c>
      <c r="B1" s="313" t="inlineStr"/>
      <c r="C1" s="313" t="inlineStr"/>
      <c r="D1" s="313" t="inlineStr">
        <is>
          <t>Updated: 2026-01-27</t>
        </is>
      </c>
    </row>
    <row r="2">
      <c r="A2" t="inlineStr"/>
      <c r="B2" t="inlineStr"/>
      <c r="C2" t="inlineStr"/>
      <c r="D2" t="inlineStr"/>
    </row>
    <row r="3">
      <c r="A3" s="311" t="inlineStr">
        <is>
          <t>DOCTOR SIDE</t>
        </is>
      </c>
      <c r="B3" s="311" t="inlineStr"/>
      <c r="C3" s="311" t="inlineStr"/>
      <c r="D3" s="311" t="inlineStr"/>
    </row>
    <row r="4">
      <c r="A4" s="312" t="inlineStr">
        <is>
          <t>Metric</t>
        </is>
      </c>
      <c r="B4" s="312" t="inlineStr">
        <is>
          <t>Value</t>
        </is>
      </c>
      <c r="C4" s="312" t="inlineStr">
        <is>
          <t>Notes</t>
        </is>
      </c>
      <c r="D4" s="312" t="inlineStr"/>
    </row>
    <row r="5">
      <c r="A5" t="inlineStr">
        <is>
          <t>ARPPU (Blended)</t>
        </is>
      </c>
      <c r="B5" t="inlineStr">
        <is>
          <t>$235</t>
        </is>
      </c>
      <c r="C5" t="inlineStr">
        <is>
          <t>Average with early adopter discounts</t>
        </is>
      </c>
      <c r="D5" t="inlineStr"/>
    </row>
    <row r="6">
      <c r="A6" t="inlineStr">
        <is>
          <t>ARPPU (Tier 1)</t>
        </is>
      </c>
      <c r="B6" t="inlineStr">
        <is>
          <t>$174</t>
        </is>
      </c>
      <c r="C6" t="inlineStr">
        <is>
          <t>30% off</t>
        </is>
      </c>
      <c r="D6" t="inlineStr"/>
    </row>
    <row r="7">
      <c r="A7" t="inlineStr">
        <is>
          <t>ARPPU (Tier 2)</t>
        </is>
      </c>
      <c r="B7" t="inlineStr">
        <is>
          <t>$199</t>
        </is>
      </c>
      <c r="C7" t="inlineStr">
        <is>
          <t>20% off</t>
        </is>
      </c>
      <c r="D7" t="inlineStr"/>
    </row>
    <row r="8">
      <c r="A8" t="inlineStr">
        <is>
          <t>ARPPU (Full Price)</t>
        </is>
      </c>
      <c r="B8" t="inlineStr">
        <is>
          <t>$249</t>
        </is>
      </c>
      <c r="C8" t="inlineStr">
        <is>
          <t>After early adopter period</t>
        </is>
      </c>
      <c r="D8" t="inlineStr"/>
    </row>
    <row r="9">
      <c r="A9" t="inlineStr">
        <is>
          <t>COGS per Doctor</t>
        </is>
      </c>
      <c r="B9" t="inlineStr">
        <is>
          <t>$37.19</t>
        </is>
      </c>
      <c r="C9" t="inlineStr">
        <is>
          <t>340 visits/month typical</t>
        </is>
      </c>
      <c r="D9" t="inlineStr"/>
    </row>
    <row r="10">
      <c r="A10" t="inlineStr">
        <is>
          <t>Gross Margin</t>
        </is>
      </c>
      <c r="B10" t="inlineStr">
        <is>
          <t>85%</t>
        </is>
      </c>
      <c r="C10" t="inlineStr">
        <is>
          <t>($249 - $37.19) / $249</t>
        </is>
      </c>
      <c r="D10" t="inlineStr"/>
    </row>
    <row r="11">
      <c r="A11" t="inlineStr">
        <is>
          <t>Visits Included</t>
        </is>
      </c>
      <c r="B11" t="inlineStr">
        <is>
          <t>600/month</t>
        </is>
      </c>
      <c r="C11" t="inlineStr">
        <is>
          <t>30 per day</t>
        </is>
      </c>
      <c r="D11" t="inlineStr"/>
    </row>
    <row r="12">
      <c r="A12" t="inlineStr">
        <is>
          <t>Overage Price</t>
        </is>
      </c>
      <c r="B12" t="inlineStr">
        <is>
          <t>$0.15/visit</t>
        </is>
      </c>
      <c r="C12" t="inlineStr">
        <is>
          <t>Above 600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PATIENT SIDE</t>
        </is>
      </c>
      <c r="B14" t="inlineStr"/>
      <c r="C14" t="inlineStr"/>
      <c r="D14" t="inlineStr"/>
    </row>
    <row r="15">
      <c r="A15" s="311" t="inlineStr">
        <is>
          <t>Metric</t>
        </is>
      </c>
      <c r="B15" s="311" t="inlineStr">
        <is>
          <t>Value</t>
        </is>
      </c>
      <c r="C15" s="311" t="inlineStr">
        <is>
          <t>Notes</t>
        </is>
      </c>
      <c r="D15" s="311" t="inlineStr"/>
    </row>
    <row r="16">
      <c r="A16" s="312" t="inlineStr">
        <is>
          <t>ARPPU (Premium)</t>
        </is>
      </c>
      <c r="B16" s="312" t="inlineStr">
        <is>
          <t>$9.99</t>
        </is>
      </c>
      <c r="C16" s="312" t="inlineStr">
        <is>
          <t>Per month</t>
        </is>
      </c>
      <c r="D16" s="312" t="inlineStr"/>
    </row>
    <row r="17">
      <c r="A17" t="inlineStr">
        <is>
          <t>Revenue Share to Doctor</t>
        </is>
      </c>
      <c r="B17" t="inlineStr">
        <is>
          <t>$2.50</t>
        </is>
      </c>
      <c r="C17" t="inlineStr">
        <is>
          <t>25% of $9.99</t>
        </is>
      </c>
      <c r="D17" t="inlineStr"/>
    </row>
    <row r="18">
      <c r="A18" t="inlineStr">
        <is>
          <t>Net Revenue per Patient</t>
        </is>
      </c>
      <c r="B18" t="inlineStr">
        <is>
          <t>$7.49</t>
        </is>
      </c>
      <c r="C18" t="inlineStr">
        <is>
          <t>After revenue share</t>
        </is>
      </c>
      <c r="D18" t="inlineStr"/>
    </row>
    <row r="19">
      <c r="A19" t="inlineStr">
        <is>
          <t>COGS per Premium Patient</t>
        </is>
      </c>
      <c r="B19" t="inlineStr">
        <is>
          <t>$2.83</t>
        </is>
      </c>
      <c r="C19" t="inlineStr">
        <is>
          <t>Weighted average</t>
        </is>
      </c>
      <c r="D19" t="inlineStr"/>
    </row>
    <row r="20">
      <c r="A20" t="inlineStr">
        <is>
          <t>Gross Margin (before rev share)</t>
        </is>
      </c>
      <c r="B20" t="inlineStr">
        <is>
          <t>72%</t>
        </is>
      </c>
      <c r="C20" t="inlineStr">
        <is>
          <t>($9.99 - $2.83) / $9.99</t>
        </is>
      </c>
      <c r="D20" t="inlineStr"/>
    </row>
    <row r="21">
      <c r="A21" t="inlineStr">
        <is>
          <t>Net Margin (after rev share)</t>
        </is>
      </c>
      <c r="B21" t="inlineStr">
        <is>
          <t>47%</t>
        </is>
      </c>
      <c r="C21" t="inlineStr">
        <is>
          <t>($7.49 - $2.83) / $9.99</t>
        </is>
      </c>
      <c r="D21" t="inlineStr"/>
    </row>
    <row r="22">
      <c r="A22" t="inlineStr">
        <is>
          <t>Messages Included</t>
        </is>
      </c>
      <c r="B22" t="inlineStr">
        <is>
          <t>500/month</t>
        </is>
      </c>
      <c r="C22" t="inlineStr">
        <is>
          <t>16 per day</t>
        </is>
      </c>
      <c r="D22" t="inlineStr"/>
    </row>
    <row r="23">
      <c r="A23" t="inlineStr">
        <is>
          <t>Photos Included</t>
        </is>
      </c>
      <c r="B23" t="inlineStr">
        <is>
          <t>150/month</t>
        </is>
      </c>
      <c r="C23" t="inlineStr">
        <is>
          <t>5 per day</t>
        </is>
      </c>
      <c r="D23" t="inlineStr"/>
    </row>
    <row r="24">
      <c r="A24" t="inlineStr">
        <is>
          <t>Labs Included</t>
        </is>
      </c>
      <c r="B24" t="inlineStr">
        <is>
          <t>20/month</t>
        </is>
      </c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COMBINED (5 doctors + 75 patients)</t>
        </is>
      </c>
      <c r="B26" t="inlineStr"/>
      <c r="C26" t="inlineStr"/>
      <c r="D26" t="inlineStr"/>
    </row>
    <row r="27">
      <c r="A27" s="311" t="inlineStr">
        <is>
          <t>Metric</t>
        </is>
      </c>
      <c r="B27" s="311" t="inlineStr">
        <is>
          <t>Value</t>
        </is>
      </c>
      <c r="C27" s="311" t="inlineStr">
        <is>
          <t>Calculation</t>
        </is>
      </c>
      <c r="D27" s="311" t="inlineStr"/>
    </row>
    <row r="28">
      <c r="A28" s="312" t="inlineStr">
        <is>
          <t>Doctor MRR</t>
        </is>
      </c>
      <c r="B28" s="312" t="inlineStr">
        <is>
          <t>$1,175</t>
        </is>
      </c>
      <c r="C28" s="312" t="inlineStr">
        <is>
          <t>Mix of tiers</t>
        </is>
      </c>
      <c r="D28" s="312" t="inlineStr"/>
    </row>
    <row r="29">
      <c r="A29" t="inlineStr">
        <is>
          <t>Patient MRR (gross)</t>
        </is>
      </c>
      <c r="B29" t="inlineStr">
        <is>
          <t>$749</t>
        </is>
      </c>
      <c r="C29" t="inlineStr">
        <is>
          <t>75 × $9.99</t>
        </is>
      </c>
      <c r="D29" t="inlineStr"/>
    </row>
    <row r="30">
      <c r="A30" t="inlineStr">
        <is>
          <t>Revenue Share</t>
        </is>
      </c>
      <c r="B30" t="inlineStr">
        <is>
          <t>-$187</t>
        </is>
      </c>
      <c r="C30" t="inlineStr">
        <is>
          <t>75 × $2.50</t>
        </is>
      </c>
      <c r="D30" t="inlineStr"/>
    </row>
    <row r="31">
      <c r="A31" t="inlineStr">
        <is>
          <t>Patient MRR (net)</t>
        </is>
      </c>
      <c r="B31" t="inlineStr">
        <is>
          <t>$562</t>
        </is>
      </c>
      <c r="C31" t="inlineStr">
        <is>
          <t>$749 - $187</t>
        </is>
      </c>
      <c r="D31" t="inlineStr"/>
    </row>
    <row r="32">
      <c r="A32" t="inlineStr">
        <is>
          <t>Total MRR</t>
        </is>
      </c>
      <c r="B32" t="inlineStr">
        <is>
          <t>$1,737</t>
        </is>
      </c>
      <c r="C32" t="inlineStr">
        <is>
          <t>$1,175 + $562</t>
        </is>
      </c>
      <c r="D32" t="inlineStr"/>
    </row>
    <row r="33">
      <c r="A33" t="inlineStr">
        <is>
          <t>Doctor COGS</t>
        </is>
      </c>
      <c r="B33" t="inlineStr">
        <is>
          <t>$186</t>
        </is>
      </c>
      <c r="C33" t="inlineStr">
        <is>
          <t>5 × $37.19</t>
        </is>
      </c>
      <c r="D33" t="inlineStr"/>
    </row>
    <row r="34">
      <c r="A34" t="inlineStr">
        <is>
          <t>Patient COGS</t>
        </is>
      </c>
      <c r="B34" t="inlineStr">
        <is>
          <t>$212</t>
        </is>
      </c>
      <c r="C34" t="inlineStr">
        <is>
          <t>75 × $2.83</t>
        </is>
      </c>
      <c r="D34" t="inlineStr"/>
    </row>
    <row r="35">
      <c r="A35" t="inlineStr">
        <is>
          <t>Total COGS</t>
        </is>
      </c>
      <c r="B35" t="inlineStr">
        <is>
          <t>$398</t>
        </is>
      </c>
      <c r="C35" t="inlineStr">
        <is>
          <t>$186 + $212</t>
        </is>
      </c>
      <c r="D35" t="inlineStr"/>
    </row>
    <row r="36">
      <c r="A36" t="inlineStr">
        <is>
          <t>Gross Profit</t>
        </is>
      </c>
      <c r="B36" t="inlineStr">
        <is>
          <t>$1,339</t>
        </is>
      </c>
      <c r="C36" t="inlineStr">
        <is>
          <t>$1,737 - $398</t>
        </is>
      </c>
      <c r="D36" t="inlineStr"/>
    </row>
    <row r="37">
      <c r="A37" t="inlineStr">
        <is>
          <t>Gross Margin</t>
        </is>
      </c>
      <c r="B37" t="inlineStr">
        <is>
          <t>77%</t>
        </is>
      </c>
      <c r="C37" t="inlineStr">
        <is>
          <t>$1,339 / $1,737</t>
        </is>
      </c>
      <c r="D37" t="inlineStr"/>
    </row>
    <row r="38">
      <c r="A38" t="inlineStr">
        <is>
          <t>ARR</t>
        </is>
      </c>
      <c r="B38" t="inlineStr">
        <is>
          <t>$20,844</t>
        </is>
      </c>
      <c r="C38" t="inlineStr">
        <is>
          <t>$1,737 × 12</t>
        </is>
      </c>
      <c r="D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2026-01-24T14:10:49Z</dcterms:created>
  <dcterms:modified xsi:type="dcterms:W3CDTF">2026-01-26T23:20:13Z</dcterms:modified>
</cp:coreProperties>
</file>