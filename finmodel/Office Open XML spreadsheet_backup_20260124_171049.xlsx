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" sheetId="1" r:id="rId5"/>
    <sheet state="visible" name="Settings" sheetId="2" r:id="rId6"/>
    <sheet state="visible" name="Roadmap" sheetId="3" r:id="rId7"/>
    <sheet state="visible" name="Payroll" sheetId="4" r:id="rId8"/>
    <sheet state="visible" name="Projections" sheetId="5" r:id="rId9"/>
    <sheet state="visible" name="Charts" sheetId="6" r:id="rId10"/>
    <sheet state="visible" name="For Pitchdeck" sheetId="7" r:id="rId11"/>
    <sheet state="visible" name="Monthly forecast" sheetId="8" r:id="rId12"/>
    <sheet state="visible" name="Unit economics" sheetId="9" r:id="rId13"/>
    <sheet state="visible" name="P&amp;L | Cash Flow | Balance" sheetId="10" r:id="rId14"/>
    <sheet state="visible" name="Cap Table" sheetId="11" r:id="rId15"/>
    <sheet state="visible" name="Dividends" sheetId="12" r:id="rId16"/>
    <sheet state="visible" name="Exit Scenarios" sheetId="13" r:id="rId17"/>
    <sheet state="visible" name="Data for chart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Введите количество сессий на сайте из органики в первый месяц</t>
      </text>
    </comment>
    <comment authorId="0" ref="B14">
      <text>
        <t xml:space="preserve">Введите процент, на который будет увеличиваться количество сессий на сайте из органики ежемесячно</t>
      </text>
    </comment>
    <comment authorId="0" ref="B19">
      <text>
        <t xml:space="preserve">Введите ежемесячный бюджет на платный прямой маркетинг при старте этого канала продвижения</t>
      </text>
    </comment>
    <comment authorId="0" ref="E19">
      <text>
        <t xml:space="preserve">Выберите событие, после которого вы увеличите бюджет</t>
      </text>
    </comment>
    <comment authorId="0" ref="G19">
      <text>
        <t xml:space="preserve">Введите сумму дополнительного бюджета</t>
      </text>
    </comment>
    <comment authorId="0" ref="B28">
      <text>
        <t xml:space="preserve">Введите ежемесячную цену вашей подписки</t>
      </text>
    </comment>
    <comment authorId="0" ref="B30">
      <text>
        <t xml:space="preserve">Введите процент людей в месяц, которые будут отказываться от подписки</t>
      </text>
    </comment>
    <comment authorId="0" ref="B67">
      <text>
        <t xml:space="preserve">Введите стоимость обработки платежей (процент от общих сумм поступающих денег)</t>
      </text>
    </comment>
    <comment authorId="0" ref="B68">
      <text>
        <t xml:space="preserve">Введите расходы на техническое обеспечение работы вашего продукта на одного активного пользователя (подписчика)</t>
      </text>
    </comment>
    <comment authorId="0" ref="B76">
      <text>
        <t xml:space="preserve"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authorId="0" ref="B94">
      <text>
        <t xml:space="preserve">Введите общую стоимость открытия юридического лица (услуги консультантов, госпошлины и пр)</t>
      </text>
    </comment>
    <comment authorId="0" ref="B117">
      <text>
        <t xml:space="preserve"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authorId="0" ref="C117">
      <text>
        <t xml:space="preserve">Введите срок службы актива (в месяцах) для расчета амортизации</t>
      </text>
    </comment>
    <comment authorId="0" ref="B120">
      <text>
        <t xml:space="preserve">Введите стоимость прочих активов: оборудование, техника, мебель и пр.</t>
      </text>
    </comment>
    <comment authorId="0" ref="C120">
      <text>
        <t xml:space="preserve">Введите срок службы актива (в месяцах) для расчета амортизации</t>
      </text>
    </comment>
  </commentList>
</comments>
</file>

<file path=xl/sharedStrings.xml><?xml version="1.0" encoding="utf-8"?>
<sst xmlns="http://schemas.openxmlformats.org/spreadsheetml/2006/main" count="570" uniqueCount="334">
  <si>
    <t>Сайт:</t>
  </si>
  <si>
    <t>https://anastasianikolaeva.com/</t>
  </si>
  <si>
    <t>Телеграм:</t>
  </si>
  <si>
    <t>https://t.me/anikolayeva</t>
  </si>
  <si>
    <r>
      <rPr/>
      <t xml:space="preserve">Материалы этого файла могут быть использованы только лицом, купившим данный материал на сайте </t>
    </r>
    <r>
      <rPr>
        <color rgb="FF1155CC"/>
        <u/>
      </rPr>
      <t>https://anastasianikolaeva.com/</t>
    </r>
    <r>
      <rPr/>
      <t xml:space="preserve">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</t>
    </r>
    <r>
      <rPr>
        <color rgb="FF1155CC"/>
        <u/>
      </rPr>
      <t>https://anastasianikolaeva.com/</t>
    </r>
  </si>
  <si>
    <r>
      <rPr>
        <rFont val="Arial"/>
      </rPr>
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</t>
    </r>
    <r>
      <rPr>
        <rFont val="Arial"/>
        <b/>
        <sz val="12.0"/>
      </rPr>
      <t xml:space="preserve">здесь: 
</t>
    </r>
    <r>
      <rPr>
        <rFont val="Arial"/>
      </rPr>
      <t xml:space="preserve">
</t>
    </r>
    <r>
      <rPr>
        <rFont val="Arial"/>
        <color rgb="FF1155CC"/>
        <u/>
      </rPr>
      <t>https://anastasianikolaeva.com/#expressform</t>
    </r>
  </si>
  <si>
    <t>Финансовая модель</t>
  </si>
  <si>
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</si>
  <si>
    <t>Инструкции</t>
  </si>
  <si>
    <t>Синим шрифтом выделены поля, куда вносятся данные.</t>
  </si>
  <si>
    <t>Черным шрифтом выделены поля, в которых вычисления производятся по формулам.</t>
  </si>
  <si>
    <t>Incorporation</t>
  </si>
  <si>
    <t>В выпадающих списках заданы списки параметров, выбор которых влияет на расчеты в модели.</t>
  </si>
  <si>
    <t>Вкладка "Setting"</t>
  </si>
  <si>
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</si>
  <si>
    <t>Вкладка "Roadmap"</t>
  </si>
  <si>
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</si>
  <si>
    <t>Вкладка "Payroll"</t>
  </si>
  <si>
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</si>
  <si>
    <t>Вкладка "Projections"</t>
  </si>
  <si>
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</si>
  <si>
    <t>Вкладка "Monthly Forecast"</t>
  </si>
  <si>
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</si>
  <si>
    <t>Вкладка "Unit Economics"</t>
  </si>
  <si>
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</si>
  <si>
    <t>Вкладка "P&amp;L and Cash Flow"</t>
  </si>
  <si>
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</si>
  <si>
    <t>Вкладка "For Pitchdeck"</t>
  </si>
  <si>
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</si>
  <si>
    <t>Вкладка "Cap Table"</t>
  </si>
  <si>
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</si>
  <si>
    <t>Вкладка "Dividends"</t>
  </si>
  <si>
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</si>
  <si>
    <t>Вкладка "Exit scenarios"</t>
  </si>
  <si>
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</si>
  <si>
    <t>Вкладка "Charts"</t>
  </si>
  <si>
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</si>
  <si>
    <t>Вкладка "Data for Charts"</t>
  </si>
  <si>
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</si>
  <si>
    <t>GENERAL SETTINGS</t>
  </si>
  <si>
    <t>Company name</t>
  </si>
  <si>
    <t>Healthy4U</t>
  </si>
  <si>
    <t>Currency</t>
  </si>
  <si>
    <t>USD</t>
  </si>
  <si>
    <t>Country of incorporation</t>
  </si>
  <si>
    <t>Israel</t>
  </si>
  <si>
    <t>Income tax rate</t>
  </si>
  <si>
    <t>Payroll tax rate</t>
  </si>
  <si>
    <t>Tax Payment Month</t>
  </si>
  <si>
    <t>Cash in bank at start</t>
  </si>
  <si>
    <t>ROADMAP</t>
  </si>
  <si>
    <t>Growth driving events</t>
  </si>
  <si>
    <t>Type</t>
  </si>
  <si>
    <t>Date</t>
  </si>
  <si>
    <t>Months after seed round</t>
  </si>
  <si>
    <t>incorporation</t>
  </si>
  <si>
    <t>B2B solution: MVP release</t>
  </si>
  <si>
    <t>new product</t>
  </si>
  <si>
    <t>B2B solution: 5 clients</t>
  </si>
  <si>
    <t>monetization</t>
  </si>
  <si>
    <t>Pre-seed round money transfer</t>
  </si>
  <si>
    <t>fundraising</t>
  </si>
  <si>
    <t>B2B solution: v.1 release</t>
  </si>
  <si>
    <t>new feature</t>
  </si>
  <si>
    <t>Android App for B2B</t>
  </si>
  <si>
    <t>B2B solution: 50 clients</t>
  </si>
  <si>
    <t>B2B solution: 100 clients</t>
  </si>
  <si>
    <t>Seed round money transfer</t>
  </si>
  <si>
    <t>EU expansion</t>
  </si>
  <si>
    <t>new region</t>
  </si>
  <si>
    <t>PAYROLL</t>
  </si>
  <si>
    <t>Monthly salary</t>
  </si>
  <si>
    <t>Payroll taxes</t>
  </si>
  <si>
    <t>Monthly cost to company</t>
  </si>
  <si>
    <t>Annaul salary</t>
  </si>
  <si>
    <t>Start event in the roadmap</t>
  </si>
  <si>
    <t>Hire date</t>
  </si>
  <si>
    <t>Annual salary increase</t>
  </si>
  <si>
    <t>Administrative</t>
  </si>
  <si>
    <t>CEO</t>
  </si>
  <si>
    <t>CFO</t>
  </si>
  <si>
    <t>COO</t>
  </si>
  <si>
    <t>HRD</t>
  </si>
  <si>
    <t>Operations Coordinator / Office Manager</t>
  </si>
  <si>
    <t>Employee 1</t>
  </si>
  <si>
    <t>Employee 2</t>
  </si>
  <si>
    <t>Employee 3</t>
  </si>
  <si>
    <t>Employee 4</t>
  </si>
  <si>
    <t>IT</t>
  </si>
  <si>
    <t>CTO</t>
  </si>
  <si>
    <t>Developer frontend</t>
  </si>
  <si>
    <t>Developer backend</t>
  </si>
  <si>
    <t>Developer fullstack</t>
  </si>
  <si>
    <t>UX designer</t>
  </si>
  <si>
    <t>Product manager</t>
  </si>
  <si>
    <t>DevOps</t>
  </si>
  <si>
    <t>Project Manager</t>
  </si>
  <si>
    <t>Developer cross-platform</t>
  </si>
  <si>
    <t>QA</t>
  </si>
  <si>
    <t>Security engineer</t>
  </si>
  <si>
    <t>Marketing</t>
  </si>
  <si>
    <t>Head of Marketing</t>
  </si>
  <si>
    <t>Content Marketing Manager</t>
  </si>
  <si>
    <t>Performance Marketing Manager</t>
  </si>
  <si>
    <t>Community Manager / SMM</t>
  </si>
  <si>
    <t>PR / Comms Manager</t>
  </si>
  <si>
    <t>Marketing Designer</t>
  </si>
  <si>
    <t>Sales</t>
  </si>
  <si>
    <t>Head of Sales</t>
  </si>
  <si>
    <t>BDM</t>
  </si>
  <si>
    <t>Partnerships Manager</t>
  </si>
  <si>
    <t>Inbound Sales Manager</t>
  </si>
  <si>
    <t>SDR</t>
  </si>
  <si>
    <t>Employee</t>
  </si>
  <si>
    <t>Customer Success &amp; Support</t>
  </si>
  <si>
    <t xml:space="preserve">Head of Customer Success </t>
  </si>
  <si>
    <t>Customer Success / Account Manager</t>
  </si>
  <si>
    <t>Onboarding manager</t>
  </si>
  <si>
    <t>Technical Support Specialist 1</t>
  </si>
  <si>
    <t>Technical Support Specialist 2</t>
  </si>
  <si>
    <t>Project manager CS</t>
  </si>
  <si>
    <t xml:space="preserve">Account Manager </t>
  </si>
  <si>
    <t>START</t>
  </si>
  <si>
    <t>INCORPORATION</t>
  </si>
  <si>
    <t>SEED ROUND MONEY TRANSFER</t>
  </si>
  <si>
    <t>REVENUE</t>
  </si>
  <si>
    <t>WEBSITE TRAFFIC</t>
  </si>
  <si>
    <t>Organic traffic</t>
  </si>
  <si>
    <t>Traffic first month</t>
  </si>
  <si>
    <t>Monthly increase</t>
  </si>
  <si>
    <t>Maximum traffic</t>
  </si>
  <si>
    <t>Paid traffic</t>
  </si>
  <si>
    <t>Budget at start</t>
  </si>
  <si>
    <t>Event in the roadmap to increase budget</t>
  </si>
  <si>
    <t>Additional budget</t>
  </si>
  <si>
    <t>Paid traffic marketing budget per month</t>
  </si>
  <si>
    <t>CPC (Cost per click)</t>
  </si>
  <si>
    <t>Monthly decrease of Expected CPC</t>
  </si>
  <si>
    <t>Minimum Expected CPC</t>
  </si>
  <si>
    <t>BUSINESS MODEL: SUBSCRIPTION</t>
  </si>
  <si>
    <t>Pricing</t>
  </si>
  <si>
    <t>Monthly subscription</t>
  </si>
  <si>
    <t>Expected monthly churn rate</t>
  </si>
  <si>
    <t>Expected LTV</t>
  </si>
  <si>
    <t>REVENUE STREAM 1: SELF-SERVICE</t>
  </si>
  <si>
    <t>Traffic conversion to subscription</t>
  </si>
  <si>
    <t>Conversion to subscription</t>
  </si>
  <si>
    <t>CAC - paid ads</t>
  </si>
  <si>
    <t>REVENUE STREAM 2: INBOUND SALES</t>
  </si>
  <si>
    <t>Expected launch</t>
  </si>
  <si>
    <t>Traffic conversion to lead</t>
  </si>
  <si>
    <t>Conversion to lead</t>
  </si>
  <si>
    <t>CPL (Cost Per Lead)</t>
  </si>
  <si>
    <t>Lead to subscription conversion</t>
  </si>
  <si>
    <t>Leads per Sales Manager per month</t>
  </si>
  <si>
    <t>Lead to sale conversion</t>
  </si>
  <si>
    <t>REVENUE STREAM 3: OUTBOUND SALES</t>
  </si>
  <si>
    <t>Number of outbound sales managers first month</t>
  </si>
  <si>
    <t>Hiring frequency, months</t>
  </si>
  <si>
    <t>Max number of outbound sales managers</t>
  </si>
  <si>
    <t>Deals closed per Sales Manager per month</t>
  </si>
  <si>
    <t>COGS</t>
  </si>
  <si>
    <t>Payments processing</t>
  </si>
  <si>
    <t>Hosting costs per subscriber per month</t>
  </si>
  <si>
    <t>SG&amp;A</t>
  </si>
  <si>
    <t>MARKETING</t>
  </si>
  <si>
    <t>Brand awareness campaigns</t>
  </si>
  <si>
    <t>Channel 1</t>
  </si>
  <si>
    <t>Channel 2</t>
  </si>
  <si>
    <t>Channel 3</t>
  </si>
  <si>
    <t>Other marketing expenses</t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</si>
  <si>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</si>
  <si>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</si>
  <si>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</si>
  <si>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</si>
  <si>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</si>
  <si>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</si>
  <si>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</si>
  <si>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8</t>
  </si>
  <si>
    <t>ADVISORY SERVICES</t>
  </si>
  <si>
    <t>Legal</t>
  </si>
  <si>
    <t>one-time</t>
  </si>
  <si>
    <t>Regular legal support</t>
  </si>
  <si>
    <t>Accounting&amp;Taxes</t>
  </si>
  <si>
    <t>Bookkeeping</t>
  </si>
  <si>
    <t>Tax services</t>
  </si>
  <si>
    <t>Other advisory services</t>
  </si>
  <si>
    <t>OTHER ADMINISTRATIVE EXPENSES</t>
  </si>
  <si>
    <t>Office</t>
  </si>
  <si>
    <t>CAPEX</t>
  </si>
  <si>
    <t>The model automatically estimates new computer purchases for new employees</t>
  </si>
  <si>
    <t>Price per computer</t>
  </si>
  <si>
    <t>Time for assets to depreciate (in monthes)</t>
  </si>
  <si>
    <t>Price</t>
  </si>
  <si>
    <t>Asset 1</t>
  </si>
  <si>
    <t>Asset 2</t>
  </si>
  <si>
    <t>Asset 3</t>
  </si>
  <si>
    <t>Asset 4</t>
  </si>
  <si>
    <t>Asset 5</t>
  </si>
  <si>
    <t>KEY INDICATORS</t>
  </si>
  <si>
    <t>CAPITAL</t>
  </si>
  <si>
    <t>Months to reach 
break even</t>
  </si>
  <si>
    <t>Capital required</t>
  </si>
  <si>
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</si>
  <si>
    <t>Month</t>
  </si>
  <si>
    <t>Expense category</t>
  </si>
  <si>
    <t>Traffic</t>
  </si>
  <si>
    <t>CPC</t>
  </si>
  <si>
    <t>Total traffic</t>
  </si>
  <si>
    <t>New subscribers</t>
  </si>
  <si>
    <t>Churn rate</t>
  </si>
  <si>
    <t>Lost subscribers</t>
  </si>
  <si>
    <t>Subscribers - End of the period</t>
  </si>
  <si>
    <t>Gross revenue Self-service</t>
  </si>
  <si>
    <t>Leads</t>
  </si>
  <si>
    <t>Gross revenue Inbound Sales</t>
  </si>
  <si>
    <t>Gross revenue Outbound Sales</t>
  </si>
  <si>
    <t>Total subscribers - End of the period</t>
  </si>
  <si>
    <t>Total gross revenue</t>
  </si>
  <si>
    <t>Hosting</t>
  </si>
  <si>
    <t>Direct response campaigns</t>
  </si>
  <si>
    <t>Budget</t>
  </si>
  <si>
    <t>SALES</t>
  </si>
  <si>
    <t>Inbound Sales Managers</t>
  </si>
  <si>
    <t>Number of Inbound Managers</t>
  </si>
  <si>
    <t>Cost per manager</t>
  </si>
  <si>
    <t>Total cost</t>
  </si>
  <si>
    <t xml:space="preserve">Outbound Sales Managers </t>
  </si>
  <si>
    <t>Number of Outbound Managers</t>
  </si>
  <si>
    <t>Development</t>
  </si>
  <si>
    <t xml:space="preserve"> </t>
  </si>
  <si>
    <t>Operations</t>
  </si>
  <si>
    <t>CAPITAL EXPENDITURES</t>
  </si>
  <si>
    <t>Capital Expenditures</t>
  </si>
  <si>
    <t>Computers</t>
  </si>
  <si>
    <t>DEPRECIATION &amp; AMORTIZATION</t>
  </si>
  <si>
    <t>Subscription price per month</t>
  </si>
  <si>
    <t>ARPPU</t>
  </si>
  <si>
    <t>Churn</t>
  </si>
  <si>
    <t>LT (Ilifetime)</t>
  </si>
  <si>
    <t>LTV</t>
  </si>
  <si>
    <t>LTV 3 month</t>
  </si>
  <si>
    <t>LTV 6 month</t>
  </si>
  <si>
    <t>LTV 12 month</t>
  </si>
  <si>
    <t>pCAC (CAC paid channels)</t>
  </si>
  <si>
    <t>LTV/CAC</t>
  </si>
  <si>
    <t>LTV 3 month/CAC</t>
  </si>
  <si>
    <t>LTV 6 month/CAC</t>
  </si>
  <si>
    <t>LTV 12 month/CAC</t>
  </si>
  <si>
    <t>Marketing Costs</t>
  </si>
  <si>
    <t>Cost of Inbound Sales Managers team</t>
  </si>
  <si>
    <t>CAC</t>
  </si>
  <si>
    <t>CAC - Cost of Outbound Sales Managers</t>
  </si>
  <si>
    <t>P&amp;L</t>
  </si>
  <si>
    <t>Gross profit</t>
  </si>
  <si>
    <t>Gross margin</t>
  </si>
  <si>
    <t>EBITDA</t>
  </si>
  <si>
    <t>EBITDA, %</t>
  </si>
  <si>
    <t>Depreciation</t>
  </si>
  <si>
    <t>Interest</t>
  </si>
  <si>
    <t>Tax base</t>
  </si>
  <si>
    <t>Tax fee, %</t>
  </si>
  <si>
    <t>Taxes</t>
  </si>
  <si>
    <t>Net income</t>
  </si>
  <si>
    <t>Net margin</t>
  </si>
  <si>
    <t>CASH FLOW</t>
  </si>
  <si>
    <t>Cash at the beginning of month</t>
  </si>
  <si>
    <t>Fundraising</t>
  </si>
  <si>
    <t>Cash flow from Operations</t>
  </si>
  <si>
    <t>Cash flow from Investing</t>
  </si>
  <si>
    <t>Cash flow from Financing</t>
  </si>
  <si>
    <t>Cash at the end of month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</si>
  <si>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</si>
  <si>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</si>
  <si>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</si>
  <si>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</si>
  <si>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</si>
  <si>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</si>
  <si>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</si>
  <si>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</si>
  <si>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</si>
  <si>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</si>
  <si>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</si>
  <si>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</si>
  <si>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</si>
  <si>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</si>
  <si>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Shareholder's equity</t>
  </si>
  <si>
    <t>Total liabilities &amp; Shareholder's equity</t>
  </si>
  <si>
    <t>Balance sheet check</t>
  </si>
  <si>
    <t>Foundation</t>
  </si>
  <si>
    <t>Round 1</t>
  </si>
  <si>
    <t>Round 2</t>
  </si>
  <si>
    <t>Round 3</t>
  </si>
  <si>
    <t>Company Valuation</t>
  </si>
  <si>
    <t>Value</t>
  </si>
  <si>
    <t>Share Price</t>
  </si>
  <si>
    <t>Number of Shares</t>
  </si>
  <si>
    <t>Valuation</t>
  </si>
  <si>
    <t>New Capital Raised</t>
  </si>
  <si>
    <t>Post-money Valuation</t>
  </si>
  <si>
    <t>Total</t>
  </si>
  <si>
    <t>Company Ownership Capitalization Table</t>
  </si>
  <si>
    <t>Capital</t>
  </si>
  <si>
    <t>% of Ownership</t>
  </si>
  <si>
    <t>Capital Raised in this Round</t>
  </si>
  <si>
    <t>Founder 1</t>
  </si>
  <si>
    <t>Founder 2</t>
  </si>
  <si>
    <t>Founder 3</t>
  </si>
  <si>
    <t>Key Employees</t>
  </si>
  <si>
    <t>Advisors</t>
  </si>
  <si>
    <t>Investor 1</t>
  </si>
  <si>
    <t>Investor 2</t>
  </si>
  <si>
    <t>Investor 3</t>
  </si>
  <si>
    <t>Investor 4</t>
  </si>
  <si>
    <t>Investor 5</t>
  </si>
  <si>
    <t>Investor 6</t>
  </si>
  <si>
    <t>Investor 7</t>
  </si>
  <si>
    <t>Investor 8</t>
  </si>
  <si>
    <t>Investor 9</t>
  </si>
  <si>
    <t>Investor 10</t>
  </si>
  <si>
    <t>Net Income</t>
  </si>
  <si>
    <t>Share</t>
  </si>
  <si>
    <t>Dividends</t>
  </si>
  <si>
    <t>Expected Exit Scenario</t>
  </si>
  <si>
    <t>Strategic acquasition</t>
  </si>
  <si>
    <t>Target valuation</t>
  </si>
  <si>
    <t>Expected Year of Exit</t>
  </si>
  <si>
    <t>Shareholder</t>
  </si>
  <si>
    <t>Capital Invested</t>
  </si>
  <si>
    <t>Exit</t>
  </si>
  <si>
    <t>ROI</t>
  </si>
  <si>
    <t>USE OF FUNDS</t>
  </si>
  <si>
    <t>Pie chart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</si>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</sst>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39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</font>
    <font>
      <u/>
      <color rgb="FFFFFFFF"/>
      <name val="Arial"/>
    </font>
    <font>
      <u/>
      <color rgb="FF0000FF"/>
    </font>
    <font/>
    <font>
      <u/>
      <color rgb="FF0000FF"/>
      <name val="Arial"/>
    </font>
    <font>
      <b/>
      <sz val="14.0"/>
      <color rgb="FFFFFFFF"/>
      <name val="Arial"/>
    </font>
    <font>
      <sz val="12.0"/>
      <color theme="1"/>
      <name val="Arial"/>
    </font>
    <font>
      <b/>
      <color rgb="FF0000FF"/>
      <name val="Arial"/>
    </font>
    <font>
      <b/>
      <color theme="1"/>
      <name val="Arial"/>
    </font>
    <font>
      <sz val="12.0"/>
      <color rgb="FFFFFFFF"/>
      <name val="Arial"/>
    </font>
    <font>
      <color rgb="FF0000FF"/>
      <name val="Arial"/>
    </font>
    <font>
      <i/>
      <color theme="1"/>
      <name val="Arial"/>
    </font>
    <font>
      <b/>
      <sz val="11.0"/>
      <color rgb="FF02A3A3"/>
      <name val="Arial"/>
    </font>
    <font>
      <color rgb="FF000000"/>
      <name val="Arial"/>
    </font>
    <font>
      <sz val="12.0"/>
      <color rgb="FF000000"/>
      <name val="Arial"/>
    </font>
    <font>
      <b/>
      <color rgb="FF000000"/>
      <name val="Arial"/>
    </font>
    <font>
      <b/>
      <sz val="12.0"/>
      <color rgb="FF02A3A3"/>
      <name val="Arial"/>
    </font>
    <font>
      <sz val="12.0"/>
      <color rgb="FF02A3A3"/>
      <name val="Arial"/>
    </font>
    <font>
      <b/>
      <sz val="14.0"/>
      <color rgb="FF666666"/>
      <name val="Arial"/>
    </font>
    <font>
      <b/>
      <sz val="19.0"/>
      <color rgb="FF02A3A3"/>
      <name val="Arial"/>
    </font>
    <font>
      <b/>
      <sz val="14.0"/>
      <color rgb="FF0B5394"/>
      <name val="Arial"/>
    </font>
    <font>
      <color rgb="FF02A3A3"/>
      <name val="Arial"/>
    </font>
    <font>
      <b/>
      <color rgb="FFFFFFFF"/>
      <name val="Calibri"/>
    </font>
    <font>
      <i/>
      <sz val="11.0"/>
      <color rgb="FF02A3A3"/>
      <name val="Arial"/>
    </font>
    <font>
      <i/>
      <color theme="1"/>
      <name val="Calibri"/>
    </font>
    <font>
      <i/>
      <sz val="12.0"/>
      <color theme="1"/>
      <name val="Calibri"/>
    </font>
    <font>
      <color rgb="FFFFFFFF"/>
      <name val="Calibri"/>
    </font>
    <font>
      <b/>
      <color rgb="FF02A3A3"/>
      <name val="Arial"/>
    </font>
    <font>
      <b/>
      <color rgb="FF0B5394"/>
      <name val="Arial"/>
    </font>
    <font>
      <b/>
      <color rgb="FFFF0000"/>
      <name val="Arial"/>
    </font>
    <font>
      <color rgb="FFFF0000"/>
      <name val="Arial"/>
    </font>
    <font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color rgb="FFFFFFFF"/>
      <name val="Arial"/>
    </font>
    <font>
      <b/>
      <color rgb="FFFFFFFF"/>
      <name val="Arial"/>
    </font>
    <font>
      <sz val="11.0"/>
      <color rgb="FF1F1F1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</fills>
  <borders count="44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right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0" fillId="0" fontId="1" numFmtId="0" xfId="0" applyFont="1"/>
    <xf borderId="2" fillId="0" fontId="1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6" fillId="0" fontId="1" numFmtId="0" xfId="0" applyBorder="1" applyFont="1"/>
    <xf borderId="7" fillId="2" fontId="7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1" numFmtId="0" xfId="0" applyBorder="1" applyFont="1"/>
    <xf borderId="10" fillId="0" fontId="1" numFmtId="0" xfId="0" applyBorder="1" applyFont="1"/>
    <xf borderId="9" fillId="3" fontId="8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11" fillId="0" fontId="5" numFmtId="0" xfId="0" applyBorder="1" applyFont="1"/>
    <xf borderId="5" fillId="3" fontId="9" numFmtId="0" xfId="0" applyAlignment="1" applyBorder="1" applyFont="1">
      <alignment horizontal="center" vertical="center"/>
    </xf>
    <xf borderId="5" fillId="0" fontId="1" numFmtId="0" xfId="0" applyAlignment="1" applyBorder="1" applyFont="1">
      <alignment shrinkToFit="0" vertical="center" wrapText="1"/>
    </xf>
    <xf borderId="5" fillId="3" fontId="10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vertical="center"/>
    </xf>
    <xf borderId="3" fillId="3" fontId="10" numFmtId="0" xfId="0" applyAlignment="1" applyBorder="1" applyFont="1">
      <alignment horizontal="center" vertical="center"/>
    </xf>
    <xf borderId="3" fillId="0" fontId="1" numFmtId="0" xfId="0" applyAlignment="1" applyBorder="1" applyFont="1">
      <alignment shrinkToFit="0" vertical="center" wrapText="1"/>
    </xf>
    <xf borderId="12" fillId="3" fontId="10" numFmtId="0" xfId="0" applyAlignment="1" applyBorder="1" applyFont="1">
      <alignment horizontal="center" vertical="center"/>
    </xf>
    <xf borderId="9" fillId="0" fontId="1" numFmtId="0" xfId="0" applyAlignment="1" applyBorder="1" applyFont="1">
      <alignment shrinkToFit="0" vertical="center" wrapText="1"/>
    </xf>
    <xf borderId="0" fillId="2" fontId="2" numFmtId="0" xfId="0" applyAlignment="1" applyFont="1">
      <alignment vertical="center"/>
    </xf>
    <xf borderId="0" fillId="2" fontId="11" numFmtId="0" xfId="0" applyAlignment="1" applyFont="1">
      <alignment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horizontal="right" vertical="center"/>
    </xf>
    <xf borderId="0" fillId="0" fontId="12" numFmtId="9" xfId="0" applyAlignment="1" applyFont="1" applyNumberFormat="1">
      <alignment readingOrder="0" vertical="center"/>
    </xf>
    <xf borderId="0" fillId="0" fontId="1" numFmtId="9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64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2" numFmtId="165" xfId="0" applyAlignment="1" applyFont="1" applyNumberFormat="1">
      <alignment readingOrder="0" vertical="center"/>
    </xf>
    <xf borderId="0" fillId="0" fontId="15" numFmtId="165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2" fontId="16" numFmtId="0" xfId="0" applyAlignment="1" applyFont="1">
      <alignment vertical="center"/>
    </xf>
    <xf borderId="0" fillId="0" fontId="10" numFmtId="166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2" numFmtId="164" xfId="0" applyAlignment="1" applyFont="1" applyNumberFormat="1">
      <alignment readingOrder="0" vertical="center"/>
    </xf>
    <xf borderId="0" fillId="0" fontId="15" numFmtId="9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0" fillId="0" fontId="10" numFmtId="0" xfId="0" applyAlignment="1" applyFont="1">
      <alignment readingOrder="0" vertical="center"/>
    </xf>
    <xf borderId="0" fillId="0" fontId="10" numFmtId="164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2" numFmtId="3" xfId="0" applyAlignment="1" applyFont="1" applyNumberFormat="1">
      <alignment vertical="center"/>
    </xf>
    <xf borderId="0" fillId="4" fontId="10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2" numFmtId="164" xfId="0" applyAlignment="1" applyFont="1" applyNumberFormat="1">
      <alignment horizontal="right" vertical="center"/>
    </xf>
    <xf borderId="0" fillId="4" fontId="1" numFmtId="0" xfId="0" applyAlignment="1" applyFont="1">
      <alignment vertical="center"/>
    </xf>
    <xf borderId="0" fillId="4" fontId="1" numFmtId="167" xfId="0" applyAlignment="1" applyFont="1" applyNumberFormat="1">
      <alignment vertical="center"/>
    </xf>
    <xf borderId="0" fillId="0" fontId="12" numFmtId="9" xfId="0" applyAlignment="1" applyFont="1" applyNumberFormat="1">
      <alignment horizontal="right" vertical="center"/>
    </xf>
    <xf borderId="0" fillId="0" fontId="12" numFmtId="166" xfId="0" applyAlignment="1" applyFont="1" applyNumberFormat="1">
      <alignment horizontal="right" vertical="center"/>
    </xf>
    <xf borderId="0" fillId="0" fontId="12" numFmtId="168" xfId="0" applyAlignment="1" applyFont="1" applyNumberFormat="1">
      <alignment vertical="center"/>
    </xf>
    <xf borderId="0" fillId="0" fontId="15" numFmtId="164" xfId="0" applyAlignment="1" applyFont="1" applyNumberFormat="1">
      <alignment vertical="center"/>
    </xf>
    <xf borderId="0" fillId="0" fontId="12" numFmtId="169" xfId="0" applyAlignment="1" applyFont="1" applyNumberFormat="1">
      <alignment vertical="center"/>
    </xf>
    <xf borderId="0" fillId="4" fontId="1" numFmtId="0" xfId="0" applyAlignment="1" applyFont="1">
      <alignment readingOrder="0" vertical="center"/>
    </xf>
    <xf borderId="0" fillId="0" fontId="15" numFmtId="0" xfId="0" applyAlignment="1" applyFont="1">
      <alignment horizontal="right" vertical="center"/>
    </xf>
    <xf borderId="0" fillId="0" fontId="13" numFmtId="0" xfId="0" applyAlignment="1" applyFont="1">
      <alignment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13" fillId="4" fontId="1" numFmtId="0" xfId="0" applyBorder="1" applyFont="1"/>
    <xf borderId="0" fillId="4" fontId="13" numFmtId="0" xfId="0" applyAlignment="1" applyFont="1">
      <alignment vertical="center"/>
    </xf>
    <xf borderId="0" fillId="4" fontId="1" numFmtId="0" xfId="0" applyFont="1"/>
    <xf borderId="14" fillId="2" fontId="2" numFmtId="0" xfId="0" applyAlignment="1" applyBorder="1" applyFont="1">
      <alignment vertical="center"/>
    </xf>
    <xf borderId="14" fillId="2" fontId="1" numFmtId="0" xfId="0" applyBorder="1" applyFont="1"/>
    <xf borderId="15" fillId="2" fontId="2" numFmtId="0" xfId="0" applyBorder="1" applyFont="1"/>
    <xf borderId="16" fillId="2" fontId="1" numFmtId="0" xfId="0" applyBorder="1" applyFont="1"/>
    <xf borderId="17" fillId="4" fontId="1" numFmtId="0" xfId="0" applyBorder="1" applyFont="1"/>
    <xf borderId="18" fillId="4" fontId="1" numFmtId="0" xfId="0" applyBorder="1" applyFont="1"/>
    <xf borderId="19" fillId="4" fontId="1" numFmtId="0" xfId="0" applyBorder="1" applyFont="1"/>
    <xf borderId="20" fillId="4" fontId="1" numFmtId="0" xfId="0" applyBorder="1" applyFont="1"/>
    <xf borderId="21" fillId="4" fontId="1" numFmtId="0" xfId="0" applyBorder="1" applyFont="1"/>
    <xf borderId="22" fillId="5" fontId="1" numFmtId="0" xfId="0" applyBorder="1" applyFill="1" applyFont="1"/>
    <xf borderId="23" fillId="5" fontId="20" numFmtId="0" xfId="0" applyAlignment="1" applyBorder="1" applyFont="1">
      <alignment shrinkToFit="0" vertical="center" wrapText="1"/>
    </xf>
    <xf borderId="23" fillId="5" fontId="21" numFmtId="0" xfId="0" applyAlignment="1" applyBorder="1" applyFont="1">
      <alignment horizontal="center" vertical="center"/>
    </xf>
    <xf borderId="24" fillId="5" fontId="1" numFmtId="0" xfId="0" applyBorder="1" applyFont="1"/>
    <xf borderId="25" fillId="4" fontId="22" numFmtId="0" xfId="0" applyAlignment="1" applyBorder="1" applyFont="1">
      <alignment horizontal="center" shrinkToFit="0" vertical="center" wrapText="1"/>
    </xf>
    <xf borderId="26" fillId="5" fontId="1" numFmtId="0" xfId="0" applyAlignment="1" applyBorder="1" applyFont="1">
      <alignment vertical="center"/>
    </xf>
    <xf borderId="26" fillId="5" fontId="23" numFmtId="0" xfId="0" applyBorder="1" applyFont="1"/>
    <xf borderId="27" fillId="5" fontId="1" numFmtId="0" xfId="0" applyBorder="1" applyFont="1"/>
    <xf borderId="25" fillId="4" fontId="1" numFmtId="0" xfId="0" applyBorder="1" applyFont="1"/>
    <xf borderId="28" fillId="5" fontId="1" numFmtId="0" xfId="0" applyBorder="1" applyFont="1"/>
    <xf borderId="29" fillId="5" fontId="20" numFmtId="0" xfId="0" applyAlignment="1" applyBorder="1" applyFont="1">
      <alignment shrinkToFit="0" vertical="center" wrapText="1"/>
    </xf>
    <xf borderId="29" fillId="5" fontId="21" numFmtId="164" xfId="0" applyAlignment="1" applyBorder="1" applyFont="1" applyNumberFormat="1">
      <alignment horizontal="center" vertical="center"/>
    </xf>
    <xf borderId="30" fillId="5" fontId="1" numFmtId="0" xfId="0" applyBorder="1" applyFont="1"/>
    <xf borderId="9" fillId="0" fontId="1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0" fillId="2" fontId="24" numFmtId="0" xfId="0" applyAlignment="1" applyFont="1">
      <alignment horizontal="right" vertical="center"/>
    </xf>
    <xf borderId="10" fillId="2" fontId="24" numFmtId="0" xfId="0" applyAlignment="1" applyBorder="1" applyFont="1">
      <alignment horizontal="right" vertical="center"/>
    </xf>
    <xf borderId="0" fillId="6" fontId="25" numFmtId="0" xfId="0" applyAlignment="1" applyFill="1" applyFont="1">
      <alignment shrinkToFit="0" vertical="center" wrapText="1"/>
    </xf>
    <xf borderId="10" fillId="0" fontId="5" numFmtId="0" xfId="0" applyBorder="1" applyFont="1"/>
    <xf borderId="10" fillId="0" fontId="1" numFmtId="166" xfId="0" applyAlignment="1" applyBorder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10" numFmtId="166" xfId="0" applyAlignment="1" applyFont="1" applyNumberFormat="1">
      <alignment horizontal="right" vertical="center"/>
    </xf>
    <xf borderId="10" fillId="0" fontId="10" numFmtId="166" xfId="0" applyAlignment="1" applyBorder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10" fillId="0" fontId="1" numFmtId="166" xfId="0" applyAlignment="1" applyBorder="1" applyFont="1" applyNumberFormat="1">
      <alignment horizontal="right" vertical="center"/>
    </xf>
    <xf borderId="9" fillId="0" fontId="10" numFmtId="166" xfId="0" applyAlignment="1" applyBorder="1" applyFont="1" applyNumberFormat="1">
      <alignment vertical="center"/>
    </xf>
    <xf borderId="9" fillId="0" fontId="10" numFmtId="166" xfId="0" applyAlignment="1" applyBorder="1" applyFont="1" applyNumberFormat="1">
      <alignment horizontal="right" vertical="center"/>
    </xf>
    <xf borderId="11" fillId="0" fontId="10" numFmtId="166" xfId="0" applyAlignment="1" applyBorder="1" applyFont="1" applyNumberFormat="1">
      <alignment horizontal="right" vertical="center"/>
    </xf>
    <xf borderId="0" fillId="6" fontId="26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center" shrinkToFit="0" vertical="center" wrapText="1"/>
    </xf>
    <xf borderId="0" fillId="6" fontId="26" numFmtId="170" xfId="0" applyAlignment="1" applyFont="1" applyNumberFormat="1">
      <alignment horizontal="center" shrinkToFit="0" vertical="center" wrapText="1"/>
    </xf>
    <xf borderId="0" fillId="6" fontId="27" numFmtId="0" xfId="0" applyAlignment="1" applyFont="1">
      <alignment horizontal="center" shrinkToFit="0" vertical="center" wrapText="1"/>
    </xf>
    <xf borderId="0" fillId="2" fontId="24" numFmtId="0" xfId="0" applyAlignment="1" applyFont="1">
      <alignment vertical="center"/>
    </xf>
    <xf borderId="0" fillId="2" fontId="28" numFmtId="0" xfId="0" applyAlignment="1" applyFont="1">
      <alignment vertical="center"/>
    </xf>
    <xf borderId="0" fillId="7" fontId="24" numFmtId="171" xfId="0" applyAlignment="1" applyFill="1" applyFont="1" applyNumberFormat="1">
      <alignment horizontal="right" vertical="center"/>
    </xf>
    <xf borderId="0" fillId="2" fontId="24" numFmtId="171" xfId="0" applyAlignment="1" applyFont="1" applyNumberFormat="1">
      <alignment horizontal="right" vertical="center"/>
    </xf>
    <xf borderId="0" fillId="2" fontId="2" numFmtId="0" xfId="0" applyFont="1"/>
    <xf borderId="0" fillId="7" fontId="11" numFmtId="0" xfId="0" applyAlignment="1" applyFont="1">
      <alignment vertical="center"/>
    </xf>
    <xf borderId="0" fillId="0" fontId="29" numFmtId="0" xfId="0" applyFont="1"/>
    <xf borderId="0" fillId="0" fontId="29" numFmtId="0" xfId="0" applyAlignment="1" applyFont="1">
      <alignment vertical="center"/>
    </xf>
    <xf borderId="0" fillId="0" fontId="10" numFmtId="0" xfId="0" applyFont="1"/>
    <xf borderId="9" fillId="0" fontId="1" numFmtId="3" xfId="0" applyBorder="1" applyFont="1" applyNumberFormat="1"/>
    <xf borderId="9" fillId="0" fontId="1" numFmtId="3" xfId="0" applyAlignment="1" applyBorder="1" applyFont="1" applyNumberFormat="1">
      <alignment vertical="center"/>
    </xf>
    <xf borderId="0" fillId="0" fontId="1" numFmtId="164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vertical="center"/>
    </xf>
    <xf borderId="0" fillId="0" fontId="10" numFmtId="3" xfId="0" applyFont="1" applyNumberFormat="1"/>
    <xf borderId="0" fillId="0" fontId="10" numFmtId="3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1" numFmtId="1" xfId="0" applyFont="1" applyNumberFormat="1"/>
    <xf borderId="0" fillId="2" fontId="11" numFmtId="164" xfId="0" applyAlignment="1" applyFont="1" applyNumberFormat="1">
      <alignment vertical="center"/>
    </xf>
    <xf borderId="0" fillId="2" fontId="2" numFmtId="164" xfId="0" applyAlignment="1" applyFont="1" applyNumberFormat="1">
      <alignment vertical="center"/>
    </xf>
    <xf borderId="0" fillId="2" fontId="2" numFmtId="164" xfId="0" applyFont="1" applyNumberFormat="1"/>
    <xf borderId="0" fillId="7" fontId="11" numFmtId="164" xfId="0" applyAlignment="1" applyFont="1" applyNumberFormat="1">
      <alignment vertical="center"/>
    </xf>
    <xf borderId="0" fillId="0" fontId="29" numFmtId="164" xfId="0" applyFont="1" applyNumberFormat="1"/>
    <xf borderId="0" fillId="0" fontId="29" numFmtId="164" xfId="0" applyAlignment="1" applyFont="1" applyNumberFormat="1">
      <alignment vertical="center"/>
    </xf>
    <xf borderId="0" fillId="0" fontId="17" numFmtId="164" xfId="0" applyAlignment="1" applyFont="1" applyNumberFormat="1">
      <alignment vertical="center"/>
    </xf>
    <xf borderId="0" fillId="0" fontId="10" numFmtId="164" xfId="0" applyFont="1" applyNumberFormat="1"/>
    <xf borderId="0" fillId="0" fontId="30" numFmtId="164" xfId="0" applyAlignment="1" applyFont="1" applyNumberFormat="1">
      <alignment vertical="center"/>
    </xf>
    <xf borderId="0" fillId="2" fontId="1" numFmtId="164" xfId="0" applyAlignment="1" applyFont="1" applyNumberFormat="1">
      <alignment vertical="center"/>
    </xf>
    <xf borderId="0" fillId="6" fontId="26" numFmtId="0" xfId="0" applyAlignment="1" applyFont="1">
      <alignment shrinkToFit="0" vertical="center" wrapText="1"/>
    </xf>
    <xf borderId="0" fillId="6" fontId="1" numFmtId="0" xfId="0" applyAlignment="1" applyFont="1">
      <alignment vertical="center"/>
    </xf>
    <xf borderId="0" fillId="6" fontId="1" numFmtId="170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0" fontId="1" numFmtId="172" xfId="0" applyAlignment="1" applyFont="1" applyNumberFormat="1">
      <alignment vertical="center"/>
    </xf>
    <xf borderId="0" fillId="0" fontId="1" numFmtId="172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right" vertical="center"/>
    </xf>
    <xf borderId="0" fillId="0" fontId="10" numFmtId="169" xfId="0" applyAlignment="1" applyFont="1" applyNumberFormat="1">
      <alignment horizontal="right" vertical="center"/>
    </xf>
    <xf borderId="0" fillId="0" fontId="1" numFmtId="169" xfId="0" applyAlignment="1" applyFont="1" applyNumberFormat="1">
      <alignment horizontal="right" vertical="center"/>
    </xf>
    <xf borderId="0" fillId="0" fontId="10" numFmtId="1" xfId="0" applyAlignment="1" applyFont="1" applyNumberFormat="1">
      <alignment vertical="center"/>
    </xf>
    <xf borderId="0" fillId="0" fontId="31" numFmtId="0" xfId="0" applyAlignment="1" applyFont="1">
      <alignment vertical="center"/>
    </xf>
    <xf borderId="0" fillId="8" fontId="10" numFmtId="2" xfId="0" applyAlignment="1" applyFill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0" fillId="0" fontId="32" numFmtId="0" xfId="0" applyAlignment="1" applyFont="1">
      <alignment vertical="center"/>
    </xf>
    <xf borderId="0" fillId="0" fontId="1" numFmtId="2" xfId="0" applyAlignment="1" applyFont="1" applyNumberFormat="1">
      <alignment vertical="center"/>
    </xf>
    <xf borderId="0" fillId="0" fontId="10" numFmtId="2" xfId="0" applyAlignment="1" applyFont="1" applyNumberFormat="1">
      <alignment vertical="center"/>
    </xf>
    <xf borderId="0" fillId="0" fontId="29" numFmtId="0" xfId="0" applyAlignment="1" applyFont="1">
      <alignment shrinkToFit="0" vertical="center" wrapText="0"/>
    </xf>
    <xf borderId="0" fillId="6" fontId="33" numFmtId="0" xfId="0" applyAlignment="1" applyFont="1">
      <alignment horizontal="center" shrinkToFit="0" vertical="center" wrapText="1"/>
    </xf>
    <xf borderId="0" fillId="6" fontId="34" numFmtId="170" xfId="0" applyAlignment="1" applyFont="1" applyNumberFormat="1">
      <alignment horizontal="center" shrinkToFit="0" vertical="center" wrapText="1"/>
    </xf>
    <xf borderId="0" fillId="6" fontId="34" numFmtId="0" xfId="0" applyAlignment="1" applyFont="1">
      <alignment horizontal="center" shrinkToFit="0" vertical="center" wrapText="1"/>
    </xf>
    <xf borderId="0" fillId="6" fontId="35" numFmtId="0" xfId="0" applyAlignment="1" applyFont="1">
      <alignment horizontal="center" shrinkToFit="0" vertical="center" wrapText="1"/>
    </xf>
    <xf borderId="0" fillId="0" fontId="1" numFmtId="10" xfId="0" applyAlignment="1" applyFont="1" applyNumberFormat="1">
      <alignment vertical="center"/>
    </xf>
    <xf borderId="0" fillId="0" fontId="29" numFmtId="166" xfId="0" applyAlignment="1" applyFont="1" applyNumberFormat="1">
      <alignment vertical="center"/>
    </xf>
    <xf borderId="0" fillId="0" fontId="30" numFmtId="0" xfId="0" applyAlignment="1" applyFont="1">
      <alignment vertical="center"/>
    </xf>
    <xf borderId="0" fillId="7" fontId="1" numFmtId="164" xfId="0" applyAlignment="1" applyFont="1" applyNumberFormat="1">
      <alignment vertical="center"/>
    </xf>
    <xf borderId="0" fillId="9" fontId="1" numFmtId="164" xfId="0" applyAlignment="1" applyFill="1" applyFont="1" applyNumberFormat="1">
      <alignment horizontal="right" vertical="center"/>
    </xf>
    <xf borderId="0" fillId="0" fontId="26" numFmtId="0" xfId="0" applyAlignment="1" applyFont="1">
      <alignment shrinkToFit="0" vertical="center" wrapText="1"/>
    </xf>
    <xf borderId="0" fillId="6" fontId="1" numFmtId="170" xfId="0" applyAlignment="1" applyFont="1" applyNumberFormat="1">
      <alignment shrinkToFit="0" vertical="center" wrapText="1"/>
    </xf>
    <xf borderId="0" fillId="6" fontId="1" numFmtId="0" xfId="0" applyAlignment="1" applyFont="1">
      <alignment shrinkToFit="0" vertical="center" wrapText="1"/>
    </xf>
    <xf borderId="31" fillId="2" fontId="2" numFmtId="0" xfId="0" applyAlignment="1" applyBorder="1" applyFont="1">
      <alignment shrinkToFit="0" wrapText="1"/>
    </xf>
    <xf borderId="32" fillId="2" fontId="1" numFmtId="0" xfId="0" applyBorder="1" applyFont="1"/>
    <xf borderId="33" fillId="2" fontId="1" numFmtId="0" xfId="0" applyBorder="1" applyFont="1"/>
    <xf borderId="34" fillId="2" fontId="11" numFmtId="0" xfId="0" applyAlignment="1" applyBorder="1" applyFont="1">
      <alignment shrinkToFit="0" wrapText="1"/>
    </xf>
    <xf borderId="0" fillId="2" fontId="11" numFmtId="165" xfId="0" applyAlignment="1" applyFont="1" applyNumberFormat="1">
      <alignment horizontal="right" shrinkToFit="0" wrapText="1"/>
    </xf>
    <xf borderId="0" fillId="2" fontId="1" numFmtId="0" xfId="0" applyFont="1"/>
    <xf borderId="35" fillId="2" fontId="1" numFmtId="0" xfId="0" applyBorder="1" applyFont="1"/>
    <xf borderId="34" fillId="0" fontId="1" numFmtId="0" xfId="0" applyBorder="1" applyFont="1"/>
    <xf borderId="35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shrinkToFit="0" vertical="center" wrapText="1"/>
    </xf>
    <xf borderId="34" fillId="0" fontId="29" numFmtId="0" xfId="0" applyBorder="1" applyFont="1"/>
    <xf borderId="0" fillId="0" fontId="1" numFmtId="169" xfId="0" applyFont="1" applyNumberFormat="1"/>
    <xf borderId="35" fillId="0" fontId="1" numFmtId="169" xfId="0" applyBorder="1" applyFont="1" applyNumberFormat="1"/>
    <xf borderId="34" fillId="3" fontId="1" numFmtId="0" xfId="0" applyBorder="1" applyFont="1"/>
    <xf borderId="0" fillId="3" fontId="10" numFmtId="169" xfId="0" applyAlignment="1" applyFont="1" applyNumberFormat="1">
      <alignment horizontal="center" shrinkToFit="0" wrapText="1"/>
    </xf>
    <xf borderId="35" fillId="3" fontId="10" numFmtId="169" xfId="0" applyAlignment="1" applyBorder="1" applyFont="1" applyNumberFormat="1">
      <alignment horizontal="center" shrinkToFit="0" wrapText="1"/>
    </xf>
    <xf borderId="34" fillId="0" fontId="1" numFmtId="0" xfId="0" applyAlignment="1" applyBorder="1" applyFont="1">
      <alignment shrinkToFit="0" wrapText="1"/>
    </xf>
    <xf borderId="0" fillId="0" fontId="12" numFmtId="164" xfId="0" applyAlignment="1" applyFont="1" applyNumberFormat="1">
      <alignment horizontal="right" shrinkToFit="0" vertical="center" wrapText="1"/>
    </xf>
    <xf borderId="35" fillId="0" fontId="12" numFmtId="3" xfId="0" applyAlignment="1" applyBorder="1" applyFont="1" applyNumberFormat="1">
      <alignment horizontal="right" shrinkToFit="0" vertical="center" wrapText="1"/>
    </xf>
    <xf borderId="0" fillId="0" fontId="1" numFmtId="169" xfId="0" applyAlignment="1" applyFont="1" applyNumberFormat="1">
      <alignment vertical="center"/>
    </xf>
    <xf borderId="35" fillId="0" fontId="1" numFmtId="3" xfId="0" applyAlignment="1" applyBorder="1" applyFont="1" applyNumberFormat="1">
      <alignment vertical="center"/>
    </xf>
    <xf borderId="34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shrinkToFit="0" vertical="center" wrapText="1"/>
    </xf>
    <xf borderId="35" fillId="0" fontId="1" numFmtId="3" xfId="0" applyAlignment="1" applyBorder="1" applyFont="1" applyNumberFormat="1">
      <alignment horizontal="right" shrinkToFit="0" vertical="center" wrapText="1"/>
    </xf>
    <xf borderId="35" fillId="0" fontId="1" numFmtId="0" xfId="0" applyAlignment="1" applyBorder="1" applyFont="1">
      <alignment vertical="center"/>
    </xf>
    <xf borderId="0" fillId="0" fontId="10" numFmtId="164" xfId="0" applyAlignment="1" applyFont="1" applyNumberFormat="1">
      <alignment horizontal="right" shrinkToFit="0" vertical="center" wrapText="1"/>
    </xf>
    <xf borderId="0" fillId="0" fontId="1" numFmtId="164" xfId="0" applyAlignment="1" applyFont="1" applyNumberFormat="1">
      <alignment shrinkToFit="0" vertical="center" wrapText="1"/>
    </xf>
    <xf borderId="34" fillId="0" fontId="10" numFmtId="0" xfId="0" applyAlignment="1" applyBorder="1" applyFont="1">
      <alignment shrinkToFit="0" wrapText="1"/>
    </xf>
    <xf borderId="35" fillId="0" fontId="10" numFmtId="3" xfId="0" applyAlignment="1" applyBorder="1" applyFont="1" applyNumberFormat="1">
      <alignment horizontal="right" shrinkToFit="0" vertical="center" wrapText="1"/>
    </xf>
    <xf borderId="0" fillId="0" fontId="15" numFmtId="3" xfId="0" applyAlignment="1" applyFont="1" applyNumberFormat="1">
      <alignment horizontal="right" shrinkToFit="0" vertical="center" wrapText="1"/>
    </xf>
    <xf borderId="35" fillId="0" fontId="12" numFmtId="9" xfId="0" applyAlignment="1" applyBorder="1" applyFont="1" applyNumberFormat="1">
      <alignment horizontal="right" shrinkToFit="0" vertical="center" wrapText="1"/>
    </xf>
    <xf borderId="35" fillId="0" fontId="1" numFmtId="9" xfId="0" applyAlignment="1" applyBorder="1" applyFont="1" applyNumberFormat="1">
      <alignment horizontal="right" shrinkToFit="0" vertical="center" wrapText="1"/>
    </xf>
    <xf borderId="36" fillId="0" fontId="1" numFmtId="0" xfId="0" applyBorder="1" applyFont="1"/>
    <xf borderId="37" fillId="0" fontId="12" numFmtId="164" xfId="0" applyAlignment="1" applyBorder="1" applyFont="1" applyNumberFormat="1">
      <alignment horizontal="right" shrinkToFit="0" vertical="center" wrapText="1"/>
    </xf>
    <xf borderId="37" fillId="0" fontId="1" numFmtId="3" xfId="0" applyAlignment="1" applyBorder="1" applyFont="1" applyNumberFormat="1">
      <alignment horizontal="right" shrinkToFit="0" vertical="center" wrapText="1"/>
    </xf>
    <xf borderId="38" fillId="0" fontId="10" numFmtId="9" xfId="0" applyAlignment="1" applyBorder="1" applyFont="1" applyNumberFormat="1">
      <alignment horizontal="right" shrinkToFit="0" vertical="center" wrapText="1"/>
    </xf>
    <xf borderId="0" fillId="0" fontId="1" numFmtId="3" xfId="0" applyAlignment="1" applyFont="1" applyNumberFormat="1">
      <alignment horizontal="right" shrinkToFit="0" vertical="center" wrapText="1"/>
    </xf>
    <xf borderId="0" fillId="0" fontId="1" numFmtId="9" xfId="0" applyAlignment="1" applyFont="1" applyNumberFormat="1">
      <alignment horizontal="right" shrinkToFit="0" vertical="center" wrapText="1"/>
    </xf>
    <xf borderId="37" fillId="0" fontId="10" numFmtId="3" xfId="0" applyAlignment="1" applyBorder="1" applyFont="1" applyNumberFormat="1">
      <alignment shrinkToFit="0" vertical="center" wrapText="1"/>
    </xf>
    <xf borderId="38" fillId="0" fontId="10" numFmtId="0" xfId="0" applyAlignment="1" applyBorder="1" applyFont="1">
      <alignment shrinkToFit="0" vertical="center" wrapText="1"/>
    </xf>
    <xf borderId="37" fillId="0" fontId="1" numFmtId="0" xfId="0" applyAlignment="1" applyBorder="1" applyFont="1">
      <alignment shrinkToFit="0" vertical="center" wrapText="1"/>
    </xf>
    <xf borderId="14" fillId="2" fontId="36" numFmtId="0" xfId="0" applyBorder="1" applyFont="1"/>
    <xf borderId="15" fillId="2" fontId="37" numFmtId="0" xfId="0" applyAlignment="1" applyBorder="1" applyFont="1">
      <alignment horizontal="center"/>
    </xf>
    <xf borderId="16" fillId="0" fontId="5" numFmtId="0" xfId="0" applyBorder="1" applyFont="1"/>
    <xf borderId="0" fillId="0" fontId="36" numFmtId="0" xfId="0" applyFont="1"/>
    <xf borderId="14" fillId="2" fontId="37" numFmtId="0" xfId="0" applyBorder="1" applyFont="1"/>
    <xf borderId="15" fillId="0" fontId="10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39" fillId="2" fontId="36" numFmtId="0" xfId="0" applyBorder="1" applyFont="1"/>
    <xf borderId="40" fillId="2" fontId="37" numFmtId="0" xfId="0" applyAlignment="1" applyBorder="1" applyFont="1">
      <alignment horizontal="center"/>
    </xf>
    <xf borderId="41" fillId="0" fontId="5" numFmtId="0" xfId="0" applyBorder="1" applyFont="1"/>
    <xf borderId="42" fillId="0" fontId="5" numFmtId="0" xfId="0" applyBorder="1" applyFont="1"/>
    <xf borderId="0" fillId="0" fontId="1" numFmtId="0" xfId="0" applyAlignment="1" applyFont="1">
      <alignment vertical="bottom"/>
    </xf>
    <xf borderId="43" fillId="3" fontId="1" numFmtId="0" xfId="0" applyAlignment="1" applyBorder="1" applyFont="1">
      <alignment vertical="bottom"/>
    </xf>
    <xf borderId="0" fillId="3" fontId="10" numFmtId="0" xfId="0" applyAlignment="1" applyFont="1">
      <alignment horizontal="center" vertical="bottom"/>
    </xf>
    <xf borderId="10" fillId="3" fontId="10" numFmtId="0" xfId="0" applyAlignment="1" applyBorder="1" applyFont="1">
      <alignment horizontal="center" vertical="bottom"/>
    </xf>
    <xf borderId="43" fillId="3" fontId="1" numFmtId="0" xfId="0" applyBorder="1" applyFont="1"/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0" fillId="0" fontId="1" numFmtId="164" xfId="0" applyBorder="1" applyFont="1" applyNumberFormat="1"/>
    <xf borderId="12" fillId="3" fontId="1" numFmtId="0" xfId="0" applyBorder="1" applyFont="1"/>
    <xf borderId="9" fillId="0" fontId="1" numFmtId="9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9" fillId="0" fontId="1" numFmtId="164" xfId="0" applyBorder="1" applyFont="1" applyNumberFormat="1"/>
    <xf borderId="11" fillId="0" fontId="1" numFmtId="164" xfId="0" applyBorder="1" applyFont="1" applyNumberFormat="1"/>
    <xf borderId="15" fillId="2" fontId="37" numFmtId="0" xfId="0" applyBorder="1" applyFont="1"/>
    <xf borderId="16" fillId="3" fontId="10" numFmtId="0" xfId="0" applyBorder="1" applyFont="1"/>
    <xf borderId="16" fillId="3" fontId="9" numFmtId="164" xfId="0" applyAlignment="1" applyBorder="1" applyFont="1" applyNumberFormat="1">
      <alignment horizontal="right"/>
    </xf>
    <xf borderId="16" fillId="3" fontId="9" numFmtId="0" xfId="0" applyAlignment="1" applyBorder="1" applyFont="1">
      <alignment horizontal="right"/>
    </xf>
    <xf borderId="0" fillId="2" fontId="37" numFmtId="0" xfId="0" applyAlignment="1" applyFont="1">
      <alignment horizontal="center"/>
    </xf>
    <xf borderId="0" fillId="3" fontId="1" numFmtId="0" xfId="0" applyAlignment="1" applyFont="1">
      <alignment vertical="center"/>
    </xf>
    <xf borderId="0" fillId="0" fontId="23" numFmtId="0" xfId="0" applyFont="1"/>
    <xf borderId="0" fillId="5" fontId="38" numFmtId="164" xfId="0" applyFont="1" applyNumberFormat="1"/>
    <xf borderId="0" fillId="5" fontId="38" numFmtId="0" xfId="0" applyFont="1"/>
    <xf borderId="0" fillId="0" fontId="1" numFmtId="16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'Data for charts'!$A$48</c:f>
            </c:strRef>
          </c:tx>
          <c:spPr>
            <a:solidFill>
              <a:srgbClr val="F1C232">
                <a:alpha val="30000"/>
              </a:srgbClr>
            </a:solidFill>
            <a:ln cmpd="sng">
              <a:solidFill>
                <a:srgbClr val="F1C232"/>
              </a:solidFill>
            </a:ln>
          </c:spPr>
          <c:cat>
            <c:strRef>
              <c:f>'Data for charts'!$B$47:$BI$47</c:f>
            </c:strRef>
          </c:cat>
          <c:val>
            <c:numRef>
              <c:f>'Data for charts'!$B$48:$BI$48</c:f>
              <c:numCache/>
            </c:numRef>
          </c:val>
        </c:ser>
        <c:axId val="13496739"/>
        <c:axId val="563766561"/>
      </c:areaChart>
      <c:catAx>
        <c:axId val="13496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3766561"/>
      </c:catAx>
      <c:valAx>
        <c:axId val="563766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Net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967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Monthly revenue vs Expenses | 5-year projection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'Data for charts'!$A$22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charts'!$B$22:$BI$22</c:f>
              <c:numCache/>
            </c:numRef>
          </c:val>
        </c:ser>
        <c:ser>
          <c:idx val="1"/>
          <c:order val="1"/>
          <c:tx>
            <c:strRef>
              <c:f>'Data for charts'!$A$23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charts'!$B$23:$BI$23</c:f>
              <c:numCache/>
            </c:numRef>
          </c:val>
        </c:ser>
        <c:ser>
          <c:idx val="2"/>
          <c:order val="2"/>
          <c:tx>
            <c:strRef>
              <c:f>'Data for charts'!$A$24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charts'!$B$24:$BI$24</c:f>
              <c:numCache/>
            </c:numRef>
          </c:val>
        </c:ser>
        <c:ser>
          <c:idx val="3"/>
          <c:order val="3"/>
          <c:tx>
            <c:strRef>
              <c:f>'Data for charts'!$A$25</c:f>
            </c:strRef>
          </c:tx>
          <c:spPr>
            <a:solidFill>
              <a:srgbClr val="6BC6BF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charts'!$B$25:$BI$25</c:f>
              <c:numCache/>
            </c:numRef>
          </c:val>
        </c:ser>
        <c:overlap val="100"/>
        <c:axId val="1061625470"/>
        <c:axId val="348155107"/>
      </c:barChart>
      <c:catAx>
        <c:axId val="1061625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8155107"/>
      </c:catAx>
      <c:valAx>
        <c:axId val="348155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16254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'Data for charts'!$A$95</c:f>
            </c:strRef>
          </c:tx>
          <c:spPr>
            <a:solidFill>
              <a:srgbClr val="6BC6BF">
                <a:alpha val="30000"/>
              </a:srgbClr>
            </a:solidFill>
            <a:ln cmpd="sng">
              <a:solidFill>
                <a:srgbClr val="6BC6BF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charts'!$B$95:$BI$95</c:f>
              <c:numCache/>
            </c:numRef>
          </c:val>
        </c:ser>
        <c:ser>
          <c:idx val="1"/>
          <c:order val="1"/>
          <c:tx>
            <c:strRef>
              <c:f>'Data for charts'!$A$96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charts'!$B$96:$BI$96</c:f>
              <c:numCache/>
            </c:numRef>
          </c:val>
        </c:ser>
        <c:ser>
          <c:idx val="2"/>
          <c:order val="2"/>
          <c:tx>
            <c:strRef>
              <c:f>'Data for charts'!$A$97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charts'!$B$97:$BI$97</c:f>
              <c:numCache/>
            </c:numRef>
          </c:val>
        </c:ser>
        <c:axId val="1072302566"/>
        <c:axId val="1680833546"/>
      </c:areaChart>
      <c:catAx>
        <c:axId val="1072302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0833546"/>
      </c:catAx>
      <c:valAx>
        <c:axId val="1680833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Subscriptions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2302566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F6B26B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Pt>
            <c:idx val="3"/>
            <c:spPr>
              <a:solidFill>
                <a:srgbClr val="6BC6B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'Data for charts'!$A$13:$A$16</c:f>
            </c:strRef>
          </c:cat>
          <c:val>
            <c:numRef>
              <c:f>'Data for charts'!$B$13:$B$16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'Data for charts'!$A$120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charts'!$B$120:$BI$120</c:f>
              <c:numCache/>
            </c:numRef>
          </c:val>
        </c:ser>
        <c:ser>
          <c:idx val="1"/>
          <c:order val="1"/>
          <c:tx>
            <c:strRef>
              <c:f>'Data for charts'!$A$121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charts'!$B$121:$BI$121</c:f>
              <c:numCache/>
            </c:numRef>
          </c:val>
        </c:ser>
        <c:ser>
          <c:idx val="2"/>
          <c:order val="2"/>
          <c:tx>
            <c:strRef>
              <c:f>'Data for charts'!$A$122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charts'!$B$122:$BI$122</c:f>
              <c:numCache/>
            </c:numRef>
          </c:val>
        </c:ser>
        <c:overlap val="100"/>
        <c:axId val="738428658"/>
        <c:axId val="919309403"/>
      </c:barChart>
      <c:catAx>
        <c:axId val="738428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9309403"/>
      </c:catAx>
      <c:valAx>
        <c:axId val="919309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84286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'Data for charts'!$A$71</c:f>
            </c:strRef>
          </c:tx>
          <c:spPr>
            <a:solidFill>
              <a:srgbClr val="6BC6BF">
                <a:alpha val="30000"/>
              </a:srgbClr>
            </a:solidFill>
            <a:ln cmpd="sng">
              <a:solidFill>
                <a:srgbClr val="6BC6BF"/>
              </a:solidFill>
            </a:ln>
          </c:spPr>
          <c:cat>
            <c:strRef>
              <c:f>'Data for charts'!$B$70:$BI$70</c:f>
            </c:strRef>
          </c:cat>
          <c:val>
            <c:numRef>
              <c:f>'Data for charts'!$B$71:$BI$71</c:f>
              <c:numCache/>
            </c:numRef>
          </c:val>
        </c:ser>
        <c:axId val="2105407124"/>
        <c:axId val="1768669815"/>
      </c:areaChart>
      <c:catAx>
        <c:axId val="2105407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8669815"/>
      </c:catAx>
      <c:valAx>
        <c:axId val="1768669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Traffic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54071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'For Pitchdeck'!$B$4</c:f>
            </c:strRef>
          </c:tx>
          <c:spPr>
            <a:solidFill>
              <a:srgbClr val="02A3A3"/>
            </a:solidFill>
            <a:ln cmpd="sng">
              <a:solidFill>
                <a:srgbClr val="000000"/>
              </a:solidFill>
            </a:ln>
          </c:spPr>
          <c:cat>
            <c:strRef>
              <c:f>'For Pitchdeck'!$C$2:$G$2</c:f>
            </c:strRef>
          </c:cat>
          <c:val>
            <c:numRef>
              <c:f>'For Pitchdeck'!$C$4:$G$4</c:f>
              <c:numCache/>
            </c:numRef>
          </c:val>
        </c:ser>
        <c:ser>
          <c:idx val="1"/>
          <c:order val="1"/>
          <c:tx>
            <c:strRef>
              <c:f>'For Pitchdeck'!$B$5</c:f>
            </c:strRef>
          </c:tx>
          <c:spPr>
            <a:solidFill>
              <a:srgbClr val="6BC6BF"/>
            </a:solidFill>
            <a:ln cmpd="sng">
              <a:solidFill>
                <a:srgbClr val="000000"/>
              </a:solidFill>
            </a:ln>
          </c:spPr>
          <c:cat>
            <c:strRef>
              <c:f>'For Pitchdeck'!$C$2:$G$2</c:f>
            </c:strRef>
          </c:cat>
          <c:val>
            <c:numRef>
              <c:f>'For Pitchdeck'!$C$5:$G$5</c:f>
              <c:numCache/>
            </c:numRef>
          </c:val>
        </c:ser>
        <c:ser>
          <c:idx val="2"/>
          <c:order val="2"/>
          <c:tx>
            <c:strRef>
              <c:f>'For Pitchdeck'!$B$6</c:f>
            </c:strRef>
          </c:tx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'For Pitchdeck'!$C$2:$G$2</c:f>
            </c:strRef>
          </c:cat>
          <c:val>
            <c:numRef>
              <c:f>'For Pitchdeck'!$C$6:$G$6</c:f>
              <c:numCache/>
            </c:numRef>
          </c:val>
        </c:ser>
        <c:overlap val="100"/>
        <c:axId val="368678553"/>
        <c:axId val="779465441"/>
      </c:barChart>
      <c:catAx>
        <c:axId val="368678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9465441"/>
      </c:catAx>
      <c:valAx>
        <c:axId val="779465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867855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 Pitchdeck'!$B$7</c:f>
            </c:strRef>
          </c:tx>
          <c:spPr>
            <a:solidFill>
              <a:srgbClr val="6BC6BF"/>
            </a:solidFill>
            <a:ln cmpd="sng">
              <a:solidFill>
                <a:srgbClr val="000000"/>
              </a:solidFill>
            </a:ln>
          </c:spPr>
          <c:cat>
            <c:strRef>
              <c:f>'For Pitchdeck'!$C$2:$G$2</c:f>
            </c:strRef>
          </c:cat>
          <c:val>
            <c:numRef>
              <c:f>'For Pitchdeck'!$C$7:$G$7</c:f>
              <c:numCache/>
            </c:numRef>
          </c:val>
        </c:ser>
        <c:axId val="1347463882"/>
        <c:axId val="735722232"/>
      </c:barChart>
      <c:catAx>
        <c:axId val="1347463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5722232"/>
      </c:catAx>
      <c:valAx>
        <c:axId val="735722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746388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F6B26B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Pt>
            <c:idx val="3"/>
            <c:spPr>
              <a:solidFill>
                <a:srgbClr val="6BC6B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for charts'!$A$13:$A$16</c:f>
            </c:strRef>
          </c:cat>
          <c:val>
            <c:numRef>
              <c:f>'Data for charts'!$B$13:$B$16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'Data for charts'!$A$48</c:f>
            </c:strRef>
          </c:tx>
          <c:spPr>
            <a:solidFill>
              <a:srgbClr val="F1C232">
                <a:alpha val="30000"/>
              </a:srgbClr>
            </a:solidFill>
            <a:ln cmpd="sng">
              <a:solidFill>
                <a:srgbClr val="F1C232"/>
              </a:solidFill>
            </a:ln>
          </c:spPr>
          <c:cat>
            <c:strRef>
              <c:f>'Data for charts'!$B$47:$BI$47</c:f>
            </c:strRef>
          </c:cat>
          <c:val>
            <c:numRef>
              <c:f>'Data for charts'!$B$48:$BI$48</c:f>
              <c:numCache/>
            </c:numRef>
          </c:val>
        </c:ser>
        <c:axId val="1097453175"/>
        <c:axId val="442568518"/>
      </c:areaChart>
      <c:catAx>
        <c:axId val="1097453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2568518"/>
      </c:catAx>
      <c:valAx>
        <c:axId val="442568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Net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74531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'Data for charts'!$A$22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charts'!$B$22:$BI$22</c:f>
              <c:numCache/>
            </c:numRef>
          </c:val>
        </c:ser>
        <c:ser>
          <c:idx val="1"/>
          <c:order val="1"/>
          <c:tx>
            <c:strRef>
              <c:f>'Data for charts'!$A$23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charts'!$B$23:$BI$23</c:f>
              <c:numCache/>
            </c:numRef>
          </c:val>
        </c:ser>
        <c:ser>
          <c:idx val="2"/>
          <c:order val="2"/>
          <c:tx>
            <c:strRef>
              <c:f>'Data for charts'!$A$24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charts'!$B$24:$BI$24</c:f>
              <c:numCache/>
            </c:numRef>
          </c:val>
        </c:ser>
        <c:ser>
          <c:idx val="3"/>
          <c:order val="3"/>
          <c:tx>
            <c:strRef>
              <c:f>'Data for charts'!$A$25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charts'!$B$21:$BI$21</c:f>
            </c:strRef>
          </c:cat>
          <c:val>
            <c:numRef>
              <c:f>'Data for charts'!$B$25:$BI$25</c:f>
              <c:numCache/>
            </c:numRef>
          </c:val>
        </c:ser>
        <c:overlap val="100"/>
        <c:axId val="1102278360"/>
        <c:axId val="584339499"/>
      </c:barChart>
      <c:catAx>
        <c:axId val="1102278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4339499"/>
      </c:catAx>
      <c:valAx>
        <c:axId val="584339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22783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'Data for charts'!$A$71</c:f>
            </c:strRef>
          </c:tx>
          <c:spPr>
            <a:solidFill>
              <a:srgbClr val="6BC6BF">
                <a:alpha val="30000"/>
              </a:srgbClr>
            </a:solidFill>
            <a:ln cmpd="sng">
              <a:solidFill>
                <a:srgbClr val="6BC6BF"/>
              </a:solidFill>
            </a:ln>
          </c:spPr>
          <c:cat>
            <c:strRef>
              <c:f>'Data for charts'!$B$70:$BI$70</c:f>
            </c:strRef>
          </c:cat>
          <c:val>
            <c:numRef>
              <c:f>'Data for charts'!$B$71:$BI$71</c:f>
              <c:numCache/>
            </c:numRef>
          </c:val>
        </c:ser>
        <c:axId val="381670094"/>
        <c:axId val="2114362919"/>
      </c:areaChart>
      <c:catAx>
        <c:axId val="381670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4362919"/>
      </c:catAx>
      <c:valAx>
        <c:axId val="2114362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Cummulative downloads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16700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'Data for charts'!$A$95</c:f>
            </c:strRef>
          </c:tx>
          <c:spPr>
            <a:solidFill>
              <a:srgbClr val="F6B26B">
                <a:alpha val="30000"/>
              </a:srgbClr>
            </a:solidFill>
            <a:ln cmpd="sng">
              <a:solidFill>
                <a:srgbClr val="F6B26B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charts'!$B$95:$BI$95</c:f>
              <c:numCache/>
            </c:numRef>
          </c:val>
        </c:ser>
        <c:ser>
          <c:idx val="1"/>
          <c:order val="1"/>
          <c:tx>
            <c:strRef>
              <c:f>'Data for charts'!$A$96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charts'!$B$96:$BI$96</c:f>
              <c:numCache/>
            </c:numRef>
          </c:val>
        </c:ser>
        <c:ser>
          <c:idx val="2"/>
          <c:order val="2"/>
          <c:tx>
            <c:strRef>
              <c:f>'Data for charts'!$A$97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'Data for charts'!$B$94:$BI$94</c:f>
            </c:strRef>
          </c:cat>
          <c:val>
            <c:numRef>
              <c:f>'Data for charts'!$B$97:$BI$97</c:f>
              <c:numCache/>
            </c:numRef>
          </c:val>
        </c:ser>
        <c:axId val="357855483"/>
        <c:axId val="97993540"/>
      </c:areaChart>
      <c:catAx>
        <c:axId val="357855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993540"/>
      </c:catAx>
      <c:valAx>
        <c:axId val="97993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Subscriptions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78554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'Data for charts'!$A$120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charts'!$B$120:$BI$120</c:f>
              <c:numCache/>
            </c:numRef>
          </c:val>
        </c:ser>
        <c:ser>
          <c:idx val="1"/>
          <c:order val="1"/>
          <c:tx>
            <c:strRef>
              <c:f>'Data for charts'!$A$121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charts'!$B$121:$BI$121</c:f>
              <c:numCache/>
            </c:numRef>
          </c:val>
        </c:ser>
        <c:ser>
          <c:idx val="2"/>
          <c:order val="2"/>
          <c:tx>
            <c:strRef>
              <c:f>'Data for charts'!$A$122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'Data for charts'!$B$119:$BI$119</c:f>
            </c:strRef>
          </c:cat>
          <c:val>
            <c:numRef>
              <c:f>'Data for charts'!$B$122:$BI$122</c:f>
              <c:numCache/>
            </c:numRef>
          </c:val>
        </c:ser>
        <c:overlap val="100"/>
        <c:axId val="586905076"/>
        <c:axId val="896466901"/>
      </c:barChart>
      <c:catAx>
        <c:axId val="586905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6466901"/>
      </c:catAx>
      <c:valAx>
        <c:axId val="896466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690507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95400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847725</xdr:colOff>
      <xdr:row>26</xdr:row>
      <xdr:rowOff>161925</xdr:rowOff>
    </xdr:from>
    <xdr:ext cx="44862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257175</xdr:colOff>
      <xdr:row>26</xdr:row>
      <xdr:rowOff>161925</xdr:rowOff>
    </xdr:from>
    <xdr:ext cx="89725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1276350</xdr:colOff>
      <xdr:row>3</xdr:row>
      <xdr:rowOff>38100</xdr:rowOff>
    </xdr:from>
    <xdr:ext cx="5000625" cy="3086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352425</xdr:colOff>
      <xdr:row>20</xdr:row>
      <xdr:rowOff>219075</xdr:rowOff>
    </xdr:from>
    <xdr:ext cx="4667250" cy="2000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257175</xdr:colOff>
      <xdr:row>45</xdr:row>
      <xdr:rowOff>95250</xdr:rowOff>
    </xdr:from>
    <xdr:ext cx="8972550" cy="3905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257175</xdr:colOff>
      <xdr:row>3</xdr:row>
      <xdr:rowOff>38100</xdr:rowOff>
    </xdr:from>
    <xdr:ext cx="5000625" cy="3086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9525</xdr:rowOff>
    </xdr:from>
    <xdr:ext cx="6257925" cy="2238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20</xdr:row>
      <xdr:rowOff>152400</xdr:rowOff>
    </xdr:from>
    <xdr:ext cx="6257925" cy="2238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8</xdr:row>
      <xdr:rowOff>180975</xdr:rowOff>
    </xdr:from>
    <xdr:ext cx="3371850" cy="20764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180975</xdr:colOff>
      <xdr:row>48</xdr:row>
      <xdr:rowOff>161925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190500</xdr:rowOff>
    </xdr:from>
    <xdr:ext cx="95631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123825</xdr:colOff>
      <xdr:row>71</xdr:row>
      <xdr:rowOff>133350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133350</xdr:colOff>
      <xdr:row>98</xdr:row>
      <xdr:rowOff>76200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133350</xdr:colOff>
      <xdr:row>123</xdr:row>
      <xdr:rowOff>9525</xdr:rowOff>
    </xdr:from>
    <xdr:ext cx="6324600" cy="39052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astasianikolaeva.com/" TargetMode="External"/><Relationship Id="rId2" Type="http://schemas.openxmlformats.org/officeDocument/2006/relationships/hyperlink" Target="https://t.me/anikolayeva" TargetMode="External"/><Relationship Id="rId3" Type="http://schemas.openxmlformats.org/officeDocument/2006/relationships/hyperlink" Target="https://anastasianikolaeva.com/" TargetMode="External"/><Relationship Id="rId4" Type="http://schemas.openxmlformats.org/officeDocument/2006/relationships/hyperlink" Target="https://anastasianikolaeva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0"/>
    <col customWidth="1" min="3" max="3" width="25.25"/>
    <col customWidth="1" min="4" max="4" width="12.63"/>
    <col customWidth="1" min="5" max="5" width="21.0"/>
    <col customWidth="1" min="6" max="6" width="12.63"/>
    <col customWidth="1" min="11" max="11" width="29.0"/>
  </cols>
  <sheetData>
    <row r="1" ht="24.0" customHeight="1">
      <c r="A1" s="1"/>
      <c r="B1" s="2" t="s">
        <v>0</v>
      </c>
      <c r="C1" s="3" t="s">
        <v>1</v>
      </c>
      <c r="D1" s="2" t="s">
        <v>2</v>
      </c>
      <c r="E1" s="3" t="s">
        <v>3</v>
      </c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5.0" customHeight="1">
      <c r="A2" s="5"/>
      <c r="B2" s="6"/>
      <c r="C2" s="7" t="s">
        <v>4</v>
      </c>
      <c r="D2" s="8"/>
      <c r="E2" s="8"/>
      <c r="F2" s="8"/>
      <c r="G2" s="8"/>
      <c r="H2" s="8"/>
      <c r="I2" s="8"/>
      <c r="J2" s="8"/>
      <c r="K2" s="9"/>
    </row>
    <row r="3" ht="63.75" customHeight="1">
      <c r="A3" s="5"/>
      <c r="B3" s="10" t="s">
        <v>5</v>
      </c>
      <c r="C3" s="8"/>
      <c r="D3" s="8"/>
      <c r="E3" s="8"/>
      <c r="F3" s="8"/>
      <c r="G3" s="8"/>
      <c r="H3" s="8"/>
      <c r="I3" s="8"/>
      <c r="J3" s="8"/>
      <c r="K3" s="9"/>
    </row>
    <row r="4" ht="28.5" customHeight="1">
      <c r="A4" s="11"/>
      <c r="B4" s="12" t="s">
        <v>6</v>
      </c>
      <c r="C4" s="13"/>
      <c r="D4" s="13"/>
      <c r="E4" s="13"/>
      <c r="F4" s="13"/>
      <c r="G4" s="13"/>
      <c r="H4" s="13"/>
      <c r="I4" s="13"/>
      <c r="J4" s="13"/>
      <c r="K4" s="14"/>
    </row>
    <row r="5" ht="15.75" customHeight="1">
      <c r="A5" s="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ht="126.75" customHeight="1">
      <c r="A6" s="16"/>
      <c r="B6" s="17" t="s">
        <v>7</v>
      </c>
      <c r="C6" s="18"/>
      <c r="D6" s="18"/>
      <c r="E6" s="18"/>
      <c r="F6" s="18"/>
      <c r="G6" s="18"/>
      <c r="H6" s="18"/>
      <c r="I6" s="18"/>
      <c r="J6" s="18"/>
      <c r="K6" s="19"/>
    </row>
    <row r="7" ht="15.75" customHeight="1"/>
    <row r="8" ht="15.75" customHeight="1"/>
    <row r="9" ht="28.5" customHeight="1">
      <c r="A9" s="11"/>
      <c r="B9" s="12" t="s">
        <v>8</v>
      </c>
      <c r="C9" s="13"/>
      <c r="D9" s="13"/>
      <c r="E9" s="13"/>
      <c r="F9" s="13"/>
      <c r="G9" s="13"/>
      <c r="H9" s="13"/>
      <c r="I9" s="13"/>
      <c r="J9" s="13"/>
      <c r="K9" s="14"/>
    </row>
    <row r="10" ht="15.75" customHeight="1"/>
    <row r="11" ht="47.25" customHeight="1">
      <c r="A11" s="1"/>
      <c r="B11" s="20">
        <v>1000.0</v>
      </c>
      <c r="C11" s="9"/>
      <c r="D11" s="21" t="s">
        <v>9</v>
      </c>
      <c r="E11" s="8"/>
      <c r="F11" s="8"/>
      <c r="G11" s="8"/>
      <c r="H11" s="8"/>
      <c r="I11" s="8"/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7.25" customHeight="1">
      <c r="A12" s="1"/>
      <c r="B12" s="22">
        <v>2000.0</v>
      </c>
      <c r="C12" s="9"/>
      <c r="D12" s="21" t="s">
        <v>10</v>
      </c>
      <c r="E12" s="8"/>
      <c r="F12" s="8"/>
      <c r="G12" s="8"/>
      <c r="H12" s="8"/>
      <c r="I12" s="8"/>
      <c r="J12" s="8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0.5" customHeight="1">
      <c r="B13" s="23" t="s">
        <v>11</v>
      </c>
      <c r="C13" s="9"/>
      <c r="D13" s="21" t="s">
        <v>12</v>
      </c>
      <c r="E13" s="8"/>
      <c r="F13" s="8"/>
      <c r="G13" s="8"/>
      <c r="H13" s="8"/>
      <c r="I13" s="8"/>
      <c r="J13" s="8"/>
      <c r="K13" s="9"/>
    </row>
    <row r="14" ht="47.25" customHeight="1">
      <c r="A14" s="1"/>
      <c r="B14" s="22" t="s">
        <v>13</v>
      </c>
      <c r="C14" s="9"/>
      <c r="D14" s="21" t="s">
        <v>14</v>
      </c>
      <c r="E14" s="8"/>
      <c r="F14" s="8"/>
      <c r="G14" s="8"/>
      <c r="H14" s="8"/>
      <c r="I14" s="8"/>
      <c r="J14" s="8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86.25" customHeight="1">
      <c r="A15" s="1"/>
      <c r="B15" s="22" t="s">
        <v>15</v>
      </c>
      <c r="C15" s="9"/>
      <c r="D15" s="21" t="s">
        <v>16</v>
      </c>
      <c r="E15" s="8"/>
      <c r="F15" s="8"/>
      <c r="G15" s="8"/>
      <c r="H15" s="8"/>
      <c r="I15" s="8"/>
      <c r="J15" s="8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9.5" customHeight="1">
      <c r="A16" s="1"/>
      <c r="B16" s="22" t="s">
        <v>17</v>
      </c>
      <c r="C16" s="9"/>
      <c r="D16" s="21" t="s">
        <v>18</v>
      </c>
      <c r="E16" s="8"/>
      <c r="F16" s="8"/>
      <c r="G16" s="8"/>
      <c r="H16" s="8"/>
      <c r="I16" s="8"/>
      <c r="J16" s="8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5.5" customHeight="1">
      <c r="A17" s="1"/>
      <c r="B17" s="22" t="s">
        <v>19</v>
      </c>
      <c r="C17" s="9"/>
      <c r="D17" s="21" t="s">
        <v>20</v>
      </c>
      <c r="E17" s="8"/>
      <c r="F17" s="8"/>
      <c r="G17" s="8"/>
      <c r="H17" s="8"/>
      <c r="I17" s="8"/>
      <c r="J17" s="8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7.25" customHeight="1">
      <c r="A18" s="1"/>
      <c r="B18" s="22" t="s">
        <v>21</v>
      </c>
      <c r="C18" s="9"/>
      <c r="D18" s="21" t="s">
        <v>22</v>
      </c>
      <c r="E18" s="8"/>
      <c r="F18" s="8"/>
      <c r="G18" s="8"/>
      <c r="H18" s="8"/>
      <c r="I18" s="8"/>
      <c r="J18" s="8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7.25" customHeight="1">
      <c r="A19" s="24"/>
      <c r="B19" s="25" t="s">
        <v>23</v>
      </c>
      <c r="C19" s="9"/>
      <c r="D19" s="26" t="s">
        <v>24</v>
      </c>
      <c r="E19" s="8"/>
      <c r="F19" s="8"/>
      <c r="G19" s="8"/>
      <c r="H19" s="8"/>
      <c r="I19" s="8"/>
      <c r="J19" s="8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7.25" customHeight="1">
      <c r="A20" s="1"/>
      <c r="B20" s="22" t="s">
        <v>25</v>
      </c>
      <c r="C20" s="9"/>
      <c r="D20" s="21" t="s">
        <v>26</v>
      </c>
      <c r="E20" s="8"/>
      <c r="F20" s="8"/>
      <c r="G20" s="8"/>
      <c r="H20" s="8"/>
      <c r="I20" s="8"/>
      <c r="J20" s="8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7.25" customHeight="1">
      <c r="A21" s="24"/>
      <c r="B21" s="25" t="s">
        <v>27</v>
      </c>
      <c r="C21" s="9"/>
      <c r="D21" s="26" t="s">
        <v>28</v>
      </c>
      <c r="E21" s="8"/>
      <c r="F21" s="8"/>
      <c r="G21" s="8"/>
      <c r="H21" s="8"/>
      <c r="I21" s="8"/>
      <c r="J21" s="8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7.25" customHeight="1">
      <c r="A22" s="1"/>
      <c r="B22" s="22" t="s">
        <v>29</v>
      </c>
      <c r="C22" s="9"/>
      <c r="D22" s="26" t="s">
        <v>30</v>
      </c>
      <c r="E22" s="8"/>
      <c r="F22" s="8"/>
      <c r="G22" s="8"/>
      <c r="H22" s="8"/>
      <c r="I22" s="8"/>
      <c r="J22" s="8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6.25" customHeight="1">
      <c r="A23" s="1"/>
      <c r="B23" s="27" t="s">
        <v>31</v>
      </c>
      <c r="C23" s="19"/>
      <c r="D23" s="28" t="s">
        <v>32</v>
      </c>
      <c r="E23" s="18"/>
      <c r="F23" s="18"/>
      <c r="G23" s="18"/>
      <c r="H23" s="18"/>
      <c r="I23" s="18"/>
      <c r="J23" s="18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6.25" customHeight="1">
      <c r="A24" s="1"/>
      <c r="B24" s="27" t="s">
        <v>33</v>
      </c>
      <c r="C24" s="19"/>
      <c r="D24" s="28" t="s">
        <v>34</v>
      </c>
      <c r="E24" s="18"/>
      <c r="F24" s="18"/>
      <c r="G24" s="18"/>
      <c r="H24" s="18"/>
      <c r="I24" s="18"/>
      <c r="J24" s="18"/>
      <c r="K24" s="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7.25" customHeight="1">
      <c r="A25" s="1"/>
      <c r="B25" s="22" t="s">
        <v>35</v>
      </c>
      <c r="C25" s="9"/>
      <c r="D25" s="21" t="s">
        <v>36</v>
      </c>
      <c r="E25" s="8"/>
      <c r="F25" s="8"/>
      <c r="G25" s="8"/>
      <c r="H25" s="8"/>
      <c r="I25" s="8"/>
      <c r="J25" s="8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6.25" customHeight="1">
      <c r="A26" s="1"/>
      <c r="B26" s="22" t="s">
        <v>37</v>
      </c>
      <c r="C26" s="9"/>
      <c r="D26" s="21" t="s">
        <v>38</v>
      </c>
      <c r="E26" s="8"/>
      <c r="F26" s="8"/>
      <c r="G26" s="8"/>
      <c r="H26" s="8"/>
      <c r="I26" s="8"/>
      <c r="J26" s="8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C2:K2"/>
    <mergeCell ref="B3:K3"/>
    <mergeCell ref="B4:K4"/>
    <mergeCell ref="B6:K6"/>
    <mergeCell ref="B9:K9"/>
    <mergeCell ref="B11:C11"/>
    <mergeCell ref="D11:K11"/>
    <mergeCell ref="B12:C12"/>
    <mergeCell ref="D12:K12"/>
    <mergeCell ref="B13:C13"/>
    <mergeCell ref="D13:K13"/>
    <mergeCell ref="B14:C14"/>
    <mergeCell ref="D14:K14"/>
    <mergeCell ref="D15:K15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21:C21"/>
    <mergeCell ref="D23:K23"/>
    <mergeCell ref="D24:K24"/>
    <mergeCell ref="D25:K25"/>
    <mergeCell ref="D26:K26"/>
    <mergeCell ref="D16:K16"/>
    <mergeCell ref="D17:K17"/>
    <mergeCell ref="D18:K18"/>
    <mergeCell ref="D19:K19"/>
    <mergeCell ref="D20:K20"/>
    <mergeCell ref="D21:K21"/>
    <mergeCell ref="D22:K22"/>
  </mergeCells>
  <dataValidations>
    <dataValidation type="list" allowBlank="1" showErrorMessage="1" sqref="B13">
      <formula1>Roadmap!$A$7:$A$110</formula1>
    </dataValidation>
  </dataValidations>
  <hyperlinks>
    <hyperlink r:id="rId1" ref="C1"/>
    <hyperlink r:id="rId2" ref="E1"/>
    <hyperlink r:id="rId3" ref="C2"/>
    <hyperlink r:id="rId4" location="expressform" ref="B3"/>
  </hyperlinks>
  <printOptions horizontalCentered="1"/>
  <pageMargins bottom="0.75" footer="0.0" header="0.0" left="0.7" right="0.7" top="0.75"/>
  <pageSetup fitToHeight="0" orientation="landscape" pageOrder="overThenDown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5.63"/>
    <col customWidth="1" min="3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29" t="s">
        <v>39</v>
      </c>
      <c r="B2" s="30"/>
      <c r="C2" s="30"/>
      <c r="D2" s="30"/>
      <c r="E2" s="30"/>
      <c r="F2" s="30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40</v>
      </c>
      <c r="B4" s="31" t="s">
        <v>41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42</v>
      </c>
      <c r="B5" s="32" t="s">
        <v>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44</v>
      </c>
      <c r="B6" s="31" t="s">
        <v>45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46</v>
      </c>
      <c r="B7" s="33">
        <v>0.23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47</v>
      </c>
      <c r="B8" s="33">
        <v>0.35</v>
      </c>
      <c r="C8" s="1"/>
      <c r="D8" s="1"/>
      <c r="E8" s="1"/>
      <c r="F8" s="3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48</v>
      </c>
      <c r="B9" s="35">
        <v>3.0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49</v>
      </c>
      <c r="B10" s="36">
        <v>0.0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2.5"/>
    <col customWidth="1" min="3" max="6" width="12.63"/>
  </cols>
  <sheetData>
    <row r="1" ht="31.5" customHeight="1">
      <c r="A1" s="37" t="str">
        <f>Settings!$B$4</f>
        <v>Healthy4U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29" t="s">
        <v>50</v>
      </c>
      <c r="B2" s="30"/>
      <c r="C2" s="30"/>
      <c r="D2" s="30"/>
      <c r="E2" s="30"/>
      <c r="F2" s="30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8" t="s">
        <v>51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39" t="s">
        <v>52</v>
      </c>
      <c r="C6" s="39" t="s">
        <v>53</v>
      </c>
      <c r="D6" s="40" t="s">
        <v>54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5" t="s">
        <v>11</v>
      </c>
      <c r="B7" s="1" t="s">
        <v>55</v>
      </c>
      <c r="C7" s="41">
        <v>45139.0</v>
      </c>
      <c r="D7" s="42">
        <v>0.0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3" t="s">
        <v>56</v>
      </c>
      <c r="B8" s="42" t="s">
        <v>57</v>
      </c>
      <c r="C8" s="44">
        <v>45884.0</v>
      </c>
      <c r="D8" s="42">
        <v>0.0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3" t="s">
        <v>58</v>
      </c>
      <c r="B9" s="42" t="s">
        <v>59</v>
      </c>
      <c r="C9" s="44">
        <v>45899.0</v>
      </c>
      <c r="D9" s="43">
        <v>0.0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3" t="s">
        <v>60</v>
      </c>
      <c r="B10" s="42" t="s">
        <v>61</v>
      </c>
      <c r="C10" s="44">
        <v>45901.0</v>
      </c>
      <c r="D10" s="35">
        <v>0.0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3" t="s">
        <v>62</v>
      </c>
      <c r="B11" s="42" t="s">
        <v>63</v>
      </c>
      <c r="C11" s="45">
        <f>if(D11&gt;0,EDATE($C$10,D11),"not set")</f>
        <v>45962</v>
      </c>
      <c r="D11" s="43">
        <v>2.0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43" t="s">
        <v>64</v>
      </c>
      <c r="B12" s="42" t="s">
        <v>63</v>
      </c>
      <c r="C12" s="45">
        <f t="shared" ref="C12:C16" si="1">if(D12&gt;0,EDATE($C$11,D12),"not set")</f>
        <v>46082</v>
      </c>
      <c r="D12" s="43">
        <v>4.0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43" t="s">
        <v>65</v>
      </c>
      <c r="B13" s="42" t="s">
        <v>59</v>
      </c>
      <c r="C13" s="45">
        <f t="shared" si="1"/>
        <v>46143</v>
      </c>
      <c r="D13" s="43">
        <v>6.0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3" t="s">
        <v>66</v>
      </c>
      <c r="B14" s="42" t="s">
        <v>61</v>
      </c>
      <c r="C14" s="45">
        <f t="shared" si="1"/>
        <v>46235</v>
      </c>
      <c r="D14" s="43">
        <v>9.0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3" t="s">
        <v>67</v>
      </c>
      <c r="B15" s="42" t="s">
        <v>61</v>
      </c>
      <c r="C15" s="45">
        <f t="shared" si="1"/>
        <v>46266</v>
      </c>
      <c r="D15" s="43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3" t="s">
        <v>68</v>
      </c>
      <c r="B16" s="42" t="s">
        <v>69</v>
      </c>
      <c r="C16" s="45">
        <f t="shared" si="1"/>
        <v>46327</v>
      </c>
      <c r="D16" s="43">
        <v>12.0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:B16">
      <formula1>"incorporation,fundraising,monetization,new feature,new region,new product"</formula1>
    </dataValidation>
  </dataValidation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0" outlineLevelCol="1"/>
  <cols>
    <col customWidth="1" min="1" max="1" width="31.13"/>
    <col customWidth="1" min="2" max="2" width="2.5"/>
    <col customWidth="1" min="3" max="3" width="2.63"/>
    <col customWidth="1" min="4" max="4" width="19.25"/>
    <col customWidth="1" min="5" max="5" width="16.88"/>
    <col customWidth="1" min="6" max="6" width="23.25"/>
    <col customWidth="1" min="7" max="7" width="17.88"/>
    <col customWidth="1" min="8" max="8" width="24.63"/>
    <col customWidth="1" min="9" max="9" width="20.38"/>
    <col customWidth="1" min="10" max="10" width="17.13"/>
    <col customWidth="1" min="11" max="11" width="12.63" outlineLevel="1"/>
  </cols>
  <sheetData>
    <row r="1" ht="33.0" customHeight="1">
      <c r="A1" s="37" t="str">
        <f>Settings!$B$4</f>
        <v>Healthy4U</v>
      </c>
      <c r="B1" s="1"/>
      <c r="C1" s="1"/>
      <c r="D1" s="1"/>
      <c r="E1" s="4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3.25" customHeight="1">
      <c r="A2" s="29" t="s">
        <v>70</v>
      </c>
      <c r="B2" s="30"/>
      <c r="C2" s="30"/>
      <c r="D2" s="30"/>
      <c r="E2" s="47"/>
      <c r="F2" s="30"/>
      <c r="G2" s="30"/>
      <c r="H2" s="29"/>
      <c r="I2" s="29"/>
      <c r="J2" s="29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15.75" customHeight="1">
      <c r="A3" s="1"/>
      <c r="B3" s="1"/>
      <c r="C3" s="1"/>
      <c r="D3" s="1"/>
      <c r="E3" s="4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9.75" customHeight="1">
      <c r="A4" s="1"/>
      <c r="B4" s="1"/>
      <c r="C4" s="1"/>
      <c r="D4" s="48" t="s">
        <v>71</v>
      </c>
      <c r="E4" s="40" t="s">
        <v>72</v>
      </c>
      <c r="F4" s="40" t="s">
        <v>73</v>
      </c>
      <c r="G4" s="40" t="s">
        <v>74</v>
      </c>
      <c r="H4" s="49" t="s">
        <v>75</v>
      </c>
      <c r="I4" s="40" t="s">
        <v>76</v>
      </c>
      <c r="J4" s="40" t="s">
        <v>77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5.75" customHeight="1">
      <c r="A5" s="50" t="s">
        <v>78</v>
      </c>
      <c r="B5" s="50"/>
      <c r="C5" s="50"/>
      <c r="D5" s="51"/>
      <c r="E5" s="52"/>
      <c r="F5" s="50"/>
      <c r="G5" s="50"/>
      <c r="H5" s="53"/>
      <c r="I5" s="50"/>
      <c r="J5" s="51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 ht="15.75" customHeight="1">
      <c r="A6" s="35" t="s">
        <v>79</v>
      </c>
      <c r="B6" s="1"/>
      <c r="C6" s="1"/>
      <c r="D6" s="54">
        <v>5000.0</v>
      </c>
      <c r="E6" s="55">
        <f>Settings!$B$8</f>
        <v>0.35</v>
      </c>
      <c r="F6" s="56">
        <f t="shared" ref="F6:F14" si="1">D6/(1-E6)</f>
        <v>7692.307692</v>
      </c>
      <c r="G6" s="56">
        <f t="shared" ref="G6:G14" si="2">D6*12</f>
        <v>60000</v>
      </c>
      <c r="H6" s="42" t="s">
        <v>60</v>
      </c>
      <c r="I6" s="57">
        <f>IFERROR(VLOOKUP(H6,Roadmap!$A$7:$D$110,3,0),"not set, choose the event")</f>
        <v>45901</v>
      </c>
      <c r="J6" s="58">
        <v>0.02</v>
      </c>
      <c r="K6" s="1">
        <v>12.0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35" t="s">
        <v>80</v>
      </c>
      <c r="B7" s="1"/>
      <c r="C7" s="1"/>
      <c r="D7" s="36">
        <v>0.0</v>
      </c>
      <c r="E7" s="55">
        <f>Settings!$B$8</f>
        <v>0.35</v>
      </c>
      <c r="F7" s="56">
        <f t="shared" si="1"/>
        <v>0</v>
      </c>
      <c r="G7" s="56">
        <f t="shared" si="2"/>
        <v>0</v>
      </c>
      <c r="H7" s="42" t="s">
        <v>58</v>
      </c>
      <c r="I7" s="57">
        <f>IFERROR(VLOOKUP(H7,Roadmap!$A$7:$D$110,3,0),"not set, choose the event")</f>
        <v>45899</v>
      </c>
      <c r="J7" s="58">
        <v>0.0</v>
      </c>
      <c r="K7" s="1">
        <v>12.0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35" t="s">
        <v>81</v>
      </c>
      <c r="B8" s="1"/>
      <c r="C8" s="1"/>
      <c r="D8" s="36">
        <v>0.0</v>
      </c>
      <c r="E8" s="55">
        <f>Settings!$B$8</f>
        <v>0.35</v>
      </c>
      <c r="F8" s="56">
        <f t="shared" si="1"/>
        <v>0</v>
      </c>
      <c r="G8" s="56">
        <f t="shared" si="2"/>
        <v>0</v>
      </c>
      <c r="H8" s="42" t="s">
        <v>66</v>
      </c>
      <c r="I8" s="57">
        <f>IFERROR(VLOOKUP(H8,Roadmap!$A$7:$D$110,3,0),"not set, choose the event")</f>
        <v>46235</v>
      </c>
      <c r="J8" s="58">
        <v>0.0</v>
      </c>
      <c r="K8" s="1">
        <v>12.0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75" customHeight="1">
      <c r="A9" s="43" t="s">
        <v>82</v>
      </c>
      <c r="B9" s="1"/>
      <c r="C9" s="1"/>
      <c r="D9" s="36">
        <v>0.0</v>
      </c>
      <c r="E9" s="55">
        <f>Settings!$B$8</f>
        <v>0.35</v>
      </c>
      <c r="F9" s="56">
        <f t="shared" si="1"/>
        <v>0</v>
      </c>
      <c r="G9" s="56">
        <f t="shared" si="2"/>
        <v>0</v>
      </c>
      <c r="H9" s="1"/>
      <c r="I9" s="57" t="str">
        <f>IFERROR(VLOOKUP(H9,Roadmap!$A$7:$D$110,3,0),"not set, choose the event")</f>
        <v>not set, choose the event</v>
      </c>
      <c r="J9" s="58">
        <v>0.0</v>
      </c>
      <c r="K9" s="1">
        <v>12.0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43" t="s">
        <v>83</v>
      </c>
      <c r="B10" s="1"/>
      <c r="C10" s="1"/>
      <c r="D10" s="36">
        <v>0.0</v>
      </c>
      <c r="E10" s="55">
        <f>Settings!$B$8</f>
        <v>0.35</v>
      </c>
      <c r="F10" s="56">
        <f t="shared" si="1"/>
        <v>0</v>
      </c>
      <c r="G10" s="56">
        <f t="shared" si="2"/>
        <v>0</v>
      </c>
      <c r="H10" s="1"/>
      <c r="I10" s="57" t="str">
        <f>IFERROR(VLOOKUP(H10,Roadmap!$A$7:$D$110,3,0),"not set, choose the event")</f>
        <v>not set, choose the event</v>
      </c>
      <c r="J10" s="58">
        <v>0.0</v>
      </c>
      <c r="K10" s="1">
        <v>12.0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35" t="s">
        <v>84</v>
      </c>
      <c r="B11" s="1"/>
      <c r="C11" s="1"/>
      <c r="D11" s="36">
        <v>0.0</v>
      </c>
      <c r="E11" s="55">
        <f>Settings!$B$8</f>
        <v>0.35</v>
      </c>
      <c r="F11" s="56">
        <f t="shared" si="1"/>
        <v>0</v>
      </c>
      <c r="G11" s="56">
        <f t="shared" si="2"/>
        <v>0</v>
      </c>
      <c r="H11" s="1"/>
      <c r="I11" s="57" t="str">
        <f>IFERROR(VLOOKUP(H11,Roadmap!$A$7:$D$110,3,0),"not set, choose the event")</f>
        <v>not set, choose the event</v>
      </c>
      <c r="J11" s="58">
        <v>0.0</v>
      </c>
      <c r="K11" s="1">
        <v>12.0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35" t="s">
        <v>85</v>
      </c>
      <c r="B12" s="1"/>
      <c r="C12" s="1"/>
      <c r="D12" s="36">
        <v>0.0</v>
      </c>
      <c r="E12" s="55">
        <f>Settings!$B$8</f>
        <v>0.35</v>
      </c>
      <c r="F12" s="56">
        <f t="shared" si="1"/>
        <v>0</v>
      </c>
      <c r="G12" s="56">
        <f t="shared" si="2"/>
        <v>0</v>
      </c>
      <c r="H12" s="1"/>
      <c r="I12" s="57" t="str">
        <f>IFERROR(VLOOKUP(H12,Roadmap!$A$7:$D$110,3,0),"not set, choose the event")</f>
        <v>not set, choose the event</v>
      </c>
      <c r="J12" s="58">
        <v>0.0</v>
      </c>
      <c r="K12" s="1">
        <v>12.0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35" t="s">
        <v>86</v>
      </c>
      <c r="B13" s="1"/>
      <c r="C13" s="1"/>
      <c r="D13" s="36">
        <v>0.0</v>
      </c>
      <c r="E13" s="55">
        <f>Settings!$B$8</f>
        <v>0.35</v>
      </c>
      <c r="F13" s="56">
        <f t="shared" si="1"/>
        <v>0</v>
      </c>
      <c r="G13" s="56">
        <f t="shared" si="2"/>
        <v>0</v>
      </c>
      <c r="H13" s="1"/>
      <c r="I13" s="57" t="str">
        <f>IFERROR(VLOOKUP(H13,Roadmap!$A$7:$D$110,3,0),"not set, choose the event")</f>
        <v>not set, choose the event</v>
      </c>
      <c r="J13" s="58">
        <v>0.0</v>
      </c>
      <c r="K13" s="1">
        <v>12.0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35" t="s">
        <v>87</v>
      </c>
      <c r="B14" s="1"/>
      <c r="C14" s="1"/>
      <c r="D14" s="36">
        <v>0.0</v>
      </c>
      <c r="E14" s="55">
        <f>Settings!$B$8</f>
        <v>0.35</v>
      </c>
      <c r="F14" s="56">
        <f t="shared" si="1"/>
        <v>0</v>
      </c>
      <c r="G14" s="56">
        <f t="shared" si="2"/>
        <v>0</v>
      </c>
      <c r="H14" s="1"/>
      <c r="I14" s="57" t="str">
        <f>IFERROR(VLOOKUP(H14,Roadmap!$A$7:$D$110,3,0),"not set, choose the event")</f>
        <v>not set, choose the event</v>
      </c>
      <c r="J14" s="58">
        <v>0.0</v>
      </c>
      <c r="K14" s="1">
        <v>12.0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1"/>
      <c r="D15" s="36"/>
      <c r="E15" s="55"/>
      <c r="F15" s="1"/>
      <c r="G15" s="1"/>
      <c r="H15" s="1"/>
      <c r="I15" s="57"/>
      <c r="J15" s="5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50" t="s">
        <v>88</v>
      </c>
      <c r="B16" s="50"/>
      <c r="C16" s="50"/>
      <c r="D16" s="36"/>
      <c r="E16" s="55"/>
      <c r="F16" s="1"/>
      <c r="G16" s="1"/>
      <c r="H16" s="1"/>
      <c r="I16" s="57"/>
      <c r="J16" s="58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ht="15.75" customHeight="1">
      <c r="A17" s="35" t="s">
        <v>89</v>
      </c>
      <c r="B17" s="1"/>
      <c r="C17" s="1"/>
      <c r="D17" s="54">
        <v>10000.0</v>
      </c>
      <c r="E17" s="55">
        <f>Settings!$B$8</f>
        <v>0.35</v>
      </c>
      <c r="F17" s="56">
        <f t="shared" ref="F17:F28" si="3">D17/(1-E17)</f>
        <v>15384.61538</v>
      </c>
      <c r="G17" s="56">
        <f t="shared" ref="G17:G28" si="4">D17*12</f>
        <v>120000</v>
      </c>
      <c r="H17" s="1" t="s">
        <v>67</v>
      </c>
      <c r="I17" s="57">
        <f>IFERROR(VLOOKUP(H17,Roadmap!$A$7:$D$110,3,0),"not set, choose the event")</f>
        <v>46266</v>
      </c>
      <c r="J17" s="58">
        <v>0.0</v>
      </c>
      <c r="K17" s="1">
        <v>12.0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75" customHeight="1">
      <c r="A18" s="35" t="s">
        <v>90</v>
      </c>
      <c r="B18" s="1"/>
      <c r="C18" s="1"/>
      <c r="D18" s="36">
        <v>4000.0</v>
      </c>
      <c r="E18" s="55">
        <f>Settings!$B$8</f>
        <v>0.35</v>
      </c>
      <c r="F18" s="56">
        <f t="shared" si="3"/>
        <v>6153.846154</v>
      </c>
      <c r="G18" s="56">
        <f t="shared" si="4"/>
        <v>48000</v>
      </c>
      <c r="H18" s="1" t="s">
        <v>67</v>
      </c>
      <c r="I18" s="57">
        <f>IFERROR(VLOOKUP(H18,Roadmap!$A$7:$D$110,3,0),"not set, choose the event")</f>
        <v>46266</v>
      </c>
      <c r="J18" s="58">
        <v>0.04</v>
      </c>
      <c r="K18" s="1">
        <v>12.0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75" customHeight="1">
      <c r="A19" s="35" t="s">
        <v>91</v>
      </c>
      <c r="B19" s="1"/>
      <c r="C19" s="1"/>
      <c r="D19" s="36">
        <v>0.0</v>
      </c>
      <c r="E19" s="55">
        <f>Settings!$B$8</f>
        <v>0.35</v>
      </c>
      <c r="F19" s="56">
        <f t="shared" si="3"/>
        <v>0</v>
      </c>
      <c r="G19" s="56">
        <f t="shared" si="4"/>
        <v>0</v>
      </c>
      <c r="H19" s="1"/>
      <c r="I19" s="57" t="str">
        <f>IFERROR(VLOOKUP(H19,Roadmap!$A$7:$D$110,3,0),"not set, choose the event")</f>
        <v>not set, choose the event</v>
      </c>
      <c r="J19" s="58">
        <v>0.0</v>
      </c>
      <c r="K19" s="1">
        <v>12.0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75" customHeight="1">
      <c r="A20" s="35" t="s">
        <v>92</v>
      </c>
      <c r="B20" s="1"/>
      <c r="C20" s="1"/>
      <c r="D20" s="36">
        <v>0.0</v>
      </c>
      <c r="E20" s="55">
        <f>Settings!$B$8</f>
        <v>0.35</v>
      </c>
      <c r="F20" s="56">
        <f t="shared" si="3"/>
        <v>0</v>
      </c>
      <c r="G20" s="56">
        <f t="shared" si="4"/>
        <v>0</v>
      </c>
      <c r="H20" s="1"/>
      <c r="I20" s="57" t="str">
        <f>IFERROR(VLOOKUP(H20,Roadmap!$A$7:$D$110,3,0),"not set, choose the event")</f>
        <v>not set, choose the event</v>
      </c>
      <c r="J20" s="58">
        <v>0.0</v>
      </c>
      <c r="K20" s="1">
        <v>12.0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35" t="s">
        <v>93</v>
      </c>
      <c r="B21" s="50"/>
      <c r="C21" s="1"/>
      <c r="D21" s="54">
        <v>3500.0</v>
      </c>
      <c r="E21" s="55">
        <f>Settings!$B$8</f>
        <v>0.35</v>
      </c>
      <c r="F21" s="56">
        <f t="shared" si="3"/>
        <v>5384.615385</v>
      </c>
      <c r="G21" s="56">
        <f t="shared" si="4"/>
        <v>42000</v>
      </c>
      <c r="H21" s="1"/>
      <c r="I21" s="57" t="str">
        <f>IFERROR(VLOOKUP(H21,Roadmap!$A$7:$D$110,3,0),"not set, choose the event")</f>
        <v>not set, choose the event</v>
      </c>
      <c r="J21" s="58">
        <v>0.0</v>
      </c>
      <c r="K21" s="1">
        <v>12.0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ht="15.75" customHeight="1">
      <c r="A22" s="35" t="s">
        <v>94</v>
      </c>
      <c r="B22" s="1"/>
      <c r="C22" s="1"/>
      <c r="D22" s="36">
        <v>0.0</v>
      </c>
      <c r="E22" s="55">
        <f>Settings!$B$8</f>
        <v>0.35</v>
      </c>
      <c r="F22" s="56">
        <f t="shared" si="3"/>
        <v>0</v>
      </c>
      <c r="G22" s="56">
        <f t="shared" si="4"/>
        <v>0</v>
      </c>
      <c r="H22" s="1"/>
      <c r="I22" s="57" t="str">
        <f>IFERROR(VLOOKUP(H22,Roadmap!$A$7:$D$110,3,0),"not set, choose the event")</f>
        <v>not set, choose the event</v>
      </c>
      <c r="J22" s="58">
        <v>0.0</v>
      </c>
      <c r="K22" s="1">
        <v>12.0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43" t="s">
        <v>95</v>
      </c>
      <c r="B23" s="1"/>
      <c r="C23" s="1"/>
      <c r="D23" s="36">
        <v>0.0</v>
      </c>
      <c r="E23" s="55">
        <f>Settings!$B$8</f>
        <v>0.35</v>
      </c>
      <c r="F23" s="56">
        <f t="shared" si="3"/>
        <v>0</v>
      </c>
      <c r="G23" s="56">
        <f t="shared" si="4"/>
        <v>0</v>
      </c>
      <c r="H23" s="1"/>
      <c r="I23" s="57" t="str">
        <f>IFERROR(VLOOKUP(H23,Roadmap!$A$7:$D$110,3,0),"not set, choose the event")</f>
        <v>not set, choose the event</v>
      </c>
      <c r="J23" s="58">
        <v>0.0</v>
      </c>
      <c r="K23" s="1">
        <v>12.0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43" t="s">
        <v>96</v>
      </c>
      <c r="B24" s="1"/>
      <c r="C24" s="1"/>
      <c r="D24" s="36">
        <v>0.0</v>
      </c>
      <c r="E24" s="55">
        <f>Settings!$B$8</f>
        <v>0.35</v>
      </c>
      <c r="F24" s="56">
        <f t="shared" si="3"/>
        <v>0</v>
      </c>
      <c r="G24" s="56">
        <f t="shared" si="4"/>
        <v>0</v>
      </c>
      <c r="H24" s="1"/>
      <c r="I24" s="57" t="str">
        <f>IFERROR(VLOOKUP(H24,Roadmap!$A$7:$D$110,3,0),"not set, choose the event")</f>
        <v>not set, choose the event</v>
      </c>
      <c r="J24" s="58">
        <v>0.0</v>
      </c>
      <c r="K24" s="1">
        <v>12.0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43" t="s">
        <v>97</v>
      </c>
      <c r="B25" s="1"/>
      <c r="C25" s="1"/>
      <c r="D25" s="36">
        <v>0.0</v>
      </c>
      <c r="E25" s="55">
        <f>Settings!$B$8</f>
        <v>0.35</v>
      </c>
      <c r="F25" s="56">
        <f t="shared" si="3"/>
        <v>0</v>
      </c>
      <c r="G25" s="56">
        <f t="shared" si="4"/>
        <v>0</v>
      </c>
      <c r="H25" s="1"/>
      <c r="I25" s="57" t="str">
        <f>IFERROR(VLOOKUP(H25,Roadmap!$A$7:$D$110,3,0),"not set, choose the event")</f>
        <v>not set, choose the event</v>
      </c>
      <c r="J25" s="58">
        <v>0.0</v>
      </c>
      <c r="K25" s="1">
        <v>12.0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43" t="s">
        <v>98</v>
      </c>
      <c r="B26" s="1"/>
      <c r="C26" s="1"/>
      <c r="D26" s="36">
        <v>0.0</v>
      </c>
      <c r="E26" s="55">
        <f>Settings!$B$8</f>
        <v>0.35</v>
      </c>
      <c r="F26" s="56">
        <f t="shared" si="3"/>
        <v>0</v>
      </c>
      <c r="G26" s="56">
        <f t="shared" si="4"/>
        <v>0</v>
      </c>
      <c r="H26" s="1"/>
      <c r="I26" s="57" t="str">
        <f>IFERROR(VLOOKUP(H26,Roadmap!$A$7:$D$110,3,0),"not set, choose the event")</f>
        <v>not set, choose the event</v>
      </c>
      <c r="J26" s="58">
        <v>0.0</v>
      </c>
      <c r="K26" s="1">
        <v>12.0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43" t="s">
        <v>99</v>
      </c>
      <c r="B27" s="1"/>
      <c r="C27" s="1"/>
      <c r="D27" s="36">
        <v>0.0</v>
      </c>
      <c r="E27" s="55">
        <f>Settings!$B$8</f>
        <v>0.35</v>
      </c>
      <c r="F27" s="56">
        <f t="shared" si="3"/>
        <v>0</v>
      </c>
      <c r="G27" s="56">
        <f t="shared" si="4"/>
        <v>0</v>
      </c>
      <c r="H27" s="1"/>
      <c r="I27" s="57" t="str">
        <f>IFERROR(VLOOKUP(H27,Roadmap!$A$7:$D$110,3,0),"not set, choose the event")</f>
        <v>not set, choose the event</v>
      </c>
      <c r="J27" s="58">
        <v>0.0</v>
      </c>
      <c r="K27" s="1">
        <v>12.0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35" t="s">
        <v>87</v>
      </c>
      <c r="B28" s="1"/>
      <c r="C28" s="1"/>
      <c r="D28" s="36">
        <v>0.0</v>
      </c>
      <c r="E28" s="55">
        <f>Settings!$B$8</f>
        <v>0.35</v>
      </c>
      <c r="F28" s="56">
        <f t="shared" si="3"/>
        <v>0</v>
      </c>
      <c r="G28" s="56">
        <f t="shared" si="4"/>
        <v>0</v>
      </c>
      <c r="H28" s="1"/>
      <c r="I28" s="57" t="str">
        <f>IFERROR(VLOOKUP(H28,Roadmap!$A$7:$D$110,3,0),"not set, choose the event")</f>
        <v>not set, choose the event</v>
      </c>
      <c r="J28" s="58">
        <v>0.0</v>
      </c>
      <c r="K28" s="1">
        <v>12.0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36"/>
      <c r="E29" s="55"/>
      <c r="F29" s="1"/>
      <c r="G29" s="1"/>
      <c r="H29" s="1"/>
      <c r="I29" s="57"/>
      <c r="J29" s="5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50" t="s">
        <v>100</v>
      </c>
      <c r="B30" s="50"/>
      <c r="C30" s="50"/>
      <c r="D30" s="36"/>
      <c r="E30" s="55"/>
      <c r="F30" s="1"/>
      <c r="G30" s="1"/>
      <c r="H30" s="1"/>
      <c r="I30" s="57"/>
      <c r="J30" s="58"/>
      <c r="K30" s="1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</row>
    <row r="31" ht="15.75" customHeight="1">
      <c r="A31" s="43" t="s">
        <v>101</v>
      </c>
      <c r="B31" s="1"/>
      <c r="C31" s="1"/>
      <c r="D31" s="36">
        <v>3000.0</v>
      </c>
      <c r="E31" s="55">
        <f>Settings!$B$8</f>
        <v>0.35</v>
      </c>
      <c r="F31" s="56">
        <f t="shared" ref="F31:F38" si="5">D31/(1-E31)</f>
        <v>4615.384615</v>
      </c>
      <c r="G31" s="56">
        <f t="shared" ref="G31:G38" si="6">D31*12</f>
        <v>36000</v>
      </c>
      <c r="H31" s="1" t="s">
        <v>67</v>
      </c>
      <c r="I31" s="57">
        <f>IFERROR(VLOOKUP(H31,Roadmap!$A$7:$D$110,3,0),"not set, choose the event")</f>
        <v>46266</v>
      </c>
      <c r="J31" s="58">
        <v>0.04</v>
      </c>
      <c r="K31" s="1">
        <v>12.0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43" t="s">
        <v>102</v>
      </c>
      <c r="B32" s="1"/>
      <c r="C32" s="1"/>
      <c r="D32" s="36">
        <v>0.0</v>
      </c>
      <c r="E32" s="55">
        <f>Settings!$B$8</f>
        <v>0.35</v>
      </c>
      <c r="F32" s="56">
        <f t="shared" si="5"/>
        <v>0</v>
      </c>
      <c r="G32" s="56">
        <f t="shared" si="6"/>
        <v>0</v>
      </c>
      <c r="H32" s="1"/>
      <c r="I32" s="57" t="str">
        <f>IFERROR(VLOOKUP(H32,Roadmap!$A$7:$D$110,3,0),"not set, choose the event")</f>
        <v>not set, choose the event</v>
      </c>
      <c r="J32" s="58">
        <v>0.0</v>
      </c>
      <c r="K32" s="1">
        <v>12.0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43" t="s">
        <v>103</v>
      </c>
      <c r="B33" s="1"/>
      <c r="C33" s="1"/>
      <c r="D33" s="36">
        <v>0.0</v>
      </c>
      <c r="E33" s="55">
        <f>Settings!$B$8</f>
        <v>0.35</v>
      </c>
      <c r="F33" s="56">
        <f t="shared" si="5"/>
        <v>0</v>
      </c>
      <c r="G33" s="56">
        <f t="shared" si="6"/>
        <v>0</v>
      </c>
      <c r="H33" s="1"/>
      <c r="I33" s="57" t="str">
        <f>IFERROR(VLOOKUP(H33,Roadmap!$A$7:$D$110,3,0),"not set, choose the event")</f>
        <v>not set, choose the event</v>
      </c>
      <c r="J33" s="58">
        <v>0.0</v>
      </c>
      <c r="K33" s="1">
        <v>12.0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43" t="s">
        <v>104</v>
      </c>
      <c r="B34" s="1"/>
      <c r="C34" s="1"/>
      <c r="D34" s="36">
        <v>0.0</v>
      </c>
      <c r="E34" s="55">
        <f>Settings!$B$8</f>
        <v>0.35</v>
      </c>
      <c r="F34" s="56">
        <f t="shared" si="5"/>
        <v>0</v>
      </c>
      <c r="G34" s="56">
        <f t="shared" si="6"/>
        <v>0</v>
      </c>
      <c r="H34" s="1"/>
      <c r="I34" s="57" t="str">
        <f>IFERROR(VLOOKUP(H34,Roadmap!$A$7:$D$110,3,0),"not set, choose the event")</f>
        <v>not set, choose the event</v>
      </c>
      <c r="J34" s="58">
        <v>0.0</v>
      </c>
      <c r="K34" s="1">
        <v>12.0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43" t="s">
        <v>105</v>
      </c>
      <c r="B35" s="1"/>
      <c r="C35" s="1"/>
      <c r="D35" s="36">
        <v>0.0</v>
      </c>
      <c r="E35" s="55">
        <f>Settings!$B$8</f>
        <v>0.35</v>
      </c>
      <c r="F35" s="56">
        <f t="shared" si="5"/>
        <v>0</v>
      </c>
      <c r="G35" s="56">
        <f t="shared" si="6"/>
        <v>0</v>
      </c>
      <c r="H35" s="1"/>
      <c r="I35" s="57" t="str">
        <f>IFERROR(VLOOKUP(H35,Roadmap!$A$7:$D$110,3,0),"not set, choose the event")</f>
        <v>not set, choose the event</v>
      </c>
      <c r="J35" s="58">
        <v>0.0</v>
      </c>
      <c r="K35" s="1">
        <v>12.0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43" t="s">
        <v>106</v>
      </c>
      <c r="B36" s="1"/>
      <c r="C36" s="1"/>
      <c r="D36" s="36">
        <v>0.0</v>
      </c>
      <c r="E36" s="55">
        <f>Settings!$B$8</f>
        <v>0.35</v>
      </c>
      <c r="F36" s="56">
        <f t="shared" si="5"/>
        <v>0</v>
      </c>
      <c r="G36" s="56">
        <f t="shared" si="6"/>
        <v>0</v>
      </c>
      <c r="H36" s="1"/>
      <c r="I36" s="57" t="str">
        <f>IFERROR(VLOOKUP(H36,Roadmap!$A$7:$D$110,3,0),"not set, choose the event")</f>
        <v>not set, choose the event</v>
      </c>
      <c r="J36" s="58">
        <v>0.0</v>
      </c>
      <c r="K36" s="1">
        <v>12.0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35" t="s">
        <v>86</v>
      </c>
      <c r="B37" s="1"/>
      <c r="C37" s="1"/>
      <c r="D37" s="36">
        <v>0.0</v>
      </c>
      <c r="E37" s="55">
        <f>Settings!$B$8</f>
        <v>0.35</v>
      </c>
      <c r="F37" s="56">
        <f t="shared" si="5"/>
        <v>0</v>
      </c>
      <c r="G37" s="56">
        <f t="shared" si="6"/>
        <v>0</v>
      </c>
      <c r="H37" s="1"/>
      <c r="I37" s="57" t="str">
        <f>IFERROR(VLOOKUP(H37,Roadmap!$A$7:$D$110,3,0),"not set, choose the event")</f>
        <v>not set, choose the event</v>
      </c>
      <c r="J37" s="58">
        <v>0.0</v>
      </c>
      <c r="K37" s="1">
        <v>12.0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35" t="s">
        <v>87</v>
      </c>
      <c r="B38" s="1"/>
      <c r="C38" s="1"/>
      <c r="D38" s="36">
        <v>0.0</v>
      </c>
      <c r="E38" s="55">
        <f>Settings!$B$8</f>
        <v>0.35</v>
      </c>
      <c r="F38" s="56">
        <f t="shared" si="5"/>
        <v>0</v>
      </c>
      <c r="G38" s="56">
        <f t="shared" si="6"/>
        <v>0</v>
      </c>
      <c r="H38" s="1"/>
      <c r="I38" s="57" t="str">
        <f>IFERROR(VLOOKUP(H38,Roadmap!$A$7:$D$110,3,0),"not set, choose the event")</f>
        <v>not set, choose the event</v>
      </c>
      <c r="J38" s="58">
        <v>0.0</v>
      </c>
      <c r="K38" s="1">
        <v>12.0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56"/>
      <c r="E39" s="46"/>
      <c r="F39" s="1"/>
      <c r="G39" s="1"/>
      <c r="H39" s="1"/>
      <c r="I39" s="57"/>
      <c r="J39" s="5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50" t="s">
        <v>107</v>
      </c>
      <c r="B40" s="1"/>
      <c r="C40" s="1"/>
      <c r="D40" s="56"/>
      <c r="E40" s="46"/>
      <c r="F40" s="1"/>
      <c r="G40" s="1"/>
      <c r="H40" s="1"/>
      <c r="I40" s="57"/>
      <c r="J40" s="5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43" t="s">
        <v>108</v>
      </c>
      <c r="B41" s="1"/>
      <c r="C41" s="1"/>
      <c r="D41" s="54">
        <v>5000.0</v>
      </c>
      <c r="E41" s="55">
        <f>Settings!$B$8</f>
        <v>0.35</v>
      </c>
      <c r="F41" s="56">
        <f t="shared" ref="F41:F46" si="7">D41/(1-E41)</f>
        <v>7692.307692</v>
      </c>
      <c r="G41" s="56">
        <f t="shared" ref="G41:G46" si="8">D41*12</f>
        <v>60000</v>
      </c>
      <c r="H41" s="1" t="s">
        <v>11</v>
      </c>
      <c r="I41" s="57">
        <f>IFERROR(VLOOKUP(H41,Roadmap!$A$7:$D$110,3,0),"not set, choose the event")</f>
        <v>45139</v>
      </c>
      <c r="J41" s="58">
        <v>0.02</v>
      </c>
      <c r="K41" s="1">
        <v>12.0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43" t="s">
        <v>109</v>
      </c>
      <c r="B42" s="1"/>
      <c r="C42" s="1"/>
      <c r="D42" s="54">
        <v>5000.0</v>
      </c>
      <c r="E42" s="55">
        <f>Settings!$B$8</f>
        <v>0.35</v>
      </c>
      <c r="F42" s="56">
        <f t="shared" si="7"/>
        <v>7692.307692</v>
      </c>
      <c r="G42" s="56">
        <f t="shared" si="8"/>
        <v>60000</v>
      </c>
      <c r="H42" s="1" t="s">
        <v>11</v>
      </c>
      <c r="I42" s="57">
        <f>IFERROR(VLOOKUP(H42,Roadmap!$A$7:$D$110,3,0),"not set, choose the event")</f>
        <v>45139</v>
      </c>
      <c r="J42" s="58">
        <v>0.02</v>
      </c>
      <c r="K42" s="1">
        <v>12.0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43" t="s">
        <v>110</v>
      </c>
      <c r="B43" s="1"/>
      <c r="C43" s="1"/>
      <c r="D43" s="36">
        <v>1000.0</v>
      </c>
      <c r="E43" s="55">
        <f>Settings!$B$8</f>
        <v>0.35</v>
      </c>
      <c r="F43" s="56">
        <f t="shared" si="7"/>
        <v>1538.461538</v>
      </c>
      <c r="G43" s="56">
        <f t="shared" si="8"/>
        <v>12000</v>
      </c>
      <c r="H43" s="1" t="s">
        <v>11</v>
      </c>
      <c r="I43" s="57">
        <f>IFERROR(VLOOKUP(H43,Roadmap!$A$7:$D$110,3,0),"not set, choose the event")</f>
        <v>45139</v>
      </c>
      <c r="J43" s="58">
        <v>0.02</v>
      </c>
      <c r="K43" s="1">
        <v>12.0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35" t="s">
        <v>111</v>
      </c>
      <c r="B44" s="1"/>
      <c r="C44" s="1"/>
      <c r="D44" s="36">
        <v>1000.0</v>
      </c>
      <c r="E44" s="55">
        <f>Settings!$B$8</f>
        <v>0.35</v>
      </c>
      <c r="F44" s="56">
        <f t="shared" si="7"/>
        <v>1538.461538</v>
      </c>
      <c r="G44" s="56">
        <f t="shared" si="8"/>
        <v>12000</v>
      </c>
      <c r="H44" s="1" t="s">
        <v>11</v>
      </c>
      <c r="I44" s="57">
        <f>IFERROR(VLOOKUP(H44,Roadmap!$A$7:$D$110,3,0),"not set, choose the event")</f>
        <v>45139</v>
      </c>
      <c r="J44" s="58">
        <v>0.02</v>
      </c>
      <c r="K44" s="1">
        <v>12.0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43" t="s">
        <v>112</v>
      </c>
      <c r="B45" s="1"/>
      <c r="C45" s="1"/>
      <c r="D45" s="36">
        <v>1000.0</v>
      </c>
      <c r="E45" s="55">
        <f>Settings!$B$8</f>
        <v>0.35</v>
      </c>
      <c r="F45" s="56">
        <f t="shared" si="7"/>
        <v>1538.461538</v>
      </c>
      <c r="G45" s="56">
        <f t="shared" si="8"/>
        <v>12000</v>
      </c>
      <c r="H45" s="1" t="s">
        <v>11</v>
      </c>
      <c r="I45" s="57">
        <f>IFERROR(VLOOKUP(H45,Roadmap!$A$7:$D$110,3,0),"not set, choose the event")</f>
        <v>45139</v>
      </c>
      <c r="J45" s="58">
        <v>0.02</v>
      </c>
      <c r="K45" s="1">
        <v>12.0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43" t="s">
        <v>113</v>
      </c>
      <c r="B46" s="1"/>
      <c r="C46" s="1"/>
      <c r="D46" s="54">
        <v>0.0</v>
      </c>
      <c r="E46" s="55">
        <f>Settings!$B$8</f>
        <v>0.35</v>
      </c>
      <c r="F46" s="56">
        <f t="shared" si="7"/>
        <v>0</v>
      </c>
      <c r="G46" s="56">
        <f t="shared" si="8"/>
        <v>0</v>
      </c>
      <c r="H46" s="1" t="s">
        <v>11</v>
      </c>
      <c r="I46" s="57">
        <f>IFERROR(VLOOKUP(H46,Roadmap!$A$7:$D$110,3,0),"not set, choose the event")</f>
        <v>45139</v>
      </c>
      <c r="J46" s="58">
        <v>0.02</v>
      </c>
      <c r="K46" s="1">
        <v>12.0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56"/>
      <c r="E47" s="46"/>
      <c r="F47" s="1"/>
      <c r="G47" s="1"/>
      <c r="H47" s="1"/>
      <c r="I47" s="57"/>
      <c r="J47" s="5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59" t="s">
        <v>114</v>
      </c>
      <c r="B48" s="50"/>
      <c r="C48" s="50"/>
      <c r="D48" s="60"/>
      <c r="E48" s="52"/>
      <c r="F48" s="1"/>
      <c r="G48" s="1"/>
      <c r="H48" s="1"/>
      <c r="I48" s="57"/>
      <c r="J48" s="58"/>
      <c r="K48" s="1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ht="15.75" customHeight="1">
      <c r="A49" s="43" t="s">
        <v>115</v>
      </c>
      <c r="B49" s="1"/>
      <c r="C49" s="1"/>
      <c r="D49" s="36">
        <v>1000.0</v>
      </c>
      <c r="E49" s="55">
        <f>Settings!$B$8</f>
        <v>0.35</v>
      </c>
      <c r="F49" s="56">
        <f t="shared" ref="F49:F56" si="9">D49/(1-E49)</f>
        <v>1538.461538</v>
      </c>
      <c r="G49" s="56">
        <f t="shared" ref="G49:G56" si="10">D49*12</f>
        <v>12000</v>
      </c>
      <c r="H49" s="1" t="s">
        <v>67</v>
      </c>
      <c r="I49" s="57">
        <f>IFERROR(VLOOKUP(H49,Roadmap!$A$7:$D$110,3,0),"not set, choose the event")</f>
        <v>46266</v>
      </c>
      <c r="J49" s="58">
        <v>0.0</v>
      </c>
      <c r="K49" s="1">
        <v>12.0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43" t="s">
        <v>116</v>
      </c>
      <c r="B50" s="1"/>
      <c r="C50" s="1"/>
      <c r="D50" s="36">
        <v>1000.0</v>
      </c>
      <c r="E50" s="55">
        <f>Settings!$B$8</f>
        <v>0.35</v>
      </c>
      <c r="F50" s="56">
        <f t="shared" si="9"/>
        <v>1538.461538</v>
      </c>
      <c r="G50" s="56">
        <f t="shared" si="10"/>
        <v>12000</v>
      </c>
      <c r="H50" s="1" t="s">
        <v>67</v>
      </c>
      <c r="I50" s="57">
        <f>IFERROR(VLOOKUP(H50,Roadmap!$A$7:$D$110,3,0),"not set, choose the event")</f>
        <v>46266</v>
      </c>
      <c r="J50" s="58">
        <v>0.0</v>
      </c>
      <c r="K50" s="1">
        <v>12.0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43" t="s">
        <v>117</v>
      </c>
      <c r="B51" s="1"/>
      <c r="C51" s="1"/>
      <c r="D51" s="36">
        <v>0.0</v>
      </c>
      <c r="E51" s="55">
        <f>Settings!$B$8</f>
        <v>0.35</v>
      </c>
      <c r="F51" s="56">
        <f t="shared" si="9"/>
        <v>0</v>
      </c>
      <c r="G51" s="56">
        <f t="shared" si="10"/>
        <v>0</v>
      </c>
      <c r="H51" s="1"/>
      <c r="I51" s="57" t="str">
        <f>IFERROR(VLOOKUP(H51,Roadmap!$A$7:$D$110,3,0),"not set, choose the event")</f>
        <v>not set, choose the event</v>
      </c>
      <c r="J51" s="58">
        <v>0.0</v>
      </c>
      <c r="K51" s="1">
        <v>12.0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43" t="s">
        <v>118</v>
      </c>
      <c r="B52" s="1"/>
      <c r="C52" s="1"/>
      <c r="D52" s="36">
        <v>0.0</v>
      </c>
      <c r="E52" s="55">
        <f>Settings!$B$8</f>
        <v>0.35</v>
      </c>
      <c r="F52" s="56">
        <f t="shared" si="9"/>
        <v>0</v>
      </c>
      <c r="G52" s="56">
        <f t="shared" si="10"/>
        <v>0</v>
      </c>
      <c r="H52" s="1"/>
      <c r="I52" s="57" t="str">
        <f>IFERROR(VLOOKUP(H52,Roadmap!$A$7:$D$110,3,0),"not set, choose the event")</f>
        <v>not set, choose the event</v>
      </c>
      <c r="J52" s="58">
        <v>0.0</v>
      </c>
      <c r="K52" s="1">
        <v>12.0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43" t="s">
        <v>119</v>
      </c>
      <c r="B53" s="1"/>
      <c r="C53" s="1"/>
      <c r="D53" s="36">
        <v>0.0</v>
      </c>
      <c r="E53" s="55">
        <f>Settings!$B$8</f>
        <v>0.35</v>
      </c>
      <c r="F53" s="56">
        <f t="shared" si="9"/>
        <v>0</v>
      </c>
      <c r="G53" s="56">
        <f t="shared" si="10"/>
        <v>0</v>
      </c>
      <c r="H53" s="1"/>
      <c r="I53" s="57" t="str">
        <f>IFERROR(VLOOKUP(H53,Roadmap!$A$7:$D$110,3,0),"not set, choose the event")</f>
        <v>not set, choose the event</v>
      </c>
      <c r="J53" s="58">
        <v>0.0</v>
      </c>
      <c r="K53" s="1">
        <v>12.0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43" t="s">
        <v>120</v>
      </c>
      <c r="B54" s="1"/>
      <c r="C54" s="1"/>
      <c r="D54" s="36">
        <v>0.0</v>
      </c>
      <c r="E54" s="55">
        <f>Settings!$B$8</f>
        <v>0.35</v>
      </c>
      <c r="F54" s="56">
        <f t="shared" si="9"/>
        <v>0</v>
      </c>
      <c r="G54" s="56">
        <f t="shared" si="10"/>
        <v>0</v>
      </c>
      <c r="H54" s="1"/>
      <c r="I54" s="57" t="str">
        <f>IFERROR(VLOOKUP(H54,Roadmap!$A$7:$D$110,3,0),"not set, choose the event")</f>
        <v>not set, choose the event</v>
      </c>
      <c r="J54" s="58">
        <v>0.0</v>
      </c>
      <c r="K54" s="1">
        <v>12.0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43" t="s">
        <v>121</v>
      </c>
      <c r="B55" s="1"/>
      <c r="C55" s="1"/>
      <c r="D55" s="54">
        <v>8000.0</v>
      </c>
      <c r="E55" s="55">
        <f>Settings!$B$8</f>
        <v>0.35</v>
      </c>
      <c r="F55" s="56">
        <f t="shared" si="9"/>
        <v>12307.69231</v>
      </c>
      <c r="G55" s="56">
        <f t="shared" si="10"/>
        <v>96000</v>
      </c>
      <c r="H55" s="42" t="s">
        <v>65</v>
      </c>
      <c r="I55" s="57">
        <f>IFERROR(VLOOKUP(H55,Roadmap!$A$7:$D$110,3,0),"not set, choose the event")</f>
        <v>46143</v>
      </c>
      <c r="J55" s="58">
        <v>0.0</v>
      </c>
      <c r="K55" s="1">
        <v>12.0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35" t="s">
        <v>87</v>
      </c>
      <c r="B56" s="1"/>
      <c r="C56" s="1"/>
      <c r="D56" s="36">
        <v>0.0</v>
      </c>
      <c r="E56" s="55">
        <f>Settings!$B$8</f>
        <v>0.35</v>
      </c>
      <c r="F56" s="56">
        <f t="shared" si="9"/>
        <v>0</v>
      </c>
      <c r="G56" s="56">
        <f t="shared" si="10"/>
        <v>0</v>
      </c>
      <c r="H56" s="1"/>
      <c r="I56" s="57" t="str">
        <f>IFERROR(VLOOKUP(H56,Roadmap!$A$7:$D$110,3,0),"not set, choose the event")</f>
        <v>not set, choose the event</v>
      </c>
      <c r="J56" s="58">
        <v>0.0</v>
      </c>
      <c r="K56" s="1">
        <v>12.0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61"/>
      <c r="E57" s="4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4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4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4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4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4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4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4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4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4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4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4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4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4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4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4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4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4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4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4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4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4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4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4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4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4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4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4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4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4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4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4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4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4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4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4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4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4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4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4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4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4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4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4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4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4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4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4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4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4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4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4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4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4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4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4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4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4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4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4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4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4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4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4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4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4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4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4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4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4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4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4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4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4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4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4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4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4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4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4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4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4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4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4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4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4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4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4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4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4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4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4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4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4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4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4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4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4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4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4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4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4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4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4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4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4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4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4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4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4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4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4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4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4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4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4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4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4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4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4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4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4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4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4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4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4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4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4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4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4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4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4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4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4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4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4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4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4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4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4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4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4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4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4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4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4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4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4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4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4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4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4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4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4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4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4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4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4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4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4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4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4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4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4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4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4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4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4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4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4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4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4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4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4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4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4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4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4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4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4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4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4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4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4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4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4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4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H6:H14 H17:H28 H31:H38 H41:H46 H49:H56">
      <formula1>Roadmap!$A$7:$A$110</formula1>
    </dataValidation>
  </dataValidations>
  <printOptions horizontalCentered="1"/>
  <pageMargins bottom="0.75" footer="0.0" header="0.0" left="0.7" right="0.7" top="0.75"/>
  <pageSetup fitToWidth="0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50.13"/>
    <col customWidth="1" min="2" max="2" width="25.25"/>
    <col customWidth="1" min="3" max="3" width="20.63"/>
    <col customWidth="1" min="4" max="4" width="20.88"/>
    <col customWidth="1" min="5" max="6" width="20.38"/>
    <col customWidth="1" min="7" max="7" width="11.13"/>
    <col customWidth="1" min="8" max="8" width="22.5"/>
    <col customWidth="1" min="9" max="9" width="17.25"/>
    <col customWidth="1" min="10" max="10" width="12.88"/>
    <col customWidth="1" min="11" max="11" width="24.63"/>
    <col customWidth="1" min="12" max="12" width="19.25"/>
    <col customWidth="1" min="13" max="13" width="13.0"/>
  </cols>
  <sheetData>
    <row r="1" ht="33.0" customHeight="1">
      <c r="A1" s="37" t="str">
        <f>Settings!$B$4</f>
        <v>Healthy4U</v>
      </c>
      <c r="B1" s="1"/>
      <c r="C1" s="1"/>
      <c r="D1" s="1"/>
      <c r="E1" s="1"/>
      <c r="F1" s="1"/>
      <c r="G1" s="5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29" t="s">
        <v>122</v>
      </c>
      <c r="B2" s="30"/>
      <c r="C2" s="30"/>
      <c r="D2" s="30"/>
      <c r="E2" s="30"/>
      <c r="F2" s="30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1"/>
      <c r="B3" s="1"/>
      <c r="C3" s="1"/>
      <c r="D3" s="1"/>
      <c r="E3" s="1"/>
      <c r="F3" s="1"/>
      <c r="G3" s="5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0" t="s">
        <v>123</v>
      </c>
      <c r="B4" s="57">
        <f>Roadmap!C7</f>
        <v>45139</v>
      </c>
      <c r="C4" s="1"/>
      <c r="D4" s="1"/>
      <c r="E4" s="1"/>
      <c r="F4" s="1"/>
      <c r="G4" s="5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0" t="s">
        <v>124</v>
      </c>
      <c r="B5" s="57">
        <f>Roadmap!C8</f>
        <v>45884</v>
      </c>
      <c r="C5" s="1"/>
      <c r="D5" s="1"/>
      <c r="E5" s="1"/>
      <c r="F5" s="1"/>
      <c r="G5" s="5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5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29" t="s">
        <v>125</v>
      </c>
      <c r="B7" s="30"/>
      <c r="C7" s="30"/>
      <c r="D7" s="30"/>
      <c r="E7" s="30"/>
      <c r="F7" s="30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1"/>
      <c r="B8" s="1"/>
      <c r="C8" s="1"/>
      <c r="D8" s="1"/>
      <c r="E8" s="1"/>
      <c r="F8" s="1"/>
      <c r="G8" s="5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5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2" t="s">
        <v>126</v>
      </c>
      <c r="B10" s="63"/>
      <c r="C10" s="63"/>
      <c r="D10" s="63"/>
      <c r="E10" s="63"/>
      <c r="F10" s="63"/>
      <c r="G10" s="62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5.75" customHeight="1">
      <c r="A11" s="1"/>
      <c r="B11" s="1"/>
      <c r="C11" s="1"/>
      <c r="D11" s="1"/>
      <c r="E11" s="1"/>
      <c r="F11" s="1"/>
      <c r="G11" s="5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0" t="s">
        <v>127</v>
      </c>
      <c r="B12" s="1"/>
      <c r="C12" s="40" t="s">
        <v>75</v>
      </c>
      <c r="D12" s="39" t="s">
        <v>53</v>
      </c>
      <c r="E12" s="1"/>
      <c r="F12" s="1"/>
      <c r="G12" s="5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128</v>
      </c>
      <c r="B13" s="64">
        <v>1000.0</v>
      </c>
      <c r="C13" s="1" t="s">
        <v>11</v>
      </c>
      <c r="D13" s="57">
        <f>IFERROR(VLOOKUP(C13,Roadmap!$A$7:$D$110,3,0),"not set, choose the event")</f>
        <v>45139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129</v>
      </c>
      <c r="B14" s="58">
        <v>0.05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130</v>
      </c>
      <c r="B15" s="64">
        <v>100000.0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3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0" t="s">
        <v>131</v>
      </c>
      <c r="B17" s="1"/>
      <c r="C17" s="1"/>
      <c r="D17" s="1"/>
      <c r="E17" s="1"/>
      <c r="F17" s="1"/>
      <c r="G17" s="5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0" t="s">
        <v>132</v>
      </c>
      <c r="C18" s="40" t="s">
        <v>75</v>
      </c>
      <c r="D18" s="40" t="s">
        <v>53</v>
      </c>
      <c r="E18" s="65" t="s">
        <v>133</v>
      </c>
      <c r="F18" s="65" t="s">
        <v>53</v>
      </c>
      <c r="G18" s="65" t="s">
        <v>134</v>
      </c>
      <c r="H18" s="65" t="s">
        <v>133</v>
      </c>
      <c r="I18" s="65" t="s">
        <v>53</v>
      </c>
      <c r="J18" s="65" t="s">
        <v>134</v>
      </c>
      <c r="K18" s="65" t="s">
        <v>133</v>
      </c>
      <c r="L18" s="65" t="s">
        <v>53</v>
      </c>
      <c r="M18" s="65" t="s">
        <v>134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5.75" customHeight="1">
      <c r="A19" s="1" t="s">
        <v>135</v>
      </c>
      <c r="B19" s="67">
        <v>1000.0</v>
      </c>
      <c r="C19" s="42" t="s">
        <v>11</v>
      </c>
      <c r="D19" s="57">
        <f>IFERROR(VLOOKUP(C19,Roadmap!$A$7:$D$110,3,0),"not set, choose the event")</f>
        <v>45139</v>
      </c>
      <c r="E19" s="68" t="s">
        <v>67</v>
      </c>
      <c r="F19" s="69">
        <f>IFERROR(VLOOKUP(E19,Roadmap!$A$7:$D$110,3,0),"not set, choose the event")</f>
        <v>46266</v>
      </c>
      <c r="G19" s="67">
        <v>0.0</v>
      </c>
      <c r="H19" s="68"/>
      <c r="I19" s="69" t="str">
        <f>IFERROR(VLOOKUP(H19,Roadmap!$A$7:$D$110,3,0),"not set, choose the event")</f>
        <v>not set, choose the event</v>
      </c>
      <c r="J19" s="67">
        <v>0.0</v>
      </c>
      <c r="K19" s="68"/>
      <c r="L19" s="69" t="str">
        <f>IFERROR(VLOOKUP(K19,Roadmap!$A$7:$D$110,3,0),"not set, choose the event")</f>
        <v>not set, choose the event</v>
      </c>
      <c r="M19" s="67">
        <v>0.0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1"/>
      <c r="B20" s="67"/>
      <c r="C20" s="1"/>
      <c r="D20" s="5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136</v>
      </c>
      <c r="B21" s="67">
        <v>3.0</v>
      </c>
      <c r="C21" s="1"/>
      <c r="D21" s="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137</v>
      </c>
      <c r="B22" s="70">
        <v>0.05</v>
      </c>
      <c r="C22" s="1"/>
      <c r="D22" s="5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138</v>
      </c>
      <c r="B23" s="67">
        <v>2.0</v>
      </c>
      <c r="C23" s="1"/>
      <c r="D23" s="5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1"/>
      <c r="C24" s="1"/>
      <c r="D24" s="5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2" t="s">
        <v>139</v>
      </c>
      <c r="B25" s="71"/>
      <c r="C25" s="1"/>
      <c r="D25" s="5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1"/>
      <c r="C26" s="1"/>
      <c r="D26" s="5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0" t="s">
        <v>140</v>
      </c>
      <c r="B27" s="71"/>
      <c r="C27" s="40" t="s">
        <v>75</v>
      </c>
      <c r="D27" s="40" t="s">
        <v>53</v>
      </c>
      <c r="E27" s="1"/>
      <c r="F27" s="1"/>
      <c r="G27" s="5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141</v>
      </c>
      <c r="B28" s="67">
        <v>100.0</v>
      </c>
      <c r="C28" s="1" t="s">
        <v>11</v>
      </c>
      <c r="D28" s="57">
        <f>IFERROR(VLOOKUP(C28,Roadmap!$A$7:$D$110,3,0),"not set, choose the event")</f>
        <v>45139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5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142</v>
      </c>
      <c r="B30" s="58">
        <v>0.15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0" t="s">
        <v>143</v>
      </c>
      <c r="B31" s="56">
        <f>iferror(B28/B30,0)</f>
        <v>666.6666667</v>
      </c>
      <c r="C31" s="1"/>
      <c r="D31" s="1"/>
      <c r="E31" s="1"/>
      <c r="F31" s="1"/>
      <c r="G31" s="5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6"/>
      <c r="C32" s="1"/>
      <c r="D32" s="5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2" t="s">
        <v>144</v>
      </c>
      <c r="B33" s="63"/>
      <c r="C33" s="63"/>
      <c r="D33" s="63"/>
      <c r="E33" s="63"/>
      <c r="F33" s="63"/>
      <c r="G33" s="62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1"/>
      <c r="B34" s="1"/>
      <c r="C34" s="1"/>
      <c r="D34" s="1"/>
      <c r="E34" s="34"/>
      <c r="F34" s="1"/>
      <c r="G34" s="5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0" t="s">
        <v>145</v>
      </c>
      <c r="B35" s="1"/>
      <c r="C35" s="1"/>
      <c r="D35" s="1"/>
      <c r="E35" s="1"/>
      <c r="F35" s="1"/>
      <c r="G35" s="5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146</v>
      </c>
      <c r="B36" s="72">
        <v>0.005</v>
      </c>
      <c r="C36" s="1"/>
      <c r="D36" s="1"/>
      <c r="E36" s="1"/>
      <c r="F36" s="1"/>
      <c r="G36" s="5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147</v>
      </c>
      <c r="B37" s="56">
        <f>B19/(B19/B21*B36)</f>
        <v>600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2" t="s">
        <v>148</v>
      </c>
      <c r="B39" s="63"/>
      <c r="C39" s="63"/>
      <c r="D39" s="63"/>
      <c r="E39" s="63"/>
      <c r="F39" s="63"/>
      <c r="G39" s="62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1"/>
      <c r="B40" s="1"/>
      <c r="C40" s="1"/>
      <c r="D40" s="1"/>
      <c r="E40" s="1"/>
      <c r="F40" s="1"/>
      <c r="G40" s="5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0" t="s">
        <v>75</v>
      </c>
      <c r="C41" s="40" t="s">
        <v>53</v>
      </c>
      <c r="D41" s="1"/>
      <c r="E41" s="1"/>
      <c r="F41" s="1"/>
      <c r="G41" s="5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0" t="s">
        <v>149</v>
      </c>
      <c r="B42" s="1" t="s">
        <v>11</v>
      </c>
      <c r="C42" s="57">
        <f>IFERROR(VLOOKUP(B42,Roadmap!$A$7:$D$110,3,0),"not set, choose the event")</f>
        <v>45139</v>
      </c>
      <c r="D42" s="1"/>
      <c r="E42" s="1"/>
      <c r="F42" s="1"/>
      <c r="G42" s="5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5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0" t="s">
        <v>150</v>
      </c>
      <c r="B44" s="1"/>
      <c r="C44" s="1"/>
      <c r="D44" s="1"/>
      <c r="E44" s="1"/>
      <c r="F44" s="1"/>
      <c r="G44" s="5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151</v>
      </c>
      <c r="B45" s="72">
        <v>0.1</v>
      </c>
      <c r="C45" s="1"/>
      <c r="D45" s="1"/>
      <c r="E45" s="1"/>
      <c r="F45" s="1"/>
      <c r="G45" s="5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152</v>
      </c>
      <c r="B46" s="73">
        <f>B19/(B19/B21*B45)</f>
        <v>30</v>
      </c>
      <c r="C46" s="1"/>
      <c r="D46" s="1"/>
      <c r="E46" s="1"/>
      <c r="F46" s="1"/>
      <c r="G46" s="5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5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0" t="s">
        <v>153</v>
      </c>
      <c r="B48" s="1"/>
      <c r="C48" s="1"/>
      <c r="D48" s="1"/>
      <c r="E48" s="1"/>
      <c r="F48" s="1"/>
      <c r="G48" s="5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154</v>
      </c>
      <c r="B49" s="35">
        <v>100.0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155</v>
      </c>
      <c r="B50" s="72">
        <v>0.1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2" t="s">
        <v>156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0" t="s">
        <v>75</v>
      </c>
      <c r="C55" s="40" t="s">
        <v>53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50" t="s">
        <v>149</v>
      </c>
      <c r="B56" s="1" t="s">
        <v>11</v>
      </c>
      <c r="C56" s="57">
        <f>IFERROR(VLOOKUP(B56,Roadmap!$A$7:$D$110,3,0),"not set, choose the event")</f>
        <v>45139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157</v>
      </c>
      <c r="B58" s="35">
        <v>1.0</v>
      </c>
      <c r="C58" s="4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158</v>
      </c>
      <c r="B59" s="35">
        <v>3.0</v>
      </c>
      <c r="C59" s="5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159</v>
      </c>
      <c r="B60" s="35">
        <v>10.0</v>
      </c>
      <c r="C60" s="5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4"/>
      <c r="C61" s="5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160</v>
      </c>
      <c r="B62" s="35">
        <v>2.0</v>
      </c>
      <c r="C62" s="5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4"/>
      <c r="C63" s="5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5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29" t="s">
        <v>161</v>
      </c>
      <c r="B65" s="30"/>
      <c r="C65" s="30"/>
      <c r="D65" s="30"/>
      <c r="E65" s="30"/>
      <c r="F65" s="30"/>
      <c r="G65" s="29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1"/>
      <c r="B66" s="1"/>
      <c r="C66" s="1"/>
      <c r="D66" s="1"/>
      <c r="E66" s="1"/>
      <c r="F66" s="1"/>
      <c r="G66" s="5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162</v>
      </c>
      <c r="B67" s="58">
        <v>0.01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163</v>
      </c>
      <c r="B68" s="67">
        <v>2.0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5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5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3.25" customHeight="1">
      <c r="A71" s="29" t="s">
        <v>164</v>
      </c>
      <c r="B71" s="30"/>
      <c r="C71" s="30"/>
      <c r="D71" s="30"/>
      <c r="E71" s="30"/>
      <c r="F71" s="30"/>
      <c r="G71" s="29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1"/>
      <c r="B72" s="1"/>
      <c r="C72" s="1"/>
      <c r="D72" s="1"/>
      <c r="E72" s="1"/>
      <c r="F72" s="1"/>
      <c r="G72" s="5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2" t="s">
        <v>165</v>
      </c>
      <c r="B73" s="63"/>
      <c r="C73" s="63"/>
      <c r="D73" s="63"/>
      <c r="E73" s="63"/>
      <c r="F73" s="63"/>
      <c r="G73" s="62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1"/>
      <c r="B74" s="1"/>
      <c r="C74" s="1"/>
      <c r="D74" s="1"/>
      <c r="E74" s="1"/>
      <c r="F74" s="1"/>
      <c r="G74" s="5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0" t="s">
        <v>166</v>
      </c>
      <c r="B75" s="1"/>
      <c r="C75" s="40" t="s">
        <v>75</v>
      </c>
      <c r="D75" s="40" t="s">
        <v>53</v>
      </c>
      <c r="E75" s="65" t="s">
        <v>133</v>
      </c>
      <c r="F75" s="65" t="s">
        <v>53</v>
      </c>
      <c r="G75" s="65" t="s">
        <v>134</v>
      </c>
      <c r="H75" s="65" t="s">
        <v>133</v>
      </c>
      <c r="I75" s="65" t="s">
        <v>53</v>
      </c>
      <c r="J75" s="65" t="s">
        <v>134</v>
      </c>
      <c r="K75" s="65" t="s">
        <v>133</v>
      </c>
      <c r="L75" s="65" t="s">
        <v>53</v>
      </c>
      <c r="M75" s="65" t="s">
        <v>134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5" t="s">
        <v>167</v>
      </c>
      <c r="B76" s="67">
        <v>2000.0</v>
      </c>
      <c r="C76" s="42" t="s">
        <v>67</v>
      </c>
      <c r="D76" s="57">
        <f>IFERROR(VLOOKUP(C76,Roadmap!$A$7:$D$110,3,0),"not set, choose the event")</f>
        <v>46266</v>
      </c>
      <c r="E76" s="68" t="s">
        <v>67</v>
      </c>
      <c r="F76" s="69">
        <f>IFERROR(VLOOKUP(E76,Roadmap!$A$7:$D$110,3,0),"not set, choose the event")</f>
        <v>46266</v>
      </c>
      <c r="G76" s="67">
        <v>1000.0</v>
      </c>
      <c r="H76" s="68"/>
      <c r="I76" s="69" t="str">
        <f>IFERROR(VLOOKUP(H76,Roadmap!$A$7:$D$110,3,0),"not set, choose the event")</f>
        <v>not set, choose the event</v>
      </c>
      <c r="J76" s="67">
        <v>0.0</v>
      </c>
      <c r="K76" s="68"/>
      <c r="L76" s="69" t="str">
        <f>IFERROR(VLOOKUP(K76,Roadmap!$A$7:$D$110,3,0),"not set, choose the event")</f>
        <v>not set, choose the event</v>
      </c>
      <c r="M76" s="67">
        <v>0.0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5" t="s">
        <v>168</v>
      </c>
      <c r="B77" s="67">
        <v>0.0</v>
      </c>
      <c r="C77" s="1"/>
      <c r="D77" s="57" t="str">
        <f>IFERROR(VLOOKUP(C77,Roadmap!$A$7:$D$110,3,0),"not set, choose the event")</f>
        <v>not set, choose the event</v>
      </c>
      <c r="E77" s="75" t="s">
        <v>67</v>
      </c>
      <c r="F77" s="69">
        <f>IFERROR(VLOOKUP(E77,Roadmap!$A$7:$D$110,3,0),"not set, choose the event")</f>
        <v>46266</v>
      </c>
      <c r="G77" s="67">
        <v>0.0</v>
      </c>
      <c r="H77" s="68"/>
      <c r="I77" s="69" t="str">
        <f>IFERROR(VLOOKUP(H77,Roadmap!$A$7:$D$110,3,0),"not set, choose the event")</f>
        <v>not set, choose the event</v>
      </c>
      <c r="J77" s="67">
        <v>0.0</v>
      </c>
      <c r="K77" s="68"/>
      <c r="L77" s="69" t="str">
        <f>IFERROR(VLOOKUP(K77,Roadmap!$A$7:$D$110,3,0),"not set, choose the event")</f>
        <v>not set, choose the event</v>
      </c>
      <c r="M77" s="67">
        <v>0.0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5" t="s">
        <v>169</v>
      </c>
      <c r="B78" s="67">
        <v>0.0</v>
      </c>
      <c r="C78" s="1"/>
      <c r="D78" s="57" t="str">
        <f>IFERROR(VLOOKUP(C78,Roadmap!$A$7:$D$110,3,0),"not set, choose the event")</f>
        <v>not set, choose the event</v>
      </c>
      <c r="E78" s="68"/>
      <c r="F78" s="69" t="str">
        <f>IFERROR(VLOOKUP(E78,Roadmap!$A$7:$D$110,3,0),"not set, choose the event")</f>
        <v>not set, choose the event</v>
      </c>
      <c r="G78" s="67">
        <v>0.0</v>
      </c>
      <c r="H78" s="68"/>
      <c r="I78" s="69" t="str">
        <f>IFERROR(VLOOKUP(H78,Roadmap!$A$7:$D$110,3,0),"not set, choose the event")</f>
        <v>not set, choose the event</v>
      </c>
      <c r="J78" s="67">
        <v>0.0</v>
      </c>
      <c r="K78" s="68"/>
      <c r="L78" s="69" t="str">
        <f>IFERROR(VLOOKUP(K78,Roadmap!$A$7:$D$110,3,0),"not set, choose the event")</f>
        <v>not set, choose the event</v>
      </c>
      <c r="M78" s="67">
        <v>0.0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7"/>
      <c r="C79" s="1"/>
      <c r="D79" s="1"/>
      <c r="E79" s="1"/>
      <c r="F79" s="1"/>
      <c r="G79" s="5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7"/>
      <c r="C80" s="1"/>
      <c r="D80" s="1"/>
      <c r="E80" s="1"/>
      <c r="F80" s="1"/>
      <c r="G80" s="5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0" t="s">
        <v>170</v>
      </c>
      <c r="B81" s="67"/>
      <c r="C81" s="40" t="s">
        <v>75</v>
      </c>
      <c r="D81" s="40" t="s">
        <v>53</v>
      </c>
      <c r="E81" s="40"/>
      <c r="F81" s="1"/>
      <c r="G81" s="5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5" t="s">
        <v>171</v>
      </c>
      <c r="B82" s="67">
        <v>0.0</v>
      </c>
      <c r="C82" s="1"/>
      <c r="D82" s="57" t="str">
        <f>IFERROR(VLOOKUP(C82,Roadmap!$A$7:$D$110,3,0),"not set, choose the event")</f>
        <v>not set, choose the event</v>
      </c>
      <c r="E82" s="58"/>
      <c r="F82" s="1"/>
      <c r="G82" s="5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5" t="s">
        <v>172</v>
      </c>
      <c r="B83" s="67">
        <v>0.0</v>
      </c>
      <c r="C83" s="1"/>
      <c r="D83" s="57" t="str">
        <f>IFERROR(VLOOKUP(C83,Roadmap!$A$7:$D$110,3,0),"not set, choose the event")</f>
        <v>not set, choose the event</v>
      </c>
      <c r="E83" s="58"/>
      <c r="F83" s="1"/>
      <c r="G83" s="5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5" t="s">
        <v>173</v>
      </c>
      <c r="B84" s="67">
        <v>0.0</v>
      </c>
      <c r="C84" s="1"/>
      <c r="D84" s="57" t="str">
        <f>IFERROR(VLOOKUP(C84,Roadmap!$A$7:$D$110,3,0),"not set, choose the event")</f>
        <v>not set, choose the event</v>
      </c>
      <c r="E84" s="58"/>
      <c r="F84" s="1"/>
      <c r="G84" s="5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5" t="s">
        <v>174</v>
      </c>
      <c r="B85" s="67">
        <v>0.0</v>
      </c>
      <c r="C85" s="1"/>
      <c r="D85" s="57" t="str">
        <f>IFERROR(VLOOKUP(C85,Roadmap!$A$7:$D$110,3,0),"not set, choose the event")</f>
        <v>not set, choose the event</v>
      </c>
      <c r="E85" s="58"/>
      <c r="F85" s="1"/>
      <c r="G85" s="5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5" t="s">
        <v>175</v>
      </c>
      <c r="B86" s="67">
        <v>0.0</v>
      </c>
      <c r="C86" s="1"/>
      <c r="D86" s="57" t="str">
        <f>IFERROR(VLOOKUP(C86,Roadmap!$A$7:$D$110,3,0),"not set, choose the event")</f>
        <v>not set, choose the event</v>
      </c>
      <c r="E86" s="58"/>
      <c r="F86" s="1"/>
      <c r="G86" s="5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5" t="s">
        <v>176</v>
      </c>
      <c r="B87" s="67">
        <v>0.0</v>
      </c>
      <c r="C87" s="1"/>
      <c r="D87" s="57" t="str">
        <f>IFERROR(VLOOKUP(C87,Roadmap!$A$7:$D$110,3,0),"not set, choose the event")</f>
        <v>not set, choose the event</v>
      </c>
      <c r="E87" s="58"/>
      <c r="F87" s="1"/>
      <c r="G87" s="5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5" t="s">
        <v>177</v>
      </c>
      <c r="B88" s="67">
        <v>0.0</v>
      </c>
      <c r="C88" s="1"/>
      <c r="D88" s="57" t="str">
        <f>IFERROR(VLOOKUP(C88,Roadmap!$A$7:$D$110,3,0),"not set, choose the event")</f>
        <v>not set, choose the event</v>
      </c>
      <c r="E88" s="58"/>
      <c r="F88" s="1"/>
      <c r="G88" s="5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5" t="s">
        <v>178</v>
      </c>
      <c r="B89" s="67">
        <v>0.0</v>
      </c>
      <c r="C89" s="1"/>
      <c r="D89" s="57" t="str">
        <f>IFERROR(VLOOKUP(C89,Roadmap!$A$7:$D$110,3,0),"not set, choose the event")</f>
        <v>not set, choose the event</v>
      </c>
      <c r="E89" s="58"/>
      <c r="F89" s="1"/>
      <c r="G89" s="5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67"/>
      <c r="C90" s="1"/>
      <c r="D90" s="1"/>
      <c r="E90" s="1"/>
      <c r="F90" s="1"/>
      <c r="G90" s="5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67"/>
      <c r="C91" s="1"/>
      <c r="D91" s="1"/>
      <c r="E91" s="1"/>
      <c r="F91" s="1"/>
      <c r="G91" s="5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2" t="s">
        <v>179</v>
      </c>
      <c r="B92" s="67"/>
      <c r="C92" s="63"/>
      <c r="D92" s="63"/>
      <c r="E92" s="63"/>
      <c r="F92" s="63"/>
      <c r="G92" s="62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50" t="s">
        <v>180</v>
      </c>
      <c r="B93" s="67"/>
      <c r="C93" s="40" t="s">
        <v>75</v>
      </c>
      <c r="D93" s="40" t="s">
        <v>53</v>
      </c>
      <c r="E93" s="40"/>
      <c r="F93" s="1"/>
      <c r="G93" s="5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11</v>
      </c>
      <c r="B94" s="67">
        <v>0.0</v>
      </c>
      <c r="C94" s="1" t="s">
        <v>11</v>
      </c>
      <c r="D94" s="57">
        <f>IFERROR(VLOOKUP(C94,Roadmap!$A$7:$D$110,3,0),"not set, choose the event")</f>
        <v>45139</v>
      </c>
      <c r="E94" s="76" t="s">
        <v>181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1" t="s">
        <v>182</v>
      </c>
      <c r="B95" s="67">
        <v>0.0</v>
      </c>
      <c r="C95" s="1"/>
      <c r="D95" s="57" t="str">
        <f>IFERROR(VLOOKUP(C95,Roadmap!$A$7:$D$110,3,0),"not set, choose the event")</f>
        <v>not set, choose the event</v>
      </c>
      <c r="E95" s="58"/>
      <c r="F95" s="1"/>
      <c r="G95" s="5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7"/>
      <c r="C96" s="1"/>
      <c r="D96" s="1"/>
      <c r="E96" s="1"/>
      <c r="F96" s="1"/>
      <c r="G96" s="5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50" t="s">
        <v>183</v>
      </c>
      <c r="B97" s="67"/>
      <c r="C97" s="40" t="s">
        <v>75</v>
      </c>
      <c r="D97" s="40" t="s">
        <v>53</v>
      </c>
      <c r="E97" s="40"/>
      <c r="F97" s="1"/>
      <c r="G97" s="5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184</v>
      </c>
      <c r="B98" s="67">
        <v>0.0</v>
      </c>
      <c r="C98" s="1"/>
      <c r="D98" s="57" t="str">
        <f>IFERROR(VLOOKUP(C98,Roadmap!$A$7:$D$110,3,0),"not set, choose the event")</f>
        <v>not set, choose the event</v>
      </c>
      <c r="E98" s="35">
        <v>1.0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185</v>
      </c>
      <c r="B99" s="67"/>
      <c r="C99" s="1"/>
      <c r="D99" s="57" t="str">
        <f>IFERROR(VLOOKUP(C99,Roadmap!$A$7:$D$110,3,0),"not set, choose the event")</f>
        <v>not set, choose the event</v>
      </c>
      <c r="E99" s="35">
        <v>12.0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67"/>
      <c r="C100" s="1"/>
      <c r="D100" s="1"/>
      <c r="E100" s="1"/>
      <c r="F100" s="1"/>
      <c r="G100" s="5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0" t="s">
        <v>186</v>
      </c>
      <c r="B101" s="67"/>
      <c r="C101" s="40" t="s">
        <v>75</v>
      </c>
      <c r="D101" s="40" t="s">
        <v>53</v>
      </c>
      <c r="E101" s="1"/>
      <c r="F101" s="1"/>
      <c r="G101" s="5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5" t="s">
        <v>171</v>
      </c>
      <c r="B102" s="67">
        <v>0.0</v>
      </c>
      <c r="C102" s="1"/>
      <c r="D102" s="57" t="str">
        <f>IFERROR(VLOOKUP(C102,Roadmap!$A$7:$D$110,3,0),"not set, choose the event")</f>
        <v>not set, choose the event</v>
      </c>
      <c r="E102" s="1"/>
      <c r="F102" s="1"/>
      <c r="G102" s="5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5" t="s">
        <v>172</v>
      </c>
      <c r="B103" s="67">
        <v>0.0</v>
      </c>
      <c r="C103" s="1"/>
      <c r="D103" s="57" t="str">
        <f>IFERROR(VLOOKUP(C103,Roadmap!$A$7:$D$110,3,0),"not set, choose the event")</f>
        <v>not set, choose the event</v>
      </c>
      <c r="E103" s="1"/>
      <c r="F103" s="1"/>
      <c r="G103" s="5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5" t="s">
        <v>173</v>
      </c>
      <c r="B104" s="67">
        <v>0.0</v>
      </c>
      <c r="C104" s="1"/>
      <c r="D104" s="57" t="str">
        <f>IFERROR(VLOOKUP(C104,Roadmap!$A$7:$D$110,3,0),"not set, choose the event")</f>
        <v>not set, choose the event</v>
      </c>
      <c r="E104" s="1"/>
      <c r="F104" s="1"/>
      <c r="G104" s="5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67"/>
      <c r="C105" s="1"/>
      <c r="D105" s="1"/>
      <c r="E105" s="1"/>
      <c r="F105" s="1"/>
      <c r="G105" s="5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67"/>
      <c r="C106" s="1"/>
      <c r="D106" s="1"/>
      <c r="E106" s="1"/>
      <c r="F106" s="1"/>
      <c r="G106" s="5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2" t="s">
        <v>187</v>
      </c>
      <c r="B107" s="67"/>
      <c r="C107" s="40" t="s">
        <v>75</v>
      </c>
      <c r="D107" s="40" t="s">
        <v>53</v>
      </c>
      <c r="E107" s="1"/>
      <c r="F107" s="1"/>
      <c r="G107" s="5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5" t="s">
        <v>188</v>
      </c>
      <c r="B108" s="67">
        <v>3000.0</v>
      </c>
      <c r="C108" s="1" t="s">
        <v>11</v>
      </c>
      <c r="D108" s="57">
        <f>IFERROR(VLOOKUP(C108,Roadmap!$A$7:$D$110,3,0),"not set, choose the event")</f>
        <v>45139</v>
      </c>
      <c r="E108" s="1"/>
      <c r="F108" s="1"/>
      <c r="G108" s="5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5" t="s">
        <v>171</v>
      </c>
      <c r="B109" s="67">
        <v>0.0</v>
      </c>
      <c r="C109" s="1"/>
      <c r="D109" s="57" t="str">
        <f>IFERROR(VLOOKUP(C109,Roadmap!$A$7:$D$110,3,0),"not set, choose the event")</f>
        <v>not set, choose the event</v>
      </c>
      <c r="E109" s="1"/>
      <c r="F109" s="1"/>
      <c r="G109" s="5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5" t="s">
        <v>172</v>
      </c>
      <c r="B110" s="67">
        <v>0.0</v>
      </c>
      <c r="C110" s="1"/>
      <c r="D110" s="57" t="str">
        <f>IFERROR(VLOOKUP(C110,Roadmap!$A$7:$D$110,3,0),"not set, choose the event")</f>
        <v>not set, choose the event</v>
      </c>
      <c r="E110" s="1"/>
      <c r="F110" s="1"/>
      <c r="G110" s="5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5" t="s">
        <v>173</v>
      </c>
      <c r="B111" s="67">
        <v>0.0</v>
      </c>
      <c r="C111" s="1"/>
      <c r="D111" s="57" t="str">
        <f>IFERROR(VLOOKUP(C111,Roadmap!$A$7:$D$110,3,0),"not set, choose the event")</f>
        <v>not set, choose the event</v>
      </c>
      <c r="E111" s="1"/>
      <c r="F111" s="1"/>
      <c r="G111" s="5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5" t="s">
        <v>174</v>
      </c>
      <c r="B112" s="67">
        <v>0.0</v>
      </c>
      <c r="C112" s="1"/>
      <c r="D112" s="57" t="str">
        <f>IFERROR(VLOOKUP(C112,Roadmap!$A$7:$D$110,3,0),"not set, choose the event")</f>
        <v>not set, choose the event</v>
      </c>
      <c r="E112" s="1"/>
      <c r="F112" s="1"/>
      <c r="G112" s="5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3.25" customHeight="1">
      <c r="A114" s="29" t="s">
        <v>189</v>
      </c>
      <c r="B114" s="30"/>
      <c r="C114" s="30"/>
      <c r="D114" s="30"/>
      <c r="E114" s="30"/>
      <c r="F114" s="30"/>
      <c r="G114" s="29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77" t="s">
        <v>190</v>
      </c>
      <c r="B116" s="50" t="s">
        <v>191</v>
      </c>
      <c r="C116" s="40" t="s">
        <v>192</v>
      </c>
      <c r="D116" s="1"/>
      <c r="E116" s="1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1"/>
      <c r="B117" s="67">
        <v>2000.0</v>
      </c>
      <c r="C117" s="32">
        <v>24.0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78" t="s">
        <v>193</v>
      </c>
      <c r="C119" s="40" t="s">
        <v>192</v>
      </c>
      <c r="D119" s="40" t="s">
        <v>75</v>
      </c>
      <c r="E119" s="40" t="s">
        <v>53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5" t="s">
        <v>194</v>
      </c>
      <c r="B120" s="67">
        <v>0.0</v>
      </c>
      <c r="C120" s="35">
        <v>0.0</v>
      </c>
      <c r="D120" s="1"/>
      <c r="E120" s="57" t="str">
        <f>IFERROR(VLOOKUP(D120,Roadmap!$A$7:$D$110,3,0),"not set, choose the event")</f>
        <v>not set, choose the event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5" t="s">
        <v>195</v>
      </c>
      <c r="B121" s="67">
        <v>0.0</v>
      </c>
      <c r="C121" s="35">
        <v>0.0</v>
      </c>
      <c r="D121" s="1"/>
      <c r="E121" s="57" t="str">
        <f>IFERROR(VLOOKUP(D121,Roadmap!$A$7:$D$110,3,0),"not set, choose the event")</f>
        <v>not set, choose the event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5" t="s">
        <v>196</v>
      </c>
      <c r="B122" s="67">
        <v>0.0</v>
      </c>
      <c r="C122" s="35">
        <v>0.0</v>
      </c>
      <c r="D122" s="1"/>
      <c r="E122" s="57" t="str">
        <f>IFERROR(VLOOKUP(D122,Roadmap!$A$7:$D$110,3,0),"not set, choose the event")</f>
        <v>not set, choose the event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5" t="s">
        <v>197</v>
      </c>
      <c r="B123" s="67">
        <v>0.0</v>
      </c>
      <c r="C123" s="35">
        <v>0.0</v>
      </c>
      <c r="D123" s="1"/>
      <c r="E123" s="57" t="str">
        <f>IFERROR(VLOOKUP(D123,Roadmap!$A$7:$D$110,3,0),"not set, choose the event")</f>
        <v>not set, choose the event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5" t="s">
        <v>198</v>
      </c>
      <c r="B124" s="67">
        <v>0.0</v>
      </c>
      <c r="C124" s="35">
        <v>0.0</v>
      </c>
      <c r="D124" s="1"/>
      <c r="E124" s="57" t="str">
        <f>IFERROR(VLOOKUP(D124,Roadmap!$A$7:$D$110,3,0),"not set, choose the event")</f>
        <v>not set, choose the event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13 C19 E19 H19 K19 C28 B42 B56 C76:C78 E76:E78 H76:H78 K76:K78 C82:C89 C94:C95 C98:C99 C102:C104 C108:C112 D120:D124">
      <formula1>Roadmap!$A$7:$A$110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.38"/>
    <col customWidth="1" min="3" max="3" width="28.88"/>
    <col customWidth="1" min="4" max="4" width="18.88"/>
    <col customWidth="1" min="5" max="5" width="3.0"/>
    <col customWidth="1" min="6" max="6" width="18.88"/>
  </cols>
  <sheetData>
    <row r="1" ht="29.25" customHeight="1">
      <c r="A1" s="79"/>
      <c r="B1" s="80" t="str">
        <f>Settings!$B$4</f>
        <v>Healthy4U</v>
      </c>
      <c r="C1" s="81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3.25" customHeight="1">
      <c r="A2" s="82"/>
      <c r="B2" s="82" t="s">
        <v>199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7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5.75" customHeight="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5.75" customHeight="1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5.75" customHeight="1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75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23.25" customHeight="1">
      <c r="A20" s="83"/>
      <c r="B20" s="84" t="s">
        <v>200</v>
      </c>
      <c r="C20" s="85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20.25" customHeight="1">
      <c r="A21" s="86"/>
      <c r="B21" s="87"/>
      <c r="C21" s="88"/>
      <c r="D21" s="89"/>
      <c r="E21" s="89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75.0" customHeight="1">
      <c r="A22" s="90"/>
      <c r="B22" s="91"/>
      <c r="C22" s="92" t="s">
        <v>201</v>
      </c>
      <c r="D22" s="93">
        <f>COUNTIF('P&amp;L | Cash Flow | Balance'!28:28,"&lt;=0")</f>
        <v>8</v>
      </c>
      <c r="E22" s="94"/>
      <c r="F22" s="95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90"/>
      <c r="B23" s="91"/>
      <c r="C23" s="96"/>
      <c r="D23" s="97"/>
      <c r="E23" s="98"/>
      <c r="F23" s="9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64.5" customHeight="1">
      <c r="A24" s="90"/>
      <c r="B24" s="100"/>
      <c r="C24" s="101" t="s">
        <v>202</v>
      </c>
      <c r="D24" s="102">
        <f>iferror(-MIN('P&amp;L | Cash Flow | Balance'!39:39),"-")</f>
        <v>21252.96956</v>
      </c>
      <c r="E24" s="103"/>
      <c r="F24" s="9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3.25" customHeight="1">
      <c r="A26" s="82"/>
      <c r="B26" s="82" t="s">
        <v>125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0" footer="0.0" header="0.0" left="0.7" right="0.7" top="0.6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9.38"/>
    <col customWidth="1" min="3" max="6" width="12.63"/>
  </cols>
  <sheetData>
    <row r="1" ht="15.75" customHeight="1">
      <c r="A1" s="1"/>
      <c r="B1" s="104"/>
      <c r="C1" s="104"/>
      <c r="D1" s="104"/>
      <c r="E1" s="104"/>
      <c r="F1" s="104"/>
      <c r="G1" s="104"/>
      <c r="H1" s="1"/>
      <c r="I1" s="104"/>
      <c r="J1" s="104"/>
      <c r="K1" s="104"/>
      <c r="L1" s="10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4"/>
      <c r="B2" s="105"/>
      <c r="C2" s="106">
        <f>YEAR('Monthly forecast'!E2)</f>
        <v>2023</v>
      </c>
      <c r="D2" s="106">
        <f t="shared" ref="D2:G2" si="1">C2+1</f>
        <v>2024</v>
      </c>
      <c r="E2" s="106">
        <f t="shared" si="1"/>
        <v>2025</v>
      </c>
      <c r="F2" s="106">
        <f t="shared" si="1"/>
        <v>2026</v>
      </c>
      <c r="G2" s="107">
        <f t="shared" si="1"/>
        <v>2027</v>
      </c>
      <c r="H2" s="24"/>
      <c r="I2" s="108" t="s">
        <v>203</v>
      </c>
      <c r="L2" s="10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10"/>
      <c r="B3" s="111" t="str">
        <f>'P&amp;L | Cash Flow | Balance'!A6</f>
        <v>REVENUE</v>
      </c>
      <c r="C3" s="112">
        <f t="shared" ref="C3:G3" si="2">SUM(C4:C6)</f>
        <v>29606.37302</v>
      </c>
      <c r="D3" s="112">
        <f t="shared" si="2"/>
        <v>229756.5807</v>
      </c>
      <c r="E3" s="112">
        <f t="shared" si="2"/>
        <v>444131.734</v>
      </c>
      <c r="F3" s="112">
        <f t="shared" si="2"/>
        <v>723504.4606</v>
      </c>
      <c r="G3" s="113">
        <f t="shared" si="2"/>
        <v>1145002.328</v>
      </c>
      <c r="H3" s="24"/>
      <c r="L3" s="10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10"/>
      <c r="B4" s="61" t="str">
        <f>'P&amp;L | Cash Flow | Balance'!A7</f>
        <v>REVENUE STREAM 1: SELF-SERVICE</v>
      </c>
      <c r="C4" s="114">
        <f>SUMIFS('P&amp;L | Cash Flow | Balance'!D7:CW7,'P&amp;L | Cash Flow | Balance'!D2:CW2,"&gt;="&amp;DATE(C2,1,1),'P&amp;L | Cash Flow | Balance'!D2:CW2,"&lt;="&amp;DATE(C2,12,31))</f>
        <v>8857.607255</v>
      </c>
      <c r="D4" s="114">
        <f>SUMIFS('P&amp;L | Cash Flow | Balance'!E7:CX7,'P&amp;L | Cash Flow | Balance'!E2:CX2,"&gt;="&amp;DATE(D2,1,1),'P&amp;L | Cash Flow | Balance'!E2:CX2,"&lt;="&amp;DATE(D2,12,31))</f>
        <v>62911.86962</v>
      </c>
      <c r="E4" s="114">
        <f>SUMIFS('P&amp;L | Cash Flow | Balance'!F7:CY7,'P&amp;L | Cash Flow | Balance'!F2:CY2,"&gt;="&amp;DATE(E2,1,1),'P&amp;L | Cash Flow | Balance'!F2:CY2,"&lt;="&amp;DATE(E2,12,31))</f>
        <v>114345.4388</v>
      </c>
      <c r="F4" s="114">
        <f>SUMIFS('P&amp;L | Cash Flow | Balance'!G7:CZ7,'P&amp;L | Cash Flow | Balance'!G2:CZ2,"&gt;="&amp;DATE(F2,1,1),'P&amp;L | Cash Flow | Balance'!G2:CZ2,"&lt;="&amp;DATE(F2,12,31))</f>
        <v>191848.7942</v>
      </c>
      <c r="G4" s="115">
        <f>SUMIFS('P&amp;L | Cash Flow | Balance'!H7:DA7,'P&amp;L | Cash Flow | Balance'!H2:DA2,"&gt;="&amp;DATE(G2,1,1),'P&amp;L | Cash Flow | Balance'!H2:DA2,"&lt;="&amp;DATE(G2,12,31))</f>
        <v>328905.0642</v>
      </c>
      <c r="H4" s="24"/>
      <c r="L4" s="10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10"/>
      <c r="B5" s="61" t="str">
        <f>'P&amp;L | Cash Flow | Balance'!A8</f>
        <v>REVENUE STREAM 2: INBOUND SALES</v>
      </c>
      <c r="C5" s="114">
        <f>SUMIFS('P&amp;L | Cash Flow | Balance'!D8:CW8,'P&amp;L | Cash Flow | Balance'!D2:CW2,"&gt;="&amp;DATE(C2,1,1),'P&amp;L | Cash Flow | Balance'!D2:CW2,"&lt;="&amp;DATE(C2,12,31))</f>
        <v>17715.21451</v>
      </c>
      <c r="D5" s="114">
        <f>SUMIFS('P&amp;L | Cash Flow | Balance'!E8:CX8,'P&amp;L | Cash Flow | Balance'!E2:CX2,"&gt;="&amp;DATE(D2,1,1),'P&amp;L | Cash Flow | Balance'!E2:CX2,"&lt;="&amp;DATE(D2,12,31))</f>
        <v>125823.7392</v>
      </c>
      <c r="E5" s="114">
        <f>SUMIFS('P&amp;L | Cash Flow | Balance'!F8:CY8,'P&amp;L | Cash Flow | Balance'!F2:CY2,"&gt;="&amp;DATE(E2,1,1),'P&amp;L | Cash Flow | Balance'!F2:CY2,"&lt;="&amp;DATE(E2,12,31))</f>
        <v>228690.8775</v>
      </c>
      <c r="F5" s="114">
        <f>SUMIFS('P&amp;L | Cash Flow | Balance'!G8:CZ8,'P&amp;L | Cash Flow | Balance'!G2:CZ2,"&gt;="&amp;DATE(F2,1,1),'P&amp;L | Cash Flow | Balance'!G2:CZ2,"&lt;="&amp;DATE(F2,12,31))</f>
        <v>383697.5884</v>
      </c>
      <c r="G5" s="115">
        <f>SUMIFS('P&amp;L | Cash Flow | Balance'!H8:DA8,'P&amp;L | Cash Flow | Balance'!H2:DA2,"&gt;="&amp;DATE(G2,1,1),'P&amp;L | Cash Flow | Balance'!H2:DA2,"&lt;="&amp;DATE(G2,12,31))</f>
        <v>657810.1284</v>
      </c>
      <c r="H5" s="24"/>
      <c r="L5" s="10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0"/>
      <c r="B6" s="61" t="str">
        <f>'P&amp;L | Cash Flow | Balance'!A9</f>
        <v>REVENUE STREAM 3: OUTBOUND SALES</v>
      </c>
      <c r="C6" s="114">
        <f>SUMIFS('P&amp;L | Cash Flow | Balance'!D9:CW9,'P&amp;L | Cash Flow | Balance'!D2:CW2,"&gt;="&amp;DATE(C2,1,1),'P&amp;L | Cash Flow | Balance'!D2:CW2,"&lt;="&amp;DATE(C2,12,31))</f>
        <v>3033.55125</v>
      </c>
      <c r="D6" s="114">
        <f>SUMIFS('P&amp;L | Cash Flow | Balance'!E9:CX9,'P&amp;L | Cash Flow | Balance'!E2:CX2,"&gt;="&amp;DATE(D2,1,1),'P&amp;L | Cash Flow | Balance'!E2:CX2,"&lt;="&amp;DATE(D2,12,31))</f>
        <v>41020.97184</v>
      </c>
      <c r="E6" s="114">
        <f>SUMIFS('P&amp;L | Cash Flow | Balance'!F9:CY9,'P&amp;L | Cash Flow | Balance'!F2:CY2,"&gt;="&amp;DATE(E2,1,1),'P&amp;L | Cash Flow | Balance'!F2:CY2,"&lt;="&amp;DATE(E2,12,31))</f>
        <v>101095.4177</v>
      </c>
      <c r="F6" s="114">
        <f>SUMIFS('P&amp;L | Cash Flow | Balance'!G9:CZ9,'P&amp;L | Cash Flow | Balance'!G2:CZ2,"&gt;="&amp;DATE(F2,1,1),'P&amp;L | Cash Flow | Balance'!G2:CZ2,"&lt;="&amp;DATE(F2,12,31))</f>
        <v>147958.0781</v>
      </c>
      <c r="G6" s="115">
        <f>SUMIFS('P&amp;L | Cash Flow | Balance'!H9:DA9,'P&amp;L | Cash Flow | Balance'!H2:DA2,"&gt;="&amp;DATE(G2,1,1),'P&amp;L | Cash Flow | Balance'!H2:DA2,"&lt;="&amp;DATE(G2,12,31))</f>
        <v>158287.1359</v>
      </c>
      <c r="H6" s="24"/>
      <c r="L6" s="10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0"/>
      <c r="B7" s="111" t="str">
        <f>'P&amp;L | Cash Flow | Balance'!A17</f>
        <v>EBITDA</v>
      </c>
      <c r="C7" s="112">
        <f>SUMIFS('P&amp;L | Cash Flow | Balance'!D17:CW17,'P&amp;L | Cash Flow | Balance'!D2:CW2,"&gt;="&amp;DATE(C2,1,1),'P&amp;L | Cash Flow | Balance'!D2:CW2,"&lt;="&amp;DATE(C2,12,31))</f>
        <v>-6666.43356</v>
      </c>
      <c r="D7" s="112">
        <f>SUMIFS('P&amp;L | Cash Flow | Balance'!E17:CX17,'P&amp;L | Cash Flow | Balance'!E2:CX2,"&gt;="&amp;DATE(D2,1,1),'P&amp;L | Cash Flow | Balance'!E2:CX2,"&lt;="&amp;DATE(D2,12,31))</f>
        <v>125171.5756</v>
      </c>
      <c r="E7" s="112">
        <f>SUMIFS('P&amp;L | Cash Flow | Balance'!F17:CY17,'P&amp;L | Cash Flow | Balance'!F2:CY2,"&gt;="&amp;DATE(E2,1,1),'P&amp;L | Cash Flow | Balance'!F2:CY2,"&lt;="&amp;DATE(E2,12,31))</f>
        <v>274424.3974</v>
      </c>
      <c r="F7" s="112">
        <f>SUMIFS('P&amp;L | Cash Flow | Balance'!G17:CZ17,'P&amp;L | Cash Flow | Balance'!G2:CZ2,"&gt;="&amp;DATE(F2,1,1),'P&amp;L | Cash Flow | Balance'!G2:CZ2,"&lt;="&amp;DATE(F2,12,31))</f>
        <v>213613.0253</v>
      </c>
      <c r="G7" s="113">
        <f>SUMIFS('P&amp;L | Cash Flow | Balance'!H17:DA17,'P&amp;L | Cash Flow | Balance'!H2:DA2,"&gt;="&amp;DATE(G2,1,1),'P&amp;L | Cash Flow | Balance'!H2:DA2,"&lt;="&amp;DATE(G2,12,31))</f>
        <v>237514.2125</v>
      </c>
      <c r="H7" s="24"/>
      <c r="L7" s="10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0"/>
      <c r="B8" s="116" t="str">
        <f>'P&amp;L | Cash Flow | Balance'!A28</f>
        <v>Net income</v>
      </c>
      <c r="C8" s="117">
        <f>SUMIFS('P&amp;L | Cash Flow | Balance'!D28:CW28,'P&amp;L | Cash Flow | Balance'!D2:CW2,"&gt;="&amp;DATE(C2,1,1),'P&amp;L | Cash Flow | Balance'!D2:CW2,"&lt;="&amp;DATE(C2,12,31))</f>
        <v>-9535.376786</v>
      </c>
      <c r="D8" s="117">
        <f>SUMIFS('P&amp;L | Cash Flow | Balance'!E28:CX28,'P&amp;L | Cash Flow | Balance'!E2:CX2,"&gt;="&amp;DATE(D2,1,1),'P&amp;L | Cash Flow | Balance'!E2:CX2,"&lt;="&amp;DATE(D2,12,31))</f>
        <v>91762.1132</v>
      </c>
      <c r="E8" s="117">
        <f>SUMIFS('P&amp;L | Cash Flow | Balance'!F28:CY28,'P&amp;L | Cash Flow | Balance'!F2:CY2,"&gt;="&amp;DATE(E2,1,1),'P&amp;L | Cash Flow | Balance'!F2:CY2,"&lt;="&amp;DATE(E2,12,31))</f>
        <v>208098.4527</v>
      </c>
      <c r="F8" s="117">
        <f>SUMIFS('P&amp;L | Cash Flow | Balance'!G28:CZ28,'P&amp;L | Cash Flow | Balance'!G2:CZ2,"&gt;="&amp;DATE(F2,1,1),'P&amp;L | Cash Flow | Balance'!G2:CZ2,"&lt;="&amp;DATE(F2,12,31))</f>
        <v>159822.0174</v>
      </c>
      <c r="G8" s="118">
        <f>SUMIFS('P&amp;L | Cash Flow | Balance'!H28:DA28,'P&amp;L | Cash Flow | Balance'!H2:DA2,"&gt;="&amp;DATE(G2,1,1),'P&amp;L | Cash Flow | Balance'!H2:DA2,"&lt;="&amp;DATE(G2,12,31))</f>
        <v>176469.277</v>
      </c>
      <c r="H8" s="24"/>
      <c r="I8" s="18"/>
      <c r="J8" s="18"/>
      <c r="K8" s="18"/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L8"/>
  </mergeCells>
  <printOptions horizontalCentered="1"/>
  <pageMargins bottom="0.0" footer="0.0" header="0.0" left="0.7" right="0.7" top="0.6"/>
  <pageSetup fitToHeight="0"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 outlineLevelRow="2"/>
  <cols>
    <col customWidth="1" min="1" max="1" width="29.38"/>
    <col customWidth="1" min="2" max="2" width="13.63"/>
    <col customWidth="1" min="3" max="3" width="2.88"/>
    <col customWidth="1" min="4" max="6" width="12.63"/>
  </cols>
  <sheetData>
    <row r="1" ht="46.5" customHeight="1">
      <c r="A1" s="119" t="str">
        <f>Settings!B4</f>
        <v>Healthy4U</v>
      </c>
      <c r="B1" s="120"/>
      <c r="C1" s="120"/>
      <c r="D1" s="121"/>
      <c r="E1" s="120"/>
      <c r="F1" s="120"/>
      <c r="G1" s="121"/>
      <c r="H1" s="120"/>
      <c r="I1" s="120"/>
      <c r="J1" s="120"/>
      <c r="K1" s="120"/>
      <c r="L1" s="120"/>
      <c r="M1" s="120"/>
      <c r="N1" s="122"/>
      <c r="O1" s="120"/>
      <c r="P1" s="120"/>
      <c r="Q1" s="120"/>
      <c r="R1" s="120"/>
      <c r="S1" s="120"/>
      <c r="T1" s="120"/>
      <c r="U1" s="120"/>
      <c r="V1" s="120"/>
      <c r="W1" s="121"/>
      <c r="X1" s="121"/>
      <c r="Y1" s="121"/>
      <c r="Z1" s="121"/>
      <c r="AA1" s="121"/>
      <c r="AB1" s="121"/>
      <c r="AC1" s="121"/>
      <c r="AD1" s="121"/>
      <c r="AE1" s="121"/>
      <c r="AF1" s="120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W1" s="121"/>
      <c r="CX1" s="121"/>
    </row>
    <row r="2" ht="29.25" customHeight="1">
      <c r="A2" s="123" t="s">
        <v>204</v>
      </c>
      <c r="B2" s="124" t="s">
        <v>205</v>
      </c>
      <c r="C2" s="124"/>
      <c r="D2" s="125">
        <f>EDATE(E2,-1)</f>
        <v>45108</v>
      </c>
      <c r="E2" s="126">
        <f>Projections!$B$4</f>
        <v>45139</v>
      </c>
      <c r="F2" s="126">
        <f t="shared" ref="F2:CX2" si="1">EDATE(E2,1)</f>
        <v>45170</v>
      </c>
      <c r="G2" s="126">
        <f t="shared" si="1"/>
        <v>45200</v>
      </c>
      <c r="H2" s="126">
        <f t="shared" si="1"/>
        <v>45231</v>
      </c>
      <c r="I2" s="126">
        <f t="shared" si="1"/>
        <v>45261</v>
      </c>
      <c r="J2" s="126">
        <f t="shared" si="1"/>
        <v>45292</v>
      </c>
      <c r="K2" s="126">
        <f t="shared" si="1"/>
        <v>45323</v>
      </c>
      <c r="L2" s="126">
        <f t="shared" si="1"/>
        <v>45352</v>
      </c>
      <c r="M2" s="126">
        <f t="shared" si="1"/>
        <v>45383</v>
      </c>
      <c r="N2" s="126">
        <f t="shared" si="1"/>
        <v>45413</v>
      </c>
      <c r="O2" s="126">
        <f t="shared" si="1"/>
        <v>45444</v>
      </c>
      <c r="P2" s="126">
        <f t="shared" si="1"/>
        <v>45474</v>
      </c>
      <c r="Q2" s="126">
        <f t="shared" si="1"/>
        <v>45505</v>
      </c>
      <c r="R2" s="126">
        <f t="shared" si="1"/>
        <v>45536</v>
      </c>
      <c r="S2" s="126">
        <f t="shared" si="1"/>
        <v>45566</v>
      </c>
      <c r="T2" s="126">
        <f t="shared" si="1"/>
        <v>45597</v>
      </c>
      <c r="U2" s="126">
        <f t="shared" si="1"/>
        <v>45627</v>
      </c>
      <c r="V2" s="126">
        <f t="shared" si="1"/>
        <v>45658</v>
      </c>
      <c r="W2" s="126">
        <f t="shared" si="1"/>
        <v>45689</v>
      </c>
      <c r="X2" s="126">
        <f t="shared" si="1"/>
        <v>45717</v>
      </c>
      <c r="Y2" s="126">
        <f t="shared" si="1"/>
        <v>45748</v>
      </c>
      <c r="Z2" s="126">
        <f t="shared" si="1"/>
        <v>45778</v>
      </c>
      <c r="AA2" s="126">
        <f t="shared" si="1"/>
        <v>45809</v>
      </c>
      <c r="AB2" s="126">
        <f t="shared" si="1"/>
        <v>45839</v>
      </c>
      <c r="AC2" s="126">
        <f t="shared" si="1"/>
        <v>45870</v>
      </c>
      <c r="AD2" s="126">
        <f t="shared" si="1"/>
        <v>45901</v>
      </c>
      <c r="AE2" s="126">
        <f t="shared" si="1"/>
        <v>45931</v>
      </c>
      <c r="AF2" s="126">
        <f t="shared" si="1"/>
        <v>45962</v>
      </c>
      <c r="AG2" s="126">
        <f t="shared" si="1"/>
        <v>45992</v>
      </c>
      <c r="AH2" s="126">
        <f t="shared" si="1"/>
        <v>46023</v>
      </c>
      <c r="AI2" s="126">
        <f t="shared" si="1"/>
        <v>46054</v>
      </c>
      <c r="AJ2" s="126">
        <f t="shared" si="1"/>
        <v>46082</v>
      </c>
      <c r="AK2" s="126">
        <f t="shared" si="1"/>
        <v>46113</v>
      </c>
      <c r="AL2" s="126">
        <f t="shared" si="1"/>
        <v>46143</v>
      </c>
      <c r="AM2" s="126">
        <f t="shared" si="1"/>
        <v>46174</v>
      </c>
      <c r="AN2" s="126">
        <f t="shared" si="1"/>
        <v>46204</v>
      </c>
      <c r="AO2" s="126">
        <f t="shared" si="1"/>
        <v>46235</v>
      </c>
      <c r="AP2" s="126">
        <f t="shared" si="1"/>
        <v>46266</v>
      </c>
      <c r="AQ2" s="126">
        <f t="shared" si="1"/>
        <v>46296</v>
      </c>
      <c r="AR2" s="126">
        <f t="shared" si="1"/>
        <v>46327</v>
      </c>
      <c r="AS2" s="126">
        <f t="shared" si="1"/>
        <v>46357</v>
      </c>
      <c r="AT2" s="126">
        <f t="shared" si="1"/>
        <v>46388</v>
      </c>
      <c r="AU2" s="126">
        <f t="shared" si="1"/>
        <v>46419</v>
      </c>
      <c r="AV2" s="126">
        <f t="shared" si="1"/>
        <v>46447</v>
      </c>
      <c r="AW2" s="126">
        <f t="shared" si="1"/>
        <v>46478</v>
      </c>
      <c r="AX2" s="126">
        <f t="shared" si="1"/>
        <v>46508</v>
      </c>
      <c r="AY2" s="126">
        <f t="shared" si="1"/>
        <v>46539</v>
      </c>
      <c r="AZ2" s="126">
        <f t="shared" si="1"/>
        <v>46569</v>
      </c>
      <c r="BA2" s="126">
        <f t="shared" si="1"/>
        <v>46600</v>
      </c>
      <c r="BB2" s="126">
        <f t="shared" si="1"/>
        <v>46631</v>
      </c>
      <c r="BC2" s="126">
        <f t="shared" si="1"/>
        <v>46661</v>
      </c>
      <c r="BD2" s="126">
        <f t="shared" si="1"/>
        <v>46692</v>
      </c>
      <c r="BE2" s="126">
        <f t="shared" si="1"/>
        <v>46722</v>
      </c>
      <c r="BF2" s="126">
        <f t="shared" si="1"/>
        <v>46753</v>
      </c>
      <c r="BG2" s="126">
        <f t="shared" si="1"/>
        <v>46784</v>
      </c>
      <c r="BH2" s="126">
        <f t="shared" si="1"/>
        <v>46813</v>
      </c>
      <c r="BI2" s="126">
        <f t="shared" si="1"/>
        <v>46844</v>
      </c>
      <c r="BJ2" s="126">
        <f t="shared" si="1"/>
        <v>46874</v>
      </c>
      <c r="BK2" s="126">
        <f t="shared" si="1"/>
        <v>46905</v>
      </c>
      <c r="BL2" s="126">
        <f t="shared" si="1"/>
        <v>46935</v>
      </c>
      <c r="BM2" s="126">
        <f t="shared" si="1"/>
        <v>46966</v>
      </c>
      <c r="BN2" s="126">
        <f t="shared" si="1"/>
        <v>46997</v>
      </c>
      <c r="BO2" s="126">
        <f t="shared" si="1"/>
        <v>47027</v>
      </c>
      <c r="BP2" s="126">
        <f t="shared" si="1"/>
        <v>47058</v>
      </c>
      <c r="BQ2" s="126">
        <f t="shared" si="1"/>
        <v>47088</v>
      </c>
      <c r="BR2" s="126">
        <f t="shared" si="1"/>
        <v>47119</v>
      </c>
      <c r="BS2" s="126">
        <f t="shared" si="1"/>
        <v>47150</v>
      </c>
      <c r="BT2" s="126">
        <f t="shared" si="1"/>
        <v>47178</v>
      </c>
      <c r="BU2" s="126">
        <f t="shared" si="1"/>
        <v>47209</v>
      </c>
      <c r="BV2" s="126">
        <f t="shared" si="1"/>
        <v>47239</v>
      </c>
      <c r="BW2" s="126">
        <f t="shared" si="1"/>
        <v>47270</v>
      </c>
      <c r="BX2" s="126">
        <f t="shared" si="1"/>
        <v>47300</v>
      </c>
      <c r="BY2" s="126">
        <f t="shared" si="1"/>
        <v>47331</v>
      </c>
      <c r="BZ2" s="126">
        <f t="shared" si="1"/>
        <v>47362</v>
      </c>
      <c r="CA2" s="126">
        <f t="shared" si="1"/>
        <v>47392</v>
      </c>
      <c r="CB2" s="126">
        <f t="shared" si="1"/>
        <v>47423</v>
      </c>
      <c r="CC2" s="126">
        <f t="shared" si="1"/>
        <v>47453</v>
      </c>
      <c r="CD2" s="126">
        <f t="shared" si="1"/>
        <v>47484</v>
      </c>
      <c r="CE2" s="126">
        <f t="shared" si="1"/>
        <v>47515</v>
      </c>
      <c r="CF2" s="126">
        <f t="shared" si="1"/>
        <v>47543</v>
      </c>
      <c r="CG2" s="126">
        <f t="shared" si="1"/>
        <v>47574</v>
      </c>
      <c r="CH2" s="126">
        <f t="shared" si="1"/>
        <v>47604</v>
      </c>
      <c r="CI2" s="126">
        <f t="shared" si="1"/>
        <v>47635</v>
      </c>
      <c r="CJ2" s="126">
        <f t="shared" si="1"/>
        <v>47665</v>
      </c>
      <c r="CK2" s="126">
        <f t="shared" si="1"/>
        <v>47696</v>
      </c>
      <c r="CL2" s="126">
        <f t="shared" si="1"/>
        <v>47727</v>
      </c>
      <c r="CM2" s="126">
        <f t="shared" si="1"/>
        <v>47757</v>
      </c>
      <c r="CN2" s="126">
        <f t="shared" si="1"/>
        <v>47788</v>
      </c>
      <c r="CO2" s="126">
        <f t="shared" si="1"/>
        <v>47818</v>
      </c>
      <c r="CP2" s="126">
        <f t="shared" si="1"/>
        <v>47849</v>
      </c>
      <c r="CQ2" s="126">
        <f t="shared" si="1"/>
        <v>47880</v>
      </c>
      <c r="CR2" s="126">
        <f t="shared" si="1"/>
        <v>47908</v>
      </c>
      <c r="CS2" s="126">
        <f t="shared" si="1"/>
        <v>47939</v>
      </c>
      <c r="CT2" s="126">
        <f t="shared" si="1"/>
        <v>47969</v>
      </c>
      <c r="CU2" s="126">
        <f t="shared" si="1"/>
        <v>48000</v>
      </c>
      <c r="CV2" s="126">
        <f t="shared" si="1"/>
        <v>48030</v>
      </c>
      <c r="CW2" s="126">
        <f t="shared" si="1"/>
        <v>48061</v>
      </c>
      <c r="CX2" s="126">
        <f t="shared" si="1"/>
        <v>48092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ht="23.25" customHeight="1">
      <c r="A4" s="127" t="s">
        <v>125</v>
      </c>
      <c r="B4" s="30"/>
      <c r="C4" s="30"/>
      <c r="D4" s="128"/>
      <c r="E4" s="30"/>
      <c r="F4" s="30"/>
      <c r="G4" s="30"/>
      <c r="H4" s="30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29"/>
      <c r="AD4" s="30"/>
      <c r="AE4" s="30"/>
      <c r="AF4" s="30"/>
      <c r="AG4" s="30"/>
      <c r="AH4" s="30"/>
      <c r="AI4" s="29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29"/>
      <c r="BD4" s="30"/>
      <c r="BE4" s="30"/>
      <c r="BF4" s="30"/>
      <c r="BG4" s="30"/>
      <c r="BH4" s="30"/>
      <c r="BI4" s="29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</row>
    <row r="5" ht="15.75" customHeight="1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ht="15.75" customHeight="1">
      <c r="A6" s="129" t="s">
        <v>199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  <c r="CR6" s="130"/>
      <c r="CS6" s="130"/>
      <c r="CT6" s="130"/>
      <c r="CU6" s="130"/>
      <c r="CV6" s="130"/>
      <c r="CW6" s="130"/>
      <c r="CX6" s="130"/>
    </row>
    <row r="7" ht="15.75" customHeight="1" outlineLevel="1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ht="15.75" customHeight="1" outlineLevel="1">
      <c r="A8" s="131" t="s">
        <v>206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>
        <f>N8*(1+Projections!$B$14)</f>
        <v>0</v>
      </c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</row>
    <row r="9" ht="15.75" customHeight="1" outlineLevel="1">
      <c r="A9" s="132" t="s">
        <v>127</v>
      </c>
      <c r="B9" s="133"/>
      <c r="C9" s="133"/>
      <c r="D9" s="133"/>
      <c r="E9" s="133">
        <f>IF(E2=Projections!$D$13,Projections!$B$13,IF(E2&gt;Projections!$D$13,MIN(D9*(1+Projections!$B$14),Projections!$B$15),0))</f>
        <v>1000</v>
      </c>
      <c r="F9" s="133">
        <f>IF(F2=Projections!$D$13,Projections!$B$13,IF(F2&gt;Projections!$D$13,MIN(E9*(1+Projections!$B$14),Projections!$B$15),0))</f>
        <v>1050</v>
      </c>
      <c r="G9" s="133">
        <f>IF(G2=Projections!$D$13,Projections!$B$13,IF(G2&gt;Projections!$D$13,MIN(F9*(1+Projections!$B$14),Projections!$B$15),0))</f>
        <v>1102.5</v>
      </c>
      <c r="H9" s="133">
        <f>IF(H2=Projections!$D$13,Projections!$B$13,IF(H2&gt;Projections!$D$13,MIN(G9*(1+Projections!$B$14),Projections!$B$15),0))</f>
        <v>1157.625</v>
      </c>
      <c r="I9" s="133">
        <f>IF(I2=Projections!$D$13,Projections!$B$13,IF(I2&gt;Projections!$D$13,MIN(H9*(1+Projections!$B$14),Projections!$B$15),0))</f>
        <v>1215.50625</v>
      </c>
      <c r="J9" s="133">
        <f>IF(J2=Projections!$D$13,Projections!$B$13,IF(J2&gt;Projections!$D$13,MIN(I9*(1+Projections!$B$14),Projections!$B$15),0))</f>
        <v>1276.281563</v>
      </c>
      <c r="K9" s="133">
        <f>IF(K2=Projections!$D$13,Projections!$B$13,IF(K2&gt;Projections!$D$13,MIN(J9*(1+Projections!$B$14),Projections!$B$15),0))</f>
        <v>1340.095641</v>
      </c>
      <c r="L9" s="133">
        <f>IF(L2=Projections!$D$13,Projections!$B$13,IF(L2&gt;Projections!$D$13,MIN(K9*(1+Projections!$B$14),Projections!$B$15),0))</f>
        <v>1407.100423</v>
      </c>
      <c r="M9" s="133">
        <f>IF(M2=Projections!$D$13,Projections!$B$13,IF(M2&gt;Projections!$D$13,MIN(L9*(1+Projections!$B$14),Projections!$B$15),0))</f>
        <v>1477.455444</v>
      </c>
      <c r="N9" s="133">
        <f>IF(N2=Projections!$D$13,Projections!$B$13,IF(N2&gt;Projections!$D$13,MIN(M9*(1+Projections!$B$14),Projections!$B$15),0))</f>
        <v>1551.328216</v>
      </c>
      <c r="O9" s="133">
        <f>IF(O2=Projections!$D$13,Projections!$B$13,IF(O2&gt;Projections!$D$13,MIN(N9*(1+Projections!$B$14),Projections!$B$15),0))</f>
        <v>1628.894627</v>
      </c>
      <c r="P9" s="133">
        <f>IF(P2=Projections!$D$13,Projections!$B$13,IF(P2&gt;Projections!$D$13,MIN(O9*(1+Projections!$B$14),Projections!$B$15),0))</f>
        <v>1710.339358</v>
      </c>
      <c r="Q9" s="133">
        <f>IF(Q2=Projections!$D$13,Projections!$B$13,IF(Q2&gt;Projections!$D$13,MIN(P9*(1+Projections!$B$14),Projections!$B$15),0))</f>
        <v>1795.856326</v>
      </c>
      <c r="R9" s="133">
        <f>IF(R2=Projections!$D$13,Projections!$B$13,IF(R2&gt;Projections!$D$13,MIN(Q9*(1+Projections!$B$14),Projections!$B$15),0))</f>
        <v>1885.649142</v>
      </c>
      <c r="S9" s="133">
        <f>IF(S2=Projections!$D$13,Projections!$B$13,IF(S2&gt;Projections!$D$13,MIN(R9*(1+Projections!$B$14),Projections!$B$15),0))</f>
        <v>1979.931599</v>
      </c>
      <c r="T9" s="133">
        <f>IF(T2=Projections!$D$13,Projections!$B$13,IF(T2&gt;Projections!$D$13,MIN(S9*(1+Projections!$B$14),Projections!$B$15),0))</f>
        <v>2078.928179</v>
      </c>
      <c r="U9" s="133">
        <f>IF(U2=Projections!$D$13,Projections!$B$13,IF(U2&gt;Projections!$D$13,MIN(T9*(1+Projections!$B$14),Projections!$B$15),0))</f>
        <v>2182.874588</v>
      </c>
      <c r="V9" s="133">
        <f>IF(V2=Projections!$D$13,Projections!$B$13,IF(V2&gt;Projections!$D$13,MIN(U9*(1+Projections!$B$14),Projections!$B$15),0))</f>
        <v>2292.018318</v>
      </c>
      <c r="W9" s="133">
        <f>IF(W2=Projections!$D$13,Projections!$B$13,IF(W2&gt;Projections!$D$13,MIN(V9*(1+Projections!$B$14),Projections!$B$15),0))</f>
        <v>2406.619234</v>
      </c>
      <c r="X9" s="133">
        <f>IF(X2=Projections!$D$13,Projections!$B$13,IF(X2&gt;Projections!$D$13,MIN(W9*(1+Projections!$B$14),Projections!$B$15),0))</f>
        <v>2526.950195</v>
      </c>
      <c r="Y9" s="133">
        <f>IF(Y2=Projections!$D$13,Projections!$B$13,IF(Y2&gt;Projections!$D$13,MIN(X9*(1+Projections!$B$14),Projections!$B$15),0))</f>
        <v>2653.297705</v>
      </c>
      <c r="Z9" s="133">
        <f>IF(Z2=Projections!$D$13,Projections!$B$13,IF(Z2&gt;Projections!$D$13,MIN(Y9*(1+Projections!$B$14),Projections!$B$15),0))</f>
        <v>2785.96259</v>
      </c>
      <c r="AA9" s="133">
        <f>IF(AA2=Projections!$D$13,Projections!$B$13,IF(AA2&gt;Projections!$D$13,MIN(Z9*(1+Projections!$B$14),Projections!$B$15),0))</f>
        <v>2925.26072</v>
      </c>
      <c r="AB9" s="133">
        <f>IF(AB2=Projections!$D$13,Projections!$B$13,IF(AB2&gt;Projections!$D$13,MIN(AA9*(1+Projections!$B$14),Projections!$B$15),0))</f>
        <v>3071.523756</v>
      </c>
      <c r="AC9" s="133">
        <f>IF(AC2=Projections!$D$13,Projections!$B$13,IF(AC2&gt;Projections!$D$13,MIN(AB9*(1+Projections!$B$14),Projections!$B$15),0))</f>
        <v>3225.099944</v>
      </c>
      <c r="AD9" s="133">
        <f>IF(AD2=Projections!$D$13,Projections!$B$13,IF(AD2&gt;Projections!$D$13,MIN(AC9*(1+Projections!$B$14),Projections!$B$15),0))</f>
        <v>3386.354941</v>
      </c>
      <c r="AE9" s="133">
        <f>IF(AE2=Projections!$D$13,Projections!$B$13,IF(AE2&gt;Projections!$D$13,MIN(AD9*(1+Projections!$B$14),Projections!$B$15),0))</f>
        <v>3555.672688</v>
      </c>
      <c r="AF9" s="133">
        <f>IF(AF2=Projections!$D$13,Projections!$B$13,IF(AF2&gt;Projections!$D$13,MIN(AE9*(1+Projections!$B$14),Projections!$B$15),0))</f>
        <v>3733.456322</v>
      </c>
      <c r="AG9" s="133">
        <f>IF(AG2=Projections!$D$13,Projections!$B$13,IF(AG2&gt;Projections!$D$13,MIN(AF9*(1+Projections!$B$14),Projections!$B$15),0))</f>
        <v>3920.129138</v>
      </c>
      <c r="AH9" s="133">
        <f>IF(AH2=Projections!$D$13,Projections!$B$13,IF(AH2&gt;Projections!$D$13,MIN(AG9*(1+Projections!$B$14),Projections!$B$15),0))</f>
        <v>4116.135595</v>
      </c>
      <c r="AI9" s="133">
        <f>IF(AI2=Projections!$D$13,Projections!$B$13,IF(AI2&gt;Projections!$D$13,MIN(AH9*(1+Projections!$B$14),Projections!$B$15),0))</f>
        <v>4321.942375</v>
      </c>
      <c r="AJ9" s="133">
        <f>IF(AJ2=Projections!$D$13,Projections!$B$13,IF(AJ2&gt;Projections!$D$13,MIN(AI9*(1+Projections!$B$14),Projections!$B$15),0))</f>
        <v>4538.039494</v>
      </c>
      <c r="AK9" s="133">
        <f>IF(AK2=Projections!$D$13,Projections!$B$13,IF(AK2&gt;Projections!$D$13,MIN(AJ9*(1+Projections!$B$14),Projections!$B$15),0))</f>
        <v>4764.941469</v>
      </c>
      <c r="AL9" s="133">
        <f>IF(AL2=Projections!$D$13,Projections!$B$13,IF(AL2&gt;Projections!$D$13,MIN(AK9*(1+Projections!$B$14),Projections!$B$15),0))</f>
        <v>5003.188542</v>
      </c>
      <c r="AM9" s="133">
        <f>IF(AM2=Projections!$D$13,Projections!$B$13,IF(AM2&gt;Projections!$D$13,MIN(AL9*(1+Projections!$B$14),Projections!$B$15),0))</f>
        <v>5253.347969</v>
      </c>
      <c r="AN9" s="133">
        <f>IF(AN2=Projections!$D$13,Projections!$B$13,IF(AN2&gt;Projections!$D$13,MIN(AM9*(1+Projections!$B$14),Projections!$B$15),0))</f>
        <v>5516.015368</v>
      </c>
      <c r="AO9" s="133">
        <f>IF(AO2=Projections!$D$13,Projections!$B$13,IF(AO2&gt;Projections!$D$13,MIN(AN9*(1+Projections!$B$14),Projections!$B$15),0))</f>
        <v>5791.816136</v>
      </c>
      <c r="AP9" s="133">
        <f>IF(AP2=Projections!$D$13,Projections!$B$13,IF(AP2&gt;Projections!$D$13,MIN(AO9*(1+Projections!$B$14),Projections!$B$15),0))</f>
        <v>6081.406943</v>
      </c>
      <c r="AQ9" s="133">
        <f>IF(AQ2=Projections!$D$13,Projections!$B$13,IF(AQ2&gt;Projections!$D$13,MIN(AP9*(1+Projections!$B$14),Projections!$B$15),0))</f>
        <v>6385.47729</v>
      </c>
      <c r="AR9" s="133">
        <f>IF(AR2=Projections!$D$13,Projections!$B$13,IF(AR2&gt;Projections!$D$13,MIN(AQ9*(1+Projections!$B$14),Projections!$B$15),0))</f>
        <v>6704.751154</v>
      </c>
      <c r="AS9" s="133">
        <f>IF(AS2=Projections!$D$13,Projections!$B$13,IF(AS2&gt;Projections!$D$13,MIN(AR9*(1+Projections!$B$14),Projections!$B$15),0))</f>
        <v>7039.988712</v>
      </c>
      <c r="AT9" s="133">
        <f>IF(AT2=Projections!$D$13,Projections!$B$13,IF(AT2&gt;Projections!$D$13,MIN(AS9*(1+Projections!$B$14),Projections!$B$15),0))</f>
        <v>7391.988148</v>
      </c>
      <c r="AU9" s="133">
        <f>IF(AU2=Projections!$D$13,Projections!$B$13,IF(AU2&gt;Projections!$D$13,MIN(AT9*(1+Projections!$B$14),Projections!$B$15),0))</f>
        <v>7761.587555</v>
      </c>
      <c r="AV9" s="133">
        <f>IF(AV2=Projections!$D$13,Projections!$B$13,IF(AV2&gt;Projections!$D$13,MIN(AU9*(1+Projections!$B$14),Projections!$B$15),0))</f>
        <v>8149.666933</v>
      </c>
      <c r="AW9" s="133">
        <f>IF(AW2=Projections!$D$13,Projections!$B$13,IF(AW2&gt;Projections!$D$13,MIN(AV9*(1+Projections!$B$14),Projections!$B$15),0))</f>
        <v>8557.15028</v>
      </c>
      <c r="AX9" s="133">
        <f>IF(AX2=Projections!$D$13,Projections!$B$13,IF(AX2&gt;Projections!$D$13,MIN(AW9*(1+Projections!$B$14),Projections!$B$15),0))</f>
        <v>8985.007793</v>
      </c>
      <c r="AY9" s="133">
        <f>IF(AY2=Projections!$D$13,Projections!$B$13,IF(AY2&gt;Projections!$D$13,MIN(AX9*(1+Projections!$B$14),Projections!$B$15),0))</f>
        <v>9434.258183</v>
      </c>
      <c r="AZ9" s="133">
        <f>IF(AZ2=Projections!$D$13,Projections!$B$13,IF(AZ2&gt;Projections!$D$13,MIN(AY9*(1+Projections!$B$14),Projections!$B$15),0))</f>
        <v>9905.971092</v>
      </c>
      <c r="BA9" s="133">
        <f>IF(BA2=Projections!$D$13,Projections!$B$13,IF(BA2&gt;Projections!$D$13,MIN(AZ9*(1+Projections!$B$14),Projections!$B$15),0))</f>
        <v>10401.26965</v>
      </c>
      <c r="BB9" s="133">
        <f>IF(BB2=Projections!$D$13,Projections!$B$13,IF(BB2&gt;Projections!$D$13,MIN(BA9*(1+Projections!$B$14),Projections!$B$15),0))</f>
        <v>10921.33313</v>
      </c>
      <c r="BC9" s="133">
        <f>IF(BC2=Projections!$D$13,Projections!$B$13,IF(BC2&gt;Projections!$D$13,MIN(BB9*(1+Projections!$B$14),Projections!$B$15),0))</f>
        <v>11467.39979</v>
      </c>
      <c r="BD9" s="133">
        <f>IF(BD2=Projections!$D$13,Projections!$B$13,IF(BD2&gt;Projections!$D$13,MIN(BC9*(1+Projections!$B$14),Projections!$B$15),0))</f>
        <v>12040.76978</v>
      </c>
      <c r="BE9" s="133">
        <f>IF(BE2=Projections!$D$13,Projections!$B$13,IF(BE2&gt;Projections!$D$13,MIN(BD9*(1+Projections!$B$14),Projections!$B$15),0))</f>
        <v>12642.80826</v>
      </c>
      <c r="BF9" s="133">
        <f>IF(BF2=Projections!$D$13,Projections!$B$13,IF(BF2&gt;Projections!$D$13,MIN(BE9*(1+Projections!$B$14),Projections!$B$15),0))</f>
        <v>13274.94868</v>
      </c>
      <c r="BG9" s="133">
        <f>IF(BG2=Projections!$D$13,Projections!$B$13,IF(BG2&gt;Projections!$D$13,MIN(BF9*(1+Projections!$B$14),Projections!$B$15),0))</f>
        <v>13938.69611</v>
      </c>
      <c r="BH9" s="133">
        <f>IF(BH2=Projections!$D$13,Projections!$B$13,IF(BH2&gt;Projections!$D$13,MIN(BG9*(1+Projections!$B$14),Projections!$B$15),0))</f>
        <v>14635.63092</v>
      </c>
      <c r="BI9" s="133">
        <f>IF(BI2=Projections!$D$13,Projections!$B$13,IF(BI2&gt;Projections!$D$13,MIN(BH9*(1+Projections!$B$14),Projections!$B$15),0))</f>
        <v>15367.41246</v>
      </c>
      <c r="BJ9" s="133">
        <f>IF(BJ2=Projections!$D$13,Projections!$B$13,IF(BJ2&gt;Projections!$D$13,MIN(BI9*(1+Projections!$B$14),Projections!$B$15),0))</f>
        <v>16135.78309</v>
      </c>
      <c r="BK9" s="133">
        <f>IF(BK2=Projections!$D$13,Projections!$B$13,IF(BK2&gt;Projections!$D$13,MIN(BJ9*(1+Projections!$B$14),Projections!$B$15),0))</f>
        <v>16942.57224</v>
      </c>
      <c r="BL9" s="133">
        <f>IF(BL2=Projections!$D$13,Projections!$B$13,IF(BL2&gt;Projections!$D$13,MIN(BK9*(1+Projections!$B$14),Projections!$B$15),0))</f>
        <v>17789.70085</v>
      </c>
      <c r="BM9" s="133">
        <f>IF(BM2=Projections!$D$13,Projections!$B$13,IF(BM2&gt;Projections!$D$13,MIN(BL9*(1+Projections!$B$14),Projections!$B$15),0))</f>
        <v>18679.18589</v>
      </c>
      <c r="BN9" s="133">
        <f>IF(BN2=Projections!$D$13,Projections!$B$13,IF(BN2&gt;Projections!$D$13,MIN(BM9*(1+Projections!$B$14),Projections!$B$15),0))</f>
        <v>19613.14519</v>
      </c>
      <c r="BO9" s="133">
        <f>IF(BO2=Projections!$D$13,Projections!$B$13,IF(BO2&gt;Projections!$D$13,MIN(BN9*(1+Projections!$B$14),Projections!$B$15),0))</f>
        <v>20593.80245</v>
      </c>
      <c r="BP9" s="133">
        <f>IF(BP2=Projections!$D$13,Projections!$B$13,IF(BP2&gt;Projections!$D$13,MIN(BO9*(1+Projections!$B$14),Projections!$B$15),0))</f>
        <v>21623.49257</v>
      </c>
      <c r="BQ9" s="133">
        <f>IF(BQ2=Projections!$D$13,Projections!$B$13,IF(BQ2&gt;Projections!$D$13,MIN(BP9*(1+Projections!$B$14),Projections!$B$15),0))</f>
        <v>22704.6672</v>
      </c>
      <c r="BR9" s="133">
        <f>IF(BR2=Projections!$D$13,Projections!$B$13,IF(BR2&gt;Projections!$D$13,MIN(BQ9*(1+Projections!$B$14),Projections!$B$15),0))</f>
        <v>23839.90056</v>
      </c>
      <c r="BS9" s="133">
        <f>IF(BS2=Projections!$D$13,Projections!$B$13,IF(BS2&gt;Projections!$D$13,MIN(BR9*(1+Projections!$B$14),Projections!$B$15),0))</f>
        <v>25031.89559</v>
      </c>
      <c r="BT9" s="133">
        <f>IF(BT2=Projections!$D$13,Projections!$B$13,IF(BT2&gt;Projections!$D$13,MIN(BS9*(1+Projections!$B$14),Projections!$B$15),0))</f>
        <v>26283.49037</v>
      </c>
      <c r="BU9" s="133">
        <f>IF(BU2=Projections!$D$13,Projections!$B$13,IF(BU2&gt;Projections!$D$13,MIN(BT9*(1+Projections!$B$14),Projections!$B$15),0))</f>
        <v>27597.66488</v>
      </c>
      <c r="BV9" s="133">
        <f>IF(BV2=Projections!$D$13,Projections!$B$13,IF(BV2&gt;Projections!$D$13,MIN(BU9*(1+Projections!$B$14),Projections!$B$15),0))</f>
        <v>28977.54813</v>
      </c>
      <c r="BW9" s="133">
        <f>IF(BW2=Projections!$D$13,Projections!$B$13,IF(BW2&gt;Projections!$D$13,MIN(BV9*(1+Projections!$B$14),Projections!$B$15),0))</f>
        <v>30426.42554</v>
      </c>
      <c r="BX9" s="133">
        <f>IF(BX2=Projections!$D$13,Projections!$B$13,IF(BX2&gt;Projections!$D$13,MIN(BW9*(1+Projections!$B$14),Projections!$B$15),0))</f>
        <v>31947.74681</v>
      </c>
      <c r="BY9" s="133">
        <f>IF(BY2=Projections!$D$13,Projections!$B$13,IF(BY2&gt;Projections!$D$13,MIN(BX9*(1+Projections!$B$14),Projections!$B$15),0))</f>
        <v>33545.13415</v>
      </c>
      <c r="BZ9" s="133">
        <f>IF(BZ2=Projections!$D$13,Projections!$B$13,IF(BZ2&gt;Projections!$D$13,MIN(BY9*(1+Projections!$B$14),Projections!$B$15),0))</f>
        <v>35222.39086</v>
      </c>
      <c r="CA9" s="133">
        <f>IF(CA2=Projections!$D$13,Projections!$B$13,IF(CA2&gt;Projections!$D$13,MIN(BZ9*(1+Projections!$B$14),Projections!$B$15),0))</f>
        <v>36983.5104</v>
      </c>
      <c r="CB9" s="133">
        <f>IF(CB2=Projections!$D$13,Projections!$B$13,IF(CB2&gt;Projections!$D$13,MIN(CA9*(1+Projections!$B$14),Projections!$B$15),0))</f>
        <v>38832.68592</v>
      </c>
      <c r="CC9" s="133">
        <f>IF(CC2=Projections!$D$13,Projections!$B$13,IF(CC2&gt;Projections!$D$13,MIN(CB9*(1+Projections!$B$14),Projections!$B$15),0))</f>
        <v>40774.32022</v>
      </c>
      <c r="CD9" s="133">
        <f>IF(CD2=Projections!$D$13,Projections!$B$13,IF(CD2&gt;Projections!$D$13,MIN(CC9*(1+Projections!$B$14),Projections!$B$15),0))</f>
        <v>42813.03623</v>
      </c>
      <c r="CE9" s="133">
        <f>IF(CE2=Projections!$D$13,Projections!$B$13,IF(CE2&gt;Projections!$D$13,MIN(CD9*(1+Projections!$B$14),Projections!$B$15),0))</f>
        <v>44953.68804</v>
      </c>
      <c r="CF9" s="133">
        <f>IF(CF2=Projections!$D$13,Projections!$B$13,IF(CF2&gt;Projections!$D$13,MIN(CE9*(1+Projections!$B$14),Projections!$B$15),0))</f>
        <v>47201.37244</v>
      </c>
      <c r="CG9" s="133">
        <f>IF(CG2=Projections!$D$13,Projections!$B$13,IF(CG2&gt;Projections!$D$13,MIN(CF9*(1+Projections!$B$14),Projections!$B$15),0))</f>
        <v>49561.44107</v>
      </c>
      <c r="CH9" s="133">
        <f>IF(CH2=Projections!$D$13,Projections!$B$13,IF(CH2&gt;Projections!$D$13,MIN(CG9*(1+Projections!$B$14),Projections!$B$15),0))</f>
        <v>52039.51312</v>
      </c>
      <c r="CI9" s="133">
        <f>IF(CI2=Projections!$D$13,Projections!$B$13,IF(CI2&gt;Projections!$D$13,MIN(CH9*(1+Projections!$B$14),Projections!$B$15),0))</f>
        <v>54641.48878</v>
      </c>
      <c r="CJ9" s="133">
        <f>IF(CJ2=Projections!$D$13,Projections!$B$13,IF(CJ2&gt;Projections!$D$13,MIN(CI9*(1+Projections!$B$14),Projections!$B$15),0))</f>
        <v>57373.56322</v>
      </c>
      <c r="CK9" s="133">
        <f>IF(CK2=Projections!$D$13,Projections!$B$13,IF(CK2&gt;Projections!$D$13,MIN(CJ9*(1+Projections!$B$14),Projections!$B$15),0))</f>
        <v>60242.24138</v>
      </c>
      <c r="CL9" s="133">
        <f>IF(CL2=Projections!$D$13,Projections!$B$13,IF(CL2&gt;Projections!$D$13,MIN(CK9*(1+Projections!$B$14),Projections!$B$15),0))</f>
        <v>63254.35344</v>
      </c>
      <c r="CM9" s="133">
        <f>IF(CM2=Projections!$D$13,Projections!$B$13,IF(CM2&gt;Projections!$D$13,MIN(CL9*(1+Projections!$B$14),Projections!$B$15),0))</f>
        <v>66417.07112</v>
      </c>
      <c r="CN9" s="133">
        <f>IF(CN2=Projections!$D$13,Projections!$B$13,IF(CN2&gt;Projections!$D$13,MIN(CM9*(1+Projections!$B$14),Projections!$B$15),0))</f>
        <v>69737.92467</v>
      </c>
      <c r="CO9" s="133">
        <f>IF(CO2=Projections!$D$13,Projections!$B$13,IF(CO2&gt;Projections!$D$13,MIN(CN9*(1+Projections!$B$14),Projections!$B$15),0))</f>
        <v>73224.82091</v>
      </c>
      <c r="CP9" s="133">
        <f>IF(CP2=Projections!$D$13,Projections!$B$13,IF(CP2&gt;Projections!$D$13,MIN(CO9*(1+Projections!$B$14),Projections!$B$15),0))</f>
        <v>76886.06195</v>
      </c>
      <c r="CQ9" s="133">
        <f>IF(CQ2=Projections!$D$13,Projections!$B$13,IF(CQ2&gt;Projections!$D$13,MIN(CP9*(1+Projections!$B$14),Projections!$B$15),0))</f>
        <v>80730.36505</v>
      </c>
      <c r="CR9" s="133">
        <f>IF(CR2=Projections!$D$13,Projections!$B$13,IF(CR2&gt;Projections!$D$13,MIN(CQ9*(1+Projections!$B$14),Projections!$B$15),0))</f>
        <v>84766.8833</v>
      </c>
      <c r="CS9" s="133">
        <f>IF(CS2=Projections!$D$13,Projections!$B$13,IF(CS2&gt;Projections!$D$13,MIN(CR9*(1+Projections!$B$14),Projections!$B$15),0))</f>
        <v>89005.22747</v>
      </c>
      <c r="CT9" s="133">
        <f>IF(CT2=Projections!$D$13,Projections!$B$13,IF(CT2&gt;Projections!$D$13,MIN(CS9*(1+Projections!$B$14),Projections!$B$15),0))</f>
        <v>93455.48884</v>
      </c>
      <c r="CU9" s="133">
        <f>IF(CU2=Projections!$D$13,Projections!$B$13,IF(CU2&gt;Projections!$D$13,MIN(CT9*(1+Projections!$B$14),Projections!$B$15),0))</f>
        <v>98128.26328</v>
      </c>
      <c r="CV9" s="133">
        <f>IF(CV2=Projections!$D$13,Projections!$B$13,IF(CV2&gt;Projections!$D$13,MIN(CU9*(1+Projections!$B$14),Projections!$B$15),0))</f>
        <v>100000</v>
      </c>
      <c r="CW9" s="133">
        <f>IF(CW2=Projections!$D$13,Projections!$B$13,IF(CW2&gt;Projections!$D$13,MIN(CV9*(1+Projections!$B$14),Projections!$B$15),0))</f>
        <v>100000</v>
      </c>
      <c r="CX9" s="133">
        <f>IF(CX2=Projections!$D$13,Projections!$B$13,IF(CX2&gt;Projections!$D$13,MIN(CW9*(1+Projections!$B$14),Projections!$B$15),0))</f>
        <v>100000</v>
      </c>
    </row>
    <row r="10" ht="15.75" customHeight="1" outlineLevel="1">
      <c r="A10" s="134" t="s">
        <v>207</v>
      </c>
      <c r="B10" s="56"/>
      <c r="C10" s="56"/>
      <c r="D10" s="56"/>
      <c r="E10" s="56">
        <f>IF(E2=Projections!$D$19,Projections!$B$21,IF(E2&gt;Projections!$D$19,MAX(Projections!$B$23,D10*(1-Projections!$B$22)),0))</f>
        <v>3</v>
      </c>
      <c r="F10" s="56">
        <f>IF(F2=Projections!$D$19,Projections!$B$21,IF(F2&gt;Projections!$D$19,MAX(Projections!$B$23,E10*(1-Projections!$B$22)),0))</f>
        <v>2.85</v>
      </c>
      <c r="G10" s="56">
        <f>IF(G2=Projections!$D$19,Projections!$B$21,IF(G2&gt;Projections!$D$19,MAX(Projections!$B$23,F10*(1-Projections!$B$22)),0))</f>
        <v>2.7075</v>
      </c>
      <c r="H10" s="56">
        <f>IF(H2=Projections!$D$19,Projections!$B$21,IF(H2&gt;Projections!$D$19,MAX(Projections!$B$23,G10*(1-Projections!$B$22)),0))</f>
        <v>2.572125</v>
      </c>
      <c r="I10" s="56">
        <f>IF(I2=Projections!$D$19,Projections!$B$21,IF(I2&gt;Projections!$D$19,MAX(Projections!$B$23,H10*(1-Projections!$B$22)),0))</f>
        <v>2.44351875</v>
      </c>
      <c r="J10" s="56">
        <f>IF(J2=Projections!$D$19,Projections!$B$21,IF(J2&gt;Projections!$D$19,MAX(Projections!$B$23,I10*(1-Projections!$B$22)),0))</f>
        <v>2.321342813</v>
      </c>
      <c r="K10" s="56">
        <f>IF(K2=Projections!$D$19,Projections!$B$21,IF(K2&gt;Projections!$D$19,MAX(Projections!$B$23,J10*(1-Projections!$B$22)),0))</f>
        <v>2.205275672</v>
      </c>
      <c r="L10" s="56">
        <f>IF(L2=Projections!$D$19,Projections!$B$21,IF(L2&gt;Projections!$D$19,MAX(Projections!$B$23,K10*(1-Projections!$B$22)),0))</f>
        <v>2.095011888</v>
      </c>
      <c r="M10" s="56">
        <f>IF(M2=Projections!$D$19,Projections!$B$21,IF(M2&gt;Projections!$D$19,MAX(Projections!$B$23,L10*(1-Projections!$B$22)),0))</f>
        <v>2</v>
      </c>
      <c r="N10" s="56">
        <f>IF(N2=Projections!$D$19,Projections!$B$21,IF(N2&gt;Projections!$D$19,MAX(Projections!$B$23,M10*(1-Projections!$B$22)),0))</f>
        <v>2</v>
      </c>
      <c r="O10" s="56">
        <f>IF(O2=Projections!$D$19,Projections!$B$21,IF(O2&gt;Projections!$D$19,MAX(Projections!$B$23,N10*(1-Projections!$B$22)),0))</f>
        <v>2</v>
      </c>
      <c r="P10" s="56">
        <f>IF(P2=Projections!$D$19,Projections!$B$21,IF(P2&gt;Projections!$D$19,MAX(Projections!$B$23,O10*(1-Projections!$B$22)),0))</f>
        <v>2</v>
      </c>
      <c r="Q10" s="56">
        <f>IF(Q2=Projections!$D$19,Projections!$B$21,IF(Q2&gt;Projections!$D$19,MAX(Projections!$B$23,P10*(1-Projections!$B$22)),0))</f>
        <v>2</v>
      </c>
      <c r="R10" s="56">
        <f>IF(R2=Projections!$D$19,Projections!$B$21,IF(R2&gt;Projections!$D$19,MAX(Projections!$B$23,Q10*(1-Projections!$B$22)),0))</f>
        <v>2</v>
      </c>
      <c r="S10" s="56">
        <f>IF(S2=Projections!$D$19,Projections!$B$21,IF(S2&gt;Projections!$D$19,MAX(Projections!$B$23,R10*(1-Projections!$B$22)),0))</f>
        <v>2</v>
      </c>
      <c r="T10" s="56">
        <f>IF(T2=Projections!$D$19,Projections!$B$21,IF(T2&gt;Projections!$D$19,MAX(Projections!$B$23,S10*(1-Projections!$B$22)),0))</f>
        <v>2</v>
      </c>
      <c r="U10" s="56">
        <f>IF(U2=Projections!$D$19,Projections!$B$21,IF(U2&gt;Projections!$D$19,MAX(Projections!$B$23,T10*(1-Projections!$B$22)),0))</f>
        <v>2</v>
      </c>
      <c r="V10" s="56">
        <f>IF(V2=Projections!$D$19,Projections!$B$21,IF(V2&gt;Projections!$D$19,MAX(Projections!$B$23,U10*(1-Projections!$B$22)),0))</f>
        <v>2</v>
      </c>
      <c r="W10" s="56">
        <f>IF(W2=Projections!$D$19,Projections!$B$21,IF(W2&gt;Projections!$D$19,MAX(Projections!$B$23,V10*(1-Projections!$B$22)),0))</f>
        <v>2</v>
      </c>
      <c r="X10" s="56">
        <f>IF(X2=Projections!$D$19,Projections!$B$21,IF(X2&gt;Projections!$D$19,MAX(Projections!$B$23,W10*(1-Projections!$B$22)),0))</f>
        <v>2</v>
      </c>
      <c r="Y10" s="56">
        <f>IF(Y2=Projections!$D$19,Projections!$B$21,IF(Y2&gt;Projections!$D$19,MAX(Projections!$B$23,X10*(1-Projections!$B$22)),0))</f>
        <v>2</v>
      </c>
      <c r="Z10" s="56">
        <f>IF(Z2=Projections!$D$19,Projections!$B$21,IF(Z2&gt;Projections!$D$19,MAX(Projections!$B$23,Y10*(1-Projections!$B$22)),0))</f>
        <v>2</v>
      </c>
      <c r="AA10" s="56">
        <f>IF(AA2=Projections!$D$19,Projections!$B$21,IF(AA2&gt;Projections!$D$19,MAX(Projections!$B$23,Z10*(1-Projections!$B$22)),0))</f>
        <v>2</v>
      </c>
      <c r="AB10" s="56">
        <f>IF(AB2=Projections!$D$19,Projections!$B$21,IF(AB2&gt;Projections!$D$19,MAX(Projections!$B$23,AA10*(1-Projections!$B$22)),0))</f>
        <v>2</v>
      </c>
      <c r="AC10" s="56">
        <f>IF(AC2=Projections!$D$19,Projections!$B$21,IF(AC2&gt;Projections!$D$19,MAX(Projections!$B$23,AB10*(1-Projections!$B$22)),0))</f>
        <v>2</v>
      </c>
      <c r="AD10" s="56">
        <f>IF(AD2=Projections!$D$19,Projections!$B$21,IF(AD2&gt;Projections!$D$19,MAX(Projections!$B$23,AC10*(1-Projections!$B$22)),0))</f>
        <v>2</v>
      </c>
      <c r="AE10" s="56">
        <f>IF(AE2=Projections!$D$19,Projections!$B$21,IF(AE2&gt;Projections!$D$19,MAX(Projections!$B$23,AD10*(1-Projections!$B$22)),0))</f>
        <v>2</v>
      </c>
      <c r="AF10" s="56">
        <f>IF(AF2=Projections!$D$19,Projections!$B$21,IF(AF2&gt;Projections!$D$19,MAX(Projections!$B$23,AE10*(1-Projections!$B$22)),0))</f>
        <v>2</v>
      </c>
      <c r="AG10" s="56">
        <f>IF(AG2=Projections!$D$19,Projections!$B$21,IF(AG2&gt;Projections!$D$19,MAX(Projections!$B$23,AF10*(1-Projections!$B$22)),0))</f>
        <v>2</v>
      </c>
      <c r="AH10" s="56">
        <f>IF(AH2=Projections!$D$19,Projections!$B$21,IF(AH2&gt;Projections!$D$19,MAX(Projections!$B$23,AG10*(1-Projections!$B$22)),0))</f>
        <v>2</v>
      </c>
      <c r="AI10" s="56">
        <f>IF(AI2=Projections!$D$19,Projections!$B$21,IF(AI2&gt;Projections!$D$19,MAX(Projections!$B$23,AH10*(1-Projections!$B$22)),0))</f>
        <v>2</v>
      </c>
      <c r="AJ10" s="56">
        <f>IF(AJ2=Projections!$D$19,Projections!$B$21,IF(AJ2&gt;Projections!$D$19,MAX(Projections!$B$23,AI10*(1-Projections!$B$22)),0))</f>
        <v>2</v>
      </c>
      <c r="AK10" s="56">
        <f>IF(AK2=Projections!$D$19,Projections!$B$21,IF(AK2&gt;Projections!$D$19,MAX(Projections!$B$23,AJ10*(1-Projections!$B$22)),0))</f>
        <v>2</v>
      </c>
      <c r="AL10" s="56">
        <f>IF(AL2=Projections!$D$19,Projections!$B$21,IF(AL2&gt;Projections!$D$19,MAX(Projections!$B$23,AK10*(1-Projections!$B$22)),0))</f>
        <v>2</v>
      </c>
      <c r="AM10" s="56">
        <f>IF(AM2=Projections!$D$19,Projections!$B$21,IF(AM2&gt;Projections!$D$19,MAX(Projections!$B$23,AL10*(1-Projections!$B$22)),0))</f>
        <v>2</v>
      </c>
      <c r="AN10" s="56">
        <f>IF(AN2=Projections!$D$19,Projections!$B$21,IF(AN2&gt;Projections!$D$19,MAX(Projections!$B$23,AM10*(1-Projections!$B$22)),0))</f>
        <v>2</v>
      </c>
      <c r="AO10" s="56">
        <f>IF(AO2=Projections!$D$19,Projections!$B$21,IF(AO2&gt;Projections!$D$19,MAX(Projections!$B$23,AN10*(1-Projections!$B$22)),0))</f>
        <v>2</v>
      </c>
      <c r="AP10" s="56">
        <f>IF(AP2=Projections!$D$19,Projections!$B$21,IF(AP2&gt;Projections!$D$19,MAX(Projections!$B$23,AO10*(1-Projections!$B$22)),0))</f>
        <v>2</v>
      </c>
      <c r="AQ10" s="56">
        <f>IF(AQ2=Projections!$D$19,Projections!$B$21,IF(AQ2&gt;Projections!$D$19,MAX(Projections!$B$23,AP10*(1-Projections!$B$22)),0))</f>
        <v>2</v>
      </c>
      <c r="AR10" s="56">
        <f>IF(AR2=Projections!$D$19,Projections!$B$21,IF(AR2&gt;Projections!$D$19,MAX(Projections!$B$23,AQ10*(1-Projections!$B$22)),0))</f>
        <v>2</v>
      </c>
      <c r="AS10" s="56">
        <f>IF(AS2=Projections!$D$19,Projections!$B$21,IF(AS2&gt;Projections!$D$19,MAX(Projections!$B$23,AR10*(1-Projections!$B$22)),0))</f>
        <v>2</v>
      </c>
      <c r="AT10" s="56">
        <f>IF(AT2=Projections!$D$19,Projections!$B$21,IF(AT2&gt;Projections!$D$19,MAX(Projections!$B$23,AS10*(1-Projections!$B$22)),0))</f>
        <v>2</v>
      </c>
      <c r="AU10" s="56">
        <f>IF(AU2=Projections!$D$19,Projections!$B$21,IF(AU2&gt;Projections!$D$19,MAX(Projections!$B$23,AT10*(1-Projections!$B$22)),0))</f>
        <v>2</v>
      </c>
      <c r="AV10" s="56">
        <f>IF(AV2=Projections!$D$19,Projections!$B$21,IF(AV2&gt;Projections!$D$19,MAX(Projections!$B$23,AU10*(1-Projections!$B$22)),0))</f>
        <v>2</v>
      </c>
      <c r="AW10" s="56">
        <f>IF(AW2=Projections!$D$19,Projections!$B$21,IF(AW2&gt;Projections!$D$19,MAX(Projections!$B$23,AV10*(1-Projections!$B$22)),0))</f>
        <v>2</v>
      </c>
      <c r="AX10" s="56">
        <f>IF(AX2=Projections!$D$19,Projections!$B$21,IF(AX2&gt;Projections!$D$19,MAX(Projections!$B$23,AW10*(1-Projections!$B$22)),0))</f>
        <v>2</v>
      </c>
      <c r="AY10" s="56">
        <f>IF(AY2=Projections!$D$19,Projections!$B$21,IF(AY2&gt;Projections!$D$19,MAX(Projections!$B$23,AX10*(1-Projections!$B$22)),0))</f>
        <v>2</v>
      </c>
      <c r="AZ10" s="56">
        <f>IF(AZ2=Projections!$D$19,Projections!$B$21,IF(AZ2&gt;Projections!$D$19,MAX(Projections!$B$23,AY10*(1-Projections!$B$22)),0))</f>
        <v>2</v>
      </c>
      <c r="BA10" s="56">
        <f>IF(BA2=Projections!$D$19,Projections!$B$21,IF(BA2&gt;Projections!$D$19,MAX(Projections!$B$23,AZ10*(1-Projections!$B$22)),0))</f>
        <v>2</v>
      </c>
      <c r="BB10" s="56">
        <f>IF(BB2=Projections!$D$19,Projections!$B$21,IF(BB2&gt;Projections!$D$19,MAX(Projections!$B$23,BA10*(1-Projections!$B$22)),0))</f>
        <v>2</v>
      </c>
      <c r="BC10" s="56">
        <f>IF(BC2=Projections!$D$19,Projections!$B$21,IF(BC2&gt;Projections!$D$19,MAX(Projections!$B$23,BB10*(1-Projections!$B$22)),0))</f>
        <v>2</v>
      </c>
      <c r="BD10" s="56">
        <f>IF(BD2=Projections!$D$19,Projections!$B$21,IF(BD2&gt;Projections!$D$19,MAX(Projections!$B$23,BC10*(1-Projections!$B$22)),0))</f>
        <v>2</v>
      </c>
      <c r="BE10" s="56">
        <f>IF(BE2=Projections!$D$19,Projections!$B$21,IF(BE2&gt;Projections!$D$19,MAX(Projections!$B$23,BD10*(1-Projections!$B$22)),0))</f>
        <v>2</v>
      </c>
      <c r="BF10" s="56">
        <f>IF(BF2=Projections!$D$19,Projections!$B$21,IF(BF2&gt;Projections!$D$19,MAX(Projections!$B$23,BE10*(1-Projections!$B$22)),0))</f>
        <v>2</v>
      </c>
      <c r="BG10" s="56">
        <f>IF(BG2=Projections!$D$19,Projections!$B$21,IF(BG2&gt;Projections!$D$19,MAX(Projections!$B$23,BF10*(1-Projections!$B$22)),0))</f>
        <v>2</v>
      </c>
      <c r="BH10" s="56">
        <f>IF(BH2=Projections!$D$19,Projections!$B$21,IF(BH2&gt;Projections!$D$19,MAX(Projections!$B$23,BG10*(1-Projections!$B$22)),0))</f>
        <v>2</v>
      </c>
      <c r="BI10" s="56">
        <f>IF(BI2=Projections!$D$19,Projections!$B$21,IF(BI2&gt;Projections!$D$19,MAX(Projections!$B$23,BH10*(1-Projections!$B$22)),0))</f>
        <v>2</v>
      </c>
      <c r="BJ10" s="56">
        <f>IF(BJ2=Projections!$D$19,Projections!$B$21,IF(BJ2&gt;Projections!$D$19,MAX(Projections!$B$23,BI10*(1-Projections!$B$22)),0))</f>
        <v>2</v>
      </c>
      <c r="BK10" s="56">
        <f>IF(BK2=Projections!$D$19,Projections!$B$21,IF(BK2&gt;Projections!$D$19,MAX(Projections!$B$23,BJ10*(1-Projections!$B$22)),0))</f>
        <v>2</v>
      </c>
      <c r="BL10" s="56">
        <f>IF(BL2=Projections!$D$19,Projections!$B$21,IF(BL2&gt;Projections!$D$19,MAX(Projections!$B$23,BK10*(1-Projections!$B$22)),0))</f>
        <v>2</v>
      </c>
      <c r="BM10" s="56">
        <f>IF(BM2=Projections!$D$19,Projections!$B$21,IF(BM2&gt;Projections!$D$19,MAX(Projections!$B$23,BL10*(1-Projections!$B$22)),0))</f>
        <v>2</v>
      </c>
      <c r="BN10" s="56">
        <f>IF(BN2=Projections!$D$19,Projections!$B$21,IF(BN2&gt;Projections!$D$19,MAX(Projections!$B$23,BM10*(1-Projections!$B$22)),0))</f>
        <v>2</v>
      </c>
      <c r="BO10" s="56">
        <f>IF(BO2=Projections!$D$19,Projections!$B$21,IF(BO2&gt;Projections!$D$19,MAX(Projections!$B$23,BN10*(1-Projections!$B$22)),0))</f>
        <v>2</v>
      </c>
      <c r="BP10" s="56">
        <f>IF(BP2=Projections!$D$19,Projections!$B$21,IF(BP2&gt;Projections!$D$19,MAX(Projections!$B$23,BO10*(1-Projections!$B$22)),0))</f>
        <v>2</v>
      </c>
      <c r="BQ10" s="56">
        <f>IF(BQ2=Projections!$D$19,Projections!$B$21,IF(BQ2&gt;Projections!$D$19,MAX(Projections!$B$23,BP10*(1-Projections!$B$22)),0))</f>
        <v>2</v>
      </c>
      <c r="BR10" s="56">
        <f>IF(BR2=Projections!$D$19,Projections!$B$21,IF(BR2&gt;Projections!$D$19,MAX(Projections!$B$23,BQ10*(1-Projections!$B$22)),0))</f>
        <v>2</v>
      </c>
      <c r="BS10" s="56">
        <f>IF(BS2=Projections!$D$19,Projections!$B$21,IF(BS2&gt;Projections!$D$19,MAX(Projections!$B$23,BR10*(1-Projections!$B$22)),0))</f>
        <v>2</v>
      </c>
      <c r="BT10" s="56">
        <f>IF(BT2=Projections!$D$19,Projections!$B$21,IF(BT2&gt;Projections!$D$19,MAX(Projections!$B$23,BS10*(1-Projections!$B$22)),0))</f>
        <v>2</v>
      </c>
      <c r="BU10" s="56">
        <f>IF(BU2=Projections!$D$19,Projections!$B$21,IF(BU2&gt;Projections!$D$19,MAX(Projections!$B$23,BT10*(1-Projections!$B$22)),0))</f>
        <v>2</v>
      </c>
      <c r="BV10" s="56">
        <f>IF(BV2=Projections!$D$19,Projections!$B$21,IF(BV2&gt;Projections!$D$19,MAX(Projections!$B$23,BU10*(1-Projections!$B$22)),0))</f>
        <v>2</v>
      </c>
      <c r="BW10" s="56">
        <f>IF(BW2=Projections!$D$19,Projections!$B$21,IF(BW2&gt;Projections!$D$19,MAX(Projections!$B$23,BV10*(1-Projections!$B$22)),0))</f>
        <v>2</v>
      </c>
      <c r="BX10" s="56">
        <f>IF(BX2=Projections!$D$19,Projections!$B$21,IF(BX2&gt;Projections!$D$19,MAX(Projections!$B$23,BW10*(1-Projections!$B$22)),0))</f>
        <v>2</v>
      </c>
      <c r="BY10" s="56">
        <f>IF(BY2=Projections!$D$19,Projections!$B$21,IF(BY2&gt;Projections!$D$19,MAX(Projections!$B$23,BX10*(1-Projections!$B$22)),0))</f>
        <v>2</v>
      </c>
      <c r="BZ10" s="56">
        <f>IF(BZ2=Projections!$D$19,Projections!$B$21,IF(BZ2&gt;Projections!$D$19,MAX(Projections!$B$23,BY10*(1-Projections!$B$22)),0))</f>
        <v>2</v>
      </c>
      <c r="CA10" s="56">
        <f>IF(CA2=Projections!$D$19,Projections!$B$21,IF(CA2&gt;Projections!$D$19,MAX(Projections!$B$23,BZ10*(1-Projections!$B$22)),0))</f>
        <v>2</v>
      </c>
      <c r="CB10" s="56">
        <f>IF(CB2=Projections!$D$19,Projections!$B$21,IF(CB2&gt;Projections!$D$19,MAX(Projections!$B$23,CA10*(1-Projections!$B$22)),0))</f>
        <v>2</v>
      </c>
      <c r="CC10" s="56">
        <f>IF(CC2=Projections!$D$19,Projections!$B$21,IF(CC2&gt;Projections!$D$19,MAX(Projections!$B$23,CB10*(1-Projections!$B$22)),0))</f>
        <v>2</v>
      </c>
      <c r="CD10" s="56">
        <f>IF(CD2=Projections!$D$19,Projections!$B$21,IF(CD2&gt;Projections!$D$19,MAX(Projections!$B$23,CC10*(1-Projections!$B$22)),0))</f>
        <v>2</v>
      </c>
      <c r="CE10" s="56">
        <f>IF(CE2=Projections!$D$19,Projections!$B$21,IF(CE2&gt;Projections!$D$19,MAX(Projections!$B$23,CD10*(1-Projections!$B$22)),0))</f>
        <v>2</v>
      </c>
      <c r="CF10" s="56">
        <f>IF(CF2=Projections!$D$19,Projections!$B$21,IF(CF2&gt;Projections!$D$19,MAX(Projections!$B$23,CE10*(1-Projections!$B$22)),0))</f>
        <v>2</v>
      </c>
      <c r="CG10" s="56">
        <f>IF(CG2=Projections!$D$19,Projections!$B$21,IF(CG2&gt;Projections!$D$19,MAX(Projections!$B$23,CF10*(1-Projections!$B$22)),0))</f>
        <v>2</v>
      </c>
      <c r="CH10" s="56">
        <f>IF(CH2=Projections!$D$19,Projections!$B$21,IF(CH2&gt;Projections!$D$19,MAX(Projections!$B$23,CG10*(1-Projections!$B$22)),0))</f>
        <v>2</v>
      </c>
      <c r="CI10" s="56">
        <f>IF(CI2=Projections!$D$19,Projections!$B$21,IF(CI2&gt;Projections!$D$19,MAX(Projections!$B$23,CH10*(1-Projections!$B$22)),0))</f>
        <v>2</v>
      </c>
      <c r="CJ10" s="56">
        <f>IF(CJ2=Projections!$D$19,Projections!$B$21,IF(CJ2&gt;Projections!$D$19,MAX(Projections!$B$23,CI10*(1-Projections!$B$22)),0))</f>
        <v>2</v>
      </c>
      <c r="CK10" s="56">
        <f>IF(CK2=Projections!$D$19,Projections!$B$21,IF(CK2&gt;Projections!$D$19,MAX(Projections!$B$23,CJ10*(1-Projections!$B$22)),0))</f>
        <v>2</v>
      </c>
      <c r="CL10" s="56">
        <f>IF(CL2=Projections!$D$19,Projections!$B$21,IF(CL2&gt;Projections!$D$19,MAX(Projections!$B$23,CK10*(1-Projections!$B$22)),0))</f>
        <v>2</v>
      </c>
      <c r="CM10" s="56">
        <f>IF(CM2=Projections!$D$19,Projections!$B$21,IF(CM2&gt;Projections!$D$19,MAX(Projections!$B$23,CL10*(1-Projections!$B$22)),0))</f>
        <v>2</v>
      </c>
      <c r="CN10" s="56">
        <f>IF(CN2=Projections!$D$19,Projections!$B$21,IF(CN2&gt;Projections!$D$19,MAX(Projections!$B$23,CM10*(1-Projections!$B$22)),0))</f>
        <v>2</v>
      </c>
      <c r="CO10" s="56">
        <f>IF(CO2=Projections!$D$19,Projections!$B$21,IF(CO2&gt;Projections!$D$19,MAX(Projections!$B$23,CN10*(1-Projections!$B$22)),0))</f>
        <v>2</v>
      </c>
      <c r="CP10" s="56">
        <f>IF(CP2=Projections!$D$19,Projections!$B$21,IF(CP2&gt;Projections!$D$19,MAX(Projections!$B$23,CO10*(1-Projections!$B$22)),0))</f>
        <v>2</v>
      </c>
      <c r="CQ10" s="56">
        <f>IF(CQ2=Projections!$D$19,Projections!$B$21,IF(CQ2&gt;Projections!$D$19,MAX(Projections!$B$23,CP10*(1-Projections!$B$22)),0))</f>
        <v>2</v>
      </c>
      <c r="CR10" s="56">
        <f>IF(CR2=Projections!$D$19,Projections!$B$21,IF(CR2&gt;Projections!$D$19,MAX(Projections!$B$23,CQ10*(1-Projections!$B$22)),0))</f>
        <v>2</v>
      </c>
      <c r="CS10" s="56">
        <f>IF(CS2=Projections!$D$19,Projections!$B$21,IF(CS2&gt;Projections!$D$19,MAX(Projections!$B$23,CR10*(1-Projections!$B$22)),0))</f>
        <v>2</v>
      </c>
      <c r="CT10" s="56">
        <f>IF(CT2=Projections!$D$19,Projections!$B$21,IF(CT2&gt;Projections!$D$19,MAX(Projections!$B$23,CS10*(1-Projections!$B$22)),0))</f>
        <v>2</v>
      </c>
      <c r="CU10" s="56">
        <f>IF(CU2=Projections!$D$19,Projections!$B$21,IF(CU2&gt;Projections!$D$19,MAX(Projections!$B$23,CT10*(1-Projections!$B$22)),0))</f>
        <v>2</v>
      </c>
      <c r="CV10" s="56">
        <f>IF(CV2=Projections!$D$19,Projections!$B$21,IF(CV2&gt;Projections!$D$19,MAX(Projections!$B$23,CU10*(1-Projections!$B$22)),0))</f>
        <v>2</v>
      </c>
      <c r="CW10" s="56">
        <f>IF(CW2=Projections!$D$19,Projections!$B$21,IF(CW2&gt;Projections!$D$19,MAX(Projections!$B$23,CV10*(1-Projections!$B$22)),0))</f>
        <v>2</v>
      </c>
      <c r="CX10" s="56">
        <f>IF(CX2=Projections!$D$19,Projections!$B$21,IF(CX2&gt;Projections!$D$19,MAX(Projections!$B$23,CW10*(1-Projections!$B$22)),0))</f>
        <v>2</v>
      </c>
    </row>
    <row r="11" ht="15.75" customHeight="1" outlineLevel="1">
      <c r="A11" s="135" t="s">
        <v>131</v>
      </c>
      <c r="B11" s="136"/>
      <c r="C11" s="136"/>
      <c r="D11" s="136"/>
      <c r="E11" s="136">
        <f t="shared" ref="E11:CX11" si="2">IFERROR(E65/E10,0)</f>
        <v>333.3333333</v>
      </c>
      <c r="F11" s="136">
        <f t="shared" si="2"/>
        <v>350.877193</v>
      </c>
      <c r="G11" s="136">
        <f t="shared" si="2"/>
        <v>369.3444137</v>
      </c>
      <c r="H11" s="136">
        <f t="shared" si="2"/>
        <v>388.7835933</v>
      </c>
      <c r="I11" s="136">
        <f t="shared" si="2"/>
        <v>409.2458877</v>
      </c>
      <c r="J11" s="136">
        <f t="shared" si="2"/>
        <v>430.785145</v>
      </c>
      <c r="K11" s="136">
        <f t="shared" si="2"/>
        <v>453.4580473</v>
      </c>
      <c r="L11" s="136">
        <f t="shared" si="2"/>
        <v>477.3242604</v>
      </c>
      <c r="M11" s="136">
        <f t="shared" si="2"/>
        <v>500</v>
      </c>
      <c r="N11" s="136">
        <f t="shared" si="2"/>
        <v>500</v>
      </c>
      <c r="O11" s="136">
        <f t="shared" si="2"/>
        <v>500</v>
      </c>
      <c r="P11" s="136">
        <f t="shared" si="2"/>
        <v>500</v>
      </c>
      <c r="Q11" s="136">
        <f t="shared" si="2"/>
        <v>500</v>
      </c>
      <c r="R11" s="136">
        <f t="shared" si="2"/>
        <v>500</v>
      </c>
      <c r="S11" s="136">
        <f t="shared" si="2"/>
        <v>500</v>
      </c>
      <c r="T11" s="136">
        <f t="shared" si="2"/>
        <v>500</v>
      </c>
      <c r="U11" s="136">
        <f t="shared" si="2"/>
        <v>500</v>
      </c>
      <c r="V11" s="136">
        <f t="shared" si="2"/>
        <v>500</v>
      </c>
      <c r="W11" s="136">
        <f t="shared" si="2"/>
        <v>500</v>
      </c>
      <c r="X11" s="136">
        <f t="shared" si="2"/>
        <v>500</v>
      </c>
      <c r="Y11" s="136">
        <f t="shared" si="2"/>
        <v>500</v>
      </c>
      <c r="Z11" s="136">
        <f t="shared" si="2"/>
        <v>500</v>
      </c>
      <c r="AA11" s="136">
        <f t="shared" si="2"/>
        <v>500</v>
      </c>
      <c r="AB11" s="136">
        <f t="shared" si="2"/>
        <v>500</v>
      </c>
      <c r="AC11" s="136">
        <f t="shared" si="2"/>
        <v>500</v>
      </c>
      <c r="AD11" s="136">
        <f t="shared" si="2"/>
        <v>500</v>
      </c>
      <c r="AE11" s="136">
        <f t="shared" si="2"/>
        <v>500</v>
      </c>
      <c r="AF11" s="136">
        <f t="shared" si="2"/>
        <v>500</v>
      </c>
      <c r="AG11" s="136">
        <f t="shared" si="2"/>
        <v>500</v>
      </c>
      <c r="AH11" s="136">
        <f t="shared" si="2"/>
        <v>500</v>
      </c>
      <c r="AI11" s="136">
        <f t="shared" si="2"/>
        <v>500</v>
      </c>
      <c r="AJ11" s="136">
        <f t="shared" si="2"/>
        <v>500</v>
      </c>
      <c r="AK11" s="136">
        <f t="shared" si="2"/>
        <v>500</v>
      </c>
      <c r="AL11" s="136">
        <f t="shared" si="2"/>
        <v>500</v>
      </c>
      <c r="AM11" s="136">
        <f t="shared" si="2"/>
        <v>500</v>
      </c>
      <c r="AN11" s="136">
        <f t="shared" si="2"/>
        <v>500</v>
      </c>
      <c r="AO11" s="136">
        <f t="shared" si="2"/>
        <v>500</v>
      </c>
      <c r="AP11" s="136">
        <f t="shared" si="2"/>
        <v>500</v>
      </c>
      <c r="AQ11" s="136">
        <f t="shared" si="2"/>
        <v>500</v>
      </c>
      <c r="AR11" s="136">
        <f t="shared" si="2"/>
        <v>500</v>
      </c>
      <c r="AS11" s="136">
        <f t="shared" si="2"/>
        <v>500</v>
      </c>
      <c r="AT11" s="136">
        <f t="shared" si="2"/>
        <v>500</v>
      </c>
      <c r="AU11" s="136">
        <f t="shared" si="2"/>
        <v>500</v>
      </c>
      <c r="AV11" s="136">
        <f t="shared" si="2"/>
        <v>500</v>
      </c>
      <c r="AW11" s="136">
        <f t="shared" si="2"/>
        <v>500</v>
      </c>
      <c r="AX11" s="136">
        <f t="shared" si="2"/>
        <v>500</v>
      </c>
      <c r="AY11" s="136">
        <f t="shared" si="2"/>
        <v>500</v>
      </c>
      <c r="AZ11" s="136">
        <f t="shared" si="2"/>
        <v>500</v>
      </c>
      <c r="BA11" s="136">
        <f t="shared" si="2"/>
        <v>500</v>
      </c>
      <c r="BB11" s="136">
        <f t="shared" si="2"/>
        <v>500</v>
      </c>
      <c r="BC11" s="136">
        <f t="shared" si="2"/>
        <v>500</v>
      </c>
      <c r="BD11" s="136">
        <f t="shared" si="2"/>
        <v>500</v>
      </c>
      <c r="BE11" s="136">
        <f t="shared" si="2"/>
        <v>500</v>
      </c>
      <c r="BF11" s="136">
        <f t="shared" si="2"/>
        <v>500</v>
      </c>
      <c r="BG11" s="136">
        <f t="shared" si="2"/>
        <v>500</v>
      </c>
      <c r="BH11" s="136">
        <f t="shared" si="2"/>
        <v>500</v>
      </c>
      <c r="BI11" s="136">
        <f t="shared" si="2"/>
        <v>500</v>
      </c>
      <c r="BJ11" s="136">
        <f t="shared" si="2"/>
        <v>500</v>
      </c>
      <c r="BK11" s="136">
        <f t="shared" si="2"/>
        <v>500</v>
      </c>
      <c r="BL11" s="136">
        <f t="shared" si="2"/>
        <v>500</v>
      </c>
      <c r="BM11" s="136">
        <f t="shared" si="2"/>
        <v>500</v>
      </c>
      <c r="BN11" s="136">
        <f t="shared" si="2"/>
        <v>500</v>
      </c>
      <c r="BO11" s="136">
        <f t="shared" si="2"/>
        <v>500</v>
      </c>
      <c r="BP11" s="136">
        <f t="shared" si="2"/>
        <v>500</v>
      </c>
      <c r="BQ11" s="136">
        <f t="shared" si="2"/>
        <v>500</v>
      </c>
      <c r="BR11" s="136">
        <f t="shared" si="2"/>
        <v>500</v>
      </c>
      <c r="BS11" s="136">
        <f t="shared" si="2"/>
        <v>500</v>
      </c>
      <c r="BT11" s="136">
        <f t="shared" si="2"/>
        <v>500</v>
      </c>
      <c r="BU11" s="136">
        <f t="shared" si="2"/>
        <v>500</v>
      </c>
      <c r="BV11" s="136">
        <f t="shared" si="2"/>
        <v>500</v>
      </c>
      <c r="BW11" s="136">
        <f t="shared" si="2"/>
        <v>500</v>
      </c>
      <c r="BX11" s="136">
        <f t="shared" si="2"/>
        <v>500</v>
      </c>
      <c r="BY11" s="136">
        <f t="shared" si="2"/>
        <v>500</v>
      </c>
      <c r="BZ11" s="136">
        <f t="shared" si="2"/>
        <v>500</v>
      </c>
      <c r="CA11" s="136">
        <f t="shared" si="2"/>
        <v>500</v>
      </c>
      <c r="CB11" s="136">
        <f t="shared" si="2"/>
        <v>500</v>
      </c>
      <c r="CC11" s="136">
        <f t="shared" si="2"/>
        <v>500</v>
      </c>
      <c r="CD11" s="136">
        <f t="shared" si="2"/>
        <v>500</v>
      </c>
      <c r="CE11" s="136">
        <f t="shared" si="2"/>
        <v>500</v>
      </c>
      <c r="CF11" s="136">
        <f t="shared" si="2"/>
        <v>500</v>
      </c>
      <c r="CG11" s="136">
        <f t="shared" si="2"/>
        <v>500</v>
      </c>
      <c r="CH11" s="136">
        <f t="shared" si="2"/>
        <v>500</v>
      </c>
      <c r="CI11" s="136">
        <f t="shared" si="2"/>
        <v>500</v>
      </c>
      <c r="CJ11" s="136">
        <f t="shared" si="2"/>
        <v>500</v>
      </c>
      <c r="CK11" s="136">
        <f t="shared" si="2"/>
        <v>500</v>
      </c>
      <c r="CL11" s="136">
        <f t="shared" si="2"/>
        <v>500</v>
      </c>
      <c r="CM11" s="136">
        <f t="shared" si="2"/>
        <v>500</v>
      </c>
      <c r="CN11" s="136">
        <f t="shared" si="2"/>
        <v>500</v>
      </c>
      <c r="CO11" s="136">
        <f t="shared" si="2"/>
        <v>500</v>
      </c>
      <c r="CP11" s="136">
        <f t="shared" si="2"/>
        <v>500</v>
      </c>
      <c r="CQ11" s="136">
        <f t="shared" si="2"/>
        <v>500</v>
      </c>
      <c r="CR11" s="136">
        <f t="shared" si="2"/>
        <v>500</v>
      </c>
      <c r="CS11" s="136">
        <f t="shared" si="2"/>
        <v>500</v>
      </c>
      <c r="CT11" s="136">
        <f t="shared" si="2"/>
        <v>500</v>
      </c>
      <c r="CU11" s="136">
        <f t="shared" si="2"/>
        <v>500</v>
      </c>
      <c r="CV11" s="136">
        <f t="shared" si="2"/>
        <v>500</v>
      </c>
      <c r="CW11" s="136">
        <f t="shared" si="2"/>
        <v>500</v>
      </c>
      <c r="CX11" s="136">
        <f t="shared" si="2"/>
        <v>500</v>
      </c>
    </row>
    <row r="12" ht="15.75" customHeight="1" outlineLevel="1">
      <c r="A12" s="137" t="s">
        <v>208</v>
      </c>
      <c r="B12" s="138"/>
      <c r="C12" s="138"/>
      <c r="D12" s="138"/>
      <c r="E12" s="138">
        <f t="shared" ref="E12:CX12" si="3">SUM(E9:E11)</f>
        <v>1336.333333</v>
      </c>
      <c r="F12" s="138">
        <f t="shared" si="3"/>
        <v>1403.727193</v>
      </c>
      <c r="G12" s="138">
        <f t="shared" si="3"/>
        <v>1474.551914</v>
      </c>
      <c r="H12" s="138">
        <f t="shared" si="3"/>
        <v>1548.980718</v>
      </c>
      <c r="I12" s="138">
        <f t="shared" si="3"/>
        <v>1627.195656</v>
      </c>
      <c r="J12" s="138">
        <f t="shared" si="3"/>
        <v>1709.38805</v>
      </c>
      <c r="K12" s="138">
        <f t="shared" si="3"/>
        <v>1795.758964</v>
      </c>
      <c r="L12" s="138">
        <f t="shared" si="3"/>
        <v>1886.519695</v>
      </c>
      <c r="M12" s="138">
        <f t="shared" si="3"/>
        <v>1979.455444</v>
      </c>
      <c r="N12" s="138">
        <f t="shared" si="3"/>
        <v>2053.328216</v>
      </c>
      <c r="O12" s="138">
        <f t="shared" si="3"/>
        <v>2130.894627</v>
      </c>
      <c r="P12" s="138">
        <f t="shared" si="3"/>
        <v>2212.339358</v>
      </c>
      <c r="Q12" s="138">
        <f t="shared" si="3"/>
        <v>2297.856326</v>
      </c>
      <c r="R12" s="138">
        <f t="shared" si="3"/>
        <v>2387.649142</v>
      </c>
      <c r="S12" s="138">
        <f t="shared" si="3"/>
        <v>2481.931599</v>
      </c>
      <c r="T12" s="138">
        <f t="shared" si="3"/>
        <v>2580.928179</v>
      </c>
      <c r="U12" s="138">
        <f t="shared" si="3"/>
        <v>2684.874588</v>
      </c>
      <c r="V12" s="138">
        <f t="shared" si="3"/>
        <v>2794.018318</v>
      </c>
      <c r="W12" s="138">
        <f t="shared" si="3"/>
        <v>2908.619234</v>
      </c>
      <c r="X12" s="138">
        <f t="shared" si="3"/>
        <v>3028.950195</v>
      </c>
      <c r="Y12" s="138">
        <f t="shared" si="3"/>
        <v>3155.297705</v>
      </c>
      <c r="Z12" s="138">
        <f t="shared" si="3"/>
        <v>3287.96259</v>
      </c>
      <c r="AA12" s="138">
        <f t="shared" si="3"/>
        <v>3427.26072</v>
      </c>
      <c r="AB12" s="138">
        <f t="shared" si="3"/>
        <v>3573.523756</v>
      </c>
      <c r="AC12" s="138">
        <f t="shared" si="3"/>
        <v>3727.099944</v>
      </c>
      <c r="AD12" s="138">
        <f t="shared" si="3"/>
        <v>3888.354941</v>
      </c>
      <c r="AE12" s="138">
        <f t="shared" si="3"/>
        <v>4057.672688</v>
      </c>
      <c r="AF12" s="138">
        <f t="shared" si="3"/>
        <v>4235.456322</v>
      </c>
      <c r="AG12" s="138">
        <f t="shared" si="3"/>
        <v>4422.129138</v>
      </c>
      <c r="AH12" s="138">
        <f t="shared" si="3"/>
        <v>4618.135595</v>
      </c>
      <c r="AI12" s="138">
        <f t="shared" si="3"/>
        <v>4823.942375</v>
      </c>
      <c r="AJ12" s="138">
        <f t="shared" si="3"/>
        <v>5040.039494</v>
      </c>
      <c r="AK12" s="138">
        <f t="shared" si="3"/>
        <v>5266.941469</v>
      </c>
      <c r="AL12" s="138">
        <f t="shared" si="3"/>
        <v>5505.188542</v>
      </c>
      <c r="AM12" s="138">
        <f t="shared" si="3"/>
        <v>5755.347969</v>
      </c>
      <c r="AN12" s="138">
        <f t="shared" si="3"/>
        <v>6018.015368</v>
      </c>
      <c r="AO12" s="138">
        <f t="shared" si="3"/>
        <v>6293.816136</v>
      </c>
      <c r="AP12" s="138">
        <f t="shared" si="3"/>
        <v>6583.406943</v>
      </c>
      <c r="AQ12" s="138">
        <f t="shared" si="3"/>
        <v>6887.47729</v>
      </c>
      <c r="AR12" s="138">
        <f t="shared" si="3"/>
        <v>7206.751154</v>
      </c>
      <c r="AS12" s="138">
        <f t="shared" si="3"/>
        <v>7541.988712</v>
      </c>
      <c r="AT12" s="138">
        <f t="shared" si="3"/>
        <v>7893.988148</v>
      </c>
      <c r="AU12" s="138">
        <f t="shared" si="3"/>
        <v>8263.587555</v>
      </c>
      <c r="AV12" s="138">
        <f t="shared" si="3"/>
        <v>8651.666933</v>
      </c>
      <c r="AW12" s="138">
        <f t="shared" si="3"/>
        <v>9059.15028</v>
      </c>
      <c r="AX12" s="138">
        <f t="shared" si="3"/>
        <v>9487.007793</v>
      </c>
      <c r="AY12" s="138">
        <f t="shared" si="3"/>
        <v>9936.258183</v>
      </c>
      <c r="AZ12" s="138">
        <f t="shared" si="3"/>
        <v>10407.97109</v>
      </c>
      <c r="BA12" s="138">
        <f t="shared" si="3"/>
        <v>10903.26965</v>
      </c>
      <c r="BB12" s="138">
        <f t="shared" si="3"/>
        <v>11423.33313</v>
      </c>
      <c r="BC12" s="138">
        <f t="shared" si="3"/>
        <v>11969.39979</v>
      </c>
      <c r="BD12" s="138">
        <f t="shared" si="3"/>
        <v>12542.76978</v>
      </c>
      <c r="BE12" s="138">
        <f t="shared" si="3"/>
        <v>13144.80826</v>
      </c>
      <c r="BF12" s="138">
        <f t="shared" si="3"/>
        <v>13776.94868</v>
      </c>
      <c r="BG12" s="138">
        <f t="shared" si="3"/>
        <v>14440.69611</v>
      </c>
      <c r="BH12" s="138">
        <f t="shared" si="3"/>
        <v>15137.63092</v>
      </c>
      <c r="BI12" s="138">
        <f t="shared" si="3"/>
        <v>15869.41246</v>
      </c>
      <c r="BJ12" s="138">
        <f t="shared" si="3"/>
        <v>16637.78309</v>
      </c>
      <c r="BK12" s="138">
        <f t="shared" si="3"/>
        <v>17444.57224</v>
      </c>
      <c r="BL12" s="138">
        <f t="shared" si="3"/>
        <v>18291.70085</v>
      </c>
      <c r="BM12" s="138">
        <f t="shared" si="3"/>
        <v>19181.18589</v>
      </c>
      <c r="BN12" s="138">
        <f t="shared" si="3"/>
        <v>20115.14519</v>
      </c>
      <c r="BO12" s="138">
        <f t="shared" si="3"/>
        <v>21095.80245</v>
      </c>
      <c r="BP12" s="138">
        <f t="shared" si="3"/>
        <v>22125.49257</v>
      </c>
      <c r="BQ12" s="138">
        <f t="shared" si="3"/>
        <v>23206.6672</v>
      </c>
      <c r="BR12" s="138">
        <f t="shared" si="3"/>
        <v>24341.90056</v>
      </c>
      <c r="BS12" s="138">
        <f t="shared" si="3"/>
        <v>25533.89559</v>
      </c>
      <c r="BT12" s="138">
        <f t="shared" si="3"/>
        <v>26785.49037</v>
      </c>
      <c r="BU12" s="138">
        <f t="shared" si="3"/>
        <v>28099.66488</v>
      </c>
      <c r="BV12" s="138">
        <f t="shared" si="3"/>
        <v>29479.54813</v>
      </c>
      <c r="BW12" s="138">
        <f t="shared" si="3"/>
        <v>30928.42554</v>
      </c>
      <c r="BX12" s="138">
        <f t="shared" si="3"/>
        <v>32449.74681</v>
      </c>
      <c r="BY12" s="138">
        <f t="shared" si="3"/>
        <v>34047.13415</v>
      </c>
      <c r="BZ12" s="138">
        <f t="shared" si="3"/>
        <v>35724.39086</v>
      </c>
      <c r="CA12" s="138">
        <f t="shared" si="3"/>
        <v>37485.5104</v>
      </c>
      <c r="CB12" s="138">
        <f t="shared" si="3"/>
        <v>39334.68592</v>
      </c>
      <c r="CC12" s="138">
        <f t="shared" si="3"/>
        <v>41276.32022</v>
      </c>
      <c r="CD12" s="138">
        <f t="shared" si="3"/>
        <v>43315.03623</v>
      </c>
      <c r="CE12" s="138">
        <f t="shared" si="3"/>
        <v>45455.68804</v>
      </c>
      <c r="CF12" s="138">
        <f t="shared" si="3"/>
        <v>47703.37244</v>
      </c>
      <c r="CG12" s="138">
        <f t="shared" si="3"/>
        <v>50063.44107</v>
      </c>
      <c r="CH12" s="138">
        <f t="shared" si="3"/>
        <v>52541.51312</v>
      </c>
      <c r="CI12" s="138">
        <f t="shared" si="3"/>
        <v>55143.48878</v>
      </c>
      <c r="CJ12" s="138">
        <f t="shared" si="3"/>
        <v>57875.56322</v>
      </c>
      <c r="CK12" s="138">
        <f t="shared" si="3"/>
        <v>60744.24138</v>
      </c>
      <c r="CL12" s="138">
        <f t="shared" si="3"/>
        <v>63756.35344</v>
      </c>
      <c r="CM12" s="138">
        <f t="shared" si="3"/>
        <v>66919.07112</v>
      </c>
      <c r="CN12" s="138">
        <f t="shared" si="3"/>
        <v>70239.92467</v>
      </c>
      <c r="CO12" s="138">
        <f t="shared" si="3"/>
        <v>73726.82091</v>
      </c>
      <c r="CP12" s="138">
        <f t="shared" si="3"/>
        <v>77388.06195</v>
      </c>
      <c r="CQ12" s="138">
        <f t="shared" si="3"/>
        <v>81232.36505</v>
      </c>
      <c r="CR12" s="138">
        <f t="shared" si="3"/>
        <v>85268.8833</v>
      </c>
      <c r="CS12" s="138">
        <f t="shared" si="3"/>
        <v>89507.22747</v>
      </c>
      <c r="CT12" s="138">
        <f t="shared" si="3"/>
        <v>93957.48884</v>
      </c>
      <c r="CU12" s="138">
        <f t="shared" si="3"/>
        <v>98630.26328</v>
      </c>
      <c r="CV12" s="138">
        <f t="shared" si="3"/>
        <v>100502</v>
      </c>
      <c r="CW12" s="138">
        <f t="shared" si="3"/>
        <v>100502</v>
      </c>
      <c r="CX12" s="138">
        <f t="shared" si="3"/>
        <v>100502</v>
      </c>
    </row>
    <row r="13" ht="15.75" customHeight="1" outlineLevel="1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6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6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ht="15.75" customHeight="1">
      <c r="A15" s="130" t="str">
        <f>Projections!A33</f>
        <v>REVENUE STREAM 1: SELF-SERVICE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  <c r="CK15" s="130"/>
      <c r="CL15" s="130"/>
      <c r="CM15" s="130"/>
      <c r="CN15" s="130"/>
      <c r="CO15" s="130"/>
      <c r="CP15" s="130"/>
      <c r="CQ15" s="130"/>
      <c r="CR15" s="130"/>
      <c r="CS15" s="130"/>
      <c r="CT15" s="130"/>
      <c r="CU15" s="130"/>
      <c r="CV15" s="130"/>
      <c r="CW15" s="130"/>
      <c r="CX15" s="130"/>
    </row>
    <row r="16" ht="15.75" customHeight="1" outlineLevel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ht="15.75" customHeight="1" outlineLevel="1">
      <c r="A17" s="5" t="s">
        <v>209</v>
      </c>
      <c r="B17" s="1"/>
      <c r="C17" s="1"/>
      <c r="D17" s="139"/>
      <c r="E17" s="139">
        <f>if(E2&gt;=Projections!$D$28,E12*Projections!$B$36,0)</f>
        <v>6.681666667</v>
      </c>
      <c r="F17" s="139">
        <f>if(F2&gt;=Projections!$D$28,F12*Projections!$B$36,0)</f>
        <v>7.018635965</v>
      </c>
      <c r="G17" s="139">
        <f>if(G2&gt;=Projections!$D$28,G12*Projections!$B$36,0)</f>
        <v>7.372759568</v>
      </c>
      <c r="H17" s="139">
        <f>if(H2&gt;=Projections!$D$28,H12*Projections!$B$36,0)</f>
        <v>7.744903592</v>
      </c>
      <c r="I17" s="139">
        <f>if(I2&gt;=Projections!$D$28,I12*Projections!$B$36,0)</f>
        <v>8.135978282</v>
      </c>
      <c r="J17" s="139">
        <f>if(J2&gt;=Projections!$D$28,J12*Projections!$B$36,0)</f>
        <v>8.546940251</v>
      </c>
      <c r="K17" s="139">
        <f>if(K2&gt;=Projections!$D$28,K12*Projections!$B$36,0)</f>
        <v>8.978794818</v>
      </c>
      <c r="L17" s="139">
        <f>if(L2&gt;=Projections!$D$28,L12*Projections!$B$36,0)</f>
        <v>9.432598474</v>
      </c>
      <c r="M17" s="139">
        <f>if(M2&gt;=Projections!$D$28,M12*Projections!$B$36,0)</f>
        <v>9.897277219</v>
      </c>
      <c r="N17" s="139">
        <f>if(N2&gt;=Projections!$D$28,N12*Projections!$B$36,0)</f>
        <v>10.26664108</v>
      </c>
      <c r="O17" s="139">
        <f>if(O2&gt;=Projections!$D$28,O12*Projections!$B$36,0)</f>
        <v>10.65447313</v>
      </c>
      <c r="P17" s="139">
        <f>if(P2&gt;=Projections!$D$28,P12*Projections!$B$36,0)</f>
        <v>11.06169679</v>
      </c>
      <c r="Q17" s="139">
        <f>if(Q2&gt;=Projections!$D$28,Q12*Projections!$B$36,0)</f>
        <v>11.48928163</v>
      </c>
      <c r="R17" s="139">
        <f>if(R2&gt;=Projections!$D$28,R12*Projections!$B$36,0)</f>
        <v>11.93824571</v>
      </c>
      <c r="S17" s="139">
        <f>if(S2&gt;=Projections!$D$28,S12*Projections!$B$36,0)</f>
        <v>12.409658</v>
      </c>
      <c r="T17" s="139">
        <f>if(T2&gt;=Projections!$D$28,T12*Projections!$B$36,0)</f>
        <v>12.9046409</v>
      </c>
      <c r="U17" s="139">
        <f>if(U2&gt;=Projections!$D$28,U12*Projections!$B$36,0)</f>
        <v>13.42437294</v>
      </c>
      <c r="V17" s="139">
        <f>if(V2&gt;=Projections!$D$28,V12*Projections!$B$36,0)</f>
        <v>13.97009159</v>
      </c>
      <c r="W17" s="139">
        <f>if(W2&gt;=Projections!$D$28,W12*Projections!$B$36,0)</f>
        <v>14.54309617</v>
      </c>
      <c r="X17" s="139">
        <f>if(X2&gt;=Projections!$D$28,X12*Projections!$B$36,0)</f>
        <v>15.14475098</v>
      </c>
      <c r="Y17" s="139">
        <f>if(Y2&gt;=Projections!$D$28,Y12*Projections!$B$36,0)</f>
        <v>15.77648853</v>
      </c>
      <c r="Z17" s="139">
        <f>if(Z2&gt;=Projections!$D$28,Z12*Projections!$B$36,0)</f>
        <v>16.43981295</v>
      </c>
      <c r="AA17" s="139">
        <f>if(AA2&gt;=Projections!$D$28,AA12*Projections!$B$36,0)</f>
        <v>17.1363036</v>
      </c>
      <c r="AB17" s="139">
        <f>if(AB2&gt;=Projections!$D$28,AB12*Projections!$B$36,0)</f>
        <v>17.86761878</v>
      </c>
      <c r="AC17" s="139">
        <f>if(AC2&gt;=Projections!$D$28,AC12*Projections!$B$36,0)</f>
        <v>18.63549972</v>
      </c>
      <c r="AD17" s="139">
        <f>if(AD2&gt;=Projections!$D$28,AD12*Projections!$B$36,0)</f>
        <v>19.4417747</v>
      </c>
      <c r="AE17" s="139">
        <f>if(AE2&gt;=Projections!$D$28,AE12*Projections!$B$36,0)</f>
        <v>20.28836344</v>
      </c>
      <c r="AF17" s="139">
        <f>if(AF2&gt;=Projections!$D$28,AF12*Projections!$B$36,0)</f>
        <v>21.17728161</v>
      </c>
      <c r="AG17" s="139">
        <f>if(AG2&gt;=Projections!$D$28,AG12*Projections!$B$36,0)</f>
        <v>22.11064569</v>
      </c>
      <c r="AH17" s="139">
        <f>if(AH2&gt;=Projections!$D$28,AH12*Projections!$B$36,0)</f>
        <v>23.09067798</v>
      </c>
      <c r="AI17" s="139">
        <f>if(AI2&gt;=Projections!$D$28,AI12*Projections!$B$36,0)</f>
        <v>24.11971188</v>
      </c>
      <c r="AJ17" s="139">
        <f>if(AJ2&gt;=Projections!$D$28,AJ12*Projections!$B$36,0)</f>
        <v>25.20019747</v>
      </c>
      <c r="AK17" s="139">
        <f>if(AK2&gt;=Projections!$D$28,AK12*Projections!$B$36,0)</f>
        <v>26.33470734</v>
      </c>
      <c r="AL17" s="139">
        <f>if(AL2&gt;=Projections!$D$28,AL12*Projections!$B$36,0)</f>
        <v>27.52594271</v>
      </c>
      <c r="AM17" s="139">
        <f>if(AM2&gt;=Projections!$D$28,AM12*Projections!$B$36,0)</f>
        <v>28.77673985</v>
      </c>
      <c r="AN17" s="139">
        <f>if(AN2&gt;=Projections!$D$28,AN12*Projections!$B$36,0)</f>
        <v>30.09007684</v>
      </c>
      <c r="AO17" s="139">
        <f>if(AO2&gt;=Projections!$D$28,AO12*Projections!$B$36,0)</f>
        <v>31.46908068</v>
      </c>
      <c r="AP17" s="139">
        <f>if(AP2&gt;=Projections!$D$28,AP12*Projections!$B$36,0)</f>
        <v>32.91703471</v>
      </c>
      <c r="AQ17" s="139">
        <f>if(AQ2&gt;=Projections!$D$28,AQ12*Projections!$B$36,0)</f>
        <v>34.43738645</v>
      </c>
      <c r="AR17" s="139">
        <f>if(AR2&gt;=Projections!$D$28,AR12*Projections!$B$36,0)</f>
        <v>36.03375577</v>
      </c>
      <c r="AS17" s="139">
        <f>if(AS2&gt;=Projections!$D$28,AS12*Projections!$B$36,0)</f>
        <v>37.70994356</v>
      </c>
      <c r="AT17" s="139">
        <f>if(AT2&gt;=Projections!$D$28,AT12*Projections!$B$36,0)</f>
        <v>39.46994074</v>
      </c>
      <c r="AU17" s="139">
        <f>if(AU2&gt;=Projections!$D$28,AU12*Projections!$B$36,0)</f>
        <v>41.31793778</v>
      </c>
      <c r="AV17" s="139">
        <f>if(AV2&gt;=Projections!$D$28,AV12*Projections!$B$36,0)</f>
        <v>43.25833466</v>
      </c>
      <c r="AW17" s="139">
        <f>if(AW2&gt;=Projections!$D$28,AW12*Projections!$B$36,0)</f>
        <v>45.2957514</v>
      </c>
      <c r="AX17" s="139">
        <f>if(AX2&gt;=Projections!$D$28,AX12*Projections!$B$36,0)</f>
        <v>47.43503897</v>
      </c>
      <c r="AY17" s="139">
        <f>if(AY2&gt;=Projections!$D$28,AY12*Projections!$B$36,0)</f>
        <v>49.68129092</v>
      </c>
      <c r="AZ17" s="139">
        <f>if(AZ2&gt;=Projections!$D$28,AZ12*Projections!$B$36,0)</f>
        <v>52.03985546</v>
      </c>
      <c r="BA17" s="139">
        <f>if(BA2&gt;=Projections!$D$28,BA12*Projections!$B$36,0)</f>
        <v>54.51634823</v>
      </c>
      <c r="BB17" s="139">
        <f>if(BB2&gt;=Projections!$D$28,BB12*Projections!$B$36,0)</f>
        <v>57.11666565</v>
      </c>
      <c r="BC17" s="139">
        <f>if(BC2&gt;=Projections!$D$28,BC12*Projections!$B$36,0)</f>
        <v>59.84699893</v>
      </c>
      <c r="BD17" s="139">
        <f>if(BD2&gt;=Projections!$D$28,BD12*Projections!$B$36,0)</f>
        <v>62.71384888</v>
      </c>
      <c r="BE17" s="139">
        <f>if(BE2&gt;=Projections!$D$28,BE12*Projections!$B$36,0)</f>
        <v>65.72404132</v>
      </c>
      <c r="BF17" s="139">
        <f>if(BF2&gt;=Projections!$D$28,BF12*Projections!$B$36,0)</f>
        <v>68.88474338</v>
      </c>
      <c r="BG17" s="139">
        <f>if(BG2&gt;=Projections!$D$28,BG12*Projections!$B$36,0)</f>
        <v>72.20348055</v>
      </c>
      <c r="BH17" s="139">
        <f>if(BH2&gt;=Projections!$D$28,BH12*Projections!$B$36,0)</f>
        <v>75.68815458</v>
      </c>
      <c r="BI17" s="139">
        <f>if(BI2&gt;=Projections!$D$28,BI12*Projections!$B$36,0)</f>
        <v>79.34706231</v>
      </c>
      <c r="BJ17" s="139">
        <f>if(BJ2&gt;=Projections!$D$28,BJ12*Projections!$B$36,0)</f>
        <v>83.18891543</v>
      </c>
      <c r="BK17" s="139">
        <f>if(BK2&gt;=Projections!$D$28,BK12*Projections!$B$36,0)</f>
        <v>87.2228612</v>
      </c>
      <c r="BL17" s="139">
        <f>if(BL2&gt;=Projections!$D$28,BL12*Projections!$B$36,0)</f>
        <v>91.45850426</v>
      </c>
      <c r="BM17" s="139">
        <f>if(BM2&gt;=Projections!$D$28,BM12*Projections!$B$36,0)</f>
        <v>95.90592947</v>
      </c>
      <c r="BN17" s="139">
        <f>if(BN2&gt;=Projections!$D$28,BN12*Projections!$B$36,0)</f>
        <v>100.5757259</v>
      </c>
      <c r="BO17" s="139">
        <f>if(BO2&gt;=Projections!$D$28,BO12*Projections!$B$36,0)</f>
        <v>105.4790122</v>
      </c>
      <c r="BP17" s="139">
        <f>if(BP2&gt;=Projections!$D$28,BP12*Projections!$B$36,0)</f>
        <v>110.6274629</v>
      </c>
      <c r="BQ17" s="139">
        <f>if(BQ2&gt;=Projections!$D$28,BQ12*Projections!$B$36,0)</f>
        <v>116.033336</v>
      </c>
      <c r="BR17" s="139">
        <f>if(BR2&gt;=Projections!$D$28,BR12*Projections!$B$36,0)</f>
        <v>121.7095028</v>
      </c>
      <c r="BS17" s="139">
        <f>if(BS2&gt;=Projections!$D$28,BS12*Projections!$B$36,0)</f>
        <v>127.6694779</v>
      </c>
      <c r="BT17" s="139">
        <f>if(BT2&gt;=Projections!$D$28,BT12*Projections!$B$36,0)</f>
        <v>133.9274518</v>
      </c>
      <c r="BU17" s="139">
        <f>if(BU2&gt;=Projections!$D$28,BU12*Projections!$B$36,0)</f>
        <v>140.4983244</v>
      </c>
      <c r="BV17" s="139">
        <f>if(BV2&gt;=Projections!$D$28,BV12*Projections!$B$36,0)</f>
        <v>147.3977406</v>
      </c>
      <c r="BW17" s="139">
        <f>if(BW2&gt;=Projections!$D$28,BW12*Projections!$B$36,0)</f>
        <v>154.6421277</v>
      </c>
      <c r="BX17" s="139">
        <f>if(BX2&gt;=Projections!$D$28,BX12*Projections!$B$36,0)</f>
        <v>162.2487341</v>
      </c>
      <c r="BY17" s="139">
        <f>if(BY2&gt;=Projections!$D$28,BY12*Projections!$B$36,0)</f>
        <v>170.2356708</v>
      </c>
      <c r="BZ17" s="139">
        <f>if(BZ2&gt;=Projections!$D$28,BZ12*Projections!$B$36,0)</f>
        <v>178.6219543</v>
      </c>
      <c r="CA17" s="139">
        <f>if(CA2&gt;=Projections!$D$28,CA12*Projections!$B$36,0)</f>
        <v>187.427552</v>
      </c>
      <c r="CB17" s="139">
        <f>if(CB2&gt;=Projections!$D$28,CB12*Projections!$B$36,0)</f>
        <v>196.6734296</v>
      </c>
      <c r="CC17" s="139">
        <f>if(CC2&gt;=Projections!$D$28,CC12*Projections!$B$36,0)</f>
        <v>206.3816011</v>
      </c>
      <c r="CD17" s="139">
        <f>if(CD2&gt;=Projections!$D$28,CD12*Projections!$B$36,0)</f>
        <v>216.5751812</v>
      </c>
      <c r="CE17" s="139">
        <f>if(CE2&gt;=Projections!$D$28,CE12*Projections!$B$36,0)</f>
        <v>227.2784402</v>
      </c>
      <c r="CF17" s="139">
        <f>if(CF2&gt;=Projections!$D$28,CF12*Projections!$B$36,0)</f>
        <v>238.5168622</v>
      </c>
      <c r="CG17" s="139">
        <f>if(CG2&gt;=Projections!$D$28,CG12*Projections!$B$36,0)</f>
        <v>250.3172053</v>
      </c>
      <c r="CH17" s="139">
        <f>if(CH2&gt;=Projections!$D$28,CH12*Projections!$B$36,0)</f>
        <v>262.7075656</v>
      </c>
      <c r="CI17" s="139">
        <f>if(CI2&gt;=Projections!$D$28,CI12*Projections!$B$36,0)</f>
        <v>275.7174439</v>
      </c>
      <c r="CJ17" s="139">
        <f>if(CJ2&gt;=Projections!$D$28,CJ12*Projections!$B$36,0)</f>
        <v>289.3778161</v>
      </c>
      <c r="CK17" s="139">
        <f>if(CK2&gt;=Projections!$D$28,CK12*Projections!$B$36,0)</f>
        <v>303.7212069</v>
      </c>
      <c r="CL17" s="139">
        <f>if(CL2&gt;=Projections!$D$28,CL12*Projections!$B$36,0)</f>
        <v>318.7817672</v>
      </c>
      <c r="CM17" s="139">
        <f>if(CM2&gt;=Projections!$D$28,CM12*Projections!$B$36,0)</f>
        <v>334.5953556</v>
      </c>
      <c r="CN17" s="139">
        <f>if(CN2&gt;=Projections!$D$28,CN12*Projections!$B$36,0)</f>
        <v>351.1996234</v>
      </c>
      <c r="CO17" s="139">
        <f>if(CO2&gt;=Projections!$D$28,CO12*Projections!$B$36,0)</f>
        <v>368.6341045</v>
      </c>
      <c r="CP17" s="139">
        <f>if(CP2&gt;=Projections!$D$28,CP12*Projections!$B$36,0)</f>
        <v>386.9403098</v>
      </c>
      <c r="CQ17" s="139">
        <f>if(CQ2&gt;=Projections!$D$28,CQ12*Projections!$B$36,0)</f>
        <v>406.1618252</v>
      </c>
      <c r="CR17" s="139">
        <f>if(CR2&gt;=Projections!$D$28,CR12*Projections!$B$36,0)</f>
        <v>426.3444165</v>
      </c>
      <c r="CS17" s="139">
        <f>if(CS2&gt;=Projections!$D$28,CS12*Projections!$B$36,0)</f>
        <v>447.5361373</v>
      </c>
      <c r="CT17" s="139">
        <f>if(CT2&gt;=Projections!$D$28,CT12*Projections!$B$36,0)</f>
        <v>469.7874442</v>
      </c>
      <c r="CU17" s="139">
        <f>if(CU2&gt;=Projections!$D$28,CU12*Projections!$B$36,0)</f>
        <v>493.1513164</v>
      </c>
      <c r="CV17" s="139">
        <f>if(CV2&gt;=Projections!$D$28,CV12*Projections!$B$36,0)</f>
        <v>502.51</v>
      </c>
      <c r="CW17" s="139">
        <f>if(CW2&gt;=Projections!$D$28,CW12*Projections!$B$36,0)</f>
        <v>502.51</v>
      </c>
      <c r="CX17" s="139">
        <f>if(CX2&gt;=Projections!$D$28,CX12*Projections!$B$36,0)</f>
        <v>502.51</v>
      </c>
    </row>
    <row r="18" ht="15.75" customHeight="1" outlineLevel="1">
      <c r="A18" s="5" t="s">
        <v>210</v>
      </c>
      <c r="B18" s="1"/>
      <c r="C18" s="1"/>
      <c r="D18" s="1"/>
      <c r="E18" s="34">
        <f>IF(E2&gt;=Projections!$D$28,Projections!$B$30,0)</f>
        <v>0.15</v>
      </c>
      <c r="F18" s="34">
        <f>IF(F2&gt;=Projections!$D$28,Projections!$B$30,0)</f>
        <v>0.15</v>
      </c>
      <c r="G18" s="34">
        <f>IF(G2&gt;=Projections!$D$28,Projections!$B$30,0)</f>
        <v>0.15</v>
      </c>
      <c r="H18" s="34">
        <f>IF(H2&gt;=Projections!$D$28,Projections!$B$30,0)</f>
        <v>0.15</v>
      </c>
      <c r="I18" s="34">
        <f>IF(I2&gt;=Projections!$D$28,Projections!$B$30,0)</f>
        <v>0.15</v>
      </c>
      <c r="J18" s="34">
        <f>IF(J2&gt;=Projections!$D$28,Projections!$B$30,0)</f>
        <v>0.15</v>
      </c>
      <c r="K18" s="34">
        <f>IF(K2&gt;=Projections!$D$28,Projections!$B$30,0)</f>
        <v>0.15</v>
      </c>
      <c r="L18" s="34">
        <f>IF(L2&gt;=Projections!$D$28,Projections!$B$30,0)</f>
        <v>0.15</v>
      </c>
      <c r="M18" s="34">
        <f>IF(M2&gt;=Projections!$D$28,Projections!$B$30,0)</f>
        <v>0.15</v>
      </c>
      <c r="N18" s="34">
        <f>IF(N2&gt;=Projections!$D$28,Projections!$B$30,0)</f>
        <v>0.15</v>
      </c>
      <c r="O18" s="34">
        <f>IF(O2&gt;=Projections!$D$28,Projections!$B$30,0)</f>
        <v>0.15</v>
      </c>
      <c r="P18" s="34">
        <f>IF(P2&gt;=Projections!$D$28,Projections!$B$30,0)</f>
        <v>0.15</v>
      </c>
      <c r="Q18" s="34">
        <f>IF(Q2&gt;=Projections!$D$28,Projections!$B$30,0)</f>
        <v>0.15</v>
      </c>
      <c r="R18" s="34">
        <f>IF(R2&gt;=Projections!$D$28,Projections!$B$30,0)</f>
        <v>0.15</v>
      </c>
      <c r="S18" s="34">
        <f>IF(S2&gt;=Projections!$D$28,Projections!$B$30,0)</f>
        <v>0.15</v>
      </c>
      <c r="T18" s="34">
        <f>IF(T2&gt;=Projections!$D$28,Projections!$B$30,0)</f>
        <v>0.15</v>
      </c>
      <c r="U18" s="34">
        <f>IF(U2&gt;=Projections!$D$28,Projections!$B$30,0)</f>
        <v>0.15</v>
      </c>
      <c r="V18" s="34">
        <f>IF(V2&gt;=Projections!$D$28,Projections!$B$30,0)</f>
        <v>0.15</v>
      </c>
      <c r="W18" s="34">
        <f>IF(W2&gt;=Projections!$D$28,Projections!$B$30,0)</f>
        <v>0.15</v>
      </c>
      <c r="X18" s="34">
        <f>IF(X2&gt;=Projections!$D$28,Projections!$B$30,0)</f>
        <v>0.15</v>
      </c>
      <c r="Y18" s="34">
        <f>IF(Y2&gt;=Projections!$D$28,Projections!$B$30,0)</f>
        <v>0.15</v>
      </c>
      <c r="Z18" s="34">
        <f>IF(Z2&gt;=Projections!$D$28,Projections!$B$30,0)</f>
        <v>0.15</v>
      </c>
      <c r="AA18" s="34">
        <f>IF(AA2&gt;=Projections!$D$28,Projections!$B$30,0)</f>
        <v>0.15</v>
      </c>
      <c r="AB18" s="34">
        <f>IF(AB2&gt;=Projections!$D$28,Projections!$B$30,0)</f>
        <v>0.15</v>
      </c>
      <c r="AC18" s="34">
        <f>IF(AC2&gt;=Projections!$D$28,Projections!$B$30,0)</f>
        <v>0.15</v>
      </c>
      <c r="AD18" s="34">
        <f>IF(AD2&gt;=Projections!$D$28,Projections!$B$30,0)</f>
        <v>0.15</v>
      </c>
      <c r="AE18" s="34">
        <f>IF(AE2&gt;=Projections!$D$28,Projections!$B$30,0)</f>
        <v>0.15</v>
      </c>
      <c r="AF18" s="34">
        <f>IF(AF2&gt;=Projections!$D$28,Projections!$B$30,0)</f>
        <v>0.15</v>
      </c>
      <c r="AG18" s="34">
        <f>IF(AG2&gt;=Projections!$D$28,Projections!$B$30,0)</f>
        <v>0.15</v>
      </c>
      <c r="AH18" s="34">
        <f>IF(AH2&gt;=Projections!$D$28,Projections!$B$30,0)</f>
        <v>0.15</v>
      </c>
      <c r="AI18" s="34">
        <f>IF(AI2&gt;=Projections!$D$28,Projections!$B$30,0)</f>
        <v>0.15</v>
      </c>
      <c r="AJ18" s="34">
        <f>IF(AJ2&gt;=Projections!$D$28,Projections!$B$30,0)</f>
        <v>0.15</v>
      </c>
      <c r="AK18" s="34">
        <f>IF(AK2&gt;=Projections!$D$28,Projections!$B$30,0)</f>
        <v>0.15</v>
      </c>
      <c r="AL18" s="34">
        <f>IF(AL2&gt;=Projections!$D$28,Projections!$B$30,0)</f>
        <v>0.15</v>
      </c>
      <c r="AM18" s="34">
        <f>IF(AM2&gt;=Projections!$D$28,Projections!$B$30,0)</f>
        <v>0.15</v>
      </c>
      <c r="AN18" s="34">
        <f>IF(AN2&gt;=Projections!$D$28,Projections!$B$30,0)</f>
        <v>0.15</v>
      </c>
      <c r="AO18" s="34">
        <f>IF(AO2&gt;=Projections!$D$28,Projections!$B$30,0)</f>
        <v>0.15</v>
      </c>
      <c r="AP18" s="34">
        <f>IF(AP2&gt;=Projections!$D$28,Projections!$B$30,0)</f>
        <v>0.15</v>
      </c>
      <c r="AQ18" s="34">
        <f>IF(AQ2&gt;=Projections!$D$28,Projections!$B$30,0)</f>
        <v>0.15</v>
      </c>
      <c r="AR18" s="34">
        <f>IF(AR2&gt;=Projections!$D$28,Projections!$B$30,0)</f>
        <v>0.15</v>
      </c>
      <c r="AS18" s="34">
        <f>IF(AS2&gt;=Projections!$D$28,Projections!$B$30,0)</f>
        <v>0.15</v>
      </c>
      <c r="AT18" s="34">
        <f>IF(AT2&gt;=Projections!$D$28,Projections!$B$30,0)</f>
        <v>0.15</v>
      </c>
      <c r="AU18" s="34">
        <f>IF(AU2&gt;=Projections!$D$28,Projections!$B$30,0)</f>
        <v>0.15</v>
      </c>
      <c r="AV18" s="34">
        <f>IF(AV2&gt;=Projections!$D$28,Projections!$B$30,0)</f>
        <v>0.15</v>
      </c>
      <c r="AW18" s="34">
        <f>IF(AW2&gt;=Projections!$D$28,Projections!$B$30,0)</f>
        <v>0.15</v>
      </c>
      <c r="AX18" s="34">
        <f>IF(AX2&gt;=Projections!$D$28,Projections!$B$30,0)</f>
        <v>0.15</v>
      </c>
      <c r="AY18" s="34">
        <f>IF(AY2&gt;=Projections!$D$28,Projections!$B$30,0)</f>
        <v>0.15</v>
      </c>
      <c r="AZ18" s="34">
        <f>IF(AZ2&gt;=Projections!$D$28,Projections!$B$30,0)</f>
        <v>0.15</v>
      </c>
      <c r="BA18" s="34">
        <f>IF(BA2&gt;=Projections!$D$28,Projections!$B$30,0)</f>
        <v>0.15</v>
      </c>
      <c r="BB18" s="34">
        <f>IF(BB2&gt;=Projections!$D$28,Projections!$B$30,0)</f>
        <v>0.15</v>
      </c>
      <c r="BC18" s="34">
        <f>IF(BC2&gt;=Projections!$D$28,Projections!$B$30,0)</f>
        <v>0.15</v>
      </c>
      <c r="BD18" s="34">
        <f>IF(BD2&gt;=Projections!$D$28,Projections!$B$30,0)</f>
        <v>0.15</v>
      </c>
      <c r="BE18" s="34">
        <f>IF(BE2&gt;=Projections!$D$28,Projections!$B$30,0)</f>
        <v>0.15</v>
      </c>
      <c r="BF18" s="34">
        <f>IF(BF2&gt;=Projections!$D$28,Projections!$B$30,0)</f>
        <v>0.15</v>
      </c>
      <c r="BG18" s="34">
        <f>IF(BG2&gt;=Projections!$D$28,Projections!$B$30,0)</f>
        <v>0.15</v>
      </c>
      <c r="BH18" s="34">
        <f>IF(BH2&gt;=Projections!$D$28,Projections!$B$30,0)</f>
        <v>0.15</v>
      </c>
      <c r="BI18" s="34">
        <f>IF(BI2&gt;=Projections!$D$28,Projections!$B$30,0)</f>
        <v>0.15</v>
      </c>
      <c r="BJ18" s="34">
        <f>IF(BJ2&gt;=Projections!$D$28,Projections!$B$30,0)</f>
        <v>0.15</v>
      </c>
      <c r="BK18" s="34">
        <f>IF(BK2&gt;=Projections!$D$28,Projections!$B$30,0)</f>
        <v>0.15</v>
      </c>
      <c r="BL18" s="34">
        <f>IF(BL2&gt;=Projections!$D$28,Projections!$B$30,0)</f>
        <v>0.15</v>
      </c>
      <c r="BM18" s="34">
        <f>IF(BM2&gt;=Projections!$D$28,Projections!$B$30,0)</f>
        <v>0.15</v>
      </c>
      <c r="BN18" s="34">
        <f>IF(BN2&gt;=Projections!$D$28,Projections!$B$30,0)</f>
        <v>0.15</v>
      </c>
      <c r="BO18" s="34">
        <f>IF(BO2&gt;=Projections!$D$28,Projections!$B$30,0)</f>
        <v>0.15</v>
      </c>
      <c r="BP18" s="34">
        <f>IF(BP2&gt;=Projections!$D$28,Projections!$B$30,0)</f>
        <v>0.15</v>
      </c>
      <c r="BQ18" s="34">
        <f>IF(BQ2&gt;=Projections!$D$28,Projections!$B$30,0)</f>
        <v>0.15</v>
      </c>
      <c r="BR18" s="34">
        <f>IF(BR2&gt;=Projections!$D$28,Projections!$B$30,0)</f>
        <v>0.15</v>
      </c>
      <c r="BS18" s="34">
        <f>IF(BS2&gt;=Projections!$D$28,Projections!$B$30,0)</f>
        <v>0.15</v>
      </c>
      <c r="BT18" s="34">
        <f>IF(BT2&gt;=Projections!$D$28,Projections!$B$30,0)</f>
        <v>0.15</v>
      </c>
      <c r="BU18" s="34">
        <f>IF(BU2&gt;=Projections!$D$28,Projections!$B$30,0)</f>
        <v>0.15</v>
      </c>
      <c r="BV18" s="34">
        <f>IF(BV2&gt;=Projections!$D$28,Projections!$B$30,0)</f>
        <v>0.15</v>
      </c>
      <c r="BW18" s="34">
        <f>IF(BW2&gt;=Projections!$D$28,Projections!$B$30,0)</f>
        <v>0.15</v>
      </c>
      <c r="BX18" s="34">
        <f>IF(BX2&gt;=Projections!$D$28,Projections!$B$30,0)</f>
        <v>0.15</v>
      </c>
      <c r="BY18" s="34">
        <f>IF(BY2&gt;=Projections!$D$28,Projections!$B$30,0)</f>
        <v>0.15</v>
      </c>
      <c r="BZ18" s="34">
        <f>IF(BZ2&gt;=Projections!$D$28,Projections!$B$30,0)</f>
        <v>0.15</v>
      </c>
      <c r="CA18" s="34">
        <f>IF(CA2&gt;=Projections!$D$28,Projections!$B$30,0)</f>
        <v>0.15</v>
      </c>
      <c r="CB18" s="34">
        <f>IF(CB2&gt;=Projections!$D$28,Projections!$B$30,0)</f>
        <v>0.15</v>
      </c>
      <c r="CC18" s="34">
        <f>IF(CC2&gt;=Projections!$D$28,Projections!$B$30,0)</f>
        <v>0.15</v>
      </c>
      <c r="CD18" s="34">
        <f>IF(CD2&gt;=Projections!$D$28,Projections!$B$30,0)</f>
        <v>0.15</v>
      </c>
      <c r="CE18" s="34">
        <f>IF(CE2&gt;=Projections!$D$28,Projections!$B$30,0)</f>
        <v>0.15</v>
      </c>
      <c r="CF18" s="34">
        <f>IF(CF2&gt;=Projections!$D$28,Projections!$B$30,0)</f>
        <v>0.15</v>
      </c>
      <c r="CG18" s="34">
        <f>IF(CG2&gt;=Projections!$D$28,Projections!$B$30,0)</f>
        <v>0.15</v>
      </c>
      <c r="CH18" s="34">
        <f>IF(CH2&gt;=Projections!$D$28,Projections!$B$30,0)</f>
        <v>0.15</v>
      </c>
      <c r="CI18" s="34">
        <f>IF(CI2&gt;=Projections!$D$28,Projections!$B$30,0)</f>
        <v>0.15</v>
      </c>
      <c r="CJ18" s="34">
        <f>IF(CJ2&gt;=Projections!$D$28,Projections!$B$30,0)</f>
        <v>0.15</v>
      </c>
      <c r="CK18" s="34">
        <f>IF(CK2&gt;=Projections!$D$28,Projections!$B$30,0)</f>
        <v>0.15</v>
      </c>
      <c r="CL18" s="34">
        <f>IF(CL2&gt;=Projections!$D$28,Projections!$B$30,0)</f>
        <v>0.15</v>
      </c>
      <c r="CM18" s="34">
        <f>IF(CM2&gt;=Projections!$D$28,Projections!$B$30,0)</f>
        <v>0.15</v>
      </c>
      <c r="CN18" s="34">
        <f>IF(CN2&gt;=Projections!$D$28,Projections!$B$30,0)</f>
        <v>0.15</v>
      </c>
      <c r="CO18" s="34">
        <f>IF(CO2&gt;=Projections!$D$28,Projections!$B$30,0)</f>
        <v>0.15</v>
      </c>
      <c r="CP18" s="34">
        <f>IF(CP2&gt;=Projections!$D$28,Projections!$B$30,0)</f>
        <v>0.15</v>
      </c>
      <c r="CQ18" s="34">
        <f>IF(CQ2&gt;=Projections!$D$28,Projections!$B$30,0)</f>
        <v>0.15</v>
      </c>
      <c r="CR18" s="34">
        <f>IF(CR2&gt;=Projections!$D$28,Projections!$B$30,0)</f>
        <v>0.15</v>
      </c>
      <c r="CS18" s="34">
        <f>IF(CS2&gt;=Projections!$D$28,Projections!$B$30,0)</f>
        <v>0.15</v>
      </c>
      <c r="CT18" s="34">
        <f>IF(CT2&gt;=Projections!$D$28,Projections!$B$30,0)</f>
        <v>0.15</v>
      </c>
      <c r="CU18" s="34">
        <f>IF(CU2&gt;=Projections!$D$28,Projections!$B$30,0)</f>
        <v>0.15</v>
      </c>
      <c r="CV18" s="34">
        <f>IF(CV2&gt;=Projections!$D$28,Projections!$B$30,0)</f>
        <v>0.15</v>
      </c>
      <c r="CW18" s="34">
        <f>IF(CW2&gt;=Projections!$D$28,Projections!$B$30,0)</f>
        <v>0.15</v>
      </c>
      <c r="CX18" s="34">
        <f>IF(CX2&gt;=Projections!$D$28,Projections!$B$30,0)</f>
        <v>0.15</v>
      </c>
    </row>
    <row r="19" ht="15.75" customHeight="1" outlineLevel="1">
      <c r="A19" s="140" t="s">
        <v>211</v>
      </c>
      <c r="B19" s="139"/>
      <c r="C19" s="139"/>
      <c r="D19" s="139"/>
      <c r="E19" s="139">
        <f t="shared" ref="E19:CX19" si="4">D20*E18</f>
        <v>0</v>
      </c>
      <c r="F19" s="139">
        <f t="shared" si="4"/>
        <v>1.00225</v>
      </c>
      <c r="G19" s="139">
        <f t="shared" si="4"/>
        <v>1.904707895</v>
      </c>
      <c r="H19" s="139">
        <f t="shared" si="4"/>
        <v>2.724915646</v>
      </c>
      <c r="I19" s="139">
        <f t="shared" si="4"/>
        <v>3.477913838</v>
      </c>
      <c r="J19" s="139">
        <f t="shared" si="4"/>
        <v>4.176623504</v>
      </c>
      <c r="K19" s="139">
        <f t="shared" si="4"/>
        <v>4.832171016</v>
      </c>
      <c r="L19" s="139">
        <f t="shared" si="4"/>
        <v>5.454164587</v>
      </c>
      <c r="M19" s="139">
        <f t="shared" si="4"/>
        <v>6.05092967</v>
      </c>
      <c r="N19" s="139">
        <f t="shared" si="4"/>
        <v>6.627881802</v>
      </c>
      <c r="O19" s="139">
        <f t="shared" si="4"/>
        <v>7.173695694</v>
      </c>
      <c r="P19" s="139">
        <f t="shared" si="4"/>
        <v>7.69581231</v>
      </c>
      <c r="Q19" s="139">
        <f t="shared" si="4"/>
        <v>8.200694982</v>
      </c>
      <c r="R19" s="139">
        <f t="shared" si="4"/>
        <v>8.693982979</v>
      </c>
      <c r="S19" s="139">
        <f t="shared" si="4"/>
        <v>9.180622389</v>
      </c>
      <c r="T19" s="139">
        <f t="shared" si="4"/>
        <v>9.66497773</v>
      </c>
      <c r="U19" s="139">
        <f t="shared" si="4"/>
        <v>10.15092721</v>
      </c>
      <c r="V19" s="139">
        <f t="shared" si="4"/>
        <v>10.64194407</v>
      </c>
      <c r="W19" s="139">
        <f t="shared" si="4"/>
        <v>11.14116619</v>
      </c>
      <c r="X19" s="139">
        <f t="shared" si="4"/>
        <v>11.65145569</v>
      </c>
      <c r="Y19" s="139">
        <f t="shared" si="4"/>
        <v>12.17544998</v>
      </c>
      <c r="Z19" s="139">
        <f t="shared" si="4"/>
        <v>12.71560576</v>
      </c>
      <c r="AA19" s="139">
        <f t="shared" si="4"/>
        <v>13.27423684</v>
      </c>
      <c r="AB19" s="139">
        <f t="shared" si="4"/>
        <v>13.85354686</v>
      </c>
      <c r="AC19" s="139">
        <f t="shared" si="4"/>
        <v>14.45565764</v>
      </c>
      <c r="AD19" s="139">
        <f t="shared" si="4"/>
        <v>15.08263396</v>
      </c>
      <c r="AE19" s="139">
        <f t="shared" si="4"/>
        <v>15.73650507</v>
      </c>
      <c r="AF19" s="139">
        <f t="shared" si="4"/>
        <v>16.41928382</v>
      </c>
      <c r="AG19" s="139">
        <f t="shared" si="4"/>
        <v>17.13298349</v>
      </c>
      <c r="AH19" s="139">
        <f t="shared" si="4"/>
        <v>17.87963282</v>
      </c>
      <c r="AI19" s="139">
        <f t="shared" si="4"/>
        <v>18.6612896</v>
      </c>
      <c r="AJ19" s="139">
        <f t="shared" si="4"/>
        <v>19.48005294</v>
      </c>
      <c r="AK19" s="139">
        <f t="shared" si="4"/>
        <v>20.33807462</v>
      </c>
      <c r="AL19" s="139">
        <f t="shared" si="4"/>
        <v>21.23756953</v>
      </c>
      <c r="AM19" s="139">
        <f t="shared" si="4"/>
        <v>22.1808255</v>
      </c>
      <c r="AN19" s="139">
        <f t="shared" si="4"/>
        <v>23.17021265</v>
      </c>
      <c r="AO19" s="139">
        <f t="shared" si="4"/>
        <v>24.20819228</v>
      </c>
      <c r="AP19" s="139">
        <f t="shared" si="4"/>
        <v>25.29732554</v>
      </c>
      <c r="AQ19" s="139">
        <f t="shared" si="4"/>
        <v>26.44028192</v>
      </c>
      <c r="AR19" s="139">
        <f t="shared" si="4"/>
        <v>27.6398476</v>
      </c>
      <c r="AS19" s="139">
        <f t="shared" si="4"/>
        <v>28.89893382</v>
      </c>
      <c r="AT19" s="139">
        <f t="shared" si="4"/>
        <v>30.22058528</v>
      </c>
      <c r="AU19" s="139">
        <f t="shared" si="4"/>
        <v>31.6079886</v>
      </c>
      <c r="AV19" s="139">
        <f t="shared" si="4"/>
        <v>33.06448098</v>
      </c>
      <c r="AW19" s="139">
        <f t="shared" si="4"/>
        <v>34.59355903</v>
      </c>
      <c r="AX19" s="139">
        <f t="shared" si="4"/>
        <v>36.19888789</v>
      </c>
      <c r="AY19" s="139">
        <f t="shared" si="4"/>
        <v>37.88431055</v>
      </c>
      <c r="AZ19" s="139">
        <f t="shared" si="4"/>
        <v>39.6538576</v>
      </c>
      <c r="BA19" s="139">
        <f t="shared" si="4"/>
        <v>41.51175728</v>
      </c>
      <c r="BB19" s="139">
        <f t="shared" si="4"/>
        <v>43.46244593</v>
      </c>
      <c r="BC19" s="139">
        <f t="shared" si="4"/>
        <v>45.51057888</v>
      </c>
      <c r="BD19" s="139">
        <f t="shared" si="4"/>
        <v>47.66104189</v>
      </c>
      <c r="BE19" s="139">
        <f t="shared" si="4"/>
        <v>49.91896294</v>
      </c>
      <c r="BF19" s="139">
        <f t="shared" si="4"/>
        <v>52.2897247</v>
      </c>
      <c r="BG19" s="139">
        <f t="shared" si="4"/>
        <v>54.7789775</v>
      </c>
      <c r="BH19" s="139">
        <f t="shared" si="4"/>
        <v>57.39265296</v>
      </c>
      <c r="BI19" s="139">
        <f t="shared" si="4"/>
        <v>60.1369782</v>
      </c>
      <c r="BJ19" s="139">
        <f t="shared" si="4"/>
        <v>63.01849082</v>
      </c>
      <c r="BK19" s="139">
        <f t="shared" si="4"/>
        <v>66.04405451</v>
      </c>
      <c r="BL19" s="139">
        <f t="shared" si="4"/>
        <v>69.22087551</v>
      </c>
      <c r="BM19" s="139">
        <f t="shared" si="4"/>
        <v>72.55651982</v>
      </c>
      <c r="BN19" s="139">
        <f t="shared" si="4"/>
        <v>76.05893127</v>
      </c>
      <c r="BO19" s="139">
        <f t="shared" si="4"/>
        <v>79.73645047</v>
      </c>
      <c r="BP19" s="139">
        <f t="shared" si="4"/>
        <v>83.59783474</v>
      </c>
      <c r="BQ19" s="139">
        <f t="shared" si="4"/>
        <v>87.65227895</v>
      </c>
      <c r="BR19" s="139">
        <f t="shared" si="4"/>
        <v>91.90943751</v>
      </c>
      <c r="BS19" s="139">
        <f t="shared" si="4"/>
        <v>96.3794473</v>
      </c>
      <c r="BT19" s="139">
        <f t="shared" si="4"/>
        <v>101.0729519</v>
      </c>
      <c r="BU19" s="139">
        <f t="shared" si="4"/>
        <v>106.0011269</v>
      </c>
      <c r="BV19" s="139">
        <f t="shared" si="4"/>
        <v>111.1757065</v>
      </c>
      <c r="BW19" s="139">
        <f t="shared" si="4"/>
        <v>116.6090116</v>
      </c>
      <c r="BX19" s="139">
        <f t="shared" si="4"/>
        <v>122.313979</v>
      </c>
      <c r="BY19" s="139">
        <f t="shared" si="4"/>
        <v>128.3041923</v>
      </c>
      <c r="BZ19" s="139">
        <f t="shared" si="4"/>
        <v>134.5939141</v>
      </c>
      <c r="CA19" s="139">
        <f t="shared" si="4"/>
        <v>141.1981201</v>
      </c>
      <c r="CB19" s="139">
        <f t="shared" si="4"/>
        <v>148.1325349</v>
      </c>
      <c r="CC19" s="139">
        <f t="shared" si="4"/>
        <v>155.4136691</v>
      </c>
      <c r="CD19" s="139">
        <f t="shared" si="4"/>
        <v>163.0588589</v>
      </c>
      <c r="CE19" s="139">
        <f t="shared" si="4"/>
        <v>171.0863072</v>
      </c>
      <c r="CF19" s="139">
        <f t="shared" si="4"/>
        <v>179.5151272</v>
      </c>
      <c r="CG19" s="139">
        <f t="shared" si="4"/>
        <v>188.3653874</v>
      </c>
      <c r="CH19" s="139">
        <f t="shared" si="4"/>
        <v>197.6581601</v>
      </c>
      <c r="CI19" s="139">
        <f t="shared" si="4"/>
        <v>207.4155709</v>
      </c>
      <c r="CJ19" s="139">
        <f t="shared" si="4"/>
        <v>217.6608519</v>
      </c>
      <c r="CK19" s="139">
        <f t="shared" si="4"/>
        <v>228.4183965</v>
      </c>
      <c r="CL19" s="139">
        <f t="shared" si="4"/>
        <v>239.7138181</v>
      </c>
      <c r="CM19" s="139">
        <f t="shared" si="4"/>
        <v>251.5740104</v>
      </c>
      <c r="CN19" s="139">
        <f t="shared" si="4"/>
        <v>264.0272122</v>
      </c>
      <c r="CO19" s="139">
        <f t="shared" si="4"/>
        <v>277.1030739</v>
      </c>
      <c r="CP19" s="139">
        <f t="shared" si="4"/>
        <v>290.8327285</v>
      </c>
      <c r="CQ19" s="139">
        <f t="shared" si="4"/>
        <v>305.2488657</v>
      </c>
      <c r="CR19" s="139">
        <f t="shared" si="4"/>
        <v>320.3858096</v>
      </c>
      <c r="CS19" s="139">
        <f t="shared" si="4"/>
        <v>336.2796006</v>
      </c>
      <c r="CT19" s="139">
        <f t="shared" si="4"/>
        <v>352.9680811</v>
      </c>
      <c r="CU19" s="139">
        <f t="shared" si="4"/>
        <v>370.4909856</v>
      </c>
      <c r="CV19" s="139">
        <f t="shared" si="4"/>
        <v>388.8900352</v>
      </c>
      <c r="CW19" s="139">
        <f t="shared" si="4"/>
        <v>405.9330299</v>
      </c>
      <c r="CX19" s="139">
        <f t="shared" si="4"/>
        <v>420.4195755</v>
      </c>
    </row>
    <row r="20" ht="15.75" customHeight="1" outlineLevel="1">
      <c r="A20" s="5" t="s">
        <v>212</v>
      </c>
      <c r="B20" s="1"/>
      <c r="C20" s="1"/>
      <c r="D20" s="1"/>
      <c r="E20" s="139">
        <f t="shared" ref="E20:CX20" si="5">D20+E17-E19</f>
        <v>6.681666667</v>
      </c>
      <c r="F20" s="139">
        <f t="shared" si="5"/>
        <v>12.69805263</v>
      </c>
      <c r="G20" s="139">
        <f t="shared" si="5"/>
        <v>18.16610431</v>
      </c>
      <c r="H20" s="139">
        <f t="shared" si="5"/>
        <v>23.18609225</v>
      </c>
      <c r="I20" s="139">
        <f t="shared" si="5"/>
        <v>27.8441567</v>
      </c>
      <c r="J20" s="139">
        <f t="shared" si="5"/>
        <v>32.21447344</v>
      </c>
      <c r="K20" s="139">
        <f t="shared" si="5"/>
        <v>36.36109724</v>
      </c>
      <c r="L20" s="139">
        <f t="shared" si="5"/>
        <v>40.33953113</v>
      </c>
      <c r="M20" s="139">
        <f t="shared" si="5"/>
        <v>44.18587868</v>
      </c>
      <c r="N20" s="139">
        <f t="shared" si="5"/>
        <v>47.82463796</v>
      </c>
      <c r="O20" s="139">
        <f t="shared" si="5"/>
        <v>51.3054154</v>
      </c>
      <c r="P20" s="139">
        <f t="shared" si="5"/>
        <v>54.67129988</v>
      </c>
      <c r="Q20" s="139">
        <f t="shared" si="5"/>
        <v>57.95988653</v>
      </c>
      <c r="R20" s="139">
        <f t="shared" si="5"/>
        <v>61.20414926</v>
      </c>
      <c r="S20" s="139">
        <f t="shared" si="5"/>
        <v>64.43318487</v>
      </c>
      <c r="T20" s="139">
        <f t="shared" si="5"/>
        <v>67.67284804</v>
      </c>
      <c r="U20" s="139">
        <f t="shared" si="5"/>
        <v>70.94629377</v>
      </c>
      <c r="V20" s="139">
        <f t="shared" si="5"/>
        <v>74.2744413</v>
      </c>
      <c r="W20" s="139">
        <f t="shared" si="5"/>
        <v>77.67637127</v>
      </c>
      <c r="X20" s="139">
        <f t="shared" si="5"/>
        <v>81.16966656</v>
      </c>
      <c r="Y20" s="139">
        <f t="shared" si="5"/>
        <v>84.7707051</v>
      </c>
      <c r="Z20" s="139">
        <f t="shared" si="5"/>
        <v>88.49491229</v>
      </c>
      <c r="AA20" s="139">
        <f t="shared" si="5"/>
        <v>92.35697904</v>
      </c>
      <c r="AB20" s="139">
        <f t="shared" si="5"/>
        <v>96.37105097</v>
      </c>
      <c r="AC20" s="139">
        <f t="shared" si="5"/>
        <v>100.550893</v>
      </c>
      <c r="AD20" s="139">
        <f t="shared" si="5"/>
        <v>104.9100338</v>
      </c>
      <c r="AE20" s="139">
        <f t="shared" si="5"/>
        <v>109.4618922</v>
      </c>
      <c r="AF20" s="139">
        <f t="shared" si="5"/>
        <v>114.2198899</v>
      </c>
      <c r="AG20" s="139">
        <f t="shared" si="5"/>
        <v>119.1975521</v>
      </c>
      <c r="AH20" s="139">
        <f t="shared" si="5"/>
        <v>124.4085973</v>
      </c>
      <c r="AI20" s="139">
        <f t="shared" si="5"/>
        <v>129.8670196</v>
      </c>
      <c r="AJ20" s="139">
        <f t="shared" si="5"/>
        <v>135.5871641</v>
      </c>
      <c r="AK20" s="139">
        <f t="shared" si="5"/>
        <v>141.5837968</v>
      </c>
      <c r="AL20" s="139">
        <f t="shared" si="5"/>
        <v>147.87217</v>
      </c>
      <c r="AM20" s="139">
        <f t="shared" si="5"/>
        <v>154.4680844</v>
      </c>
      <c r="AN20" s="139">
        <f t="shared" si="5"/>
        <v>161.3879485</v>
      </c>
      <c r="AO20" s="139">
        <f t="shared" si="5"/>
        <v>168.6488369</v>
      </c>
      <c r="AP20" s="139">
        <f t="shared" si="5"/>
        <v>176.2685461</v>
      </c>
      <c r="AQ20" s="139">
        <f t="shared" si="5"/>
        <v>184.2656507</v>
      </c>
      <c r="AR20" s="139">
        <f t="shared" si="5"/>
        <v>192.6595588</v>
      </c>
      <c r="AS20" s="139">
        <f t="shared" si="5"/>
        <v>201.4705686</v>
      </c>
      <c r="AT20" s="139">
        <f t="shared" si="5"/>
        <v>210.719924</v>
      </c>
      <c r="AU20" s="139">
        <f t="shared" si="5"/>
        <v>220.4298732</v>
      </c>
      <c r="AV20" s="139">
        <f t="shared" si="5"/>
        <v>230.6237269</v>
      </c>
      <c r="AW20" s="139">
        <f t="shared" si="5"/>
        <v>241.3259192</v>
      </c>
      <c r="AX20" s="139">
        <f t="shared" si="5"/>
        <v>252.5620703</v>
      </c>
      <c r="AY20" s="139">
        <f t="shared" si="5"/>
        <v>264.3590507</v>
      </c>
      <c r="AZ20" s="139">
        <f t="shared" si="5"/>
        <v>276.7450485</v>
      </c>
      <c r="BA20" s="139">
        <f t="shared" si="5"/>
        <v>289.7496395</v>
      </c>
      <c r="BB20" s="139">
        <f t="shared" si="5"/>
        <v>303.4038592</v>
      </c>
      <c r="BC20" s="139">
        <f t="shared" si="5"/>
        <v>317.7402793</v>
      </c>
      <c r="BD20" s="139">
        <f t="shared" si="5"/>
        <v>332.7930863</v>
      </c>
      <c r="BE20" s="139">
        <f t="shared" si="5"/>
        <v>348.5981646</v>
      </c>
      <c r="BF20" s="139">
        <f t="shared" si="5"/>
        <v>365.1931833</v>
      </c>
      <c r="BG20" s="139">
        <f t="shared" si="5"/>
        <v>382.6176864</v>
      </c>
      <c r="BH20" s="139">
        <f t="shared" si="5"/>
        <v>400.913188</v>
      </c>
      <c r="BI20" s="139">
        <f t="shared" si="5"/>
        <v>420.1232721</v>
      </c>
      <c r="BJ20" s="139">
        <f t="shared" si="5"/>
        <v>440.2936967</v>
      </c>
      <c r="BK20" s="139">
        <f t="shared" si="5"/>
        <v>461.4725034</v>
      </c>
      <c r="BL20" s="139">
        <f t="shared" si="5"/>
        <v>483.7101322</v>
      </c>
      <c r="BM20" s="139">
        <f t="shared" si="5"/>
        <v>507.0595418</v>
      </c>
      <c r="BN20" s="139">
        <f t="shared" si="5"/>
        <v>531.5763365</v>
      </c>
      <c r="BO20" s="139">
        <f t="shared" si="5"/>
        <v>557.3188982</v>
      </c>
      <c r="BP20" s="139">
        <f t="shared" si="5"/>
        <v>584.3485264</v>
      </c>
      <c r="BQ20" s="139">
        <f t="shared" si="5"/>
        <v>612.7295834</v>
      </c>
      <c r="BR20" s="139">
        <f t="shared" si="5"/>
        <v>642.5296487</v>
      </c>
      <c r="BS20" s="139">
        <f t="shared" si="5"/>
        <v>673.8196793</v>
      </c>
      <c r="BT20" s="139">
        <f t="shared" si="5"/>
        <v>706.6741793</v>
      </c>
      <c r="BU20" s="139">
        <f t="shared" si="5"/>
        <v>741.1713768</v>
      </c>
      <c r="BV20" s="139">
        <f t="shared" si="5"/>
        <v>777.3934109</v>
      </c>
      <c r="BW20" s="139">
        <f t="shared" si="5"/>
        <v>815.426527</v>
      </c>
      <c r="BX20" s="139">
        <f t="shared" si="5"/>
        <v>855.361282</v>
      </c>
      <c r="BY20" s="139">
        <f t="shared" si="5"/>
        <v>897.2927604</v>
      </c>
      <c r="BZ20" s="139">
        <f t="shared" si="5"/>
        <v>941.3208007</v>
      </c>
      <c r="CA20" s="139">
        <f t="shared" si="5"/>
        <v>987.5502326</v>
      </c>
      <c r="CB20" s="139">
        <f t="shared" si="5"/>
        <v>1036.091127</v>
      </c>
      <c r="CC20" s="139">
        <f t="shared" si="5"/>
        <v>1087.059059</v>
      </c>
      <c r="CD20" s="139">
        <f t="shared" si="5"/>
        <v>1140.575382</v>
      </c>
      <c r="CE20" s="139">
        <f t="shared" si="5"/>
        <v>1196.767515</v>
      </c>
      <c r="CF20" s="139">
        <f t="shared" si="5"/>
        <v>1255.76925</v>
      </c>
      <c r="CG20" s="139">
        <f t="shared" si="5"/>
        <v>1317.721067</v>
      </c>
      <c r="CH20" s="139">
        <f t="shared" si="5"/>
        <v>1382.770473</v>
      </c>
      <c r="CI20" s="139">
        <f t="shared" si="5"/>
        <v>1451.072346</v>
      </c>
      <c r="CJ20" s="139">
        <f t="shared" si="5"/>
        <v>1522.78931</v>
      </c>
      <c r="CK20" s="139">
        <f t="shared" si="5"/>
        <v>1598.09212</v>
      </c>
      <c r="CL20" s="139">
        <f t="shared" si="5"/>
        <v>1677.16007</v>
      </c>
      <c r="CM20" s="139">
        <f t="shared" si="5"/>
        <v>1760.181415</v>
      </c>
      <c r="CN20" s="139">
        <f t="shared" si="5"/>
        <v>1847.353826</v>
      </c>
      <c r="CO20" s="139">
        <f t="shared" si="5"/>
        <v>1938.884857</v>
      </c>
      <c r="CP20" s="139">
        <f t="shared" si="5"/>
        <v>2034.992438</v>
      </c>
      <c r="CQ20" s="139">
        <f t="shared" si="5"/>
        <v>2135.905397</v>
      </c>
      <c r="CR20" s="139">
        <f t="shared" si="5"/>
        <v>2241.864004</v>
      </c>
      <c r="CS20" s="139">
        <f t="shared" si="5"/>
        <v>2353.120541</v>
      </c>
      <c r="CT20" s="139">
        <f t="shared" si="5"/>
        <v>2469.939904</v>
      </c>
      <c r="CU20" s="139">
        <f t="shared" si="5"/>
        <v>2592.600235</v>
      </c>
      <c r="CV20" s="139">
        <f t="shared" si="5"/>
        <v>2706.2202</v>
      </c>
      <c r="CW20" s="139">
        <f t="shared" si="5"/>
        <v>2802.79717</v>
      </c>
      <c r="CX20" s="139">
        <f t="shared" si="5"/>
        <v>2884.887594</v>
      </c>
    </row>
    <row r="21" ht="15.75" customHeight="1" outlineLevel="1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ht="15.75" customHeight="1" outlineLevel="1">
      <c r="A22" s="131" t="s">
        <v>213</v>
      </c>
      <c r="B22" s="50"/>
      <c r="C22" s="50"/>
      <c r="D22" s="50"/>
      <c r="E22" s="60">
        <f>E20*Projections!$B$28</f>
        <v>668.1666667</v>
      </c>
      <c r="F22" s="60">
        <f>F20*Projections!$B$28</f>
        <v>1269.805263</v>
      </c>
      <c r="G22" s="60">
        <f>G20*Projections!$B$28</f>
        <v>1816.610431</v>
      </c>
      <c r="H22" s="60">
        <f>H20*Projections!$B$28</f>
        <v>2318.609225</v>
      </c>
      <c r="I22" s="60">
        <f>I20*Projections!$B$28</f>
        <v>2784.41567</v>
      </c>
      <c r="J22" s="60">
        <f>J20*Projections!$B$28</f>
        <v>3221.447344</v>
      </c>
      <c r="K22" s="60">
        <f>K20*Projections!$B$28</f>
        <v>3636.109724</v>
      </c>
      <c r="L22" s="60">
        <f>L20*Projections!$B$28</f>
        <v>4033.953113</v>
      </c>
      <c r="M22" s="60">
        <f>M20*Projections!$B$28</f>
        <v>4418.587868</v>
      </c>
      <c r="N22" s="60">
        <f>N20*Projections!$B$28</f>
        <v>4782.463796</v>
      </c>
      <c r="O22" s="60">
        <f>O20*Projections!$B$28</f>
        <v>5130.54154</v>
      </c>
      <c r="P22" s="60">
        <f>P20*Projections!$B$28</f>
        <v>5467.129988</v>
      </c>
      <c r="Q22" s="60">
        <f>Q20*Projections!$B$28</f>
        <v>5795.988653</v>
      </c>
      <c r="R22" s="60">
        <f>R20*Projections!$B$28</f>
        <v>6120.414926</v>
      </c>
      <c r="S22" s="60">
        <f>S20*Projections!$B$28</f>
        <v>6443.318487</v>
      </c>
      <c r="T22" s="60">
        <f>T20*Projections!$B$28</f>
        <v>6767.284804</v>
      </c>
      <c r="U22" s="60">
        <f>U20*Projections!$B$28</f>
        <v>7094.629377</v>
      </c>
      <c r="V22" s="60">
        <f>V20*Projections!$B$28</f>
        <v>7427.44413</v>
      </c>
      <c r="W22" s="60">
        <f>W20*Projections!$B$28</f>
        <v>7767.637127</v>
      </c>
      <c r="X22" s="60">
        <f>X20*Projections!$B$28</f>
        <v>8116.966656</v>
      </c>
      <c r="Y22" s="60">
        <f>Y20*Projections!$B$28</f>
        <v>8477.07051</v>
      </c>
      <c r="Z22" s="60">
        <f>Z20*Projections!$B$28</f>
        <v>8849.491229</v>
      </c>
      <c r="AA22" s="60">
        <f>AA20*Projections!$B$28</f>
        <v>9235.697904</v>
      </c>
      <c r="AB22" s="60">
        <f>AB20*Projections!$B$28</f>
        <v>9637.105097</v>
      </c>
      <c r="AC22" s="60">
        <f>AC20*Projections!$B$28</f>
        <v>10055.0893</v>
      </c>
      <c r="AD22" s="60">
        <f>AD20*Projections!$B$28</f>
        <v>10491.00338</v>
      </c>
      <c r="AE22" s="60">
        <f>AE20*Projections!$B$28</f>
        <v>10946.18922</v>
      </c>
      <c r="AF22" s="60">
        <f>AF20*Projections!$B$28</f>
        <v>11421.98899</v>
      </c>
      <c r="AG22" s="60">
        <f>AG20*Projections!$B$28</f>
        <v>11919.75521</v>
      </c>
      <c r="AH22" s="60">
        <f>AH20*Projections!$B$28</f>
        <v>12440.85973</v>
      </c>
      <c r="AI22" s="60">
        <f>AI20*Projections!$B$28</f>
        <v>12986.70196</v>
      </c>
      <c r="AJ22" s="60">
        <f>AJ20*Projections!$B$28</f>
        <v>13558.71641</v>
      </c>
      <c r="AK22" s="60">
        <f>AK20*Projections!$B$28</f>
        <v>14158.37968</v>
      </c>
      <c r="AL22" s="60">
        <f>AL20*Projections!$B$28</f>
        <v>14787.217</v>
      </c>
      <c r="AM22" s="60">
        <f>AM20*Projections!$B$28</f>
        <v>15446.80844</v>
      </c>
      <c r="AN22" s="60">
        <f>AN20*Projections!$B$28</f>
        <v>16138.79485</v>
      </c>
      <c r="AO22" s="60">
        <f>AO20*Projections!$B$28</f>
        <v>16864.88369</v>
      </c>
      <c r="AP22" s="60">
        <f>AP20*Projections!$B$28</f>
        <v>17626.85461</v>
      </c>
      <c r="AQ22" s="60">
        <f>AQ20*Projections!$B$28</f>
        <v>18426.56507</v>
      </c>
      <c r="AR22" s="60">
        <f>AR20*Projections!$B$28</f>
        <v>19265.95588</v>
      </c>
      <c r="AS22" s="60">
        <f>AS20*Projections!$B$28</f>
        <v>20147.05686</v>
      </c>
      <c r="AT22" s="60">
        <f>AT20*Projections!$B$28</f>
        <v>21071.9924</v>
      </c>
      <c r="AU22" s="60">
        <f>AU20*Projections!$B$28</f>
        <v>22042.98732</v>
      </c>
      <c r="AV22" s="60">
        <f>AV20*Projections!$B$28</f>
        <v>23062.37269</v>
      </c>
      <c r="AW22" s="60">
        <f>AW20*Projections!$B$28</f>
        <v>24132.59192</v>
      </c>
      <c r="AX22" s="60">
        <f>AX20*Projections!$B$28</f>
        <v>25256.20703</v>
      </c>
      <c r="AY22" s="60">
        <f>AY20*Projections!$B$28</f>
        <v>26435.90507</v>
      </c>
      <c r="AZ22" s="60">
        <f>AZ20*Projections!$B$28</f>
        <v>27674.50485</v>
      </c>
      <c r="BA22" s="60">
        <f>BA20*Projections!$B$28</f>
        <v>28974.96395</v>
      </c>
      <c r="BB22" s="60">
        <f>BB20*Projections!$B$28</f>
        <v>30340.38592</v>
      </c>
      <c r="BC22" s="60">
        <f>BC20*Projections!$B$28</f>
        <v>31774.02793</v>
      </c>
      <c r="BD22" s="60">
        <f>BD20*Projections!$B$28</f>
        <v>33279.30863</v>
      </c>
      <c r="BE22" s="60">
        <f>BE20*Projections!$B$28</f>
        <v>34859.81646</v>
      </c>
      <c r="BF22" s="60">
        <f>BF20*Projections!$B$28</f>
        <v>36519.31833</v>
      </c>
      <c r="BG22" s="60">
        <f>BG20*Projections!$B$28</f>
        <v>38261.76864</v>
      </c>
      <c r="BH22" s="60">
        <f>BH20*Projections!$B$28</f>
        <v>40091.3188</v>
      </c>
      <c r="BI22" s="60">
        <f>BI20*Projections!$B$28</f>
        <v>42012.32721</v>
      </c>
      <c r="BJ22" s="60">
        <f>BJ20*Projections!$B$28</f>
        <v>44029.36967</v>
      </c>
      <c r="BK22" s="60">
        <f>BK20*Projections!$B$28</f>
        <v>46147.25034</v>
      </c>
      <c r="BL22" s="60">
        <f>BL20*Projections!$B$28</f>
        <v>48371.01322</v>
      </c>
      <c r="BM22" s="60">
        <f>BM20*Projections!$B$28</f>
        <v>50705.95418</v>
      </c>
      <c r="BN22" s="60">
        <f>BN20*Projections!$B$28</f>
        <v>53157.63365</v>
      </c>
      <c r="BO22" s="60">
        <f>BO20*Projections!$B$28</f>
        <v>55731.88982</v>
      </c>
      <c r="BP22" s="60">
        <f>BP20*Projections!$B$28</f>
        <v>58434.85264</v>
      </c>
      <c r="BQ22" s="60">
        <f>BQ20*Projections!$B$28</f>
        <v>61272.95834</v>
      </c>
      <c r="BR22" s="60">
        <f>BR20*Projections!$B$28</f>
        <v>64252.96487</v>
      </c>
      <c r="BS22" s="60">
        <f>BS20*Projections!$B$28</f>
        <v>67381.96793</v>
      </c>
      <c r="BT22" s="60">
        <f>BT20*Projections!$B$28</f>
        <v>70667.41793</v>
      </c>
      <c r="BU22" s="60">
        <f>BU20*Projections!$B$28</f>
        <v>74117.13768</v>
      </c>
      <c r="BV22" s="60">
        <f>BV20*Projections!$B$28</f>
        <v>77739.34109</v>
      </c>
      <c r="BW22" s="60">
        <f>BW20*Projections!$B$28</f>
        <v>81542.6527</v>
      </c>
      <c r="BX22" s="60">
        <f>BX20*Projections!$B$28</f>
        <v>85536.1282</v>
      </c>
      <c r="BY22" s="60">
        <f>BY20*Projections!$B$28</f>
        <v>89729.27604</v>
      </c>
      <c r="BZ22" s="60">
        <f>BZ20*Projections!$B$28</f>
        <v>94132.08007</v>
      </c>
      <c r="CA22" s="60">
        <f>CA20*Projections!$B$28</f>
        <v>98755.02326</v>
      </c>
      <c r="CB22" s="60">
        <f>CB20*Projections!$B$28</f>
        <v>103609.1127</v>
      </c>
      <c r="CC22" s="60">
        <f>CC20*Projections!$B$28</f>
        <v>108705.9059</v>
      </c>
      <c r="CD22" s="60">
        <f>CD20*Projections!$B$28</f>
        <v>114057.5382</v>
      </c>
      <c r="CE22" s="60">
        <f>CE20*Projections!$B$28</f>
        <v>119676.7515</v>
      </c>
      <c r="CF22" s="60">
        <f>CF20*Projections!$B$28</f>
        <v>125576.925</v>
      </c>
      <c r="CG22" s="60">
        <f>CG20*Projections!$B$28</f>
        <v>131772.1067</v>
      </c>
      <c r="CH22" s="60">
        <f>CH20*Projections!$B$28</f>
        <v>138277.0473</v>
      </c>
      <c r="CI22" s="60">
        <f>CI20*Projections!$B$28</f>
        <v>145107.2346</v>
      </c>
      <c r="CJ22" s="60">
        <f>CJ20*Projections!$B$28</f>
        <v>152278.931</v>
      </c>
      <c r="CK22" s="60">
        <f>CK20*Projections!$B$28</f>
        <v>159809.212</v>
      </c>
      <c r="CL22" s="60">
        <f>CL20*Projections!$B$28</f>
        <v>167716.007</v>
      </c>
      <c r="CM22" s="60">
        <f>CM20*Projections!$B$28</f>
        <v>176018.1415</v>
      </c>
      <c r="CN22" s="60">
        <f>CN20*Projections!$B$28</f>
        <v>184735.3826</v>
      </c>
      <c r="CO22" s="60">
        <f>CO20*Projections!$B$28</f>
        <v>193888.4857</v>
      </c>
      <c r="CP22" s="60">
        <f>CP20*Projections!$B$28</f>
        <v>203499.2438</v>
      </c>
      <c r="CQ22" s="60">
        <f>CQ20*Projections!$B$28</f>
        <v>213590.5397</v>
      </c>
      <c r="CR22" s="60">
        <f>CR20*Projections!$B$28</f>
        <v>224186.4004</v>
      </c>
      <c r="CS22" s="60">
        <f>CS20*Projections!$B$28</f>
        <v>235312.0541</v>
      </c>
      <c r="CT22" s="60">
        <f>CT20*Projections!$B$28</f>
        <v>246993.9904</v>
      </c>
      <c r="CU22" s="60">
        <f>CU20*Projections!$B$28</f>
        <v>259260.0235</v>
      </c>
      <c r="CV22" s="60">
        <f>CV20*Projections!$B$28</f>
        <v>270622.02</v>
      </c>
      <c r="CW22" s="60">
        <f>CW20*Projections!$B$28</f>
        <v>280279.717</v>
      </c>
      <c r="CX22" s="60">
        <f>CX20*Projections!$B$28</f>
        <v>288488.7594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ht="15.75" customHeight="1">
      <c r="A24" s="130" t="str">
        <f>Projections!A39</f>
        <v>REVENUE STREAM 2: INBOUND SALES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ht="15.75" customHeight="1">
      <c r="A26" s="135" t="s">
        <v>214</v>
      </c>
      <c r="B26" s="136"/>
      <c r="C26" s="136"/>
      <c r="D26" s="136"/>
      <c r="E26" s="139">
        <f>if(E2&gt;=Projections!$C$42,E12*Projections!$B$45,0)</f>
        <v>133.6333333</v>
      </c>
      <c r="F26" s="139">
        <f>if(F2&gt;=Projections!$C$42,F12*Projections!$B$45,0)</f>
        <v>140.3727193</v>
      </c>
      <c r="G26" s="139">
        <f>if(G2&gt;=Projections!$C$42,G12*Projections!$B$45,0)</f>
        <v>147.4551914</v>
      </c>
      <c r="H26" s="139">
        <f>if(H2&gt;=Projections!$C$42,H12*Projections!$B$45,0)</f>
        <v>154.8980718</v>
      </c>
      <c r="I26" s="139">
        <f>if(I2&gt;=Projections!$C$42,I12*Projections!$B$45,0)</f>
        <v>162.7195656</v>
      </c>
      <c r="J26" s="139">
        <f>if(J2&gt;=Projections!$C$42,J12*Projections!$B$45,0)</f>
        <v>170.938805</v>
      </c>
      <c r="K26" s="139">
        <f>if(K2&gt;=Projections!$C$42,K12*Projections!$B$45,0)</f>
        <v>179.5758964</v>
      </c>
      <c r="L26" s="139">
        <f>if(L2&gt;=Projections!$C$42,L12*Projections!$B$45,0)</f>
        <v>188.6519695</v>
      </c>
      <c r="M26" s="139">
        <f>if(M2&gt;=Projections!$C$42,M12*Projections!$B$45,0)</f>
        <v>197.9455444</v>
      </c>
      <c r="N26" s="139">
        <f>if(N2&gt;=Projections!$C$42,N12*Projections!$B$45,0)</f>
        <v>205.3328216</v>
      </c>
      <c r="O26" s="139">
        <f>if(O2&gt;=Projections!$C$42,O12*Projections!$B$45,0)</f>
        <v>213.0894627</v>
      </c>
      <c r="P26" s="139">
        <f>if(P2&gt;=Projections!$C$42,P12*Projections!$B$45,0)</f>
        <v>221.2339358</v>
      </c>
      <c r="Q26" s="139">
        <f>if(Q2&gt;=Projections!$C$42,Q12*Projections!$B$45,0)</f>
        <v>229.7856326</v>
      </c>
      <c r="R26" s="139">
        <f>if(R2&gt;=Projections!$C$42,R12*Projections!$B$45,0)</f>
        <v>238.7649142</v>
      </c>
      <c r="S26" s="139">
        <f>if(S2&gt;=Projections!$C$42,S12*Projections!$B$45,0)</f>
        <v>248.1931599</v>
      </c>
      <c r="T26" s="139">
        <f>if(T2&gt;=Projections!$C$42,T12*Projections!$B$45,0)</f>
        <v>258.0928179</v>
      </c>
      <c r="U26" s="139">
        <f>if(U2&gt;=Projections!$C$42,U12*Projections!$B$45,0)</f>
        <v>268.4874588</v>
      </c>
      <c r="V26" s="139">
        <f>if(V2&gt;=Projections!$C$42,V12*Projections!$B$45,0)</f>
        <v>279.4018318</v>
      </c>
      <c r="W26" s="139">
        <f>if(W2&gt;=Projections!$C$42,W12*Projections!$B$45,0)</f>
        <v>290.8619234</v>
      </c>
      <c r="X26" s="139">
        <f>if(X2&gt;=Projections!$C$42,X12*Projections!$B$45,0)</f>
        <v>302.8950195</v>
      </c>
      <c r="Y26" s="139">
        <f>if(Y2&gt;=Projections!$C$42,Y12*Projections!$B$45,0)</f>
        <v>315.5297705</v>
      </c>
      <c r="Z26" s="139">
        <f>if(Z2&gt;=Projections!$C$42,Z12*Projections!$B$45,0)</f>
        <v>328.796259</v>
      </c>
      <c r="AA26" s="139">
        <f>if(AA2&gt;=Projections!$C$42,AA12*Projections!$B$45,0)</f>
        <v>342.726072</v>
      </c>
      <c r="AB26" s="139">
        <f>if(AB2&gt;=Projections!$C$42,AB12*Projections!$B$45,0)</f>
        <v>357.3523756</v>
      </c>
      <c r="AC26" s="139">
        <f>if(AC2&gt;=Projections!$C$42,AC12*Projections!$B$45,0)</f>
        <v>372.7099944</v>
      </c>
      <c r="AD26" s="139">
        <f>if(AD2&gt;=Projections!$C$42,AD12*Projections!$B$45,0)</f>
        <v>388.8354941</v>
      </c>
      <c r="AE26" s="139">
        <f>if(AE2&gt;=Projections!$C$42,AE12*Projections!$B$45,0)</f>
        <v>405.7672688</v>
      </c>
      <c r="AF26" s="139">
        <f>if(AF2&gt;=Projections!$C$42,AF12*Projections!$B$45,0)</f>
        <v>423.5456322</v>
      </c>
      <c r="AG26" s="139">
        <f>if(AG2&gt;=Projections!$C$42,AG12*Projections!$B$45,0)</f>
        <v>442.2129138</v>
      </c>
      <c r="AH26" s="139">
        <f>if(AH2&gt;=Projections!$C$42,AH12*Projections!$B$45,0)</f>
        <v>461.8135595</v>
      </c>
      <c r="AI26" s="139">
        <f>if(AI2&gt;=Projections!$C$42,AI12*Projections!$B$45,0)</f>
        <v>482.3942375</v>
      </c>
      <c r="AJ26" s="139">
        <f>if(AJ2&gt;=Projections!$C$42,AJ12*Projections!$B$45,0)</f>
        <v>504.0039494</v>
      </c>
      <c r="AK26" s="139">
        <f>if(AK2&gt;=Projections!$C$42,AK12*Projections!$B$45,0)</f>
        <v>526.6941469</v>
      </c>
      <c r="AL26" s="139">
        <f>if(AL2&gt;=Projections!$C$42,AL12*Projections!$B$45,0)</f>
        <v>550.5188542</v>
      </c>
      <c r="AM26" s="139">
        <f>if(AM2&gt;=Projections!$C$42,AM12*Projections!$B$45,0)</f>
        <v>575.5347969</v>
      </c>
      <c r="AN26" s="139">
        <f>if(AN2&gt;=Projections!$C$42,AN12*Projections!$B$45,0)</f>
        <v>601.8015368</v>
      </c>
      <c r="AO26" s="139">
        <f>if(AO2&gt;=Projections!$C$42,AO12*Projections!$B$45,0)</f>
        <v>629.3816136</v>
      </c>
      <c r="AP26" s="139">
        <f>if(AP2&gt;=Projections!$C$42,AP12*Projections!$B$45,0)</f>
        <v>658.3406943</v>
      </c>
      <c r="AQ26" s="139">
        <f>if(AQ2&gt;=Projections!$C$42,AQ12*Projections!$B$45,0)</f>
        <v>688.747729</v>
      </c>
      <c r="AR26" s="139">
        <f>if(AR2&gt;=Projections!$C$42,AR12*Projections!$B$45,0)</f>
        <v>720.6751154</v>
      </c>
      <c r="AS26" s="139">
        <f>if(AS2&gt;=Projections!$C$42,AS12*Projections!$B$45,0)</f>
        <v>754.1988712</v>
      </c>
      <c r="AT26" s="139">
        <f>if(AT2&gt;=Projections!$C$42,AT12*Projections!$B$45,0)</f>
        <v>789.3988148</v>
      </c>
      <c r="AU26" s="139">
        <f>if(AU2&gt;=Projections!$C$42,AU12*Projections!$B$45,0)</f>
        <v>826.3587555</v>
      </c>
      <c r="AV26" s="139">
        <f>if(AV2&gt;=Projections!$C$42,AV12*Projections!$B$45,0)</f>
        <v>865.1666933</v>
      </c>
      <c r="AW26" s="139">
        <f>if(AW2&gt;=Projections!$C$42,AW12*Projections!$B$45,0)</f>
        <v>905.915028</v>
      </c>
      <c r="AX26" s="139">
        <f>if(AX2&gt;=Projections!$C$42,AX12*Projections!$B$45,0)</f>
        <v>948.7007793</v>
      </c>
      <c r="AY26" s="139">
        <f>if(AY2&gt;=Projections!$C$42,AY12*Projections!$B$45,0)</f>
        <v>993.6258183</v>
      </c>
      <c r="AZ26" s="139">
        <f>if(AZ2&gt;=Projections!$C$42,AZ12*Projections!$B$45,0)</f>
        <v>1040.797109</v>
      </c>
      <c r="BA26" s="139">
        <f>if(BA2&gt;=Projections!$C$42,BA12*Projections!$B$45,0)</f>
        <v>1090.326965</v>
      </c>
      <c r="BB26" s="139">
        <f>if(BB2&gt;=Projections!$C$42,BB12*Projections!$B$45,0)</f>
        <v>1142.333313</v>
      </c>
      <c r="BC26" s="139">
        <f>if(BC2&gt;=Projections!$C$42,BC12*Projections!$B$45,0)</f>
        <v>1196.939979</v>
      </c>
      <c r="BD26" s="139">
        <f>if(BD2&gt;=Projections!$C$42,BD12*Projections!$B$45,0)</f>
        <v>1254.276978</v>
      </c>
      <c r="BE26" s="139">
        <f>if(BE2&gt;=Projections!$C$42,BE12*Projections!$B$45,0)</f>
        <v>1314.480826</v>
      </c>
      <c r="BF26" s="139">
        <f>if(BF2&gt;=Projections!$C$42,BF12*Projections!$B$45,0)</f>
        <v>1377.694868</v>
      </c>
      <c r="BG26" s="139">
        <f>if(BG2&gt;=Projections!$C$42,BG12*Projections!$B$45,0)</f>
        <v>1444.069611</v>
      </c>
      <c r="BH26" s="139">
        <f>if(BH2&gt;=Projections!$C$42,BH12*Projections!$B$45,0)</f>
        <v>1513.763092</v>
      </c>
      <c r="BI26" s="139">
        <f>if(BI2&gt;=Projections!$C$42,BI12*Projections!$B$45,0)</f>
        <v>1586.941246</v>
      </c>
      <c r="BJ26" s="139">
        <f>if(BJ2&gt;=Projections!$C$42,BJ12*Projections!$B$45,0)</f>
        <v>1663.778309</v>
      </c>
      <c r="BK26" s="139">
        <f>if(BK2&gt;=Projections!$C$42,BK12*Projections!$B$45,0)</f>
        <v>1744.457224</v>
      </c>
      <c r="BL26" s="139">
        <f>if(BL2&gt;=Projections!$C$42,BL12*Projections!$B$45,0)</f>
        <v>1829.170085</v>
      </c>
      <c r="BM26" s="139">
        <f>if(BM2&gt;=Projections!$C$42,BM12*Projections!$B$45,0)</f>
        <v>1918.118589</v>
      </c>
      <c r="BN26" s="139">
        <f>if(BN2&gt;=Projections!$C$42,BN12*Projections!$B$45,0)</f>
        <v>2011.514519</v>
      </c>
      <c r="BO26" s="139">
        <f>if(BO2&gt;=Projections!$C$42,BO12*Projections!$B$45,0)</f>
        <v>2109.580245</v>
      </c>
      <c r="BP26" s="139">
        <f>if(BP2&gt;=Projections!$C$42,BP12*Projections!$B$45,0)</f>
        <v>2212.549257</v>
      </c>
      <c r="BQ26" s="139">
        <f>if(BQ2&gt;=Projections!$C$42,BQ12*Projections!$B$45,0)</f>
        <v>2320.66672</v>
      </c>
      <c r="BR26" s="139">
        <f>if(BR2&gt;=Projections!$C$42,BR12*Projections!$B$45,0)</f>
        <v>2434.190056</v>
      </c>
      <c r="BS26" s="139">
        <f>if(BS2&gt;=Projections!$C$42,BS12*Projections!$B$45,0)</f>
        <v>2553.389559</v>
      </c>
      <c r="BT26" s="139">
        <f>if(BT2&gt;=Projections!$C$42,BT12*Projections!$B$45,0)</f>
        <v>2678.549037</v>
      </c>
      <c r="BU26" s="139">
        <f>if(BU2&gt;=Projections!$C$42,BU12*Projections!$B$45,0)</f>
        <v>2809.966488</v>
      </c>
      <c r="BV26" s="139">
        <f>if(BV2&gt;=Projections!$C$42,BV12*Projections!$B$45,0)</f>
        <v>2947.954813</v>
      </c>
      <c r="BW26" s="139">
        <f>if(BW2&gt;=Projections!$C$42,BW12*Projections!$B$45,0)</f>
        <v>3092.842554</v>
      </c>
      <c r="BX26" s="139">
        <f>if(BX2&gt;=Projections!$C$42,BX12*Projections!$B$45,0)</f>
        <v>3244.974681</v>
      </c>
      <c r="BY26" s="139">
        <f>if(BY2&gt;=Projections!$C$42,BY12*Projections!$B$45,0)</f>
        <v>3404.713415</v>
      </c>
      <c r="BZ26" s="139">
        <f>if(BZ2&gt;=Projections!$C$42,BZ12*Projections!$B$45,0)</f>
        <v>3572.439086</v>
      </c>
      <c r="CA26" s="139">
        <f>if(CA2&gt;=Projections!$C$42,CA12*Projections!$B$45,0)</f>
        <v>3748.55104</v>
      </c>
      <c r="CB26" s="139">
        <f>if(CB2&gt;=Projections!$C$42,CB12*Projections!$B$45,0)</f>
        <v>3933.468592</v>
      </c>
      <c r="CC26" s="139">
        <f>if(CC2&gt;=Projections!$C$42,CC12*Projections!$B$45,0)</f>
        <v>4127.632022</v>
      </c>
      <c r="CD26" s="139">
        <f>if(CD2&gt;=Projections!$C$42,CD12*Projections!$B$45,0)</f>
        <v>4331.503623</v>
      </c>
      <c r="CE26" s="139">
        <f>if(CE2&gt;=Projections!$C$42,CE12*Projections!$B$45,0)</f>
        <v>4545.568804</v>
      </c>
      <c r="CF26" s="139">
        <f>if(CF2&gt;=Projections!$C$42,CF12*Projections!$B$45,0)</f>
        <v>4770.337244</v>
      </c>
      <c r="CG26" s="139">
        <f>if(CG2&gt;=Projections!$C$42,CG12*Projections!$B$45,0)</f>
        <v>5006.344107</v>
      </c>
      <c r="CH26" s="139">
        <f>if(CH2&gt;=Projections!$C$42,CH12*Projections!$B$45,0)</f>
        <v>5254.151312</v>
      </c>
      <c r="CI26" s="139">
        <f>if(CI2&gt;=Projections!$C$42,CI12*Projections!$B$45,0)</f>
        <v>5514.348878</v>
      </c>
      <c r="CJ26" s="139">
        <f>if(CJ2&gt;=Projections!$C$42,CJ12*Projections!$B$45,0)</f>
        <v>5787.556322</v>
      </c>
      <c r="CK26" s="139">
        <f>if(CK2&gt;=Projections!$C$42,CK12*Projections!$B$45,0)</f>
        <v>6074.424138</v>
      </c>
      <c r="CL26" s="139">
        <f>if(CL2&gt;=Projections!$C$42,CL12*Projections!$B$45,0)</f>
        <v>6375.635344</v>
      </c>
      <c r="CM26" s="139">
        <f>if(CM2&gt;=Projections!$C$42,CM12*Projections!$B$45,0)</f>
        <v>6691.907112</v>
      </c>
      <c r="CN26" s="139">
        <f>if(CN2&gt;=Projections!$C$42,CN12*Projections!$B$45,0)</f>
        <v>7023.992467</v>
      </c>
      <c r="CO26" s="139">
        <f>if(CO2&gt;=Projections!$C$42,CO12*Projections!$B$45,0)</f>
        <v>7372.682091</v>
      </c>
      <c r="CP26" s="139">
        <f>if(CP2&gt;=Projections!$C$42,CP12*Projections!$B$45,0)</f>
        <v>7738.806195</v>
      </c>
      <c r="CQ26" s="139">
        <f>if(CQ2&gt;=Projections!$C$42,CQ12*Projections!$B$45,0)</f>
        <v>8123.236505</v>
      </c>
      <c r="CR26" s="139">
        <f>if(CR2&gt;=Projections!$C$42,CR12*Projections!$B$45,0)</f>
        <v>8526.88833</v>
      </c>
      <c r="CS26" s="139">
        <f>if(CS2&gt;=Projections!$C$42,CS12*Projections!$B$45,0)</f>
        <v>8950.722747</v>
      </c>
      <c r="CT26" s="139">
        <f>if(CT2&gt;=Projections!$C$42,CT12*Projections!$B$45,0)</f>
        <v>9395.748884</v>
      </c>
      <c r="CU26" s="139">
        <f>if(CU2&gt;=Projections!$C$42,CU12*Projections!$B$45,0)</f>
        <v>9863.026328</v>
      </c>
      <c r="CV26" s="139">
        <f>if(CV2&gt;=Projections!$C$42,CV12*Projections!$B$45,0)</f>
        <v>10050.2</v>
      </c>
      <c r="CW26" s="139">
        <f>if(CW2&gt;=Projections!$C$42,CW12*Projections!$B$45,0)</f>
        <v>10050.2</v>
      </c>
      <c r="CX26" s="139">
        <f>if(CX2&gt;=Projections!$C$42,CX12*Projections!$B$45,0)</f>
        <v>10050.2</v>
      </c>
    </row>
    <row r="27" ht="15.75" customHeight="1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</row>
    <row r="28" ht="15.75" customHeight="1" outlineLevel="1">
      <c r="A28" s="5" t="s">
        <v>209</v>
      </c>
      <c r="B28" s="1"/>
      <c r="C28" s="1"/>
      <c r="D28" s="139"/>
      <c r="E28" s="139">
        <f>IFERROR(E26*Projections!$B$50,0)</f>
        <v>13.36333333</v>
      </c>
      <c r="F28" s="139">
        <f>IFERROR(F26*Projections!$B$50,0)</f>
        <v>14.03727193</v>
      </c>
      <c r="G28" s="139">
        <f>IFERROR(G26*Projections!$B$50,0)</f>
        <v>14.74551914</v>
      </c>
      <c r="H28" s="139">
        <f>IFERROR(H26*Projections!$B$50,0)</f>
        <v>15.48980718</v>
      </c>
      <c r="I28" s="139">
        <f>IFERROR(I26*Projections!$B$50,0)</f>
        <v>16.27195656</v>
      </c>
      <c r="J28" s="139">
        <f>IFERROR(J26*Projections!$B$50,0)</f>
        <v>17.0938805</v>
      </c>
      <c r="K28" s="139">
        <f>IFERROR(K26*Projections!$B$50,0)</f>
        <v>17.95758964</v>
      </c>
      <c r="L28" s="139">
        <f>IFERROR(L26*Projections!$B$50,0)</f>
        <v>18.86519695</v>
      </c>
      <c r="M28" s="139">
        <f>IFERROR(M26*Projections!$B$50,0)</f>
        <v>19.79455444</v>
      </c>
      <c r="N28" s="139">
        <f>IFERROR(N26*Projections!$B$50,0)</f>
        <v>20.53328216</v>
      </c>
      <c r="O28" s="139">
        <f>IFERROR(O26*Projections!$B$50,0)</f>
        <v>21.30894627</v>
      </c>
      <c r="P28" s="139">
        <f>IFERROR(P26*Projections!$B$50,0)</f>
        <v>22.12339358</v>
      </c>
      <c r="Q28" s="139">
        <f>IFERROR(Q26*Projections!$B$50,0)</f>
        <v>22.97856326</v>
      </c>
      <c r="R28" s="139">
        <f>IFERROR(R26*Projections!$B$50,0)</f>
        <v>23.87649142</v>
      </c>
      <c r="S28" s="139">
        <f>IFERROR(S26*Projections!$B$50,0)</f>
        <v>24.81931599</v>
      </c>
      <c r="T28" s="139">
        <f>IFERROR(T26*Projections!$B$50,0)</f>
        <v>25.80928179</v>
      </c>
      <c r="U28" s="139">
        <f>IFERROR(U26*Projections!$B$50,0)</f>
        <v>26.84874588</v>
      </c>
      <c r="V28" s="139">
        <f>IFERROR(V26*Projections!$B$50,0)</f>
        <v>27.94018318</v>
      </c>
      <c r="W28" s="139">
        <f>IFERROR(W26*Projections!$B$50,0)</f>
        <v>29.08619234</v>
      </c>
      <c r="X28" s="139">
        <f>IFERROR(X26*Projections!$B$50,0)</f>
        <v>30.28950195</v>
      </c>
      <c r="Y28" s="139">
        <f>IFERROR(Y26*Projections!$B$50,0)</f>
        <v>31.55297705</v>
      </c>
      <c r="Z28" s="139">
        <f>IFERROR(Z26*Projections!$B$50,0)</f>
        <v>32.8796259</v>
      </c>
      <c r="AA28" s="139">
        <f>IFERROR(AA26*Projections!$B$50,0)</f>
        <v>34.2726072</v>
      </c>
      <c r="AB28" s="139">
        <f>IFERROR(AB26*Projections!$B$50,0)</f>
        <v>35.73523756</v>
      </c>
      <c r="AC28" s="139">
        <f>IFERROR(AC26*Projections!$B$50,0)</f>
        <v>37.27099944</v>
      </c>
      <c r="AD28" s="139">
        <f>IFERROR(AD26*Projections!$B$50,0)</f>
        <v>38.88354941</v>
      </c>
      <c r="AE28" s="139">
        <f>IFERROR(AE26*Projections!$B$50,0)</f>
        <v>40.57672688</v>
      </c>
      <c r="AF28" s="139">
        <f>IFERROR(AF26*Projections!$B$50,0)</f>
        <v>42.35456322</v>
      </c>
      <c r="AG28" s="139">
        <f>IFERROR(AG26*Projections!$B$50,0)</f>
        <v>44.22129138</v>
      </c>
      <c r="AH28" s="139">
        <f>IFERROR(AH26*Projections!$B$50,0)</f>
        <v>46.18135595</v>
      </c>
      <c r="AI28" s="139">
        <f>IFERROR(AI26*Projections!$B$50,0)</f>
        <v>48.23942375</v>
      </c>
      <c r="AJ28" s="139">
        <f>IFERROR(AJ26*Projections!$B$50,0)</f>
        <v>50.40039494</v>
      </c>
      <c r="AK28" s="139">
        <f>IFERROR(AK26*Projections!$B$50,0)</f>
        <v>52.66941469</v>
      </c>
      <c r="AL28" s="139">
        <f>IFERROR(AL26*Projections!$B$50,0)</f>
        <v>55.05188542</v>
      </c>
      <c r="AM28" s="139">
        <f>IFERROR(AM26*Projections!$B$50,0)</f>
        <v>57.55347969</v>
      </c>
      <c r="AN28" s="139">
        <f>IFERROR(AN26*Projections!$B$50,0)</f>
        <v>60.18015368</v>
      </c>
      <c r="AO28" s="139">
        <f>IFERROR(AO26*Projections!$B$50,0)</f>
        <v>62.93816136</v>
      </c>
      <c r="AP28" s="139">
        <f>IFERROR(AP26*Projections!$B$50,0)</f>
        <v>65.83406943</v>
      </c>
      <c r="AQ28" s="139">
        <f>IFERROR(AQ26*Projections!$B$50,0)</f>
        <v>68.8747729</v>
      </c>
      <c r="AR28" s="139">
        <f>IFERROR(AR26*Projections!$B$50,0)</f>
        <v>72.06751154</v>
      </c>
      <c r="AS28" s="139">
        <f>IFERROR(AS26*Projections!$B$50,0)</f>
        <v>75.41988712</v>
      </c>
      <c r="AT28" s="139">
        <f>IFERROR(AT26*Projections!$B$50,0)</f>
        <v>78.93988148</v>
      </c>
      <c r="AU28" s="139">
        <f>IFERROR(AU26*Projections!$B$50,0)</f>
        <v>82.63587555</v>
      </c>
      <c r="AV28" s="139">
        <f>IFERROR(AV26*Projections!$B$50,0)</f>
        <v>86.51666933</v>
      </c>
      <c r="AW28" s="139">
        <f>IFERROR(AW26*Projections!$B$50,0)</f>
        <v>90.5915028</v>
      </c>
      <c r="AX28" s="139">
        <f>IFERROR(AX26*Projections!$B$50,0)</f>
        <v>94.87007793</v>
      </c>
      <c r="AY28" s="139">
        <f>IFERROR(AY26*Projections!$B$50,0)</f>
        <v>99.36258183</v>
      </c>
      <c r="AZ28" s="139">
        <f>IFERROR(AZ26*Projections!$B$50,0)</f>
        <v>104.0797109</v>
      </c>
      <c r="BA28" s="139">
        <f>IFERROR(BA26*Projections!$B$50,0)</f>
        <v>109.0326965</v>
      </c>
      <c r="BB28" s="139">
        <f>IFERROR(BB26*Projections!$B$50,0)</f>
        <v>114.2333313</v>
      </c>
      <c r="BC28" s="139">
        <f>IFERROR(BC26*Projections!$B$50,0)</f>
        <v>119.6939979</v>
      </c>
      <c r="BD28" s="139">
        <f>IFERROR(BD26*Projections!$B$50,0)</f>
        <v>125.4276978</v>
      </c>
      <c r="BE28" s="139">
        <f>IFERROR(BE26*Projections!$B$50,0)</f>
        <v>131.4480826</v>
      </c>
      <c r="BF28" s="139">
        <f>IFERROR(BF26*Projections!$B$50,0)</f>
        <v>137.7694868</v>
      </c>
      <c r="BG28" s="139">
        <f>IFERROR(BG26*Projections!$B$50,0)</f>
        <v>144.4069611</v>
      </c>
      <c r="BH28" s="139">
        <f>IFERROR(BH26*Projections!$B$50,0)</f>
        <v>151.3763092</v>
      </c>
      <c r="BI28" s="139">
        <f>IFERROR(BI26*Projections!$B$50,0)</f>
        <v>158.6941246</v>
      </c>
      <c r="BJ28" s="139">
        <f>IFERROR(BJ26*Projections!$B$50,0)</f>
        <v>166.3778309</v>
      </c>
      <c r="BK28" s="139">
        <f>IFERROR(BK26*Projections!$B$50,0)</f>
        <v>174.4457224</v>
      </c>
      <c r="BL28" s="139">
        <f>IFERROR(BL26*Projections!$B$50,0)</f>
        <v>182.9170085</v>
      </c>
      <c r="BM28" s="139">
        <f>IFERROR(BM26*Projections!$B$50,0)</f>
        <v>191.8118589</v>
      </c>
      <c r="BN28" s="139">
        <f>IFERROR(BN26*Projections!$B$50,0)</f>
        <v>201.1514519</v>
      </c>
      <c r="BO28" s="139">
        <f>IFERROR(BO26*Projections!$B$50,0)</f>
        <v>210.9580245</v>
      </c>
      <c r="BP28" s="139">
        <f>IFERROR(BP26*Projections!$B$50,0)</f>
        <v>221.2549257</v>
      </c>
      <c r="BQ28" s="139">
        <f>IFERROR(BQ26*Projections!$B$50,0)</f>
        <v>232.066672</v>
      </c>
      <c r="BR28" s="139">
        <f>IFERROR(BR26*Projections!$B$50,0)</f>
        <v>243.4190056</v>
      </c>
      <c r="BS28" s="139">
        <f>IFERROR(BS26*Projections!$B$50,0)</f>
        <v>255.3389559</v>
      </c>
      <c r="BT28" s="139">
        <f>IFERROR(BT26*Projections!$B$50,0)</f>
        <v>267.8549037</v>
      </c>
      <c r="BU28" s="139">
        <f>IFERROR(BU26*Projections!$B$50,0)</f>
        <v>280.9966488</v>
      </c>
      <c r="BV28" s="139">
        <f>IFERROR(BV26*Projections!$B$50,0)</f>
        <v>294.7954813</v>
      </c>
      <c r="BW28" s="139">
        <f>IFERROR(BW26*Projections!$B$50,0)</f>
        <v>309.2842554</v>
      </c>
      <c r="BX28" s="139">
        <f>IFERROR(BX26*Projections!$B$50,0)</f>
        <v>324.4974681</v>
      </c>
      <c r="BY28" s="139">
        <f>IFERROR(BY26*Projections!$B$50,0)</f>
        <v>340.4713415</v>
      </c>
      <c r="BZ28" s="139">
        <f>IFERROR(BZ26*Projections!$B$50,0)</f>
        <v>357.2439086</v>
      </c>
      <c r="CA28" s="139">
        <f>IFERROR(CA26*Projections!$B$50,0)</f>
        <v>374.855104</v>
      </c>
      <c r="CB28" s="139">
        <f>IFERROR(CB26*Projections!$B$50,0)</f>
        <v>393.3468592</v>
      </c>
      <c r="CC28" s="139">
        <f>IFERROR(CC26*Projections!$B$50,0)</f>
        <v>412.7632022</v>
      </c>
      <c r="CD28" s="139">
        <f>IFERROR(CD26*Projections!$B$50,0)</f>
        <v>433.1503623</v>
      </c>
      <c r="CE28" s="139">
        <f>IFERROR(CE26*Projections!$B$50,0)</f>
        <v>454.5568804</v>
      </c>
      <c r="CF28" s="139">
        <f>IFERROR(CF26*Projections!$B$50,0)</f>
        <v>477.0337244</v>
      </c>
      <c r="CG28" s="139">
        <f>IFERROR(CG26*Projections!$B$50,0)</f>
        <v>500.6344107</v>
      </c>
      <c r="CH28" s="139">
        <f>IFERROR(CH26*Projections!$B$50,0)</f>
        <v>525.4151312</v>
      </c>
      <c r="CI28" s="139">
        <f>IFERROR(CI26*Projections!$B$50,0)</f>
        <v>551.4348878</v>
      </c>
      <c r="CJ28" s="139">
        <f>IFERROR(CJ26*Projections!$B$50,0)</f>
        <v>578.7556322</v>
      </c>
      <c r="CK28" s="139">
        <f>IFERROR(CK26*Projections!$B$50,0)</f>
        <v>607.4424138</v>
      </c>
      <c r="CL28" s="139">
        <f>IFERROR(CL26*Projections!$B$50,0)</f>
        <v>637.5635344</v>
      </c>
      <c r="CM28" s="139">
        <f>IFERROR(CM26*Projections!$B$50,0)</f>
        <v>669.1907112</v>
      </c>
      <c r="CN28" s="139">
        <f>IFERROR(CN26*Projections!$B$50,0)</f>
        <v>702.3992467</v>
      </c>
      <c r="CO28" s="139">
        <f>IFERROR(CO26*Projections!$B$50,0)</f>
        <v>737.2682091</v>
      </c>
      <c r="CP28" s="139">
        <f>IFERROR(CP26*Projections!$B$50,0)</f>
        <v>773.8806195</v>
      </c>
      <c r="CQ28" s="139">
        <f>IFERROR(CQ26*Projections!$B$50,0)</f>
        <v>812.3236505</v>
      </c>
      <c r="CR28" s="139">
        <f>IFERROR(CR26*Projections!$B$50,0)</f>
        <v>852.688833</v>
      </c>
      <c r="CS28" s="139">
        <f>IFERROR(CS26*Projections!$B$50,0)</f>
        <v>895.0722747</v>
      </c>
      <c r="CT28" s="139">
        <f>IFERROR(CT26*Projections!$B$50,0)</f>
        <v>939.5748884</v>
      </c>
      <c r="CU28" s="139">
        <f>IFERROR(CU26*Projections!$B$50,0)</f>
        <v>986.3026328</v>
      </c>
      <c r="CV28" s="139">
        <f>IFERROR(CV26*Projections!$B$50,0)</f>
        <v>1005.02</v>
      </c>
      <c r="CW28" s="139">
        <f>IFERROR(CW26*Projections!$B$50,0)</f>
        <v>1005.02</v>
      </c>
      <c r="CX28" s="139">
        <f>IFERROR(CX26*Projections!$B$50,0)</f>
        <v>1005.02</v>
      </c>
    </row>
    <row r="29" ht="15.75" customHeight="1" outlineLevel="1">
      <c r="A29" s="5" t="s">
        <v>210</v>
      </c>
      <c r="B29" s="1"/>
      <c r="C29" s="1"/>
      <c r="D29" s="1"/>
      <c r="E29" s="34">
        <f>IF(E2&gt;=Projections!$D$28,Projections!$B$30,0)</f>
        <v>0.15</v>
      </c>
      <c r="F29" s="34">
        <f>IF(F2&gt;=Projections!$D$28,Projections!$B$30,0)</f>
        <v>0.15</v>
      </c>
      <c r="G29" s="34">
        <f>IF(G2&gt;=Projections!$D$28,Projections!$B$30,0)</f>
        <v>0.15</v>
      </c>
      <c r="H29" s="34">
        <f>IF(H2&gt;=Projections!$D$28,Projections!$B$30,0)</f>
        <v>0.15</v>
      </c>
      <c r="I29" s="34">
        <f>IF(I2&gt;=Projections!$D$28,Projections!$B$30,0)</f>
        <v>0.15</v>
      </c>
      <c r="J29" s="34">
        <f>IF(J2&gt;=Projections!$D$28,Projections!$B$30,0)</f>
        <v>0.15</v>
      </c>
      <c r="K29" s="34">
        <f>IF(K2&gt;=Projections!$D$28,Projections!$B$30,0)</f>
        <v>0.15</v>
      </c>
      <c r="L29" s="34">
        <f>IF(L2&gt;=Projections!$D$28,Projections!$B$30,0)</f>
        <v>0.15</v>
      </c>
      <c r="M29" s="34">
        <f>IF(M2&gt;=Projections!$D$28,Projections!$B$30,0)</f>
        <v>0.15</v>
      </c>
      <c r="N29" s="34">
        <f>IF(N2&gt;=Projections!$D$28,Projections!$B$30,0)</f>
        <v>0.15</v>
      </c>
      <c r="O29" s="34">
        <f>IF(O2&gt;=Projections!$D$28,Projections!$B$30,0)</f>
        <v>0.15</v>
      </c>
      <c r="P29" s="34">
        <f>IF(P2&gt;=Projections!$D$28,Projections!$B$30,0)</f>
        <v>0.15</v>
      </c>
      <c r="Q29" s="34">
        <f>IF(Q2&gt;=Projections!$D$28,Projections!$B$30,0)</f>
        <v>0.15</v>
      </c>
      <c r="R29" s="34">
        <f>IF(R2&gt;=Projections!$D$28,Projections!$B$30,0)</f>
        <v>0.15</v>
      </c>
      <c r="S29" s="34">
        <f>IF(S2&gt;=Projections!$D$28,Projections!$B$30,0)</f>
        <v>0.15</v>
      </c>
      <c r="T29" s="34">
        <f>IF(T2&gt;=Projections!$D$28,Projections!$B$30,0)</f>
        <v>0.15</v>
      </c>
      <c r="U29" s="34">
        <f>IF(U2&gt;=Projections!$D$28,Projections!$B$30,0)</f>
        <v>0.15</v>
      </c>
      <c r="V29" s="34">
        <f>IF(V2&gt;=Projections!$D$28,Projections!$B$30,0)</f>
        <v>0.15</v>
      </c>
      <c r="W29" s="34">
        <f>IF(W2&gt;=Projections!$D$28,Projections!$B$30,0)</f>
        <v>0.15</v>
      </c>
      <c r="X29" s="34">
        <f>IF(X2&gt;=Projections!$D$28,Projections!$B$30,0)</f>
        <v>0.15</v>
      </c>
      <c r="Y29" s="34">
        <f>IF(Y2&gt;=Projections!$D$28,Projections!$B$30,0)</f>
        <v>0.15</v>
      </c>
      <c r="Z29" s="34">
        <f>IF(Z2&gt;=Projections!$D$28,Projections!$B$30,0)</f>
        <v>0.15</v>
      </c>
      <c r="AA29" s="34">
        <f>IF(AA2&gt;=Projections!$D$28,Projections!$B$30,0)</f>
        <v>0.15</v>
      </c>
      <c r="AB29" s="34">
        <f>IF(AB2&gt;=Projections!$D$28,Projections!$B$30,0)</f>
        <v>0.15</v>
      </c>
      <c r="AC29" s="34">
        <f>IF(AC2&gt;=Projections!$D$28,Projections!$B$30,0)</f>
        <v>0.15</v>
      </c>
      <c r="AD29" s="34">
        <f>IF(AD2&gt;=Projections!$D$28,Projections!$B$30,0)</f>
        <v>0.15</v>
      </c>
      <c r="AE29" s="34">
        <f>IF(AE2&gt;=Projections!$D$28,Projections!$B$30,0)</f>
        <v>0.15</v>
      </c>
      <c r="AF29" s="34">
        <f>IF(AF2&gt;=Projections!$D$28,Projections!$B$30,0)</f>
        <v>0.15</v>
      </c>
      <c r="AG29" s="34">
        <f>IF(AG2&gt;=Projections!$D$28,Projections!$B$30,0)</f>
        <v>0.15</v>
      </c>
      <c r="AH29" s="34">
        <f>IF(AH2&gt;=Projections!$D$28,Projections!$B$30,0)</f>
        <v>0.15</v>
      </c>
      <c r="AI29" s="34">
        <f>IF(AI2&gt;=Projections!$D$28,Projections!$B$30,0)</f>
        <v>0.15</v>
      </c>
      <c r="AJ29" s="34">
        <f>IF(AJ2&gt;=Projections!$D$28,Projections!$B$30,0)</f>
        <v>0.15</v>
      </c>
      <c r="AK29" s="34">
        <f>IF(AK2&gt;=Projections!$D$28,Projections!$B$30,0)</f>
        <v>0.15</v>
      </c>
      <c r="AL29" s="34">
        <f>IF(AL2&gt;=Projections!$D$28,Projections!$B$30,0)</f>
        <v>0.15</v>
      </c>
      <c r="AM29" s="34">
        <f>IF(AM2&gt;=Projections!$D$28,Projections!$B$30,0)</f>
        <v>0.15</v>
      </c>
      <c r="AN29" s="34">
        <f>IF(AN2&gt;=Projections!$D$28,Projections!$B$30,0)</f>
        <v>0.15</v>
      </c>
      <c r="AO29" s="34">
        <f>IF(AO2&gt;=Projections!$D$28,Projections!$B$30,0)</f>
        <v>0.15</v>
      </c>
      <c r="AP29" s="34">
        <f>IF(AP2&gt;=Projections!$D$28,Projections!$B$30,0)</f>
        <v>0.15</v>
      </c>
      <c r="AQ29" s="34">
        <f>IF(AQ2&gt;=Projections!$D$28,Projections!$B$30,0)</f>
        <v>0.15</v>
      </c>
      <c r="AR29" s="34">
        <f>IF(AR2&gt;=Projections!$D$28,Projections!$B$30,0)</f>
        <v>0.15</v>
      </c>
      <c r="AS29" s="34">
        <f>IF(AS2&gt;=Projections!$D$28,Projections!$B$30,0)</f>
        <v>0.15</v>
      </c>
      <c r="AT29" s="34">
        <f>IF(AT2&gt;=Projections!$D$28,Projections!$B$30,0)</f>
        <v>0.15</v>
      </c>
      <c r="AU29" s="34">
        <f>IF(AU2&gt;=Projections!$D$28,Projections!$B$30,0)</f>
        <v>0.15</v>
      </c>
      <c r="AV29" s="34">
        <f>IF(AV2&gt;=Projections!$D$28,Projections!$B$30,0)</f>
        <v>0.15</v>
      </c>
      <c r="AW29" s="34">
        <f>IF(AW2&gt;=Projections!$D$28,Projections!$B$30,0)</f>
        <v>0.15</v>
      </c>
      <c r="AX29" s="34">
        <f>IF(AX2&gt;=Projections!$D$28,Projections!$B$30,0)</f>
        <v>0.15</v>
      </c>
      <c r="AY29" s="34">
        <f>IF(AY2&gt;=Projections!$D$28,Projections!$B$30,0)</f>
        <v>0.15</v>
      </c>
      <c r="AZ29" s="34">
        <f>IF(AZ2&gt;=Projections!$D$28,Projections!$B$30,0)</f>
        <v>0.15</v>
      </c>
      <c r="BA29" s="34">
        <f>IF(BA2&gt;=Projections!$D$28,Projections!$B$30,0)</f>
        <v>0.15</v>
      </c>
      <c r="BB29" s="34">
        <f>IF(BB2&gt;=Projections!$D$28,Projections!$B$30,0)</f>
        <v>0.15</v>
      </c>
      <c r="BC29" s="34">
        <f>IF(BC2&gt;=Projections!$D$28,Projections!$B$30,0)</f>
        <v>0.15</v>
      </c>
      <c r="BD29" s="34">
        <f>IF(BD2&gt;=Projections!$D$28,Projections!$B$30,0)</f>
        <v>0.15</v>
      </c>
      <c r="BE29" s="34">
        <f>IF(BE2&gt;=Projections!$D$28,Projections!$B$30,0)</f>
        <v>0.15</v>
      </c>
      <c r="BF29" s="34">
        <f>IF(BF2&gt;=Projections!$D$28,Projections!$B$30,0)</f>
        <v>0.15</v>
      </c>
      <c r="BG29" s="34">
        <f>IF(BG2&gt;=Projections!$D$28,Projections!$B$30,0)</f>
        <v>0.15</v>
      </c>
      <c r="BH29" s="34">
        <f>IF(BH2&gt;=Projections!$D$28,Projections!$B$30,0)</f>
        <v>0.15</v>
      </c>
      <c r="BI29" s="34">
        <f>IF(BI2&gt;=Projections!$D$28,Projections!$B$30,0)</f>
        <v>0.15</v>
      </c>
      <c r="BJ29" s="34">
        <f>IF(BJ2&gt;=Projections!$D$28,Projections!$B$30,0)</f>
        <v>0.15</v>
      </c>
      <c r="BK29" s="34">
        <f>IF(BK2&gt;=Projections!$D$28,Projections!$B$30,0)</f>
        <v>0.15</v>
      </c>
      <c r="BL29" s="34">
        <f>IF(BL2&gt;=Projections!$D$28,Projections!$B$30,0)</f>
        <v>0.15</v>
      </c>
      <c r="BM29" s="34">
        <f>IF(BM2&gt;=Projections!$D$28,Projections!$B$30,0)</f>
        <v>0.15</v>
      </c>
      <c r="BN29" s="34">
        <f>IF(BN2&gt;=Projections!$D$28,Projections!$B$30,0)</f>
        <v>0.15</v>
      </c>
      <c r="BO29" s="34">
        <f>IF(BO2&gt;=Projections!$D$28,Projections!$B$30,0)</f>
        <v>0.15</v>
      </c>
      <c r="BP29" s="34">
        <f>IF(BP2&gt;=Projections!$D$28,Projections!$B$30,0)</f>
        <v>0.15</v>
      </c>
      <c r="BQ29" s="34">
        <f>IF(BQ2&gt;=Projections!$D$28,Projections!$B$30,0)</f>
        <v>0.15</v>
      </c>
      <c r="BR29" s="34">
        <f>IF(BR2&gt;=Projections!$D$28,Projections!$B$30,0)</f>
        <v>0.15</v>
      </c>
      <c r="BS29" s="34">
        <f>IF(BS2&gt;=Projections!$D$28,Projections!$B$30,0)</f>
        <v>0.15</v>
      </c>
      <c r="BT29" s="34">
        <f>IF(BT2&gt;=Projections!$D$28,Projections!$B$30,0)</f>
        <v>0.15</v>
      </c>
      <c r="BU29" s="34">
        <f>IF(BU2&gt;=Projections!$D$28,Projections!$B$30,0)</f>
        <v>0.15</v>
      </c>
      <c r="BV29" s="34">
        <f>IF(BV2&gt;=Projections!$D$28,Projections!$B$30,0)</f>
        <v>0.15</v>
      </c>
      <c r="BW29" s="34">
        <f>IF(BW2&gt;=Projections!$D$28,Projections!$B$30,0)</f>
        <v>0.15</v>
      </c>
      <c r="BX29" s="34">
        <f>IF(BX2&gt;=Projections!$D$28,Projections!$B$30,0)</f>
        <v>0.15</v>
      </c>
      <c r="BY29" s="34">
        <f>IF(BY2&gt;=Projections!$D$28,Projections!$B$30,0)</f>
        <v>0.15</v>
      </c>
      <c r="BZ29" s="34">
        <f>IF(BZ2&gt;=Projections!$D$28,Projections!$B$30,0)</f>
        <v>0.15</v>
      </c>
      <c r="CA29" s="34">
        <f>IF(CA2&gt;=Projections!$D$28,Projections!$B$30,0)</f>
        <v>0.15</v>
      </c>
      <c r="CB29" s="34">
        <f>IF(CB2&gt;=Projections!$D$28,Projections!$B$30,0)</f>
        <v>0.15</v>
      </c>
      <c r="CC29" s="34">
        <f>IF(CC2&gt;=Projections!$D$28,Projections!$B$30,0)</f>
        <v>0.15</v>
      </c>
      <c r="CD29" s="34">
        <f>IF(CD2&gt;=Projections!$D$28,Projections!$B$30,0)</f>
        <v>0.15</v>
      </c>
      <c r="CE29" s="34">
        <f>IF(CE2&gt;=Projections!$D$28,Projections!$B$30,0)</f>
        <v>0.15</v>
      </c>
      <c r="CF29" s="34">
        <f>IF(CF2&gt;=Projections!$D$28,Projections!$B$30,0)</f>
        <v>0.15</v>
      </c>
      <c r="CG29" s="34">
        <f>IF(CG2&gt;=Projections!$D$28,Projections!$B$30,0)</f>
        <v>0.15</v>
      </c>
      <c r="CH29" s="34">
        <f>IF(CH2&gt;=Projections!$D$28,Projections!$B$30,0)</f>
        <v>0.15</v>
      </c>
      <c r="CI29" s="34">
        <f>IF(CI2&gt;=Projections!$D$28,Projections!$B$30,0)</f>
        <v>0.15</v>
      </c>
      <c r="CJ29" s="34">
        <f>IF(CJ2&gt;=Projections!$D$28,Projections!$B$30,0)</f>
        <v>0.15</v>
      </c>
      <c r="CK29" s="34">
        <f>IF(CK2&gt;=Projections!$D$28,Projections!$B$30,0)</f>
        <v>0.15</v>
      </c>
      <c r="CL29" s="34">
        <f>IF(CL2&gt;=Projections!$D$28,Projections!$B$30,0)</f>
        <v>0.15</v>
      </c>
      <c r="CM29" s="34">
        <f>IF(CM2&gt;=Projections!$D$28,Projections!$B$30,0)</f>
        <v>0.15</v>
      </c>
      <c r="CN29" s="34">
        <f>IF(CN2&gt;=Projections!$D$28,Projections!$B$30,0)</f>
        <v>0.15</v>
      </c>
      <c r="CO29" s="34">
        <f>IF(CO2&gt;=Projections!$D$28,Projections!$B$30,0)</f>
        <v>0.15</v>
      </c>
      <c r="CP29" s="34">
        <f>IF(CP2&gt;=Projections!$D$28,Projections!$B$30,0)</f>
        <v>0.15</v>
      </c>
      <c r="CQ29" s="34">
        <f>IF(CQ2&gt;=Projections!$D$28,Projections!$B$30,0)</f>
        <v>0.15</v>
      </c>
      <c r="CR29" s="34">
        <f>IF(CR2&gt;=Projections!$D$28,Projections!$B$30,0)</f>
        <v>0.15</v>
      </c>
      <c r="CS29" s="34">
        <f>IF(CS2&gt;=Projections!$D$28,Projections!$B$30,0)</f>
        <v>0.15</v>
      </c>
      <c r="CT29" s="34">
        <f>IF(CT2&gt;=Projections!$D$28,Projections!$B$30,0)</f>
        <v>0.15</v>
      </c>
      <c r="CU29" s="34">
        <f>IF(CU2&gt;=Projections!$D$28,Projections!$B$30,0)</f>
        <v>0.15</v>
      </c>
      <c r="CV29" s="34">
        <f>IF(CV2&gt;=Projections!$D$28,Projections!$B$30,0)</f>
        <v>0.15</v>
      </c>
      <c r="CW29" s="34">
        <f>IF(CW2&gt;=Projections!$D$28,Projections!$B$30,0)</f>
        <v>0.15</v>
      </c>
      <c r="CX29" s="34">
        <f>IF(CX2&gt;=Projections!$D$28,Projections!$B$30,0)</f>
        <v>0.15</v>
      </c>
    </row>
    <row r="30" ht="15.75" customHeight="1" outlineLevel="1">
      <c r="A30" s="140" t="s">
        <v>211</v>
      </c>
      <c r="B30" s="139"/>
      <c r="C30" s="139"/>
      <c r="D30" s="139"/>
      <c r="E30" s="139">
        <f t="shared" ref="E30:CX30" si="6">D31*E29</f>
        <v>0</v>
      </c>
      <c r="F30" s="139">
        <f t="shared" si="6"/>
        <v>2.0045</v>
      </c>
      <c r="G30" s="139">
        <f t="shared" si="6"/>
        <v>3.809415789</v>
      </c>
      <c r="H30" s="139">
        <f t="shared" si="6"/>
        <v>5.449831292</v>
      </c>
      <c r="I30" s="139">
        <f t="shared" si="6"/>
        <v>6.955827675</v>
      </c>
      <c r="J30" s="139">
        <f t="shared" si="6"/>
        <v>8.353247009</v>
      </c>
      <c r="K30" s="139">
        <f t="shared" si="6"/>
        <v>9.664342033</v>
      </c>
      <c r="L30" s="139">
        <f t="shared" si="6"/>
        <v>10.90832917</v>
      </c>
      <c r="M30" s="139">
        <f t="shared" si="6"/>
        <v>12.10185934</v>
      </c>
      <c r="N30" s="139">
        <f t="shared" si="6"/>
        <v>13.2557636</v>
      </c>
      <c r="O30" s="139">
        <f t="shared" si="6"/>
        <v>14.34739139</v>
      </c>
      <c r="P30" s="139">
        <f t="shared" si="6"/>
        <v>15.39162462</v>
      </c>
      <c r="Q30" s="139">
        <f t="shared" si="6"/>
        <v>16.40138996</v>
      </c>
      <c r="R30" s="139">
        <f t="shared" si="6"/>
        <v>17.38796596</v>
      </c>
      <c r="S30" s="139">
        <f t="shared" si="6"/>
        <v>18.36124478</v>
      </c>
      <c r="T30" s="139">
        <f t="shared" si="6"/>
        <v>19.32995546</v>
      </c>
      <c r="U30" s="139">
        <f t="shared" si="6"/>
        <v>20.30185441</v>
      </c>
      <c r="V30" s="139">
        <f t="shared" si="6"/>
        <v>21.28388813</v>
      </c>
      <c r="W30" s="139">
        <f t="shared" si="6"/>
        <v>22.28233239</v>
      </c>
      <c r="X30" s="139">
        <f t="shared" si="6"/>
        <v>23.30291138</v>
      </c>
      <c r="Y30" s="139">
        <f t="shared" si="6"/>
        <v>24.35089997</v>
      </c>
      <c r="Z30" s="139">
        <f t="shared" si="6"/>
        <v>25.43121153</v>
      </c>
      <c r="AA30" s="139">
        <f t="shared" si="6"/>
        <v>26.54847369</v>
      </c>
      <c r="AB30" s="139">
        <f t="shared" si="6"/>
        <v>27.70709371</v>
      </c>
      <c r="AC30" s="139">
        <f t="shared" si="6"/>
        <v>28.91131529</v>
      </c>
      <c r="AD30" s="139">
        <f t="shared" si="6"/>
        <v>30.16526791</v>
      </c>
      <c r="AE30" s="139">
        <f t="shared" si="6"/>
        <v>31.47301014</v>
      </c>
      <c r="AF30" s="139">
        <f t="shared" si="6"/>
        <v>32.83856765</v>
      </c>
      <c r="AG30" s="139">
        <f t="shared" si="6"/>
        <v>34.26596698</v>
      </c>
      <c r="AH30" s="139">
        <f t="shared" si="6"/>
        <v>35.75926564</v>
      </c>
      <c r="AI30" s="139">
        <f t="shared" si="6"/>
        <v>37.32257919</v>
      </c>
      <c r="AJ30" s="139">
        <f t="shared" si="6"/>
        <v>38.96010587</v>
      </c>
      <c r="AK30" s="139">
        <f t="shared" si="6"/>
        <v>40.67614923</v>
      </c>
      <c r="AL30" s="139">
        <f t="shared" si="6"/>
        <v>42.47513905</v>
      </c>
      <c r="AM30" s="139">
        <f t="shared" si="6"/>
        <v>44.36165101</v>
      </c>
      <c r="AN30" s="139">
        <f t="shared" si="6"/>
        <v>46.34042531</v>
      </c>
      <c r="AO30" s="139">
        <f t="shared" si="6"/>
        <v>48.41638456</v>
      </c>
      <c r="AP30" s="139">
        <f t="shared" si="6"/>
        <v>50.59465108</v>
      </c>
      <c r="AQ30" s="139">
        <f t="shared" si="6"/>
        <v>52.88056384</v>
      </c>
      <c r="AR30" s="139">
        <f t="shared" si="6"/>
        <v>55.2796952</v>
      </c>
      <c r="AS30" s="139">
        <f t="shared" si="6"/>
        <v>57.79786765</v>
      </c>
      <c r="AT30" s="139">
        <f t="shared" si="6"/>
        <v>60.44117057</v>
      </c>
      <c r="AU30" s="139">
        <f t="shared" si="6"/>
        <v>63.2159772</v>
      </c>
      <c r="AV30" s="139">
        <f t="shared" si="6"/>
        <v>66.12896196</v>
      </c>
      <c r="AW30" s="139">
        <f t="shared" si="6"/>
        <v>69.18711806</v>
      </c>
      <c r="AX30" s="139">
        <f t="shared" si="6"/>
        <v>72.39777577</v>
      </c>
      <c r="AY30" s="139">
        <f t="shared" si="6"/>
        <v>75.7686211</v>
      </c>
      <c r="AZ30" s="139">
        <f t="shared" si="6"/>
        <v>79.30771521</v>
      </c>
      <c r="BA30" s="139">
        <f t="shared" si="6"/>
        <v>83.02351456</v>
      </c>
      <c r="BB30" s="139">
        <f t="shared" si="6"/>
        <v>86.92489185</v>
      </c>
      <c r="BC30" s="139">
        <f t="shared" si="6"/>
        <v>91.02115777</v>
      </c>
      <c r="BD30" s="139">
        <f t="shared" si="6"/>
        <v>95.32208378</v>
      </c>
      <c r="BE30" s="139">
        <f t="shared" si="6"/>
        <v>99.83792588</v>
      </c>
      <c r="BF30" s="139">
        <f t="shared" si="6"/>
        <v>104.5794494</v>
      </c>
      <c r="BG30" s="139">
        <f t="shared" si="6"/>
        <v>109.557955</v>
      </c>
      <c r="BH30" s="139">
        <f t="shared" si="6"/>
        <v>114.7853059</v>
      </c>
      <c r="BI30" s="139">
        <f t="shared" si="6"/>
        <v>120.2739564</v>
      </c>
      <c r="BJ30" s="139">
        <f t="shared" si="6"/>
        <v>126.0369816</v>
      </c>
      <c r="BK30" s="139">
        <f t="shared" si="6"/>
        <v>132.088109</v>
      </c>
      <c r="BL30" s="139">
        <f t="shared" si="6"/>
        <v>138.441751</v>
      </c>
      <c r="BM30" s="139">
        <f t="shared" si="6"/>
        <v>145.1130396</v>
      </c>
      <c r="BN30" s="139">
        <f t="shared" si="6"/>
        <v>152.1178625</v>
      </c>
      <c r="BO30" s="139">
        <f t="shared" si="6"/>
        <v>159.4729009</v>
      </c>
      <c r="BP30" s="139">
        <f t="shared" si="6"/>
        <v>167.1956695</v>
      </c>
      <c r="BQ30" s="139">
        <f t="shared" si="6"/>
        <v>175.3045579</v>
      </c>
      <c r="BR30" s="139">
        <f t="shared" si="6"/>
        <v>183.818875</v>
      </c>
      <c r="BS30" s="139">
        <f t="shared" si="6"/>
        <v>192.7588946</v>
      </c>
      <c r="BT30" s="139">
        <f t="shared" si="6"/>
        <v>202.1459038</v>
      </c>
      <c r="BU30" s="139">
        <f t="shared" si="6"/>
        <v>212.0022538</v>
      </c>
      <c r="BV30" s="139">
        <f t="shared" si="6"/>
        <v>222.351413</v>
      </c>
      <c r="BW30" s="139">
        <f t="shared" si="6"/>
        <v>233.2180233</v>
      </c>
      <c r="BX30" s="139">
        <f t="shared" si="6"/>
        <v>244.6279581</v>
      </c>
      <c r="BY30" s="139">
        <f t="shared" si="6"/>
        <v>256.6083846</v>
      </c>
      <c r="BZ30" s="139">
        <f t="shared" si="6"/>
        <v>269.1878281</v>
      </c>
      <c r="CA30" s="139">
        <f t="shared" si="6"/>
        <v>282.3962402</v>
      </c>
      <c r="CB30" s="139">
        <f t="shared" si="6"/>
        <v>296.2650698</v>
      </c>
      <c r="CC30" s="139">
        <f t="shared" si="6"/>
        <v>310.8273382</v>
      </c>
      <c r="CD30" s="139">
        <f t="shared" si="6"/>
        <v>326.1177178</v>
      </c>
      <c r="CE30" s="139">
        <f t="shared" si="6"/>
        <v>342.1726145</v>
      </c>
      <c r="CF30" s="139">
        <f t="shared" si="6"/>
        <v>359.0302544</v>
      </c>
      <c r="CG30" s="139">
        <f t="shared" si="6"/>
        <v>376.7307749</v>
      </c>
      <c r="CH30" s="139">
        <f t="shared" si="6"/>
        <v>395.3163202</v>
      </c>
      <c r="CI30" s="139">
        <f t="shared" si="6"/>
        <v>414.8311419</v>
      </c>
      <c r="CJ30" s="139">
        <f t="shared" si="6"/>
        <v>435.3217038</v>
      </c>
      <c r="CK30" s="139">
        <f t="shared" si="6"/>
        <v>456.836793</v>
      </c>
      <c r="CL30" s="139">
        <f t="shared" si="6"/>
        <v>479.4276361</v>
      </c>
      <c r="CM30" s="139">
        <f t="shared" si="6"/>
        <v>503.1480209</v>
      </c>
      <c r="CN30" s="139">
        <f t="shared" si="6"/>
        <v>528.0544244</v>
      </c>
      <c r="CO30" s="139">
        <f t="shared" si="6"/>
        <v>554.2061478</v>
      </c>
      <c r="CP30" s="139">
        <f t="shared" si="6"/>
        <v>581.665457</v>
      </c>
      <c r="CQ30" s="139">
        <f t="shared" si="6"/>
        <v>610.4977313</v>
      </c>
      <c r="CR30" s="139">
        <f t="shared" si="6"/>
        <v>640.7716192</v>
      </c>
      <c r="CS30" s="139">
        <f t="shared" si="6"/>
        <v>672.5592013</v>
      </c>
      <c r="CT30" s="139">
        <f t="shared" si="6"/>
        <v>705.9361623</v>
      </c>
      <c r="CU30" s="139">
        <f t="shared" si="6"/>
        <v>740.9819712</v>
      </c>
      <c r="CV30" s="139">
        <f t="shared" si="6"/>
        <v>777.7800705</v>
      </c>
      <c r="CW30" s="139">
        <f t="shared" si="6"/>
        <v>811.8660599</v>
      </c>
      <c r="CX30" s="139">
        <f t="shared" si="6"/>
        <v>840.8391509</v>
      </c>
    </row>
    <row r="31" ht="15.75" customHeight="1" outlineLevel="1">
      <c r="A31" s="5" t="s">
        <v>212</v>
      </c>
      <c r="B31" s="1"/>
      <c r="C31" s="1"/>
      <c r="D31" s="1"/>
      <c r="E31" s="139">
        <f t="shared" ref="E31:CX31" si="7">D31+E28-E30</f>
        <v>13.36333333</v>
      </c>
      <c r="F31" s="139">
        <f t="shared" si="7"/>
        <v>25.39610526</v>
      </c>
      <c r="G31" s="139">
        <f t="shared" si="7"/>
        <v>36.33220861</v>
      </c>
      <c r="H31" s="139">
        <f t="shared" si="7"/>
        <v>46.3721845</v>
      </c>
      <c r="I31" s="139">
        <f t="shared" si="7"/>
        <v>55.68831339</v>
      </c>
      <c r="J31" s="139">
        <f t="shared" si="7"/>
        <v>64.42894689</v>
      </c>
      <c r="K31" s="139">
        <f t="shared" si="7"/>
        <v>72.72219449</v>
      </c>
      <c r="L31" s="139">
        <f t="shared" si="7"/>
        <v>80.67906226</v>
      </c>
      <c r="M31" s="139">
        <f t="shared" si="7"/>
        <v>88.37175736</v>
      </c>
      <c r="N31" s="139">
        <f t="shared" si="7"/>
        <v>95.64927592</v>
      </c>
      <c r="O31" s="139">
        <f t="shared" si="7"/>
        <v>102.6108308</v>
      </c>
      <c r="P31" s="139">
        <f t="shared" si="7"/>
        <v>109.3425998</v>
      </c>
      <c r="Q31" s="139">
        <f t="shared" si="7"/>
        <v>115.9197731</v>
      </c>
      <c r="R31" s="139">
        <f t="shared" si="7"/>
        <v>122.4082985</v>
      </c>
      <c r="S31" s="139">
        <f t="shared" si="7"/>
        <v>128.8663697</v>
      </c>
      <c r="T31" s="139">
        <f t="shared" si="7"/>
        <v>135.3456961</v>
      </c>
      <c r="U31" s="139">
        <f t="shared" si="7"/>
        <v>141.8925875</v>
      </c>
      <c r="V31" s="139">
        <f t="shared" si="7"/>
        <v>148.5488826</v>
      </c>
      <c r="W31" s="139">
        <f t="shared" si="7"/>
        <v>155.3527425</v>
      </c>
      <c r="X31" s="139">
        <f t="shared" si="7"/>
        <v>162.3393331</v>
      </c>
      <c r="Y31" s="139">
        <f t="shared" si="7"/>
        <v>169.5414102</v>
      </c>
      <c r="Z31" s="139">
        <f t="shared" si="7"/>
        <v>176.9898246</v>
      </c>
      <c r="AA31" s="139">
        <f t="shared" si="7"/>
        <v>184.7139581</v>
      </c>
      <c r="AB31" s="139">
        <f t="shared" si="7"/>
        <v>192.7421019</v>
      </c>
      <c r="AC31" s="139">
        <f t="shared" si="7"/>
        <v>201.1017861</v>
      </c>
      <c r="AD31" s="139">
        <f t="shared" si="7"/>
        <v>209.8200676</v>
      </c>
      <c r="AE31" s="139">
        <f t="shared" si="7"/>
        <v>218.9237843</v>
      </c>
      <c r="AF31" s="139">
        <f t="shared" si="7"/>
        <v>228.4397799</v>
      </c>
      <c r="AG31" s="139">
        <f t="shared" si="7"/>
        <v>238.3951043</v>
      </c>
      <c r="AH31" s="139">
        <f t="shared" si="7"/>
        <v>248.8171946</v>
      </c>
      <c r="AI31" s="139">
        <f t="shared" si="7"/>
        <v>259.7340392</v>
      </c>
      <c r="AJ31" s="139">
        <f t="shared" si="7"/>
        <v>271.1743282</v>
      </c>
      <c r="AK31" s="139">
        <f t="shared" si="7"/>
        <v>283.1675937</v>
      </c>
      <c r="AL31" s="139">
        <f t="shared" si="7"/>
        <v>295.74434</v>
      </c>
      <c r="AM31" s="139">
        <f t="shared" si="7"/>
        <v>308.9361687</v>
      </c>
      <c r="AN31" s="139">
        <f t="shared" si="7"/>
        <v>322.7758971</v>
      </c>
      <c r="AO31" s="139">
        <f t="shared" si="7"/>
        <v>337.2976739</v>
      </c>
      <c r="AP31" s="139">
        <f t="shared" si="7"/>
        <v>352.5370922</v>
      </c>
      <c r="AQ31" s="139">
        <f t="shared" si="7"/>
        <v>368.5313013</v>
      </c>
      <c r="AR31" s="139">
        <f t="shared" si="7"/>
        <v>385.3191176</v>
      </c>
      <c r="AS31" s="139">
        <f t="shared" si="7"/>
        <v>402.9411371</v>
      </c>
      <c r="AT31" s="139">
        <f t="shared" si="7"/>
        <v>421.439848</v>
      </c>
      <c r="AU31" s="139">
        <f t="shared" si="7"/>
        <v>440.8597464</v>
      </c>
      <c r="AV31" s="139">
        <f t="shared" si="7"/>
        <v>461.2474538</v>
      </c>
      <c r="AW31" s="139">
        <f t="shared" si="7"/>
        <v>482.6518385</v>
      </c>
      <c r="AX31" s="139">
        <f t="shared" si="7"/>
        <v>505.1241406</v>
      </c>
      <c r="AY31" s="139">
        <f t="shared" si="7"/>
        <v>528.7181014</v>
      </c>
      <c r="AZ31" s="139">
        <f t="shared" si="7"/>
        <v>553.4900971</v>
      </c>
      <c r="BA31" s="139">
        <f t="shared" si="7"/>
        <v>579.499279</v>
      </c>
      <c r="BB31" s="139">
        <f t="shared" si="7"/>
        <v>606.8077184</v>
      </c>
      <c r="BC31" s="139">
        <f t="shared" si="7"/>
        <v>635.4805585</v>
      </c>
      <c r="BD31" s="139">
        <f t="shared" si="7"/>
        <v>665.5861725</v>
      </c>
      <c r="BE31" s="139">
        <f t="shared" si="7"/>
        <v>697.1963293</v>
      </c>
      <c r="BF31" s="139">
        <f t="shared" si="7"/>
        <v>730.3863666</v>
      </c>
      <c r="BG31" s="139">
        <f t="shared" si="7"/>
        <v>765.2353728</v>
      </c>
      <c r="BH31" s="139">
        <f t="shared" si="7"/>
        <v>801.826376</v>
      </c>
      <c r="BI31" s="139">
        <f t="shared" si="7"/>
        <v>840.2465442</v>
      </c>
      <c r="BJ31" s="139">
        <f t="shared" si="7"/>
        <v>880.5873934</v>
      </c>
      <c r="BK31" s="139">
        <f t="shared" si="7"/>
        <v>922.9450068</v>
      </c>
      <c r="BL31" s="139">
        <f t="shared" si="7"/>
        <v>967.4202643</v>
      </c>
      <c r="BM31" s="139">
        <f t="shared" si="7"/>
        <v>1014.119084</v>
      </c>
      <c r="BN31" s="139">
        <f t="shared" si="7"/>
        <v>1063.152673</v>
      </c>
      <c r="BO31" s="139">
        <f t="shared" si="7"/>
        <v>1114.637796</v>
      </c>
      <c r="BP31" s="139">
        <f t="shared" si="7"/>
        <v>1168.697053</v>
      </c>
      <c r="BQ31" s="139">
        <f t="shared" si="7"/>
        <v>1225.459167</v>
      </c>
      <c r="BR31" s="139">
        <f t="shared" si="7"/>
        <v>1285.059297</v>
      </c>
      <c r="BS31" s="139">
        <f t="shared" si="7"/>
        <v>1347.639359</v>
      </c>
      <c r="BT31" s="139">
        <f t="shared" si="7"/>
        <v>1413.348359</v>
      </c>
      <c r="BU31" s="139">
        <f t="shared" si="7"/>
        <v>1482.342754</v>
      </c>
      <c r="BV31" s="139">
        <f t="shared" si="7"/>
        <v>1554.786822</v>
      </c>
      <c r="BW31" s="139">
        <f t="shared" si="7"/>
        <v>1630.853054</v>
      </c>
      <c r="BX31" s="139">
        <f t="shared" si="7"/>
        <v>1710.722564</v>
      </c>
      <c r="BY31" s="139">
        <f t="shared" si="7"/>
        <v>1794.585521</v>
      </c>
      <c r="BZ31" s="139">
        <f t="shared" si="7"/>
        <v>1882.641601</v>
      </c>
      <c r="CA31" s="139">
        <f t="shared" si="7"/>
        <v>1975.100465</v>
      </c>
      <c r="CB31" s="139">
        <f t="shared" si="7"/>
        <v>2072.182255</v>
      </c>
      <c r="CC31" s="139">
        <f t="shared" si="7"/>
        <v>2174.118119</v>
      </c>
      <c r="CD31" s="139">
        <f t="shared" si="7"/>
        <v>2281.150763</v>
      </c>
      <c r="CE31" s="139">
        <f t="shared" si="7"/>
        <v>2393.535029</v>
      </c>
      <c r="CF31" s="139">
        <f t="shared" si="7"/>
        <v>2511.538499</v>
      </c>
      <c r="CG31" s="139">
        <f t="shared" si="7"/>
        <v>2635.442135</v>
      </c>
      <c r="CH31" s="139">
        <f t="shared" si="7"/>
        <v>2765.540946</v>
      </c>
      <c r="CI31" s="139">
        <f t="shared" si="7"/>
        <v>2902.144692</v>
      </c>
      <c r="CJ31" s="139">
        <f t="shared" si="7"/>
        <v>3045.57862</v>
      </c>
      <c r="CK31" s="139">
        <f t="shared" si="7"/>
        <v>3196.184241</v>
      </c>
      <c r="CL31" s="139">
        <f t="shared" si="7"/>
        <v>3354.320139</v>
      </c>
      <c r="CM31" s="139">
        <f t="shared" si="7"/>
        <v>3520.36283</v>
      </c>
      <c r="CN31" s="139">
        <f t="shared" si="7"/>
        <v>3694.707652</v>
      </c>
      <c r="CO31" s="139">
        <f t="shared" si="7"/>
        <v>3877.769713</v>
      </c>
      <c r="CP31" s="139">
        <f t="shared" si="7"/>
        <v>4069.984876</v>
      </c>
      <c r="CQ31" s="139">
        <f t="shared" si="7"/>
        <v>4271.810795</v>
      </c>
      <c r="CR31" s="139">
        <f t="shared" si="7"/>
        <v>4483.728009</v>
      </c>
      <c r="CS31" s="139">
        <f t="shared" si="7"/>
        <v>4706.241082</v>
      </c>
      <c r="CT31" s="139">
        <f t="shared" si="7"/>
        <v>4939.879808</v>
      </c>
      <c r="CU31" s="139">
        <f t="shared" si="7"/>
        <v>5185.20047</v>
      </c>
      <c r="CV31" s="139">
        <f t="shared" si="7"/>
        <v>5412.440399</v>
      </c>
      <c r="CW31" s="139">
        <f t="shared" si="7"/>
        <v>5605.594339</v>
      </c>
      <c r="CX31" s="139">
        <f t="shared" si="7"/>
        <v>5769.775188</v>
      </c>
    </row>
    <row r="32" ht="15.75" customHeight="1">
      <c r="A32" s="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</row>
    <row r="33" ht="15.75" customHeight="1">
      <c r="A33" s="131" t="s">
        <v>215</v>
      </c>
      <c r="B33" s="1"/>
      <c r="C33" s="1"/>
      <c r="D33" s="1"/>
      <c r="E33" s="60">
        <f>E31*Projections!$B$28</f>
        <v>1336.333333</v>
      </c>
      <c r="F33" s="60">
        <f>F31*Projections!$B$28</f>
        <v>2539.610526</v>
      </c>
      <c r="G33" s="60">
        <f>G31*Projections!$B$28</f>
        <v>3633.220861</v>
      </c>
      <c r="H33" s="60">
        <f>H31*Projections!$B$28</f>
        <v>4637.21845</v>
      </c>
      <c r="I33" s="60">
        <f>I31*Projections!$B$28</f>
        <v>5568.831339</v>
      </c>
      <c r="J33" s="60">
        <f>J31*Projections!$B$28</f>
        <v>6442.894689</v>
      </c>
      <c r="K33" s="60">
        <f>K31*Projections!$B$28</f>
        <v>7272.219449</v>
      </c>
      <c r="L33" s="60">
        <f>L31*Projections!$B$28</f>
        <v>8067.906226</v>
      </c>
      <c r="M33" s="60">
        <f>M31*Projections!$B$28</f>
        <v>8837.175736</v>
      </c>
      <c r="N33" s="60">
        <f>N31*Projections!$B$28</f>
        <v>9564.927592</v>
      </c>
      <c r="O33" s="60">
        <f>O31*Projections!$B$28</f>
        <v>10261.08308</v>
      </c>
      <c r="P33" s="60">
        <f>P31*Projections!$B$28</f>
        <v>10934.25998</v>
      </c>
      <c r="Q33" s="60">
        <f>Q31*Projections!$B$28</f>
        <v>11591.97731</v>
      </c>
      <c r="R33" s="60">
        <f>R31*Projections!$B$28</f>
        <v>12240.82985</v>
      </c>
      <c r="S33" s="60">
        <f>S31*Projections!$B$28</f>
        <v>12886.63697</v>
      </c>
      <c r="T33" s="60">
        <f>T31*Projections!$B$28</f>
        <v>13534.56961</v>
      </c>
      <c r="U33" s="60">
        <f>U31*Projections!$B$28</f>
        <v>14189.25875</v>
      </c>
      <c r="V33" s="60">
        <f>V31*Projections!$B$28</f>
        <v>14854.88826</v>
      </c>
      <c r="W33" s="60">
        <f>W31*Projections!$B$28</f>
        <v>15535.27425</v>
      </c>
      <c r="X33" s="60">
        <f>X31*Projections!$B$28</f>
        <v>16233.93331</v>
      </c>
      <c r="Y33" s="60">
        <f>Y31*Projections!$B$28</f>
        <v>16954.14102</v>
      </c>
      <c r="Z33" s="60">
        <f>Z31*Projections!$B$28</f>
        <v>17698.98246</v>
      </c>
      <c r="AA33" s="60">
        <f>AA31*Projections!$B$28</f>
        <v>18471.39581</v>
      </c>
      <c r="AB33" s="60">
        <f>AB31*Projections!$B$28</f>
        <v>19274.21019</v>
      </c>
      <c r="AC33" s="60">
        <f>AC31*Projections!$B$28</f>
        <v>20110.17861</v>
      </c>
      <c r="AD33" s="60">
        <f>AD31*Projections!$B$28</f>
        <v>20982.00676</v>
      </c>
      <c r="AE33" s="60">
        <f>AE31*Projections!$B$28</f>
        <v>21892.37843</v>
      </c>
      <c r="AF33" s="60">
        <f>AF31*Projections!$B$28</f>
        <v>22843.97799</v>
      </c>
      <c r="AG33" s="60">
        <f>AG31*Projections!$B$28</f>
        <v>23839.51043</v>
      </c>
      <c r="AH33" s="60">
        <f>AH31*Projections!$B$28</f>
        <v>24881.71946</v>
      </c>
      <c r="AI33" s="60">
        <f>AI31*Projections!$B$28</f>
        <v>25973.40392</v>
      </c>
      <c r="AJ33" s="60">
        <f>AJ31*Projections!$B$28</f>
        <v>27117.43282</v>
      </c>
      <c r="AK33" s="60">
        <f>AK31*Projections!$B$28</f>
        <v>28316.75937</v>
      </c>
      <c r="AL33" s="60">
        <f>AL31*Projections!$B$28</f>
        <v>29574.434</v>
      </c>
      <c r="AM33" s="60">
        <f>AM31*Projections!$B$28</f>
        <v>30893.61687</v>
      </c>
      <c r="AN33" s="60">
        <f>AN31*Projections!$B$28</f>
        <v>32277.58971</v>
      </c>
      <c r="AO33" s="60">
        <f>AO31*Projections!$B$28</f>
        <v>33729.76739</v>
      </c>
      <c r="AP33" s="60">
        <f>AP31*Projections!$B$28</f>
        <v>35253.70922</v>
      </c>
      <c r="AQ33" s="60">
        <f>AQ31*Projections!$B$28</f>
        <v>36853.13013</v>
      </c>
      <c r="AR33" s="60">
        <f>AR31*Projections!$B$28</f>
        <v>38531.91176</v>
      </c>
      <c r="AS33" s="60">
        <f>AS31*Projections!$B$28</f>
        <v>40294.11371</v>
      </c>
      <c r="AT33" s="60">
        <f>AT31*Projections!$B$28</f>
        <v>42143.9848</v>
      </c>
      <c r="AU33" s="60">
        <f>AU31*Projections!$B$28</f>
        <v>44085.97464</v>
      </c>
      <c r="AV33" s="60">
        <f>AV31*Projections!$B$28</f>
        <v>46124.74538</v>
      </c>
      <c r="AW33" s="60">
        <f>AW31*Projections!$B$28</f>
        <v>48265.18385</v>
      </c>
      <c r="AX33" s="60">
        <f>AX31*Projections!$B$28</f>
        <v>50512.41406</v>
      </c>
      <c r="AY33" s="60">
        <f>AY31*Projections!$B$28</f>
        <v>52871.81014</v>
      </c>
      <c r="AZ33" s="60">
        <f>AZ31*Projections!$B$28</f>
        <v>55349.00971</v>
      </c>
      <c r="BA33" s="60">
        <f>BA31*Projections!$B$28</f>
        <v>57949.9279</v>
      </c>
      <c r="BB33" s="60">
        <f>BB31*Projections!$B$28</f>
        <v>60680.77184</v>
      </c>
      <c r="BC33" s="60">
        <f>BC31*Projections!$B$28</f>
        <v>63548.05585</v>
      </c>
      <c r="BD33" s="60">
        <f>BD31*Projections!$B$28</f>
        <v>66558.61725</v>
      </c>
      <c r="BE33" s="60">
        <f>BE31*Projections!$B$28</f>
        <v>69719.63293</v>
      </c>
      <c r="BF33" s="60">
        <f>BF31*Projections!$B$28</f>
        <v>73038.63666</v>
      </c>
      <c r="BG33" s="60">
        <f>BG31*Projections!$B$28</f>
        <v>76523.53728</v>
      </c>
      <c r="BH33" s="60">
        <f>BH31*Projections!$B$28</f>
        <v>80182.6376</v>
      </c>
      <c r="BI33" s="60">
        <f>BI31*Projections!$B$28</f>
        <v>84024.65442</v>
      </c>
      <c r="BJ33" s="60">
        <f>BJ31*Projections!$B$28</f>
        <v>88058.73934</v>
      </c>
      <c r="BK33" s="60">
        <f>BK31*Projections!$B$28</f>
        <v>92294.50068</v>
      </c>
      <c r="BL33" s="60">
        <f>BL31*Projections!$B$28</f>
        <v>96742.02643</v>
      </c>
      <c r="BM33" s="60">
        <f>BM31*Projections!$B$28</f>
        <v>101411.9084</v>
      </c>
      <c r="BN33" s="60">
        <f>BN31*Projections!$B$28</f>
        <v>106315.2673</v>
      </c>
      <c r="BO33" s="60">
        <f>BO31*Projections!$B$28</f>
        <v>111463.7796</v>
      </c>
      <c r="BP33" s="60">
        <f>BP31*Projections!$B$28</f>
        <v>116869.7053</v>
      </c>
      <c r="BQ33" s="60">
        <f>BQ31*Projections!$B$28</f>
        <v>122545.9167</v>
      </c>
      <c r="BR33" s="60">
        <f>BR31*Projections!$B$28</f>
        <v>128505.9297</v>
      </c>
      <c r="BS33" s="60">
        <f>BS31*Projections!$B$28</f>
        <v>134763.9359</v>
      </c>
      <c r="BT33" s="60">
        <f>BT31*Projections!$B$28</f>
        <v>141334.8359</v>
      </c>
      <c r="BU33" s="60">
        <f>BU31*Projections!$B$28</f>
        <v>148234.2754</v>
      </c>
      <c r="BV33" s="60">
        <f>BV31*Projections!$B$28</f>
        <v>155478.6822</v>
      </c>
      <c r="BW33" s="60">
        <f>BW31*Projections!$B$28</f>
        <v>163085.3054</v>
      </c>
      <c r="BX33" s="60">
        <f>BX31*Projections!$B$28</f>
        <v>171072.2564</v>
      </c>
      <c r="BY33" s="60">
        <f>BY31*Projections!$B$28</f>
        <v>179458.5521</v>
      </c>
      <c r="BZ33" s="60">
        <f>BZ31*Projections!$B$28</f>
        <v>188264.1601</v>
      </c>
      <c r="CA33" s="60">
        <f>CA31*Projections!$B$28</f>
        <v>197510.0465</v>
      </c>
      <c r="CB33" s="60">
        <f>CB31*Projections!$B$28</f>
        <v>207218.2255</v>
      </c>
      <c r="CC33" s="60">
        <f>CC31*Projections!$B$28</f>
        <v>217411.8119</v>
      </c>
      <c r="CD33" s="60">
        <f>CD31*Projections!$B$28</f>
        <v>228115.0763</v>
      </c>
      <c r="CE33" s="60">
        <f>CE31*Projections!$B$28</f>
        <v>239353.5029</v>
      </c>
      <c r="CF33" s="60">
        <f>CF31*Projections!$B$28</f>
        <v>251153.8499</v>
      </c>
      <c r="CG33" s="60">
        <f>CG31*Projections!$B$28</f>
        <v>263544.2135</v>
      </c>
      <c r="CH33" s="60">
        <f>CH31*Projections!$B$28</f>
        <v>276554.0946</v>
      </c>
      <c r="CI33" s="60">
        <f>CI31*Projections!$B$28</f>
        <v>290214.4692</v>
      </c>
      <c r="CJ33" s="60">
        <f>CJ31*Projections!$B$28</f>
        <v>304557.862</v>
      </c>
      <c r="CK33" s="60">
        <f>CK31*Projections!$B$28</f>
        <v>319618.4241</v>
      </c>
      <c r="CL33" s="60">
        <f>CL31*Projections!$B$28</f>
        <v>335432.0139</v>
      </c>
      <c r="CM33" s="60">
        <f>CM31*Projections!$B$28</f>
        <v>352036.283</v>
      </c>
      <c r="CN33" s="60">
        <f>CN31*Projections!$B$28</f>
        <v>369470.7652</v>
      </c>
      <c r="CO33" s="60">
        <f>CO31*Projections!$B$28</f>
        <v>387776.9713</v>
      </c>
      <c r="CP33" s="60">
        <f>CP31*Projections!$B$28</f>
        <v>406998.4876</v>
      </c>
      <c r="CQ33" s="60">
        <f>CQ31*Projections!$B$28</f>
        <v>427181.0795</v>
      </c>
      <c r="CR33" s="60">
        <f>CR31*Projections!$B$28</f>
        <v>448372.8009</v>
      </c>
      <c r="CS33" s="60">
        <f>CS31*Projections!$B$28</f>
        <v>470624.1082</v>
      </c>
      <c r="CT33" s="60">
        <f>CT31*Projections!$B$28</f>
        <v>493987.9808</v>
      </c>
      <c r="CU33" s="60">
        <f>CU31*Projections!$B$28</f>
        <v>518520.047</v>
      </c>
      <c r="CV33" s="60">
        <f>CV31*Projections!$B$28</f>
        <v>541244.0399</v>
      </c>
      <c r="CW33" s="60">
        <f>CW31*Projections!$B$28</f>
        <v>560559.4339</v>
      </c>
      <c r="CX33" s="60">
        <f>CX31*Projections!$B$28</f>
        <v>576977.5188</v>
      </c>
    </row>
    <row r="34" ht="15.75" customHeight="1"/>
    <row r="35" ht="15.75" customHeight="1">
      <c r="A35" s="130" t="str">
        <f>Projections!A53</f>
        <v>REVENUE STREAM 3: OUTBOUND SALES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</row>
    <row r="37" ht="15.75" customHeight="1" outlineLevel="1">
      <c r="A37" s="5" t="s">
        <v>209</v>
      </c>
      <c r="B37" s="1"/>
      <c r="C37" s="1"/>
      <c r="D37" s="139"/>
      <c r="E37" s="139">
        <f>E87*Projections!$B$62</f>
        <v>2</v>
      </c>
      <c r="F37" s="139">
        <f>F87*Projections!$B$62</f>
        <v>2</v>
      </c>
      <c r="G37" s="139">
        <f>G87*Projections!$B$62</f>
        <v>2</v>
      </c>
      <c r="H37" s="139">
        <f>H87*Projections!$B$62</f>
        <v>4</v>
      </c>
      <c r="I37" s="139">
        <f>I87*Projections!$B$62</f>
        <v>4</v>
      </c>
      <c r="J37" s="139">
        <f>J87*Projections!$B$62</f>
        <v>4</v>
      </c>
      <c r="K37" s="139">
        <f>K87*Projections!$B$62</f>
        <v>6</v>
      </c>
      <c r="L37" s="139">
        <f>L87*Projections!$B$62</f>
        <v>6</v>
      </c>
      <c r="M37" s="139">
        <f>M87*Projections!$B$62</f>
        <v>6</v>
      </c>
      <c r="N37" s="139">
        <f>N87*Projections!$B$62</f>
        <v>8</v>
      </c>
      <c r="O37" s="139">
        <f>O87*Projections!$B$62</f>
        <v>8</v>
      </c>
      <c r="P37" s="139">
        <f>P87*Projections!$B$62</f>
        <v>8</v>
      </c>
      <c r="Q37" s="139">
        <f>Q87*Projections!$B$62</f>
        <v>10</v>
      </c>
      <c r="R37" s="139">
        <f>R87*Projections!$B$62</f>
        <v>10</v>
      </c>
      <c r="S37" s="139">
        <f>S87*Projections!$B$62</f>
        <v>10</v>
      </c>
      <c r="T37" s="139">
        <f>T87*Projections!$B$62</f>
        <v>12</v>
      </c>
      <c r="U37" s="139">
        <f>U87*Projections!$B$62</f>
        <v>12</v>
      </c>
      <c r="V37" s="139">
        <f>V87*Projections!$B$62</f>
        <v>12</v>
      </c>
      <c r="W37" s="139">
        <f>W87*Projections!$B$62</f>
        <v>14</v>
      </c>
      <c r="X37" s="139">
        <f>X87*Projections!$B$62</f>
        <v>14</v>
      </c>
      <c r="Y37" s="139">
        <f>Y87*Projections!$B$62</f>
        <v>14</v>
      </c>
      <c r="Z37" s="139">
        <f>Z87*Projections!$B$62</f>
        <v>16</v>
      </c>
      <c r="AA37" s="139">
        <f>AA87*Projections!$B$62</f>
        <v>16</v>
      </c>
      <c r="AB37" s="139">
        <f>AB87*Projections!$B$62</f>
        <v>16</v>
      </c>
      <c r="AC37" s="139">
        <f>AC87*Projections!$B$62</f>
        <v>18</v>
      </c>
      <c r="AD37" s="139">
        <f>AD87*Projections!$B$62</f>
        <v>18</v>
      </c>
      <c r="AE37" s="139">
        <f>AE87*Projections!$B$62</f>
        <v>18</v>
      </c>
      <c r="AF37" s="139">
        <f>AF87*Projections!$B$62</f>
        <v>20</v>
      </c>
      <c r="AG37" s="139">
        <f>AG87*Projections!$B$62</f>
        <v>20</v>
      </c>
      <c r="AH37" s="139">
        <f>AH87*Projections!$B$62</f>
        <v>20</v>
      </c>
      <c r="AI37" s="139">
        <f>AI87*Projections!$B$62</f>
        <v>20</v>
      </c>
      <c r="AJ37" s="139">
        <f>AJ87*Projections!$B$62</f>
        <v>20</v>
      </c>
      <c r="AK37" s="139">
        <f>AK87*Projections!$B$62</f>
        <v>20</v>
      </c>
      <c r="AL37" s="139">
        <f>AL87*Projections!$B$62</f>
        <v>20</v>
      </c>
      <c r="AM37" s="139">
        <f>AM87*Projections!$B$62</f>
        <v>20</v>
      </c>
      <c r="AN37" s="139">
        <f>AN87*Projections!$B$62</f>
        <v>20</v>
      </c>
      <c r="AO37" s="139">
        <f>AO87*Projections!$B$62</f>
        <v>20</v>
      </c>
      <c r="AP37" s="139">
        <f>AP87*Projections!$B$62</f>
        <v>20</v>
      </c>
      <c r="AQ37" s="139">
        <f>AQ87*Projections!$B$62</f>
        <v>20</v>
      </c>
      <c r="AR37" s="139">
        <f>AR87*Projections!$B$62</f>
        <v>20</v>
      </c>
      <c r="AS37" s="139">
        <f>AS87*Projections!$B$62</f>
        <v>20</v>
      </c>
      <c r="AT37" s="139">
        <f>AT87*Projections!$B$62</f>
        <v>20</v>
      </c>
      <c r="AU37" s="139">
        <f>AU87*Projections!$B$62</f>
        <v>20</v>
      </c>
      <c r="AV37" s="139">
        <f>AV87*Projections!$B$62</f>
        <v>20</v>
      </c>
      <c r="AW37" s="139">
        <f>AW87*Projections!$B$62</f>
        <v>20</v>
      </c>
      <c r="AX37" s="139">
        <f>AX87*Projections!$B$62</f>
        <v>20</v>
      </c>
      <c r="AY37" s="139">
        <f>AY87*Projections!$B$62</f>
        <v>20</v>
      </c>
      <c r="AZ37" s="139">
        <f>AZ87*Projections!$B$62</f>
        <v>20</v>
      </c>
      <c r="BA37" s="139">
        <f>BA87*Projections!$B$62</f>
        <v>20</v>
      </c>
      <c r="BB37" s="139">
        <f>BB87*Projections!$B$62</f>
        <v>20</v>
      </c>
      <c r="BC37" s="139">
        <f>BC87*Projections!$B$62</f>
        <v>20</v>
      </c>
      <c r="BD37" s="139">
        <f>BD87*Projections!$B$62</f>
        <v>20</v>
      </c>
      <c r="BE37" s="139">
        <f>BE87*Projections!$B$62</f>
        <v>20</v>
      </c>
      <c r="BF37" s="139">
        <f>BF87*Projections!$B$62</f>
        <v>20</v>
      </c>
      <c r="BG37" s="139">
        <f>BG87*Projections!$B$62</f>
        <v>20</v>
      </c>
      <c r="BH37" s="139">
        <f>BH87*Projections!$B$62</f>
        <v>20</v>
      </c>
      <c r="BI37" s="139">
        <f>BI87*Projections!$B$62</f>
        <v>20</v>
      </c>
      <c r="BJ37" s="139">
        <f>BJ87*Projections!$B$62</f>
        <v>20</v>
      </c>
      <c r="BK37" s="139">
        <f>BK87*Projections!$B$62</f>
        <v>20</v>
      </c>
      <c r="BL37" s="139">
        <f>BL87*Projections!$B$62</f>
        <v>20</v>
      </c>
      <c r="BM37" s="139">
        <f>BM87*Projections!$B$62</f>
        <v>20</v>
      </c>
      <c r="BN37" s="139">
        <f>BN87*Projections!$B$62</f>
        <v>20</v>
      </c>
      <c r="BO37" s="139">
        <f>BO87*Projections!$B$62</f>
        <v>20</v>
      </c>
      <c r="BP37" s="139">
        <f>BP87*Projections!$B$62</f>
        <v>20</v>
      </c>
      <c r="BQ37" s="139">
        <f>BQ87*Projections!$B$62</f>
        <v>20</v>
      </c>
      <c r="BR37" s="139">
        <f>BR87*Projections!$B$62</f>
        <v>20</v>
      </c>
      <c r="BS37" s="139">
        <f>BS87*Projections!$B$62</f>
        <v>20</v>
      </c>
      <c r="BT37" s="139">
        <f>BT87*Projections!$B$62</f>
        <v>20</v>
      </c>
      <c r="BU37" s="139">
        <f>BU87*Projections!$B$62</f>
        <v>20</v>
      </c>
      <c r="BV37" s="139">
        <f>BV87*Projections!$B$62</f>
        <v>20</v>
      </c>
      <c r="BW37" s="139">
        <f>BW87*Projections!$B$62</f>
        <v>20</v>
      </c>
      <c r="BX37" s="139">
        <f>BX87*Projections!$B$62</f>
        <v>20</v>
      </c>
      <c r="BY37" s="139">
        <f>BY87*Projections!$B$62</f>
        <v>20</v>
      </c>
      <c r="BZ37" s="139">
        <f>BZ87*Projections!$B$62</f>
        <v>20</v>
      </c>
      <c r="CA37" s="139">
        <f>CA87*Projections!$B$62</f>
        <v>20</v>
      </c>
      <c r="CB37" s="139">
        <f>CB87*Projections!$B$62</f>
        <v>20</v>
      </c>
      <c r="CC37" s="139">
        <f>CC87*Projections!$B$62</f>
        <v>20</v>
      </c>
      <c r="CD37" s="139">
        <f>CD87*Projections!$B$62</f>
        <v>20</v>
      </c>
      <c r="CE37" s="139">
        <f>CE87*Projections!$B$62</f>
        <v>20</v>
      </c>
      <c r="CF37" s="139">
        <f>CF87*Projections!$B$62</f>
        <v>20</v>
      </c>
      <c r="CG37" s="139">
        <f>CG87*Projections!$B$62</f>
        <v>20</v>
      </c>
      <c r="CH37" s="139">
        <f>CH87*Projections!$B$62</f>
        <v>20</v>
      </c>
      <c r="CI37" s="139">
        <f>CI87*Projections!$B$62</f>
        <v>20</v>
      </c>
      <c r="CJ37" s="139">
        <f>CJ87*Projections!$B$62</f>
        <v>20</v>
      </c>
      <c r="CK37" s="139">
        <f>CK87*Projections!$B$62</f>
        <v>20</v>
      </c>
      <c r="CL37" s="139">
        <f>CL87*Projections!$B$62</f>
        <v>20</v>
      </c>
      <c r="CM37" s="139">
        <f>CM87*Projections!$B$62</f>
        <v>20</v>
      </c>
      <c r="CN37" s="139">
        <f>CN87*Projections!$B$62</f>
        <v>20</v>
      </c>
      <c r="CO37" s="139">
        <f>CO87*Projections!$B$62</f>
        <v>20</v>
      </c>
      <c r="CP37" s="139">
        <f>CP87*Projections!$B$62</f>
        <v>20</v>
      </c>
      <c r="CQ37" s="139">
        <f>CQ87*Projections!$B$62</f>
        <v>20</v>
      </c>
      <c r="CR37" s="139">
        <f>CR87*Projections!$B$62</f>
        <v>20</v>
      </c>
      <c r="CS37" s="139">
        <f>CS87*Projections!$B$62</f>
        <v>20</v>
      </c>
      <c r="CT37" s="139">
        <f>CT87*Projections!$B$62</f>
        <v>20</v>
      </c>
      <c r="CU37" s="139">
        <f>CU87*Projections!$B$62</f>
        <v>20</v>
      </c>
      <c r="CV37" s="139">
        <f>CV87*Projections!$B$62</f>
        <v>20</v>
      </c>
      <c r="CW37" s="139">
        <f>CW87*Projections!$B$62</f>
        <v>20</v>
      </c>
      <c r="CX37" s="139">
        <f>CX87*Projections!$B$62</f>
        <v>20</v>
      </c>
    </row>
    <row r="38" ht="15.75" customHeight="1" outlineLevel="1">
      <c r="A38" s="5" t="s">
        <v>210</v>
      </c>
      <c r="B38" s="1"/>
      <c r="C38" s="1"/>
      <c r="D38" s="1"/>
      <c r="E38" s="34">
        <f>IF(E2&gt;=Projections!$D$28,Projections!$B$30,0)</f>
        <v>0.15</v>
      </c>
      <c r="F38" s="34">
        <f>IF(F2&gt;=Projections!$D$28,Projections!$B$30,0)</f>
        <v>0.15</v>
      </c>
      <c r="G38" s="34">
        <f>IF(G2&gt;=Projections!$D$28,Projections!$B$30,0)</f>
        <v>0.15</v>
      </c>
      <c r="H38" s="34">
        <f>IF(H2&gt;=Projections!$D$28,Projections!$B$30,0)</f>
        <v>0.15</v>
      </c>
      <c r="I38" s="34">
        <f>IF(I2&gt;=Projections!$D$28,Projections!$B$30,0)</f>
        <v>0.15</v>
      </c>
      <c r="J38" s="34">
        <f>IF(J2&gt;=Projections!$D$28,Projections!$B$30,0)</f>
        <v>0.15</v>
      </c>
      <c r="K38" s="34">
        <f>IF(K2&gt;=Projections!$D$28,Projections!$B$30,0)</f>
        <v>0.15</v>
      </c>
      <c r="L38" s="34">
        <f>IF(L2&gt;=Projections!$D$28,Projections!$B$30,0)</f>
        <v>0.15</v>
      </c>
      <c r="M38" s="34">
        <f>IF(M2&gt;=Projections!$D$28,Projections!$B$30,0)</f>
        <v>0.15</v>
      </c>
      <c r="N38" s="34">
        <f>IF(N2&gt;=Projections!$D$28,Projections!$B$30,0)</f>
        <v>0.15</v>
      </c>
      <c r="O38" s="34">
        <f>IF(O2&gt;=Projections!$D$28,Projections!$B$30,0)</f>
        <v>0.15</v>
      </c>
      <c r="P38" s="34">
        <f>IF(P2&gt;=Projections!$D$28,Projections!$B$30,0)</f>
        <v>0.15</v>
      </c>
      <c r="Q38" s="34">
        <f>IF(Q2&gt;=Projections!$D$28,Projections!$B$30,0)</f>
        <v>0.15</v>
      </c>
      <c r="R38" s="34">
        <f>IF(R2&gt;=Projections!$D$28,Projections!$B$30,0)</f>
        <v>0.15</v>
      </c>
      <c r="S38" s="34">
        <f>IF(S2&gt;=Projections!$D$28,Projections!$B$30,0)</f>
        <v>0.15</v>
      </c>
      <c r="T38" s="34">
        <f>IF(T2&gt;=Projections!$D$28,Projections!$B$30,0)</f>
        <v>0.15</v>
      </c>
      <c r="U38" s="34">
        <f>IF(U2&gt;=Projections!$D$28,Projections!$B$30,0)</f>
        <v>0.15</v>
      </c>
      <c r="V38" s="34">
        <f>IF(V2&gt;=Projections!$D$28,Projections!$B$30,0)</f>
        <v>0.15</v>
      </c>
      <c r="W38" s="34">
        <f>IF(W2&gt;=Projections!$D$28,Projections!$B$30,0)</f>
        <v>0.15</v>
      </c>
      <c r="X38" s="34">
        <f>IF(X2&gt;=Projections!$D$28,Projections!$B$30,0)</f>
        <v>0.15</v>
      </c>
      <c r="Y38" s="34">
        <f>IF(Y2&gt;=Projections!$D$28,Projections!$B$30,0)</f>
        <v>0.15</v>
      </c>
      <c r="Z38" s="34">
        <f>IF(Z2&gt;=Projections!$D$28,Projections!$B$30,0)</f>
        <v>0.15</v>
      </c>
      <c r="AA38" s="34">
        <f>IF(AA2&gt;=Projections!$D$28,Projections!$B$30,0)</f>
        <v>0.15</v>
      </c>
      <c r="AB38" s="34">
        <f>IF(AB2&gt;=Projections!$D$28,Projections!$B$30,0)</f>
        <v>0.15</v>
      </c>
      <c r="AC38" s="34">
        <f>IF(AC2&gt;=Projections!$D$28,Projections!$B$30,0)</f>
        <v>0.15</v>
      </c>
      <c r="AD38" s="34">
        <f>IF(AD2&gt;=Projections!$D$28,Projections!$B$30,0)</f>
        <v>0.15</v>
      </c>
      <c r="AE38" s="34">
        <f>IF(AE2&gt;=Projections!$D$28,Projections!$B$30,0)</f>
        <v>0.15</v>
      </c>
      <c r="AF38" s="34">
        <f>IF(AF2&gt;=Projections!$D$28,Projections!$B$30,0)</f>
        <v>0.15</v>
      </c>
      <c r="AG38" s="34">
        <f>IF(AG2&gt;=Projections!$D$28,Projections!$B$30,0)</f>
        <v>0.15</v>
      </c>
      <c r="AH38" s="34">
        <f>IF(AH2&gt;=Projections!$D$28,Projections!$B$30,0)</f>
        <v>0.15</v>
      </c>
      <c r="AI38" s="34">
        <f>IF(AI2&gt;=Projections!$D$28,Projections!$B$30,0)</f>
        <v>0.15</v>
      </c>
      <c r="AJ38" s="34">
        <f>IF(AJ2&gt;=Projections!$D$28,Projections!$B$30,0)</f>
        <v>0.15</v>
      </c>
      <c r="AK38" s="34">
        <f>IF(AK2&gt;=Projections!$D$28,Projections!$B$30,0)</f>
        <v>0.15</v>
      </c>
      <c r="AL38" s="34">
        <f>IF(AL2&gt;=Projections!$D$28,Projections!$B$30,0)</f>
        <v>0.15</v>
      </c>
      <c r="AM38" s="34">
        <f>IF(AM2&gt;=Projections!$D$28,Projections!$B$30,0)</f>
        <v>0.15</v>
      </c>
      <c r="AN38" s="34">
        <f>IF(AN2&gt;=Projections!$D$28,Projections!$B$30,0)</f>
        <v>0.15</v>
      </c>
      <c r="AO38" s="34">
        <f>IF(AO2&gt;=Projections!$D$28,Projections!$B$30,0)</f>
        <v>0.15</v>
      </c>
      <c r="AP38" s="34">
        <f>IF(AP2&gt;=Projections!$D$28,Projections!$B$30,0)</f>
        <v>0.15</v>
      </c>
      <c r="AQ38" s="34">
        <f>IF(AQ2&gt;=Projections!$D$28,Projections!$B$30,0)</f>
        <v>0.15</v>
      </c>
      <c r="AR38" s="34">
        <f>IF(AR2&gt;=Projections!$D$28,Projections!$B$30,0)</f>
        <v>0.15</v>
      </c>
      <c r="AS38" s="34">
        <f>IF(AS2&gt;=Projections!$D$28,Projections!$B$30,0)</f>
        <v>0.15</v>
      </c>
      <c r="AT38" s="34">
        <f>IF(AT2&gt;=Projections!$D$28,Projections!$B$30,0)</f>
        <v>0.15</v>
      </c>
      <c r="AU38" s="34">
        <f>IF(AU2&gt;=Projections!$D$28,Projections!$B$30,0)</f>
        <v>0.15</v>
      </c>
      <c r="AV38" s="34">
        <f>IF(AV2&gt;=Projections!$D$28,Projections!$B$30,0)</f>
        <v>0.15</v>
      </c>
      <c r="AW38" s="34">
        <f>IF(AW2&gt;=Projections!$D$28,Projections!$B$30,0)</f>
        <v>0.15</v>
      </c>
      <c r="AX38" s="34">
        <f>IF(AX2&gt;=Projections!$D$28,Projections!$B$30,0)</f>
        <v>0.15</v>
      </c>
      <c r="AY38" s="34">
        <f>IF(AY2&gt;=Projections!$D$28,Projections!$B$30,0)</f>
        <v>0.15</v>
      </c>
      <c r="AZ38" s="34">
        <f>IF(AZ2&gt;=Projections!$D$28,Projections!$B$30,0)</f>
        <v>0.15</v>
      </c>
      <c r="BA38" s="34">
        <f>IF(BA2&gt;=Projections!$D$28,Projections!$B$30,0)</f>
        <v>0.15</v>
      </c>
      <c r="BB38" s="34">
        <f>IF(BB2&gt;=Projections!$D$28,Projections!$B$30,0)</f>
        <v>0.15</v>
      </c>
      <c r="BC38" s="34">
        <f>IF(BC2&gt;=Projections!$D$28,Projections!$B$30,0)</f>
        <v>0.15</v>
      </c>
      <c r="BD38" s="34">
        <f>IF(BD2&gt;=Projections!$D$28,Projections!$B$30,0)</f>
        <v>0.15</v>
      </c>
      <c r="BE38" s="34">
        <f>IF(BE2&gt;=Projections!$D$28,Projections!$B$30,0)</f>
        <v>0.15</v>
      </c>
      <c r="BF38" s="34">
        <f>IF(BF2&gt;=Projections!$D$28,Projections!$B$30,0)</f>
        <v>0.15</v>
      </c>
      <c r="BG38" s="34">
        <f>IF(BG2&gt;=Projections!$D$28,Projections!$B$30,0)</f>
        <v>0.15</v>
      </c>
      <c r="BH38" s="34">
        <f>IF(BH2&gt;=Projections!$D$28,Projections!$B$30,0)</f>
        <v>0.15</v>
      </c>
      <c r="BI38" s="34">
        <f>IF(BI2&gt;=Projections!$D$28,Projections!$B$30,0)</f>
        <v>0.15</v>
      </c>
      <c r="BJ38" s="34">
        <f>IF(BJ2&gt;=Projections!$D$28,Projections!$B$30,0)</f>
        <v>0.15</v>
      </c>
      <c r="BK38" s="34">
        <f>IF(BK2&gt;=Projections!$D$28,Projections!$B$30,0)</f>
        <v>0.15</v>
      </c>
      <c r="BL38" s="34">
        <f>IF(BL2&gt;=Projections!$D$28,Projections!$B$30,0)</f>
        <v>0.15</v>
      </c>
      <c r="BM38" s="34">
        <f>IF(BM2&gt;=Projections!$D$28,Projections!$B$30,0)</f>
        <v>0.15</v>
      </c>
      <c r="BN38" s="34">
        <f>IF(BN2&gt;=Projections!$D$28,Projections!$B$30,0)</f>
        <v>0.15</v>
      </c>
      <c r="BO38" s="34">
        <f>IF(BO2&gt;=Projections!$D$28,Projections!$B$30,0)</f>
        <v>0.15</v>
      </c>
      <c r="BP38" s="34">
        <f>IF(BP2&gt;=Projections!$D$28,Projections!$B$30,0)</f>
        <v>0.15</v>
      </c>
      <c r="BQ38" s="34">
        <f>IF(BQ2&gt;=Projections!$D$28,Projections!$B$30,0)</f>
        <v>0.15</v>
      </c>
      <c r="BR38" s="34">
        <f>IF(BR2&gt;=Projections!$D$28,Projections!$B$30,0)</f>
        <v>0.15</v>
      </c>
      <c r="BS38" s="34">
        <f>IF(BS2&gt;=Projections!$D$28,Projections!$B$30,0)</f>
        <v>0.15</v>
      </c>
      <c r="BT38" s="34">
        <f>IF(BT2&gt;=Projections!$D$28,Projections!$B$30,0)</f>
        <v>0.15</v>
      </c>
      <c r="BU38" s="34">
        <f>IF(BU2&gt;=Projections!$D$28,Projections!$B$30,0)</f>
        <v>0.15</v>
      </c>
      <c r="BV38" s="34">
        <f>IF(BV2&gt;=Projections!$D$28,Projections!$B$30,0)</f>
        <v>0.15</v>
      </c>
      <c r="BW38" s="34">
        <f>IF(BW2&gt;=Projections!$D$28,Projections!$B$30,0)</f>
        <v>0.15</v>
      </c>
      <c r="BX38" s="34">
        <f>IF(BX2&gt;=Projections!$D$28,Projections!$B$30,0)</f>
        <v>0.15</v>
      </c>
      <c r="BY38" s="34">
        <f>IF(BY2&gt;=Projections!$D$28,Projections!$B$30,0)</f>
        <v>0.15</v>
      </c>
      <c r="BZ38" s="34">
        <f>IF(BZ2&gt;=Projections!$D$28,Projections!$B$30,0)</f>
        <v>0.15</v>
      </c>
      <c r="CA38" s="34">
        <f>IF(CA2&gt;=Projections!$D$28,Projections!$B$30,0)</f>
        <v>0.15</v>
      </c>
      <c r="CB38" s="34">
        <f>IF(CB2&gt;=Projections!$D$28,Projections!$B$30,0)</f>
        <v>0.15</v>
      </c>
      <c r="CC38" s="34">
        <f>IF(CC2&gt;=Projections!$D$28,Projections!$B$30,0)</f>
        <v>0.15</v>
      </c>
      <c r="CD38" s="34">
        <f>IF(CD2&gt;=Projections!$D$28,Projections!$B$30,0)</f>
        <v>0.15</v>
      </c>
      <c r="CE38" s="34">
        <f>IF(CE2&gt;=Projections!$D$28,Projections!$B$30,0)</f>
        <v>0.15</v>
      </c>
      <c r="CF38" s="34">
        <f>IF(CF2&gt;=Projections!$D$28,Projections!$B$30,0)</f>
        <v>0.15</v>
      </c>
      <c r="CG38" s="34">
        <f>IF(CG2&gt;=Projections!$D$28,Projections!$B$30,0)</f>
        <v>0.15</v>
      </c>
      <c r="CH38" s="34">
        <f>IF(CH2&gt;=Projections!$D$28,Projections!$B$30,0)</f>
        <v>0.15</v>
      </c>
      <c r="CI38" s="34">
        <f>IF(CI2&gt;=Projections!$D$28,Projections!$B$30,0)</f>
        <v>0.15</v>
      </c>
      <c r="CJ38" s="34">
        <f>IF(CJ2&gt;=Projections!$D$28,Projections!$B$30,0)</f>
        <v>0.15</v>
      </c>
      <c r="CK38" s="34">
        <f>IF(CK2&gt;=Projections!$D$28,Projections!$B$30,0)</f>
        <v>0.15</v>
      </c>
      <c r="CL38" s="34">
        <f>IF(CL2&gt;=Projections!$D$28,Projections!$B$30,0)</f>
        <v>0.15</v>
      </c>
      <c r="CM38" s="34">
        <f>IF(CM2&gt;=Projections!$D$28,Projections!$B$30,0)</f>
        <v>0.15</v>
      </c>
      <c r="CN38" s="34">
        <f>IF(CN2&gt;=Projections!$D$28,Projections!$B$30,0)</f>
        <v>0.15</v>
      </c>
      <c r="CO38" s="34">
        <f>IF(CO2&gt;=Projections!$D$28,Projections!$B$30,0)</f>
        <v>0.15</v>
      </c>
      <c r="CP38" s="34">
        <f>IF(CP2&gt;=Projections!$D$28,Projections!$B$30,0)</f>
        <v>0.15</v>
      </c>
      <c r="CQ38" s="34">
        <f>IF(CQ2&gt;=Projections!$D$28,Projections!$B$30,0)</f>
        <v>0.15</v>
      </c>
      <c r="CR38" s="34">
        <f>IF(CR2&gt;=Projections!$D$28,Projections!$B$30,0)</f>
        <v>0.15</v>
      </c>
      <c r="CS38" s="34">
        <f>IF(CS2&gt;=Projections!$D$28,Projections!$B$30,0)</f>
        <v>0.15</v>
      </c>
      <c r="CT38" s="34">
        <f>IF(CT2&gt;=Projections!$D$28,Projections!$B$30,0)</f>
        <v>0.15</v>
      </c>
      <c r="CU38" s="34">
        <f>IF(CU2&gt;=Projections!$D$28,Projections!$B$30,0)</f>
        <v>0.15</v>
      </c>
      <c r="CV38" s="34">
        <f>IF(CV2&gt;=Projections!$D$28,Projections!$B$30,0)</f>
        <v>0.15</v>
      </c>
      <c r="CW38" s="34">
        <f>IF(CW2&gt;=Projections!$D$28,Projections!$B$30,0)</f>
        <v>0.15</v>
      </c>
      <c r="CX38" s="34">
        <f>IF(CX2&gt;=Projections!$D$28,Projections!$B$30,0)</f>
        <v>0.15</v>
      </c>
    </row>
    <row r="39" ht="15.75" customHeight="1" outlineLevel="1">
      <c r="A39" s="140" t="s">
        <v>211</v>
      </c>
      <c r="B39" s="139"/>
      <c r="C39" s="139"/>
      <c r="D39" s="139"/>
      <c r="E39" s="139">
        <f t="shared" ref="E39:CX39" si="8">D40*E38</f>
        <v>0</v>
      </c>
      <c r="F39" s="139">
        <f t="shared" si="8"/>
        <v>0.3</v>
      </c>
      <c r="G39" s="139">
        <f t="shared" si="8"/>
        <v>0.555</v>
      </c>
      <c r="H39" s="139">
        <f t="shared" si="8"/>
        <v>0.77175</v>
      </c>
      <c r="I39" s="139">
        <f t="shared" si="8"/>
        <v>1.2559875</v>
      </c>
      <c r="J39" s="139">
        <f t="shared" si="8"/>
        <v>1.667589375</v>
      </c>
      <c r="K39" s="139">
        <f t="shared" si="8"/>
        <v>2.017450969</v>
      </c>
      <c r="L39" s="139">
        <f t="shared" si="8"/>
        <v>2.614833323</v>
      </c>
      <c r="M39" s="139">
        <f t="shared" si="8"/>
        <v>3.122608325</v>
      </c>
      <c r="N39" s="139">
        <f t="shared" si="8"/>
        <v>3.554217076</v>
      </c>
      <c r="O39" s="139">
        <f t="shared" si="8"/>
        <v>4.221084515</v>
      </c>
      <c r="P39" s="139">
        <f t="shared" si="8"/>
        <v>4.787921838</v>
      </c>
      <c r="Q39" s="139">
        <f t="shared" si="8"/>
        <v>5.269733562</v>
      </c>
      <c r="R39" s="139">
        <f t="shared" si="8"/>
        <v>5.979273528</v>
      </c>
      <c r="S39" s="139">
        <f t="shared" si="8"/>
        <v>6.582382498</v>
      </c>
      <c r="T39" s="139">
        <f t="shared" si="8"/>
        <v>7.095025124</v>
      </c>
      <c r="U39" s="139">
        <f t="shared" si="8"/>
        <v>7.830771355</v>
      </c>
      <c r="V39" s="139">
        <f t="shared" si="8"/>
        <v>8.456155652</v>
      </c>
      <c r="W39" s="139">
        <f t="shared" si="8"/>
        <v>8.987732304</v>
      </c>
      <c r="X39" s="139">
        <f t="shared" si="8"/>
        <v>9.739572458</v>
      </c>
      <c r="Y39" s="139">
        <f t="shared" si="8"/>
        <v>10.37863659</v>
      </c>
      <c r="Z39" s="139">
        <f t="shared" si="8"/>
        <v>10.9218411</v>
      </c>
      <c r="AA39" s="139">
        <f t="shared" si="8"/>
        <v>11.68356494</v>
      </c>
      <c r="AB39" s="139">
        <f t="shared" si="8"/>
        <v>12.3310302</v>
      </c>
      <c r="AC39" s="139">
        <f t="shared" si="8"/>
        <v>12.88137567</v>
      </c>
      <c r="AD39" s="139">
        <f t="shared" si="8"/>
        <v>13.64916932</v>
      </c>
      <c r="AE39" s="139">
        <f t="shared" si="8"/>
        <v>14.30179392</v>
      </c>
      <c r="AF39" s="139">
        <f t="shared" si="8"/>
        <v>14.85652483</v>
      </c>
      <c r="AG39" s="139">
        <f t="shared" si="8"/>
        <v>15.62804611</v>
      </c>
      <c r="AH39" s="139">
        <f t="shared" si="8"/>
        <v>16.28383919</v>
      </c>
      <c r="AI39" s="139">
        <f t="shared" si="8"/>
        <v>16.84126331</v>
      </c>
      <c r="AJ39" s="139">
        <f t="shared" si="8"/>
        <v>17.31507382</v>
      </c>
      <c r="AK39" s="139">
        <f t="shared" si="8"/>
        <v>17.71781274</v>
      </c>
      <c r="AL39" s="139">
        <f t="shared" si="8"/>
        <v>18.06014083</v>
      </c>
      <c r="AM39" s="139">
        <f t="shared" si="8"/>
        <v>18.35111971</v>
      </c>
      <c r="AN39" s="139">
        <f t="shared" si="8"/>
        <v>18.59845175</v>
      </c>
      <c r="AO39" s="139">
        <f t="shared" si="8"/>
        <v>18.80868399</v>
      </c>
      <c r="AP39" s="139">
        <f t="shared" si="8"/>
        <v>18.98738139</v>
      </c>
      <c r="AQ39" s="139">
        <f t="shared" si="8"/>
        <v>19.13927418</v>
      </c>
      <c r="AR39" s="139">
        <f t="shared" si="8"/>
        <v>19.26838305</v>
      </c>
      <c r="AS39" s="139">
        <f t="shared" si="8"/>
        <v>19.3781256</v>
      </c>
      <c r="AT39" s="139">
        <f t="shared" si="8"/>
        <v>19.47140676</v>
      </c>
      <c r="AU39" s="139">
        <f t="shared" si="8"/>
        <v>19.55069574</v>
      </c>
      <c r="AV39" s="139">
        <f t="shared" si="8"/>
        <v>19.61809138</v>
      </c>
      <c r="AW39" s="139">
        <f t="shared" si="8"/>
        <v>19.67537767</v>
      </c>
      <c r="AX39" s="139">
        <f t="shared" si="8"/>
        <v>19.72407102</v>
      </c>
      <c r="AY39" s="139">
        <f t="shared" si="8"/>
        <v>19.76546037</v>
      </c>
      <c r="AZ39" s="139">
        <f t="shared" si="8"/>
        <v>19.80064131</v>
      </c>
      <c r="BA39" s="139">
        <f t="shared" si="8"/>
        <v>19.83054512</v>
      </c>
      <c r="BB39" s="139">
        <f t="shared" si="8"/>
        <v>19.85596335</v>
      </c>
      <c r="BC39" s="139">
        <f t="shared" si="8"/>
        <v>19.87756885</v>
      </c>
      <c r="BD39" s="139">
        <f t="shared" si="8"/>
        <v>19.89593352</v>
      </c>
      <c r="BE39" s="139">
        <f t="shared" si="8"/>
        <v>19.91154349</v>
      </c>
      <c r="BF39" s="139">
        <f t="shared" si="8"/>
        <v>19.92481197</v>
      </c>
      <c r="BG39" s="139">
        <f t="shared" si="8"/>
        <v>19.93609017</v>
      </c>
      <c r="BH39" s="139">
        <f t="shared" si="8"/>
        <v>19.94567665</v>
      </c>
      <c r="BI39" s="139">
        <f t="shared" si="8"/>
        <v>19.95382515</v>
      </c>
      <c r="BJ39" s="139">
        <f t="shared" si="8"/>
        <v>19.96075138</v>
      </c>
      <c r="BK39" s="139">
        <f t="shared" si="8"/>
        <v>19.96663867</v>
      </c>
      <c r="BL39" s="139">
        <f t="shared" si="8"/>
        <v>19.97164287</v>
      </c>
      <c r="BM39" s="139">
        <f t="shared" si="8"/>
        <v>19.97589644</v>
      </c>
      <c r="BN39" s="139">
        <f t="shared" si="8"/>
        <v>19.97951197</v>
      </c>
      <c r="BO39" s="139">
        <f t="shared" si="8"/>
        <v>19.98258518</v>
      </c>
      <c r="BP39" s="139">
        <f t="shared" si="8"/>
        <v>19.9851974</v>
      </c>
      <c r="BQ39" s="139">
        <f t="shared" si="8"/>
        <v>19.98741779</v>
      </c>
      <c r="BR39" s="139">
        <f t="shared" si="8"/>
        <v>19.98930512</v>
      </c>
      <c r="BS39" s="139">
        <f t="shared" si="8"/>
        <v>19.99090935</v>
      </c>
      <c r="BT39" s="139">
        <f t="shared" si="8"/>
        <v>19.99227295</v>
      </c>
      <c r="BU39" s="139">
        <f t="shared" si="8"/>
        <v>19.99343201</v>
      </c>
      <c r="BV39" s="139">
        <f t="shared" si="8"/>
        <v>19.99441721</v>
      </c>
      <c r="BW39" s="139">
        <f t="shared" si="8"/>
        <v>19.99525463</v>
      </c>
      <c r="BX39" s="139">
        <f t="shared" si="8"/>
        <v>19.99596643</v>
      </c>
      <c r="BY39" s="139">
        <f t="shared" si="8"/>
        <v>19.99657147</v>
      </c>
      <c r="BZ39" s="139">
        <f t="shared" si="8"/>
        <v>19.99708575</v>
      </c>
      <c r="CA39" s="139">
        <f t="shared" si="8"/>
        <v>19.99752289</v>
      </c>
      <c r="CB39" s="139">
        <f t="shared" si="8"/>
        <v>19.99789445</v>
      </c>
      <c r="CC39" s="139">
        <f t="shared" si="8"/>
        <v>19.99821028</v>
      </c>
      <c r="CD39" s="139">
        <f t="shared" si="8"/>
        <v>19.99847874</v>
      </c>
      <c r="CE39" s="139">
        <f t="shared" si="8"/>
        <v>19.99870693</v>
      </c>
      <c r="CF39" s="139">
        <f t="shared" si="8"/>
        <v>19.99890089</v>
      </c>
      <c r="CG39" s="139">
        <f t="shared" si="8"/>
        <v>19.99906576</v>
      </c>
      <c r="CH39" s="139">
        <f t="shared" si="8"/>
        <v>19.99920589</v>
      </c>
      <c r="CI39" s="139">
        <f t="shared" si="8"/>
        <v>19.99932501</v>
      </c>
      <c r="CJ39" s="139">
        <f t="shared" si="8"/>
        <v>19.99942626</v>
      </c>
      <c r="CK39" s="139">
        <f t="shared" si="8"/>
        <v>19.99951232</v>
      </c>
      <c r="CL39" s="139">
        <f t="shared" si="8"/>
        <v>19.99958547</v>
      </c>
      <c r="CM39" s="139">
        <f t="shared" si="8"/>
        <v>19.99964765</v>
      </c>
      <c r="CN39" s="139">
        <f t="shared" si="8"/>
        <v>19.9997005</v>
      </c>
      <c r="CO39" s="139">
        <f t="shared" si="8"/>
        <v>19.99974543</v>
      </c>
      <c r="CP39" s="139">
        <f t="shared" si="8"/>
        <v>19.99978361</v>
      </c>
      <c r="CQ39" s="139">
        <f t="shared" si="8"/>
        <v>19.99981607</v>
      </c>
      <c r="CR39" s="139">
        <f t="shared" si="8"/>
        <v>19.99984366</v>
      </c>
      <c r="CS39" s="139">
        <f t="shared" si="8"/>
        <v>19.99986711</v>
      </c>
      <c r="CT39" s="139">
        <f t="shared" si="8"/>
        <v>19.99988704</v>
      </c>
      <c r="CU39" s="139">
        <f t="shared" si="8"/>
        <v>19.99990399</v>
      </c>
      <c r="CV39" s="139">
        <f t="shared" si="8"/>
        <v>19.99991839</v>
      </c>
      <c r="CW39" s="139">
        <f t="shared" si="8"/>
        <v>19.99993063</v>
      </c>
      <c r="CX39" s="139">
        <f t="shared" si="8"/>
        <v>19.99994104</v>
      </c>
    </row>
    <row r="40" ht="15.75" customHeight="1" outlineLevel="1">
      <c r="A40" s="5" t="s">
        <v>212</v>
      </c>
      <c r="B40" s="1"/>
      <c r="C40" s="1"/>
      <c r="D40" s="1"/>
      <c r="E40" s="139">
        <f t="shared" ref="E40:CX40" si="9">D40+E37-E39</f>
        <v>2</v>
      </c>
      <c r="F40" s="139">
        <f t="shared" si="9"/>
        <v>3.7</v>
      </c>
      <c r="G40" s="139">
        <f t="shared" si="9"/>
        <v>5.145</v>
      </c>
      <c r="H40" s="139">
        <f t="shared" si="9"/>
        <v>8.37325</v>
      </c>
      <c r="I40" s="139">
        <f t="shared" si="9"/>
        <v>11.1172625</v>
      </c>
      <c r="J40" s="139">
        <f t="shared" si="9"/>
        <v>13.44967313</v>
      </c>
      <c r="K40" s="139">
        <f t="shared" si="9"/>
        <v>17.43222216</v>
      </c>
      <c r="L40" s="139">
        <f t="shared" si="9"/>
        <v>20.81738883</v>
      </c>
      <c r="M40" s="139">
        <f t="shared" si="9"/>
        <v>23.69478051</v>
      </c>
      <c r="N40" s="139">
        <f t="shared" si="9"/>
        <v>28.14056343</v>
      </c>
      <c r="O40" s="139">
        <f t="shared" si="9"/>
        <v>31.91947892</v>
      </c>
      <c r="P40" s="139">
        <f t="shared" si="9"/>
        <v>35.13155708</v>
      </c>
      <c r="Q40" s="139">
        <f t="shared" si="9"/>
        <v>39.86182352</v>
      </c>
      <c r="R40" s="139">
        <f t="shared" si="9"/>
        <v>43.88254999</v>
      </c>
      <c r="S40" s="139">
        <f t="shared" si="9"/>
        <v>47.30016749</v>
      </c>
      <c r="T40" s="139">
        <f t="shared" si="9"/>
        <v>52.20514237</v>
      </c>
      <c r="U40" s="139">
        <f t="shared" si="9"/>
        <v>56.37437101</v>
      </c>
      <c r="V40" s="139">
        <f t="shared" si="9"/>
        <v>59.91821536</v>
      </c>
      <c r="W40" s="139">
        <f t="shared" si="9"/>
        <v>64.93048306</v>
      </c>
      <c r="X40" s="139">
        <f t="shared" si="9"/>
        <v>69.1909106</v>
      </c>
      <c r="Y40" s="139">
        <f t="shared" si="9"/>
        <v>72.81227401</v>
      </c>
      <c r="Z40" s="139">
        <f t="shared" si="9"/>
        <v>77.89043291</v>
      </c>
      <c r="AA40" s="139">
        <f t="shared" si="9"/>
        <v>82.20686797</v>
      </c>
      <c r="AB40" s="139">
        <f t="shared" si="9"/>
        <v>85.87583778</v>
      </c>
      <c r="AC40" s="139">
        <f t="shared" si="9"/>
        <v>90.99446211</v>
      </c>
      <c r="AD40" s="139">
        <f t="shared" si="9"/>
        <v>95.34529279</v>
      </c>
      <c r="AE40" s="139">
        <f t="shared" si="9"/>
        <v>99.04349887</v>
      </c>
      <c r="AF40" s="139">
        <f t="shared" si="9"/>
        <v>104.186974</v>
      </c>
      <c r="AG40" s="139">
        <f t="shared" si="9"/>
        <v>108.5589279</v>
      </c>
      <c r="AH40" s="139">
        <f t="shared" si="9"/>
        <v>112.2750887</v>
      </c>
      <c r="AI40" s="139">
        <f t="shared" si="9"/>
        <v>115.4338254</v>
      </c>
      <c r="AJ40" s="139">
        <f t="shared" si="9"/>
        <v>118.1187516</v>
      </c>
      <c r="AK40" s="139">
        <f t="shared" si="9"/>
        <v>120.4009389</v>
      </c>
      <c r="AL40" s="139">
        <f t="shared" si="9"/>
        <v>122.340798</v>
      </c>
      <c r="AM40" s="139">
        <f t="shared" si="9"/>
        <v>123.9896783</v>
      </c>
      <c r="AN40" s="139">
        <f t="shared" si="9"/>
        <v>125.3912266</v>
      </c>
      <c r="AO40" s="139">
        <f t="shared" si="9"/>
        <v>126.5825426</v>
      </c>
      <c r="AP40" s="139">
        <f t="shared" si="9"/>
        <v>127.5951612</v>
      </c>
      <c r="AQ40" s="139">
        <f t="shared" si="9"/>
        <v>128.455887</v>
      </c>
      <c r="AR40" s="139">
        <f t="shared" si="9"/>
        <v>129.187504</v>
      </c>
      <c r="AS40" s="139">
        <f t="shared" si="9"/>
        <v>129.8093784</v>
      </c>
      <c r="AT40" s="139">
        <f t="shared" si="9"/>
        <v>130.3379716</v>
      </c>
      <c r="AU40" s="139">
        <f t="shared" si="9"/>
        <v>130.7872759</v>
      </c>
      <c r="AV40" s="139">
        <f t="shared" si="9"/>
        <v>131.1691845</v>
      </c>
      <c r="AW40" s="139">
        <f t="shared" si="9"/>
        <v>131.4938068</v>
      </c>
      <c r="AX40" s="139">
        <f t="shared" si="9"/>
        <v>131.7697358</v>
      </c>
      <c r="AY40" s="139">
        <f t="shared" si="9"/>
        <v>132.0042754</v>
      </c>
      <c r="AZ40" s="139">
        <f t="shared" si="9"/>
        <v>132.2036341</v>
      </c>
      <c r="BA40" s="139">
        <f t="shared" si="9"/>
        <v>132.373089</v>
      </c>
      <c r="BB40" s="139">
        <f t="shared" si="9"/>
        <v>132.5171256</v>
      </c>
      <c r="BC40" s="139">
        <f t="shared" si="9"/>
        <v>132.6395568</v>
      </c>
      <c r="BD40" s="139">
        <f t="shared" si="9"/>
        <v>132.7436233</v>
      </c>
      <c r="BE40" s="139">
        <f t="shared" si="9"/>
        <v>132.8320798</v>
      </c>
      <c r="BF40" s="139">
        <f t="shared" si="9"/>
        <v>132.9072678</v>
      </c>
      <c r="BG40" s="139">
        <f t="shared" si="9"/>
        <v>132.9711776</v>
      </c>
      <c r="BH40" s="139">
        <f t="shared" si="9"/>
        <v>133.025501</v>
      </c>
      <c r="BI40" s="139">
        <f t="shared" si="9"/>
        <v>133.0716759</v>
      </c>
      <c r="BJ40" s="139">
        <f t="shared" si="9"/>
        <v>133.1109245</v>
      </c>
      <c r="BK40" s="139">
        <f t="shared" si="9"/>
        <v>133.1442858</v>
      </c>
      <c r="BL40" s="139">
        <f t="shared" si="9"/>
        <v>133.1726429</v>
      </c>
      <c r="BM40" s="139">
        <f t="shared" si="9"/>
        <v>133.1967465</v>
      </c>
      <c r="BN40" s="139">
        <f t="shared" si="9"/>
        <v>133.2172345</v>
      </c>
      <c r="BO40" s="139">
        <f t="shared" si="9"/>
        <v>133.2346493</v>
      </c>
      <c r="BP40" s="139">
        <f t="shared" si="9"/>
        <v>133.2494519</v>
      </c>
      <c r="BQ40" s="139">
        <f t="shared" si="9"/>
        <v>133.2620341</v>
      </c>
      <c r="BR40" s="139">
        <f t="shared" si="9"/>
        <v>133.272729</v>
      </c>
      <c r="BS40" s="139">
        <f t="shared" si="9"/>
        <v>133.2818197</v>
      </c>
      <c r="BT40" s="139">
        <f t="shared" si="9"/>
        <v>133.2895467</v>
      </c>
      <c r="BU40" s="139">
        <f t="shared" si="9"/>
        <v>133.2961147</v>
      </c>
      <c r="BV40" s="139">
        <f t="shared" si="9"/>
        <v>133.3016975</v>
      </c>
      <c r="BW40" s="139">
        <f t="shared" si="9"/>
        <v>133.3064429</v>
      </c>
      <c r="BX40" s="139">
        <f t="shared" si="9"/>
        <v>133.3104764</v>
      </c>
      <c r="BY40" s="139">
        <f t="shared" si="9"/>
        <v>133.313905</v>
      </c>
      <c r="BZ40" s="139">
        <f t="shared" si="9"/>
        <v>133.3168192</v>
      </c>
      <c r="CA40" s="139">
        <f t="shared" si="9"/>
        <v>133.3192963</v>
      </c>
      <c r="CB40" s="139">
        <f t="shared" si="9"/>
        <v>133.3214019</v>
      </c>
      <c r="CC40" s="139">
        <f t="shared" si="9"/>
        <v>133.3231916</v>
      </c>
      <c r="CD40" s="139">
        <f t="shared" si="9"/>
        <v>133.3247129</v>
      </c>
      <c r="CE40" s="139">
        <f t="shared" si="9"/>
        <v>133.3260059</v>
      </c>
      <c r="CF40" s="139">
        <f t="shared" si="9"/>
        <v>133.327105</v>
      </c>
      <c r="CG40" s="139">
        <f t="shared" si="9"/>
        <v>133.3280393</v>
      </c>
      <c r="CH40" s="139">
        <f t="shared" si="9"/>
        <v>133.3288334</v>
      </c>
      <c r="CI40" s="139">
        <f t="shared" si="9"/>
        <v>133.3295084</v>
      </c>
      <c r="CJ40" s="139">
        <f t="shared" si="9"/>
        <v>133.3300821</v>
      </c>
      <c r="CK40" s="139">
        <f t="shared" si="9"/>
        <v>133.3305698</v>
      </c>
      <c r="CL40" s="139">
        <f t="shared" si="9"/>
        <v>133.3309843</v>
      </c>
      <c r="CM40" s="139">
        <f t="shared" si="9"/>
        <v>133.3313367</v>
      </c>
      <c r="CN40" s="139">
        <f t="shared" si="9"/>
        <v>133.3316362</v>
      </c>
      <c r="CO40" s="139">
        <f t="shared" si="9"/>
        <v>133.3318908</v>
      </c>
      <c r="CP40" s="139">
        <f t="shared" si="9"/>
        <v>133.3321071</v>
      </c>
      <c r="CQ40" s="139">
        <f t="shared" si="9"/>
        <v>133.3322911</v>
      </c>
      <c r="CR40" s="139">
        <f t="shared" si="9"/>
        <v>133.3324474</v>
      </c>
      <c r="CS40" s="139">
        <f t="shared" si="9"/>
        <v>133.3325803</v>
      </c>
      <c r="CT40" s="139">
        <f t="shared" si="9"/>
        <v>133.3326933</v>
      </c>
      <c r="CU40" s="139">
        <f t="shared" si="9"/>
        <v>133.3327893</v>
      </c>
      <c r="CV40" s="139">
        <f t="shared" si="9"/>
        <v>133.3328709</v>
      </c>
      <c r="CW40" s="139">
        <f t="shared" si="9"/>
        <v>133.3329402</v>
      </c>
      <c r="CX40" s="139">
        <f t="shared" si="9"/>
        <v>133.3329992</v>
      </c>
    </row>
    <row r="41" ht="15.75" customHeight="1">
      <c r="A41" s="5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</row>
    <row r="42" ht="15.75" customHeight="1">
      <c r="A42" s="131" t="s">
        <v>216</v>
      </c>
      <c r="B42" s="1"/>
      <c r="C42" s="1"/>
      <c r="D42" s="1"/>
      <c r="E42" s="60">
        <f>E40*Projections!$B$28</f>
        <v>200</v>
      </c>
      <c r="F42" s="60">
        <f>F40*Projections!$B$28</f>
        <v>370</v>
      </c>
      <c r="G42" s="60">
        <f>G40*Projections!$B$28</f>
        <v>514.5</v>
      </c>
      <c r="H42" s="60">
        <f>H40*Projections!$B$28</f>
        <v>837.325</v>
      </c>
      <c r="I42" s="60">
        <f>I40*Projections!$B$28</f>
        <v>1111.72625</v>
      </c>
      <c r="J42" s="60">
        <f>J40*Projections!$B$28</f>
        <v>1344.967313</v>
      </c>
      <c r="K42" s="60">
        <f>K40*Projections!$B$28</f>
        <v>1743.222216</v>
      </c>
      <c r="L42" s="60">
        <f>L40*Projections!$B$28</f>
        <v>2081.738883</v>
      </c>
      <c r="M42" s="60">
        <f>M40*Projections!$B$28</f>
        <v>2369.478051</v>
      </c>
      <c r="N42" s="60">
        <f>N40*Projections!$B$28</f>
        <v>2814.056343</v>
      </c>
      <c r="O42" s="60">
        <f>O40*Projections!$B$28</f>
        <v>3191.947892</v>
      </c>
      <c r="P42" s="60">
        <f>P40*Projections!$B$28</f>
        <v>3513.155708</v>
      </c>
      <c r="Q42" s="60">
        <f>Q40*Projections!$B$28</f>
        <v>3986.182352</v>
      </c>
      <c r="R42" s="60">
        <f>R40*Projections!$B$28</f>
        <v>4388.254999</v>
      </c>
      <c r="S42" s="60">
        <f>S40*Projections!$B$28</f>
        <v>4730.016749</v>
      </c>
      <c r="T42" s="60">
        <f>T40*Projections!$B$28</f>
        <v>5220.514237</v>
      </c>
      <c r="U42" s="60">
        <f>U40*Projections!$B$28</f>
        <v>5637.437101</v>
      </c>
      <c r="V42" s="60">
        <f>V40*Projections!$B$28</f>
        <v>5991.821536</v>
      </c>
      <c r="W42" s="60">
        <f>W40*Projections!$B$28</f>
        <v>6493.048306</v>
      </c>
      <c r="X42" s="60">
        <f>X40*Projections!$B$28</f>
        <v>6919.09106</v>
      </c>
      <c r="Y42" s="60">
        <f>Y40*Projections!$B$28</f>
        <v>7281.227401</v>
      </c>
      <c r="Z42" s="60">
        <f>Z40*Projections!$B$28</f>
        <v>7789.043291</v>
      </c>
      <c r="AA42" s="60">
        <f>AA40*Projections!$B$28</f>
        <v>8220.686797</v>
      </c>
      <c r="AB42" s="60">
        <f>AB40*Projections!$B$28</f>
        <v>8587.583778</v>
      </c>
      <c r="AC42" s="60">
        <f>AC40*Projections!$B$28</f>
        <v>9099.446211</v>
      </c>
      <c r="AD42" s="60">
        <f>AD40*Projections!$B$28</f>
        <v>9534.529279</v>
      </c>
      <c r="AE42" s="60">
        <f>AE40*Projections!$B$28</f>
        <v>9904.349887</v>
      </c>
      <c r="AF42" s="60">
        <f>AF40*Projections!$B$28</f>
        <v>10418.6974</v>
      </c>
      <c r="AG42" s="60">
        <f>AG40*Projections!$B$28</f>
        <v>10855.89279</v>
      </c>
      <c r="AH42" s="60">
        <f>AH40*Projections!$B$28</f>
        <v>11227.50887</v>
      </c>
      <c r="AI42" s="60">
        <f>AI40*Projections!$B$28</f>
        <v>11543.38254</v>
      </c>
      <c r="AJ42" s="60">
        <f>AJ40*Projections!$B$28</f>
        <v>11811.87516</v>
      </c>
      <c r="AK42" s="60">
        <f>AK40*Projections!$B$28</f>
        <v>12040.09389</v>
      </c>
      <c r="AL42" s="60">
        <f>AL40*Projections!$B$28</f>
        <v>12234.0798</v>
      </c>
      <c r="AM42" s="60">
        <f>AM40*Projections!$B$28</f>
        <v>12398.96783</v>
      </c>
      <c r="AN42" s="60">
        <f>AN40*Projections!$B$28</f>
        <v>12539.12266</v>
      </c>
      <c r="AO42" s="60">
        <f>AO40*Projections!$B$28</f>
        <v>12658.25426</v>
      </c>
      <c r="AP42" s="60">
        <f>AP40*Projections!$B$28</f>
        <v>12759.51612</v>
      </c>
      <c r="AQ42" s="60">
        <f>AQ40*Projections!$B$28</f>
        <v>12845.5887</v>
      </c>
      <c r="AR42" s="60">
        <f>AR40*Projections!$B$28</f>
        <v>12918.7504</v>
      </c>
      <c r="AS42" s="60">
        <f>AS40*Projections!$B$28</f>
        <v>12980.93784</v>
      </c>
      <c r="AT42" s="60">
        <f>AT40*Projections!$B$28</f>
        <v>13033.79716</v>
      </c>
      <c r="AU42" s="60">
        <f>AU40*Projections!$B$28</f>
        <v>13078.72759</v>
      </c>
      <c r="AV42" s="60">
        <f>AV40*Projections!$B$28</f>
        <v>13116.91845</v>
      </c>
      <c r="AW42" s="60">
        <f>AW40*Projections!$B$28</f>
        <v>13149.38068</v>
      </c>
      <c r="AX42" s="60">
        <f>AX40*Projections!$B$28</f>
        <v>13176.97358</v>
      </c>
      <c r="AY42" s="60">
        <f>AY40*Projections!$B$28</f>
        <v>13200.42754</v>
      </c>
      <c r="AZ42" s="60">
        <f>AZ40*Projections!$B$28</f>
        <v>13220.36341</v>
      </c>
      <c r="BA42" s="60">
        <f>BA40*Projections!$B$28</f>
        <v>13237.3089</v>
      </c>
      <c r="BB42" s="60">
        <f>BB40*Projections!$B$28</f>
        <v>13251.71256</v>
      </c>
      <c r="BC42" s="60">
        <f>BC40*Projections!$B$28</f>
        <v>13263.95568</v>
      </c>
      <c r="BD42" s="60">
        <f>BD40*Projections!$B$28</f>
        <v>13274.36233</v>
      </c>
      <c r="BE42" s="60">
        <f>BE40*Projections!$B$28</f>
        <v>13283.20798</v>
      </c>
      <c r="BF42" s="60">
        <f>BF40*Projections!$B$28</f>
        <v>13290.72678</v>
      </c>
      <c r="BG42" s="60">
        <f>BG40*Projections!$B$28</f>
        <v>13297.11776</v>
      </c>
      <c r="BH42" s="60">
        <f>BH40*Projections!$B$28</f>
        <v>13302.5501</v>
      </c>
      <c r="BI42" s="60">
        <f>BI40*Projections!$B$28</f>
        <v>13307.16759</v>
      </c>
      <c r="BJ42" s="60">
        <f>BJ40*Projections!$B$28</f>
        <v>13311.09245</v>
      </c>
      <c r="BK42" s="60">
        <f>BK40*Projections!$B$28</f>
        <v>13314.42858</v>
      </c>
      <c r="BL42" s="60">
        <f>BL40*Projections!$B$28</f>
        <v>13317.26429</v>
      </c>
      <c r="BM42" s="60">
        <f>BM40*Projections!$B$28</f>
        <v>13319.67465</v>
      </c>
      <c r="BN42" s="60">
        <f>BN40*Projections!$B$28</f>
        <v>13321.72345</v>
      </c>
      <c r="BO42" s="60">
        <f>BO40*Projections!$B$28</f>
        <v>13323.46493</v>
      </c>
      <c r="BP42" s="60">
        <f>BP40*Projections!$B$28</f>
        <v>13324.94519</v>
      </c>
      <c r="BQ42" s="60">
        <f>BQ40*Projections!$B$28</f>
        <v>13326.20341</v>
      </c>
      <c r="BR42" s="60">
        <f>BR40*Projections!$B$28</f>
        <v>13327.2729</v>
      </c>
      <c r="BS42" s="60">
        <f>BS40*Projections!$B$28</f>
        <v>13328.18197</v>
      </c>
      <c r="BT42" s="60">
        <f>BT40*Projections!$B$28</f>
        <v>13328.95467</v>
      </c>
      <c r="BU42" s="60">
        <f>BU40*Projections!$B$28</f>
        <v>13329.61147</v>
      </c>
      <c r="BV42" s="60">
        <f>BV40*Projections!$B$28</f>
        <v>13330.16975</v>
      </c>
      <c r="BW42" s="60">
        <f>BW40*Projections!$B$28</f>
        <v>13330.64429</v>
      </c>
      <c r="BX42" s="60">
        <f>BX40*Projections!$B$28</f>
        <v>13331.04764</v>
      </c>
      <c r="BY42" s="60">
        <f>BY40*Projections!$B$28</f>
        <v>13331.3905</v>
      </c>
      <c r="BZ42" s="60">
        <f>BZ40*Projections!$B$28</f>
        <v>13331.68192</v>
      </c>
      <c r="CA42" s="60">
        <f>CA40*Projections!$B$28</f>
        <v>13331.92963</v>
      </c>
      <c r="CB42" s="60">
        <f>CB40*Projections!$B$28</f>
        <v>13332.14019</v>
      </c>
      <c r="CC42" s="60">
        <f>CC40*Projections!$B$28</f>
        <v>13332.31916</v>
      </c>
      <c r="CD42" s="60">
        <f>CD40*Projections!$B$28</f>
        <v>13332.47129</v>
      </c>
      <c r="CE42" s="60">
        <f>CE40*Projections!$B$28</f>
        <v>13332.60059</v>
      </c>
      <c r="CF42" s="60">
        <f>CF40*Projections!$B$28</f>
        <v>13332.7105</v>
      </c>
      <c r="CG42" s="60">
        <f>CG40*Projections!$B$28</f>
        <v>13332.80393</v>
      </c>
      <c r="CH42" s="60">
        <f>CH40*Projections!$B$28</f>
        <v>13332.88334</v>
      </c>
      <c r="CI42" s="60">
        <f>CI40*Projections!$B$28</f>
        <v>13332.95084</v>
      </c>
      <c r="CJ42" s="60">
        <f>CJ40*Projections!$B$28</f>
        <v>13333.00821</v>
      </c>
      <c r="CK42" s="60">
        <f>CK40*Projections!$B$28</f>
        <v>13333.05698</v>
      </c>
      <c r="CL42" s="60">
        <f>CL40*Projections!$B$28</f>
        <v>13333.09843</v>
      </c>
      <c r="CM42" s="60">
        <f>CM40*Projections!$B$28</f>
        <v>13333.13367</v>
      </c>
      <c r="CN42" s="60">
        <f>CN40*Projections!$B$28</f>
        <v>13333.16362</v>
      </c>
      <c r="CO42" s="60">
        <f>CO40*Projections!$B$28</f>
        <v>13333.18908</v>
      </c>
      <c r="CP42" s="60">
        <f>CP40*Projections!$B$28</f>
        <v>13333.21071</v>
      </c>
      <c r="CQ42" s="60">
        <f>CQ40*Projections!$B$28</f>
        <v>13333.22911</v>
      </c>
      <c r="CR42" s="60">
        <f>CR40*Projections!$B$28</f>
        <v>13333.24474</v>
      </c>
      <c r="CS42" s="60">
        <f>CS40*Projections!$B$28</f>
        <v>13333.25803</v>
      </c>
      <c r="CT42" s="60">
        <f>CT40*Projections!$B$28</f>
        <v>13333.26933</v>
      </c>
      <c r="CU42" s="60">
        <f>CU40*Projections!$B$28</f>
        <v>13333.27893</v>
      </c>
      <c r="CV42" s="60">
        <f>CV40*Projections!$B$28</f>
        <v>13333.28709</v>
      </c>
      <c r="CW42" s="60">
        <f>CW40*Projections!$B$28</f>
        <v>13333.29402</v>
      </c>
      <c r="CX42" s="60">
        <f>CX40*Projections!$B$28</f>
        <v>13333.29992</v>
      </c>
    </row>
    <row r="43" ht="15.75" customHeight="1">
      <c r="A43" s="134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</row>
    <row r="44" ht="15.75" customHeight="1">
      <c r="A44" s="131" t="s">
        <v>217</v>
      </c>
      <c r="B44" s="50"/>
      <c r="C44" s="50"/>
      <c r="D44" s="50"/>
      <c r="E44" s="138">
        <f t="shared" ref="E44:CX44" si="10">E40+E31+E20</f>
        <v>22.045</v>
      </c>
      <c r="F44" s="138">
        <f t="shared" si="10"/>
        <v>41.79415789</v>
      </c>
      <c r="G44" s="138">
        <f t="shared" si="10"/>
        <v>59.64331292</v>
      </c>
      <c r="H44" s="138">
        <f t="shared" si="10"/>
        <v>77.93152675</v>
      </c>
      <c r="I44" s="138">
        <f t="shared" si="10"/>
        <v>94.64973259</v>
      </c>
      <c r="J44" s="138">
        <f t="shared" si="10"/>
        <v>110.0930935</v>
      </c>
      <c r="K44" s="138">
        <f t="shared" si="10"/>
        <v>126.5155139</v>
      </c>
      <c r="L44" s="138">
        <f t="shared" si="10"/>
        <v>141.8359822</v>
      </c>
      <c r="M44" s="138">
        <f t="shared" si="10"/>
        <v>156.2524166</v>
      </c>
      <c r="N44" s="138">
        <f t="shared" si="10"/>
        <v>171.6144773</v>
      </c>
      <c r="O44" s="138">
        <f t="shared" si="10"/>
        <v>185.8357251</v>
      </c>
      <c r="P44" s="138">
        <f t="shared" si="10"/>
        <v>199.1454567</v>
      </c>
      <c r="Q44" s="138">
        <f t="shared" si="10"/>
        <v>213.7414831</v>
      </c>
      <c r="R44" s="138">
        <f t="shared" si="10"/>
        <v>227.4949978</v>
      </c>
      <c r="S44" s="138">
        <f t="shared" si="10"/>
        <v>240.5997221</v>
      </c>
      <c r="T44" s="138">
        <f t="shared" si="10"/>
        <v>255.2236865</v>
      </c>
      <c r="U44" s="138">
        <f t="shared" si="10"/>
        <v>269.2132523</v>
      </c>
      <c r="V44" s="138">
        <f t="shared" si="10"/>
        <v>282.7415392</v>
      </c>
      <c r="W44" s="138">
        <f t="shared" si="10"/>
        <v>297.9595969</v>
      </c>
      <c r="X44" s="138">
        <f t="shared" si="10"/>
        <v>312.6999103</v>
      </c>
      <c r="Y44" s="138">
        <f t="shared" si="10"/>
        <v>327.1243893</v>
      </c>
      <c r="Z44" s="138">
        <f t="shared" si="10"/>
        <v>343.3751698</v>
      </c>
      <c r="AA44" s="138">
        <f t="shared" si="10"/>
        <v>359.2778051</v>
      </c>
      <c r="AB44" s="138">
        <f t="shared" si="10"/>
        <v>374.9889907</v>
      </c>
      <c r="AC44" s="138">
        <f t="shared" si="10"/>
        <v>392.6471412</v>
      </c>
      <c r="AD44" s="138">
        <f t="shared" si="10"/>
        <v>410.0753942</v>
      </c>
      <c r="AE44" s="138">
        <f t="shared" si="10"/>
        <v>427.4291754</v>
      </c>
      <c r="AF44" s="138">
        <f t="shared" si="10"/>
        <v>446.8466439</v>
      </c>
      <c r="AG44" s="138">
        <f t="shared" si="10"/>
        <v>466.1515844</v>
      </c>
      <c r="AH44" s="138">
        <f t="shared" si="10"/>
        <v>485.5008807</v>
      </c>
      <c r="AI44" s="138">
        <f t="shared" si="10"/>
        <v>505.0348842</v>
      </c>
      <c r="AJ44" s="138">
        <f t="shared" si="10"/>
        <v>524.880244</v>
      </c>
      <c r="AK44" s="138">
        <f t="shared" si="10"/>
        <v>545.1523294</v>
      </c>
      <c r="AL44" s="138">
        <f t="shared" si="10"/>
        <v>565.9573081</v>
      </c>
      <c r="AM44" s="138">
        <f t="shared" si="10"/>
        <v>587.3939314</v>
      </c>
      <c r="AN44" s="138">
        <f t="shared" si="10"/>
        <v>609.5550722</v>
      </c>
      <c r="AO44" s="138">
        <f t="shared" si="10"/>
        <v>632.5290534</v>
      </c>
      <c r="AP44" s="138">
        <f t="shared" si="10"/>
        <v>656.4007996</v>
      </c>
      <c r="AQ44" s="138">
        <f t="shared" si="10"/>
        <v>681.252839</v>
      </c>
      <c r="AR44" s="138">
        <f t="shared" si="10"/>
        <v>707.1661804</v>
      </c>
      <c r="AS44" s="138">
        <f t="shared" si="10"/>
        <v>734.2210841</v>
      </c>
      <c r="AT44" s="138">
        <f t="shared" si="10"/>
        <v>762.4977437</v>
      </c>
      <c r="AU44" s="138">
        <f t="shared" si="10"/>
        <v>792.0768954</v>
      </c>
      <c r="AV44" s="138">
        <f t="shared" si="10"/>
        <v>823.0403651</v>
      </c>
      <c r="AW44" s="138">
        <f t="shared" si="10"/>
        <v>855.4715645</v>
      </c>
      <c r="AX44" s="138">
        <f t="shared" si="10"/>
        <v>889.4559468</v>
      </c>
      <c r="AY44" s="138">
        <f t="shared" si="10"/>
        <v>925.0814275</v>
      </c>
      <c r="AZ44" s="138">
        <f t="shared" si="10"/>
        <v>962.4387798</v>
      </c>
      <c r="BA44" s="138">
        <f t="shared" si="10"/>
        <v>1001.622007</v>
      </c>
      <c r="BB44" s="138">
        <f t="shared" si="10"/>
        <v>1042.728703</v>
      </c>
      <c r="BC44" s="138">
        <f t="shared" si="10"/>
        <v>1085.860395</v>
      </c>
      <c r="BD44" s="138">
        <f t="shared" si="10"/>
        <v>1131.122882</v>
      </c>
      <c r="BE44" s="138">
        <f t="shared" si="10"/>
        <v>1178.626574</v>
      </c>
      <c r="BF44" s="138">
        <f t="shared" si="10"/>
        <v>1228.486818</v>
      </c>
      <c r="BG44" s="138">
        <f t="shared" si="10"/>
        <v>1280.824237</v>
      </c>
      <c r="BH44" s="138">
        <f t="shared" si="10"/>
        <v>1335.765065</v>
      </c>
      <c r="BI44" s="138">
        <f t="shared" si="10"/>
        <v>1393.441492</v>
      </c>
      <c r="BJ44" s="138">
        <f t="shared" si="10"/>
        <v>1453.992015</v>
      </c>
      <c r="BK44" s="138">
        <f t="shared" si="10"/>
        <v>1517.561796</v>
      </c>
      <c r="BL44" s="138">
        <f t="shared" si="10"/>
        <v>1584.303039</v>
      </c>
      <c r="BM44" s="138">
        <f t="shared" si="10"/>
        <v>1654.375372</v>
      </c>
      <c r="BN44" s="138">
        <f t="shared" si="10"/>
        <v>1727.946244</v>
      </c>
      <c r="BO44" s="138">
        <f t="shared" si="10"/>
        <v>1805.191344</v>
      </c>
      <c r="BP44" s="138">
        <f t="shared" si="10"/>
        <v>1886.295031</v>
      </c>
      <c r="BQ44" s="138">
        <f t="shared" si="10"/>
        <v>1971.450784</v>
      </c>
      <c r="BR44" s="138">
        <f t="shared" si="10"/>
        <v>2060.861675</v>
      </c>
      <c r="BS44" s="138">
        <f t="shared" si="10"/>
        <v>2154.740858</v>
      </c>
      <c r="BT44" s="138">
        <f t="shared" si="10"/>
        <v>2253.312084</v>
      </c>
      <c r="BU44" s="138">
        <f t="shared" si="10"/>
        <v>2356.810245</v>
      </c>
      <c r="BV44" s="138">
        <f t="shared" si="10"/>
        <v>2465.48193</v>
      </c>
      <c r="BW44" s="138">
        <f t="shared" si="10"/>
        <v>2579.586024</v>
      </c>
      <c r="BX44" s="138">
        <f t="shared" si="10"/>
        <v>2699.394322</v>
      </c>
      <c r="BY44" s="138">
        <f t="shared" si="10"/>
        <v>2825.192186</v>
      </c>
      <c r="BZ44" s="138">
        <f t="shared" si="10"/>
        <v>2957.279221</v>
      </c>
      <c r="CA44" s="138">
        <f t="shared" si="10"/>
        <v>3095.969994</v>
      </c>
      <c r="CB44" s="138">
        <f t="shared" si="10"/>
        <v>3241.594784</v>
      </c>
      <c r="CC44" s="138">
        <f t="shared" si="10"/>
        <v>3394.50037</v>
      </c>
      <c r="CD44" s="138">
        <f t="shared" si="10"/>
        <v>3555.050858</v>
      </c>
      <c r="CE44" s="138">
        <f t="shared" si="10"/>
        <v>3723.62855</v>
      </c>
      <c r="CF44" s="138">
        <f t="shared" si="10"/>
        <v>3900.634854</v>
      </c>
      <c r="CG44" s="138">
        <f t="shared" si="10"/>
        <v>4086.491242</v>
      </c>
      <c r="CH44" s="138">
        <f t="shared" si="10"/>
        <v>4281.640252</v>
      </c>
      <c r="CI44" s="138">
        <f t="shared" si="10"/>
        <v>4486.546546</v>
      </c>
      <c r="CJ44" s="138">
        <f t="shared" si="10"/>
        <v>4701.698012</v>
      </c>
      <c r="CK44" s="138">
        <f t="shared" si="10"/>
        <v>4927.606931</v>
      </c>
      <c r="CL44" s="138">
        <f t="shared" si="10"/>
        <v>5164.811193</v>
      </c>
      <c r="CM44" s="138">
        <f t="shared" si="10"/>
        <v>5413.875581</v>
      </c>
      <c r="CN44" s="138">
        <f t="shared" si="10"/>
        <v>5675.393114</v>
      </c>
      <c r="CO44" s="138">
        <f t="shared" si="10"/>
        <v>5949.98646</v>
      </c>
      <c r="CP44" s="138">
        <f t="shared" si="10"/>
        <v>6238.309421</v>
      </c>
      <c r="CQ44" s="138">
        <f t="shared" si="10"/>
        <v>6541.048483</v>
      </c>
      <c r="CR44" s="138">
        <f t="shared" si="10"/>
        <v>6858.92446</v>
      </c>
      <c r="CS44" s="138">
        <f t="shared" si="10"/>
        <v>7192.694203</v>
      </c>
      <c r="CT44" s="138">
        <f t="shared" si="10"/>
        <v>7543.152405</v>
      </c>
      <c r="CU44" s="138">
        <f t="shared" si="10"/>
        <v>7911.133494</v>
      </c>
      <c r="CV44" s="138">
        <f t="shared" si="10"/>
        <v>8251.99347</v>
      </c>
      <c r="CW44" s="138">
        <f t="shared" si="10"/>
        <v>8541.724449</v>
      </c>
      <c r="CX44" s="138">
        <f t="shared" si="10"/>
        <v>8787.995782</v>
      </c>
    </row>
    <row r="45" ht="15.75" customHeight="1">
      <c r="A45" s="131" t="s">
        <v>218</v>
      </c>
      <c r="B45" s="50"/>
      <c r="C45" s="50"/>
      <c r="D45" s="50"/>
      <c r="E45" s="60">
        <f t="shared" ref="E45:CX45" si="11">E42+E33+E22</f>
        <v>2204.5</v>
      </c>
      <c r="F45" s="60">
        <f t="shared" si="11"/>
        <v>4179.415789</v>
      </c>
      <c r="G45" s="60">
        <f t="shared" si="11"/>
        <v>5964.331292</v>
      </c>
      <c r="H45" s="60">
        <f t="shared" si="11"/>
        <v>7793.152675</v>
      </c>
      <c r="I45" s="60">
        <f t="shared" si="11"/>
        <v>9464.973259</v>
      </c>
      <c r="J45" s="60">
        <f t="shared" si="11"/>
        <v>11009.30935</v>
      </c>
      <c r="K45" s="60">
        <f t="shared" si="11"/>
        <v>12651.55139</v>
      </c>
      <c r="L45" s="60">
        <f t="shared" si="11"/>
        <v>14183.59822</v>
      </c>
      <c r="M45" s="60">
        <f t="shared" si="11"/>
        <v>15625.24166</v>
      </c>
      <c r="N45" s="60">
        <f t="shared" si="11"/>
        <v>17161.44773</v>
      </c>
      <c r="O45" s="60">
        <f t="shared" si="11"/>
        <v>18583.57251</v>
      </c>
      <c r="P45" s="60">
        <f t="shared" si="11"/>
        <v>19914.54567</v>
      </c>
      <c r="Q45" s="60">
        <f t="shared" si="11"/>
        <v>21374.14831</v>
      </c>
      <c r="R45" s="60">
        <f t="shared" si="11"/>
        <v>22749.49978</v>
      </c>
      <c r="S45" s="60">
        <f t="shared" si="11"/>
        <v>24059.97221</v>
      </c>
      <c r="T45" s="60">
        <f t="shared" si="11"/>
        <v>25522.36865</v>
      </c>
      <c r="U45" s="60">
        <f t="shared" si="11"/>
        <v>26921.32523</v>
      </c>
      <c r="V45" s="60">
        <f t="shared" si="11"/>
        <v>28274.15392</v>
      </c>
      <c r="W45" s="60">
        <f t="shared" si="11"/>
        <v>29795.95969</v>
      </c>
      <c r="X45" s="60">
        <f t="shared" si="11"/>
        <v>31269.99103</v>
      </c>
      <c r="Y45" s="60">
        <f t="shared" si="11"/>
        <v>32712.43893</v>
      </c>
      <c r="Z45" s="60">
        <f t="shared" si="11"/>
        <v>34337.51698</v>
      </c>
      <c r="AA45" s="60">
        <f t="shared" si="11"/>
        <v>35927.78051</v>
      </c>
      <c r="AB45" s="60">
        <f t="shared" si="11"/>
        <v>37498.89907</v>
      </c>
      <c r="AC45" s="60">
        <f t="shared" si="11"/>
        <v>39264.71412</v>
      </c>
      <c r="AD45" s="60">
        <f t="shared" si="11"/>
        <v>41007.53942</v>
      </c>
      <c r="AE45" s="60">
        <f t="shared" si="11"/>
        <v>42742.91754</v>
      </c>
      <c r="AF45" s="60">
        <f t="shared" si="11"/>
        <v>44684.66439</v>
      </c>
      <c r="AG45" s="60">
        <f t="shared" si="11"/>
        <v>46615.15844</v>
      </c>
      <c r="AH45" s="60">
        <f t="shared" si="11"/>
        <v>48550.08807</v>
      </c>
      <c r="AI45" s="60">
        <f t="shared" si="11"/>
        <v>50503.48842</v>
      </c>
      <c r="AJ45" s="60">
        <f t="shared" si="11"/>
        <v>52488.0244</v>
      </c>
      <c r="AK45" s="60">
        <f t="shared" si="11"/>
        <v>54515.23294</v>
      </c>
      <c r="AL45" s="60">
        <f t="shared" si="11"/>
        <v>56595.73081</v>
      </c>
      <c r="AM45" s="60">
        <f t="shared" si="11"/>
        <v>58739.39314</v>
      </c>
      <c r="AN45" s="60">
        <f t="shared" si="11"/>
        <v>60955.50722</v>
      </c>
      <c r="AO45" s="60">
        <f t="shared" si="11"/>
        <v>63252.90534</v>
      </c>
      <c r="AP45" s="60">
        <f t="shared" si="11"/>
        <v>65640.07996</v>
      </c>
      <c r="AQ45" s="60">
        <f t="shared" si="11"/>
        <v>68125.2839</v>
      </c>
      <c r="AR45" s="60">
        <f t="shared" si="11"/>
        <v>70716.61804</v>
      </c>
      <c r="AS45" s="60">
        <f t="shared" si="11"/>
        <v>73422.10841</v>
      </c>
      <c r="AT45" s="60">
        <f t="shared" si="11"/>
        <v>76249.77437</v>
      </c>
      <c r="AU45" s="60">
        <f t="shared" si="11"/>
        <v>79207.68954</v>
      </c>
      <c r="AV45" s="60">
        <f t="shared" si="11"/>
        <v>82304.03651</v>
      </c>
      <c r="AW45" s="60">
        <f t="shared" si="11"/>
        <v>85547.15645</v>
      </c>
      <c r="AX45" s="60">
        <f t="shared" si="11"/>
        <v>88945.59468</v>
      </c>
      <c r="AY45" s="60">
        <f t="shared" si="11"/>
        <v>92508.14275</v>
      </c>
      <c r="AZ45" s="60">
        <f t="shared" si="11"/>
        <v>96243.87798</v>
      </c>
      <c r="BA45" s="60">
        <f t="shared" si="11"/>
        <v>100162.2007</v>
      </c>
      <c r="BB45" s="60">
        <f t="shared" si="11"/>
        <v>104272.8703</v>
      </c>
      <c r="BC45" s="60">
        <f t="shared" si="11"/>
        <v>108586.0395</v>
      </c>
      <c r="BD45" s="60">
        <f t="shared" si="11"/>
        <v>113112.2882</v>
      </c>
      <c r="BE45" s="60">
        <f t="shared" si="11"/>
        <v>117862.6574</v>
      </c>
      <c r="BF45" s="60">
        <f t="shared" si="11"/>
        <v>122848.6818</v>
      </c>
      <c r="BG45" s="60">
        <f t="shared" si="11"/>
        <v>128082.4237</v>
      </c>
      <c r="BH45" s="60">
        <f t="shared" si="11"/>
        <v>133576.5065</v>
      </c>
      <c r="BI45" s="60">
        <f t="shared" si="11"/>
        <v>139344.1492</v>
      </c>
      <c r="BJ45" s="60">
        <f t="shared" si="11"/>
        <v>145399.2015</v>
      </c>
      <c r="BK45" s="60">
        <f t="shared" si="11"/>
        <v>151756.1796</v>
      </c>
      <c r="BL45" s="60">
        <f t="shared" si="11"/>
        <v>158430.3039</v>
      </c>
      <c r="BM45" s="60">
        <f t="shared" si="11"/>
        <v>165437.5372</v>
      </c>
      <c r="BN45" s="60">
        <f t="shared" si="11"/>
        <v>172794.6244</v>
      </c>
      <c r="BO45" s="60">
        <f t="shared" si="11"/>
        <v>180519.1344</v>
      </c>
      <c r="BP45" s="60">
        <f t="shared" si="11"/>
        <v>188629.5031</v>
      </c>
      <c r="BQ45" s="60">
        <f t="shared" si="11"/>
        <v>197145.0784</v>
      </c>
      <c r="BR45" s="60">
        <f t="shared" si="11"/>
        <v>206086.1675</v>
      </c>
      <c r="BS45" s="60">
        <f t="shared" si="11"/>
        <v>215474.0858</v>
      </c>
      <c r="BT45" s="60">
        <f t="shared" si="11"/>
        <v>225331.2084</v>
      </c>
      <c r="BU45" s="60">
        <f t="shared" si="11"/>
        <v>235681.0245</v>
      </c>
      <c r="BV45" s="60">
        <f t="shared" si="11"/>
        <v>246548.193</v>
      </c>
      <c r="BW45" s="60">
        <f t="shared" si="11"/>
        <v>257958.6024</v>
      </c>
      <c r="BX45" s="60">
        <f t="shared" si="11"/>
        <v>269939.4322</v>
      </c>
      <c r="BY45" s="60">
        <f t="shared" si="11"/>
        <v>282519.2186</v>
      </c>
      <c r="BZ45" s="60">
        <f t="shared" si="11"/>
        <v>295727.9221</v>
      </c>
      <c r="CA45" s="60">
        <f t="shared" si="11"/>
        <v>309596.9994</v>
      </c>
      <c r="CB45" s="60">
        <f t="shared" si="11"/>
        <v>324159.4784</v>
      </c>
      <c r="CC45" s="60">
        <f t="shared" si="11"/>
        <v>339450.037</v>
      </c>
      <c r="CD45" s="60">
        <f t="shared" si="11"/>
        <v>355505.0858</v>
      </c>
      <c r="CE45" s="60">
        <f t="shared" si="11"/>
        <v>372362.855</v>
      </c>
      <c r="CF45" s="60">
        <f t="shared" si="11"/>
        <v>390063.4854</v>
      </c>
      <c r="CG45" s="60">
        <f t="shared" si="11"/>
        <v>408649.1242</v>
      </c>
      <c r="CH45" s="60">
        <f t="shared" si="11"/>
        <v>428164.0252</v>
      </c>
      <c r="CI45" s="60">
        <f t="shared" si="11"/>
        <v>448654.6546</v>
      </c>
      <c r="CJ45" s="60">
        <f t="shared" si="11"/>
        <v>470169.8012</v>
      </c>
      <c r="CK45" s="60">
        <f t="shared" si="11"/>
        <v>492760.6931</v>
      </c>
      <c r="CL45" s="60">
        <f t="shared" si="11"/>
        <v>516481.1193</v>
      </c>
      <c r="CM45" s="60">
        <f t="shared" si="11"/>
        <v>541387.5581</v>
      </c>
      <c r="CN45" s="60">
        <f t="shared" si="11"/>
        <v>567539.3114</v>
      </c>
      <c r="CO45" s="60">
        <f t="shared" si="11"/>
        <v>594998.646</v>
      </c>
      <c r="CP45" s="60">
        <f t="shared" si="11"/>
        <v>623830.9421</v>
      </c>
      <c r="CQ45" s="60">
        <f t="shared" si="11"/>
        <v>654104.8483</v>
      </c>
      <c r="CR45" s="60">
        <f t="shared" si="11"/>
        <v>685892.446</v>
      </c>
      <c r="CS45" s="60">
        <f t="shared" si="11"/>
        <v>719269.4203</v>
      </c>
      <c r="CT45" s="60">
        <f t="shared" si="11"/>
        <v>754315.2405</v>
      </c>
      <c r="CU45" s="60">
        <f t="shared" si="11"/>
        <v>791113.3494</v>
      </c>
      <c r="CV45" s="60">
        <f t="shared" si="11"/>
        <v>825199.347</v>
      </c>
      <c r="CW45" s="60">
        <f t="shared" si="11"/>
        <v>854172.4449</v>
      </c>
      <c r="CX45" s="60">
        <f t="shared" si="11"/>
        <v>878799.5782</v>
      </c>
    </row>
    <row r="46" ht="15.75" customHeight="1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ht="23.25" customHeight="1">
      <c r="A47" s="127" t="s">
        <v>161</v>
      </c>
      <c r="B47" s="30"/>
      <c r="C47" s="30"/>
      <c r="D47" s="128"/>
      <c r="E47" s="141">
        <f t="shared" ref="E47:CX47" si="12">SUM(E49:E50)</f>
        <v>66.135</v>
      </c>
      <c r="F47" s="141">
        <f t="shared" si="12"/>
        <v>125.3824737</v>
      </c>
      <c r="G47" s="141">
        <f t="shared" si="12"/>
        <v>178.9299387</v>
      </c>
      <c r="H47" s="141">
        <f t="shared" si="12"/>
        <v>233.7945803</v>
      </c>
      <c r="I47" s="142">
        <f t="shared" si="12"/>
        <v>283.9491978</v>
      </c>
      <c r="J47" s="141">
        <f t="shared" si="12"/>
        <v>330.2792804</v>
      </c>
      <c r="K47" s="141">
        <f t="shared" si="12"/>
        <v>379.5465417</v>
      </c>
      <c r="L47" s="141">
        <f t="shared" si="12"/>
        <v>425.5079467</v>
      </c>
      <c r="M47" s="141">
        <f t="shared" si="12"/>
        <v>468.7572497</v>
      </c>
      <c r="N47" s="141">
        <f t="shared" si="12"/>
        <v>514.8434319</v>
      </c>
      <c r="O47" s="141">
        <f t="shared" si="12"/>
        <v>557.5071753</v>
      </c>
      <c r="P47" s="141">
        <f t="shared" si="12"/>
        <v>597.4363702</v>
      </c>
      <c r="Q47" s="141">
        <f t="shared" si="12"/>
        <v>641.2244493</v>
      </c>
      <c r="R47" s="141">
        <f t="shared" si="12"/>
        <v>682.4849933</v>
      </c>
      <c r="S47" s="141">
        <f t="shared" si="12"/>
        <v>721.7991663</v>
      </c>
      <c r="T47" s="141">
        <f t="shared" si="12"/>
        <v>765.6710594</v>
      </c>
      <c r="U47" s="141">
        <f t="shared" si="12"/>
        <v>807.639757</v>
      </c>
      <c r="V47" s="141">
        <f t="shared" si="12"/>
        <v>848.2246177</v>
      </c>
      <c r="W47" s="141">
        <f t="shared" si="12"/>
        <v>893.8787906</v>
      </c>
      <c r="X47" s="141">
        <f t="shared" si="12"/>
        <v>938.0997308</v>
      </c>
      <c r="Y47" s="141">
        <f t="shared" si="12"/>
        <v>981.3731679</v>
      </c>
      <c r="Z47" s="141">
        <f t="shared" si="12"/>
        <v>1030.125509</v>
      </c>
      <c r="AA47" s="141">
        <f t="shared" si="12"/>
        <v>1077.833415</v>
      </c>
      <c r="AB47" s="141">
        <f t="shared" si="12"/>
        <v>1124.966972</v>
      </c>
      <c r="AC47" s="142">
        <f t="shared" si="12"/>
        <v>1177.941424</v>
      </c>
      <c r="AD47" s="141">
        <f t="shared" si="12"/>
        <v>1230.226182</v>
      </c>
      <c r="AE47" s="141">
        <f t="shared" si="12"/>
        <v>1282.287526</v>
      </c>
      <c r="AF47" s="141">
        <f t="shared" si="12"/>
        <v>1340.539932</v>
      </c>
      <c r="AG47" s="141">
        <f t="shared" si="12"/>
        <v>1398.454753</v>
      </c>
      <c r="AH47" s="141">
        <f t="shared" si="12"/>
        <v>1456.502642</v>
      </c>
      <c r="AI47" s="142">
        <f t="shared" si="12"/>
        <v>1515.104653</v>
      </c>
      <c r="AJ47" s="141">
        <f t="shared" si="12"/>
        <v>1574.640732</v>
      </c>
      <c r="AK47" s="141">
        <f t="shared" si="12"/>
        <v>1635.456988</v>
      </c>
      <c r="AL47" s="141">
        <f t="shared" si="12"/>
        <v>1697.871924</v>
      </c>
      <c r="AM47" s="141">
        <f t="shared" si="12"/>
        <v>1762.181794</v>
      </c>
      <c r="AN47" s="141">
        <f t="shared" si="12"/>
        <v>1828.665217</v>
      </c>
      <c r="AO47" s="141">
        <f t="shared" si="12"/>
        <v>1897.58716</v>
      </c>
      <c r="AP47" s="141">
        <f t="shared" si="12"/>
        <v>1969.202399</v>
      </c>
      <c r="AQ47" s="141">
        <f t="shared" si="12"/>
        <v>2043.758517</v>
      </c>
      <c r="AR47" s="141">
        <f t="shared" si="12"/>
        <v>2121.498541</v>
      </c>
      <c r="AS47" s="141">
        <f t="shared" si="12"/>
        <v>2202.663252</v>
      </c>
      <c r="AT47" s="141">
        <f t="shared" si="12"/>
        <v>2287.493231</v>
      </c>
      <c r="AU47" s="141">
        <f t="shared" si="12"/>
        <v>2376.230686</v>
      </c>
      <c r="AV47" s="141">
        <f t="shared" si="12"/>
        <v>2469.121095</v>
      </c>
      <c r="AW47" s="141">
        <f t="shared" si="12"/>
        <v>2566.414694</v>
      </c>
      <c r="AX47" s="141">
        <f t="shared" si="12"/>
        <v>2668.36784</v>
      </c>
      <c r="AY47" s="141">
        <f t="shared" si="12"/>
        <v>2775.244282</v>
      </c>
      <c r="AZ47" s="141">
        <f t="shared" si="12"/>
        <v>2887.316339</v>
      </c>
      <c r="BA47" s="141">
        <f t="shared" si="12"/>
        <v>3004.866022</v>
      </c>
      <c r="BB47" s="141">
        <f t="shared" si="12"/>
        <v>3128.18611</v>
      </c>
      <c r="BC47" s="142">
        <f t="shared" si="12"/>
        <v>3257.581184</v>
      </c>
      <c r="BD47" s="141">
        <f t="shared" si="12"/>
        <v>3393.368646</v>
      </c>
      <c r="BE47" s="141">
        <f t="shared" si="12"/>
        <v>3535.879721</v>
      </c>
      <c r="BF47" s="141">
        <f t="shared" si="12"/>
        <v>3685.460453</v>
      </c>
      <c r="BG47" s="141">
        <f t="shared" si="12"/>
        <v>3842.47271</v>
      </c>
      <c r="BH47" s="141">
        <f t="shared" si="12"/>
        <v>4007.295195</v>
      </c>
      <c r="BI47" s="142">
        <f t="shared" si="12"/>
        <v>4180.324477</v>
      </c>
      <c r="BJ47" s="141">
        <f t="shared" si="12"/>
        <v>4361.976044</v>
      </c>
      <c r="BK47" s="141">
        <f t="shared" si="12"/>
        <v>4552.685388</v>
      </c>
      <c r="BL47" s="141">
        <f t="shared" si="12"/>
        <v>4752.909118</v>
      </c>
      <c r="BM47" s="141">
        <f t="shared" si="12"/>
        <v>4963.126116</v>
      </c>
      <c r="BN47" s="141">
        <f t="shared" si="12"/>
        <v>5183.838732</v>
      </c>
      <c r="BO47" s="141">
        <f t="shared" si="12"/>
        <v>5415.574032</v>
      </c>
      <c r="BP47" s="141">
        <f t="shared" si="12"/>
        <v>5658.885093</v>
      </c>
      <c r="BQ47" s="141">
        <f t="shared" si="12"/>
        <v>5914.352353</v>
      </c>
      <c r="BR47" s="141">
        <f t="shared" si="12"/>
        <v>6182.585025</v>
      </c>
      <c r="BS47" s="141">
        <f t="shared" si="12"/>
        <v>6464.222573</v>
      </c>
      <c r="BT47" s="141">
        <f t="shared" si="12"/>
        <v>6759.936253</v>
      </c>
      <c r="BU47" s="141">
        <f t="shared" si="12"/>
        <v>7070.430735</v>
      </c>
      <c r="BV47" s="141">
        <f t="shared" si="12"/>
        <v>7396.445791</v>
      </c>
      <c r="BW47" s="141">
        <f t="shared" si="12"/>
        <v>7738.758071</v>
      </c>
      <c r="BX47" s="141">
        <f t="shared" si="12"/>
        <v>8098.182967</v>
      </c>
      <c r="BY47" s="141">
        <f t="shared" si="12"/>
        <v>8475.576559</v>
      </c>
      <c r="BZ47" s="141">
        <f t="shared" si="12"/>
        <v>8871.837664</v>
      </c>
      <c r="CA47" s="141">
        <f t="shared" si="12"/>
        <v>9287.909982</v>
      </c>
      <c r="CB47" s="141">
        <f t="shared" si="12"/>
        <v>9724.784352</v>
      </c>
      <c r="CC47" s="141">
        <f t="shared" si="12"/>
        <v>10183.50111</v>
      </c>
      <c r="CD47" s="141">
        <f t="shared" si="12"/>
        <v>10665.15257</v>
      </c>
      <c r="CE47" s="141">
        <f t="shared" si="12"/>
        <v>11170.88565</v>
      </c>
      <c r="CF47" s="141">
        <f t="shared" si="12"/>
        <v>11701.90456</v>
      </c>
      <c r="CG47" s="141">
        <f t="shared" si="12"/>
        <v>12259.47373</v>
      </c>
      <c r="CH47" s="141">
        <f t="shared" si="12"/>
        <v>12844.92076</v>
      </c>
      <c r="CI47" s="141">
        <f t="shared" si="12"/>
        <v>13459.63964</v>
      </c>
      <c r="CJ47" s="141">
        <f t="shared" si="12"/>
        <v>14105.09404</v>
      </c>
      <c r="CK47" s="141">
        <f t="shared" si="12"/>
        <v>14782.82079</v>
      </c>
      <c r="CL47" s="141">
        <f t="shared" si="12"/>
        <v>15494.43358</v>
      </c>
      <c r="CM47" s="141">
        <f t="shared" si="12"/>
        <v>16241.62674</v>
      </c>
      <c r="CN47" s="141">
        <f t="shared" si="12"/>
        <v>17026.17934</v>
      </c>
      <c r="CO47" s="141">
        <f t="shared" si="12"/>
        <v>17849.95938</v>
      </c>
      <c r="CP47" s="141">
        <f t="shared" si="12"/>
        <v>18714.92826</v>
      </c>
      <c r="CQ47" s="141">
        <f t="shared" si="12"/>
        <v>19623.14545</v>
      </c>
      <c r="CR47" s="141">
        <f t="shared" si="12"/>
        <v>20576.77338</v>
      </c>
      <c r="CS47" s="141">
        <f t="shared" si="12"/>
        <v>21578.08261</v>
      </c>
      <c r="CT47" s="141">
        <f t="shared" si="12"/>
        <v>22629.45722</v>
      </c>
      <c r="CU47" s="141">
        <f t="shared" si="12"/>
        <v>23733.40048</v>
      </c>
      <c r="CV47" s="141">
        <f t="shared" si="12"/>
        <v>24755.98041</v>
      </c>
      <c r="CW47" s="141">
        <f t="shared" si="12"/>
        <v>25625.17335</v>
      </c>
      <c r="CX47" s="141">
        <f t="shared" si="12"/>
        <v>26363.98735</v>
      </c>
    </row>
    <row r="48" ht="15.75" customHeight="1" outlineLevel="1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ht="15.75" customHeight="1" outlineLevel="1">
      <c r="A49" s="5" t="s">
        <v>219</v>
      </c>
      <c r="B49" s="1"/>
      <c r="C49" s="1"/>
      <c r="D49" s="1"/>
      <c r="E49" s="56">
        <f>E44*Projections!$B$68</f>
        <v>44.09</v>
      </c>
      <c r="F49" s="56">
        <f>F44*Projections!$B$68</f>
        <v>83.58831579</v>
      </c>
      <c r="G49" s="56">
        <f>G44*Projections!$B$68</f>
        <v>119.2866258</v>
      </c>
      <c r="H49" s="56">
        <f>H44*Projections!$B$68</f>
        <v>155.8630535</v>
      </c>
      <c r="I49" s="56">
        <f>I44*Projections!$B$68</f>
        <v>189.2994652</v>
      </c>
      <c r="J49" s="56">
        <f>J44*Projections!$B$68</f>
        <v>220.1861869</v>
      </c>
      <c r="K49" s="56">
        <f>K44*Projections!$B$68</f>
        <v>253.0310278</v>
      </c>
      <c r="L49" s="56">
        <f>L44*Projections!$B$68</f>
        <v>283.6719645</v>
      </c>
      <c r="M49" s="56">
        <f>M44*Projections!$B$68</f>
        <v>312.5048331</v>
      </c>
      <c r="N49" s="56">
        <f>N44*Projections!$B$68</f>
        <v>343.2289546</v>
      </c>
      <c r="O49" s="56">
        <f>O44*Projections!$B$68</f>
        <v>371.6714502</v>
      </c>
      <c r="P49" s="56">
        <f>P44*Projections!$B$68</f>
        <v>398.2909134</v>
      </c>
      <c r="Q49" s="56">
        <f>Q44*Projections!$B$68</f>
        <v>427.4829662</v>
      </c>
      <c r="R49" s="56">
        <f>R44*Projections!$B$68</f>
        <v>454.9899955</v>
      </c>
      <c r="S49" s="56">
        <f>S44*Projections!$B$68</f>
        <v>481.1994442</v>
      </c>
      <c r="T49" s="56">
        <f>T44*Projections!$B$68</f>
        <v>510.4473729</v>
      </c>
      <c r="U49" s="56">
        <f>U44*Projections!$B$68</f>
        <v>538.4265047</v>
      </c>
      <c r="V49" s="56">
        <f>V44*Projections!$B$68</f>
        <v>565.4830785</v>
      </c>
      <c r="W49" s="56">
        <f>W44*Projections!$B$68</f>
        <v>595.9191937</v>
      </c>
      <c r="X49" s="56">
        <f>X44*Projections!$B$68</f>
        <v>625.3998205</v>
      </c>
      <c r="Y49" s="56">
        <f>Y44*Projections!$B$68</f>
        <v>654.2487786</v>
      </c>
      <c r="Z49" s="56">
        <f>Z44*Projections!$B$68</f>
        <v>686.7503395</v>
      </c>
      <c r="AA49" s="56">
        <f>AA44*Projections!$B$68</f>
        <v>718.5556102</v>
      </c>
      <c r="AB49" s="56">
        <f>AB44*Projections!$B$68</f>
        <v>749.9779813</v>
      </c>
      <c r="AC49" s="56">
        <f>AC44*Projections!$B$68</f>
        <v>785.2942825</v>
      </c>
      <c r="AD49" s="56">
        <f>AD44*Projections!$B$68</f>
        <v>820.1507883</v>
      </c>
      <c r="AE49" s="56">
        <f>AE44*Projections!$B$68</f>
        <v>854.8583507</v>
      </c>
      <c r="AF49" s="56">
        <f>AF44*Projections!$B$68</f>
        <v>893.6932878</v>
      </c>
      <c r="AG49" s="56">
        <f>AG44*Projections!$B$68</f>
        <v>932.3031688</v>
      </c>
      <c r="AH49" s="56">
        <f>AH44*Projections!$B$68</f>
        <v>971.0017613</v>
      </c>
      <c r="AI49" s="56">
        <f>AI44*Projections!$B$68</f>
        <v>1010.069768</v>
      </c>
      <c r="AJ49" s="56">
        <f>AJ44*Projections!$B$68</f>
        <v>1049.760488</v>
      </c>
      <c r="AK49" s="56">
        <f>AK44*Projections!$B$68</f>
        <v>1090.304659</v>
      </c>
      <c r="AL49" s="56">
        <f>AL44*Projections!$B$68</f>
        <v>1131.914616</v>
      </c>
      <c r="AM49" s="56">
        <f>AM44*Projections!$B$68</f>
        <v>1174.787863</v>
      </c>
      <c r="AN49" s="56">
        <f>AN44*Projections!$B$68</f>
        <v>1219.110144</v>
      </c>
      <c r="AO49" s="56">
        <f>AO44*Projections!$B$68</f>
        <v>1265.058107</v>
      </c>
      <c r="AP49" s="56">
        <f>AP44*Projections!$B$68</f>
        <v>1312.801599</v>
      </c>
      <c r="AQ49" s="56">
        <f>AQ44*Projections!$B$68</f>
        <v>1362.505678</v>
      </c>
      <c r="AR49" s="56">
        <f>AR44*Projections!$B$68</f>
        <v>1414.332361</v>
      </c>
      <c r="AS49" s="56">
        <f>AS44*Projections!$B$68</f>
        <v>1468.442168</v>
      </c>
      <c r="AT49" s="56">
        <f>AT44*Projections!$B$68</f>
        <v>1524.995487</v>
      </c>
      <c r="AU49" s="56">
        <f>AU44*Projections!$B$68</f>
        <v>1584.153791</v>
      </c>
      <c r="AV49" s="56">
        <f>AV44*Projections!$B$68</f>
        <v>1646.08073</v>
      </c>
      <c r="AW49" s="56">
        <f>AW44*Projections!$B$68</f>
        <v>1710.943129</v>
      </c>
      <c r="AX49" s="56">
        <f>AX44*Projections!$B$68</f>
        <v>1778.911894</v>
      </c>
      <c r="AY49" s="56">
        <f>AY44*Projections!$B$68</f>
        <v>1850.162855</v>
      </c>
      <c r="AZ49" s="56">
        <f>AZ44*Projections!$B$68</f>
        <v>1924.87756</v>
      </c>
      <c r="BA49" s="56">
        <f>BA44*Projections!$B$68</f>
        <v>2003.244015</v>
      </c>
      <c r="BB49" s="56">
        <f>BB44*Projections!$B$68</f>
        <v>2085.457407</v>
      </c>
      <c r="BC49" s="56">
        <f>BC44*Projections!$B$68</f>
        <v>2171.720789</v>
      </c>
      <c r="BD49" s="56">
        <f>BD44*Projections!$B$68</f>
        <v>2262.245764</v>
      </c>
      <c r="BE49" s="56">
        <f>BE44*Projections!$B$68</f>
        <v>2357.253147</v>
      </c>
      <c r="BF49" s="56">
        <f>BF44*Projections!$B$68</f>
        <v>2456.973636</v>
      </c>
      <c r="BG49" s="56">
        <f>BG44*Projections!$B$68</f>
        <v>2561.648474</v>
      </c>
      <c r="BH49" s="56">
        <f>BH44*Projections!$B$68</f>
        <v>2671.53013</v>
      </c>
      <c r="BI49" s="56">
        <f>BI44*Projections!$B$68</f>
        <v>2786.882984</v>
      </c>
      <c r="BJ49" s="56">
        <f>BJ44*Projections!$B$68</f>
        <v>2907.984029</v>
      </c>
      <c r="BK49" s="56">
        <f>BK44*Projections!$B$68</f>
        <v>3035.123592</v>
      </c>
      <c r="BL49" s="56">
        <f>BL44*Projections!$B$68</f>
        <v>3168.606079</v>
      </c>
      <c r="BM49" s="56">
        <f>BM44*Projections!$B$68</f>
        <v>3308.750744</v>
      </c>
      <c r="BN49" s="56">
        <f>BN44*Projections!$B$68</f>
        <v>3455.892488</v>
      </c>
      <c r="BO49" s="56">
        <f>BO44*Projections!$B$68</f>
        <v>3610.382688</v>
      </c>
      <c r="BP49" s="56">
        <f>BP44*Projections!$B$68</f>
        <v>3772.590062</v>
      </c>
      <c r="BQ49" s="56">
        <f>BQ44*Projections!$B$68</f>
        <v>3942.901569</v>
      </c>
      <c r="BR49" s="56">
        <f>BR44*Projections!$B$68</f>
        <v>4121.72335</v>
      </c>
      <c r="BS49" s="56">
        <f>BS44*Projections!$B$68</f>
        <v>4309.481715</v>
      </c>
      <c r="BT49" s="56">
        <f>BT44*Projections!$B$68</f>
        <v>4506.624169</v>
      </c>
      <c r="BU49" s="56">
        <f>BU44*Projections!$B$68</f>
        <v>4713.62049</v>
      </c>
      <c r="BV49" s="56">
        <f>BV44*Projections!$B$68</f>
        <v>4930.963861</v>
      </c>
      <c r="BW49" s="56">
        <f>BW44*Projections!$B$68</f>
        <v>5159.172048</v>
      </c>
      <c r="BX49" s="56">
        <f>BX44*Projections!$B$68</f>
        <v>5398.788645</v>
      </c>
      <c r="BY49" s="56">
        <f>BY44*Projections!$B$68</f>
        <v>5650.384373</v>
      </c>
      <c r="BZ49" s="56">
        <f>BZ44*Projections!$B$68</f>
        <v>5914.558443</v>
      </c>
      <c r="CA49" s="56">
        <f>CA44*Projections!$B$68</f>
        <v>6191.939988</v>
      </c>
      <c r="CB49" s="56">
        <f>CB44*Projections!$B$68</f>
        <v>6483.189568</v>
      </c>
      <c r="CC49" s="56">
        <f>CC44*Projections!$B$68</f>
        <v>6789.000739</v>
      </c>
      <c r="CD49" s="56">
        <f>CD44*Projections!$B$68</f>
        <v>7110.101715</v>
      </c>
      <c r="CE49" s="56">
        <f>CE44*Projections!$B$68</f>
        <v>7447.257099</v>
      </c>
      <c r="CF49" s="56">
        <f>CF44*Projections!$B$68</f>
        <v>7801.269708</v>
      </c>
      <c r="CG49" s="56">
        <f>CG44*Projections!$B$68</f>
        <v>8172.982484</v>
      </c>
      <c r="CH49" s="56">
        <f>CH44*Projections!$B$68</f>
        <v>8563.280505</v>
      </c>
      <c r="CI49" s="56">
        <f>CI44*Projections!$B$68</f>
        <v>8973.093092</v>
      </c>
      <c r="CJ49" s="56">
        <f>CJ44*Projections!$B$68</f>
        <v>9403.396025</v>
      </c>
      <c r="CK49" s="56">
        <f>CK44*Projections!$B$68</f>
        <v>9855.213862</v>
      </c>
      <c r="CL49" s="56">
        <f>CL44*Projections!$B$68</f>
        <v>10329.62239</v>
      </c>
      <c r="CM49" s="56">
        <f>CM44*Projections!$B$68</f>
        <v>10827.75116</v>
      </c>
      <c r="CN49" s="56">
        <f>CN44*Projections!$B$68</f>
        <v>11350.78623</v>
      </c>
      <c r="CO49" s="56">
        <f>CO44*Projections!$B$68</f>
        <v>11899.97292</v>
      </c>
      <c r="CP49" s="56">
        <f>CP44*Projections!$B$68</f>
        <v>12476.61884</v>
      </c>
      <c r="CQ49" s="56">
        <f>CQ44*Projections!$B$68</f>
        <v>13082.09697</v>
      </c>
      <c r="CR49" s="56">
        <f>CR44*Projections!$B$68</f>
        <v>13717.84892</v>
      </c>
      <c r="CS49" s="56">
        <f>CS44*Projections!$B$68</f>
        <v>14385.38841</v>
      </c>
      <c r="CT49" s="56">
        <f>CT44*Projections!$B$68</f>
        <v>15086.30481</v>
      </c>
      <c r="CU49" s="56">
        <f>CU44*Projections!$B$68</f>
        <v>15822.26699</v>
      </c>
      <c r="CV49" s="56">
        <f>CV44*Projections!$B$68</f>
        <v>16503.98694</v>
      </c>
      <c r="CW49" s="56">
        <f>CW44*Projections!$B$68</f>
        <v>17083.4489</v>
      </c>
      <c r="CX49" s="56">
        <f>CX44*Projections!$B$68</f>
        <v>17575.99156</v>
      </c>
    </row>
    <row r="50" ht="15.75" customHeight="1" outlineLevel="1">
      <c r="A50" s="5" t="s">
        <v>162</v>
      </c>
      <c r="B50" s="1"/>
      <c r="C50" s="1"/>
      <c r="D50" s="1"/>
      <c r="E50" s="56">
        <f>E45*Projections!$B$67</f>
        <v>22.045</v>
      </c>
      <c r="F50" s="56">
        <f>F45*Projections!$B$67</f>
        <v>41.79415789</v>
      </c>
      <c r="G50" s="56">
        <f>G45*Projections!$B$67</f>
        <v>59.64331292</v>
      </c>
      <c r="H50" s="56">
        <f>H45*Projections!$B$67</f>
        <v>77.93152675</v>
      </c>
      <c r="I50" s="56">
        <f>I45*Projections!$B$67</f>
        <v>94.64973259</v>
      </c>
      <c r="J50" s="56">
        <f>J45*Projections!$B$67</f>
        <v>110.0930935</v>
      </c>
      <c r="K50" s="56">
        <f>K45*Projections!$B$67</f>
        <v>126.5155139</v>
      </c>
      <c r="L50" s="56">
        <f>L45*Projections!$B$67</f>
        <v>141.8359822</v>
      </c>
      <c r="M50" s="56">
        <f>M45*Projections!$B$67</f>
        <v>156.2524166</v>
      </c>
      <c r="N50" s="56">
        <f>N45*Projections!$B$67</f>
        <v>171.6144773</v>
      </c>
      <c r="O50" s="56">
        <f>O45*Projections!$B$67</f>
        <v>185.8357251</v>
      </c>
      <c r="P50" s="56">
        <f>P45*Projections!$B$67</f>
        <v>199.1454567</v>
      </c>
      <c r="Q50" s="56">
        <f>Q45*Projections!$B$67</f>
        <v>213.7414831</v>
      </c>
      <c r="R50" s="56">
        <f>R45*Projections!$B$67</f>
        <v>227.4949978</v>
      </c>
      <c r="S50" s="56">
        <f>S45*Projections!$B$67</f>
        <v>240.5997221</v>
      </c>
      <c r="T50" s="56">
        <f>T45*Projections!$B$67</f>
        <v>255.2236865</v>
      </c>
      <c r="U50" s="56">
        <f>U45*Projections!$B$67</f>
        <v>269.2132523</v>
      </c>
      <c r="V50" s="56">
        <f>V45*Projections!$B$67</f>
        <v>282.7415392</v>
      </c>
      <c r="W50" s="56">
        <f>W45*Projections!$B$67</f>
        <v>297.9595969</v>
      </c>
      <c r="X50" s="56">
        <f>X45*Projections!$B$67</f>
        <v>312.6999103</v>
      </c>
      <c r="Y50" s="56">
        <f>Y45*Projections!$B$67</f>
        <v>327.1243893</v>
      </c>
      <c r="Z50" s="56">
        <f>Z45*Projections!$B$67</f>
        <v>343.3751698</v>
      </c>
      <c r="AA50" s="56">
        <f>AA45*Projections!$B$67</f>
        <v>359.2778051</v>
      </c>
      <c r="AB50" s="56">
        <f>AB45*Projections!$B$67</f>
        <v>374.9889907</v>
      </c>
      <c r="AC50" s="56">
        <f>AC45*Projections!$B$67</f>
        <v>392.6471412</v>
      </c>
      <c r="AD50" s="56">
        <f>AD45*Projections!$B$67</f>
        <v>410.0753942</v>
      </c>
      <c r="AE50" s="56">
        <f>AE45*Projections!$B$67</f>
        <v>427.4291754</v>
      </c>
      <c r="AF50" s="56">
        <f>AF45*Projections!$B$67</f>
        <v>446.8466439</v>
      </c>
      <c r="AG50" s="56">
        <f>AG45*Projections!$B$67</f>
        <v>466.1515844</v>
      </c>
      <c r="AH50" s="56">
        <f>AH45*Projections!$B$67</f>
        <v>485.5008807</v>
      </c>
      <c r="AI50" s="56">
        <f>AI45*Projections!$B$67</f>
        <v>505.0348842</v>
      </c>
      <c r="AJ50" s="56">
        <f>AJ45*Projections!$B$67</f>
        <v>524.880244</v>
      </c>
      <c r="AK50" s="56">
        <f>AK45*Projections!$B$67</f>
        <v>545.1523294</v>
      </c>
      <c r="AL50" s="56">
        <f>AL45*Projections!$B$67</f>
        <v>565.9573081</v>
      </c>
      <c r="AM50" s="56">
        <f>AM45*Projections!$B$67</f>
        <v>587.3939314</v>
      </c>
      <c r="AN50" s="56">
        <f>AN45*Projections!$B$67</f>
        <v>609.5550722</v>
      </c>
      <c r="AO50" s="56">
        <f>AO45*Projections!$B$67</f>
        <v>632.5290534</v>
      </c>
      <c r="AP50" s="56">
        <f>AP45*Projections!$B$67</f>
        <v>656.4007996</v>
      </c>
      <c r="AQ50" s="56">
        <f>AQ45*Projections!$B$67</f>
        <v>681.252839</v>
      </c>
      <c r="AR50" s="56">
        <f>AR45*Projections!$B$67</f>
        <v>707.1661804</v>
      </c>
      <c r="AS50" s="56">
        <f>AS45*Projections!$B$67</f>
        <v>734.2210841</v>
      </c>
      <c r="AT50" s="56">
        <f>AT45*Projections!$B$67</f>
        <v>762.4977437</v>
      </c>
      <c r="AU50" s="56">
        <f>AU45*Projections!$B$67</f>
        <v>792.0768954</v>
      </c>
      <c r="AV50" s="56">
        <f>AV45*Projections!$B$67</f>
        <v>823.0403651</v>
      </c>
      <c r="AW50" s="56">
        <f>AW45*Projections!$B$67</f>
        <v>855.4715645</v>
      </c>
      <c r="AX50" s="56">
        <f>AX45*Projections!$B$67</f>
        <v>889.4559468</v>
      </c>
      <c r="AY50" s="56">
        <f>AY45*Projections!$B$67</f>
        <v>925.0814275</v>
      </c>
      <c r="AZ50" s="56">
        <f>AZ45*Projections!$B$67</f>
        <v>962.4387798</v>
      </c>
      <c r="BA50" s="56">
        <f>BA45*Projections!$B$67</f>
        <v>1001.622007</v>
      </c>
      <c r="BB50" s="56">
        <f>BB45*Projections!$B$67</f>
        <v>1042.728703</v>
      </c>
      <c r="BC50" s="56">
        <f>BC45*Projections!$B$67</f>
        <v>1085.860395</v>
      </c>
      <c r="BD50" s="56">
        <f>BD45*Projections!$B$67</f>
        <v>1131.122882</v>
      </c>
      <c r="BE50" s="56">
        <f>BE45*Projections!$B$67</f>
        <v>1178.626574</v>
      </c>
      <c r="BF50" s="56">
        <f>BF45*Projections!$B$67</f>
        <v>1228.486818</v>
      </c>
      <c r="BG50" s="56">
        <f>BG45*Projections!$B$67</f>
        <v>1280.824237</v>
      </c>
      <c r="BH50" s="56">
        <f>BH45*Projections!$B$67</f>
        <v>1335.765065</v>
      </c>
      <c r="BI50" s="56">
        <f>BI45*Projections!$B$67</f>
        <v>1393.441492</v>
      </c>
      <c r="BJ50" s="56">
        <f>BJ45*Projections!$B$67</f>
        <v>1453.992015</v>
      </c>
      <c r="BK50" s="56">
        <f>BK45*Projections!$B$67</f>
        <v>1517.561796</v>
      </c>
      <c r="BL50" s="56">
        <f>BL45*Projections!$B$67</f>
        <v>1584.303039</v>
      </c>
      <c r="BM50" s="56">
        <f>BM45*Projections!$B$67</f>
        <v>1654.375372</v>
      </c>
      <c r="BN50" s="56">
        <f>BN45*Projections!$B$67</f>
        <v>1727.946244</v>
      </c>
      <c r="BO50" s="56">
        <f>BO45*Projections!$B$67</f>
        <v>1805.191344</v>
      </c>
      <c r="BP50" s="56">
        <f>BP45*Projections!$B$67</f>
        <v>1886.295031</v>
      </c>
      <c r="BQ50" s="56">
        <f>BQ45*Projections!$B$67</f>
        <v>1971.450784</v>
      </c>
      <c r="BR50" s="56">
        <f>BR45*Projections!$B$67</f>
        <v>2060.861675</v>
      </c>
      <c r="BS50" s="56">
        <f>BS45*Projections!$B$67</f>
        <v>2154.740858</v>
      </c>
      <c r="BT50" s="56">
        <f>BT45*Projections!$B$67</f>
        <v>2253.312084</v>
      </c>
      <c r="BU50" s="56">
        <f>BU45*Projections!$B$67</f>
        <v>2356.810245</v>
      </c>
      <c r="BV50" s="56">
        <f>BV45*Projections!$B$67</f>
        <v>2465.48193</v>
      </c>
      <c r="BW50" s="56">
        <f>BW45*Projections!$B$67</f>
        <v>2579.586024</v>
      </c>
      <c r="BX50" s="56">
        <f>BX45*Projections!$B$67</f>
        <v>2699.394322</v>
      </c>
      <c r="BY50" s="56">
        <f>BY45*Projections!$B$67</f>
        <v>2825.192186</v>
      </c>
      <c r="BZ50" s="56">
        <f>BZ45*Projections!$B$67</f>
        <v>2957.279221</v>
      </c>
      <c r="CA50" s="56">
        <f>CA45*Projections!$B$67</f>
        <v>3095.969994</v>
      </c>
      <c r="CB50" s="56">
        <f>CB45*Projections!$B$67</f>
        <v>3241.594784</v>
      </c>
      <c r="CC50" s="56">
        <f>CC45*Projections!$B$67</f>
        <v>3394.50037</v>
      </c>
      <c r="CD50" s="56">
        <f>CD45*Projections!$B$67</f>
        <v>3555.050858</v>
      </c>
      <c r="CE50" s="56">
        <f>CE45*Projections!$B$67</f>
        <v>3723.62855</v>
      </c>
      <c r="CF50" s="56">
        <f>CF45*Projections!$B$67</f>
        <v>3900.634854</v>
      </c>
      <c r="CG50" s="56">
        <f>CG45*Projections!$B$67</f>
        <v>4086.491242</v>
      </c>
      <c r="CH50" s="56">
        <f>CH45*Projections!$B$67</f>
        <v>4281.640252</v>
      </c>
      <c r="CI50" s="56">
        <f>CI45*Projections!$B$67</f>
        <v>4486.546546</v>
      </c>
      <c r="CJ50" s="56">
        <f>CJ45*Projections!$B$67</f>
        <v>4701.698012</v>
      </c>
      <c r="CK50" s="56">
        <f>CK45*Projections!$B$67</f>
        <v>4927.606931</v>
      </c>
      <c r="CL50" s="56">
        <f>CL45*Projections!$B$67</f>
        <v>5164.811193</v>
      </c>
      <c r="CM50" s="56">
        <f>CM45*Projections!$B$67</f>
        <v>5413.875581</v>
      </c>
      <c r="CN50" s="56">
        <f>CN45*Projections!$B$67</f>
        <v>5675.393114</v>
      </c>
      <c r="CO50" s="56">
        <f>CO45*Projections!$B$67</f>
        <v>5949.98646</v>
      </c>
      <c r="CP50" s="56">
        <f>CP45*Projections!$B$67</f>
        <v>6238.309421</v>
      </c>
      <c r="CQ50" s="56">
        <f>CQ45*Projections!$B$67</f>
        <v>6541.048483</v>
      </c>
      <c r="CR50" s="56">
        <f>CR45*Projections!$B$67</f>
        <v>6858.92446</v>
      </c>
      <c r="CS50" s="56">
        <f>CS45*Projections!$B$67</f>
        <v>7192.694203</v>
      </c>
      <c r="CT50" s="56">
        <f>CT45*Projections!$B$67</f>
        <v>7543.152405</v>
      </c>
      <c r="CU50" s="56">
        <f>CU45*Projections!$B$67</f>
        <v>7911.133494</v>
      </c>
      <c r="CV50" s="56">
        <f>CV45*Projections!$B$67</f>
        <v>8251.99347</v>
      </c>
      <c r="CW50" s="56">
        <f>CW45*Projections!$B$67</f>
        <v>8541.724449</v>
      </c>
      <c r="CX50" s="56">
        <f>CX45*Projections!$B$67</f>
        <v>8787.995782</v>
      </c>
    </row>
    <row r="51" ht="15.75" customHeight="1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ht="15.75" customHeight="1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ht="23.25" customHeight="1">
      <c r="A53" s="143" t="s">
        <v>164</v>
      </c>
      <c r="B53" s="141"/>
      <c r="C53" s="141"/>
      <c r="D53" s="144"/>
      <c r="E53" s="141">
        <f t="shared" ref="E53:CX53" si="13">E55+E79+E91+E139+E151</f>
        <v>7076.923077</v>
      </c>
      <c r="F53" s="141">
        <f t="shared" si="13"/>
        <v>7076.923077</v>
      </c>
      <c r="G53" s="141">
        <f t="shared" si="13"/>
        <v>7076.923077</v>
      </c>
      <c r="H53" s="141">
        <f t="shared" si="13"/>
        <v>7076.923077</v>
      </c>
      <c r="I53" s="141">
        <f t="shared" si="13"/>
        <v>7076.923077</v>
      </c>
      <c r="J53" s="141">
        <f t="shared" si="13"/>
        <v>7076.923077</v>
      </c>
      <c r="K53" s="141">
        <f t="shared" si="13"/>
        <v>7076.923077</v>
      </c>
      <c r="L53" s="141">
        <f t="shared" si="13"/>
        <v>7076.923077</v>
      </c>
      <c r="M53" s="141">
        <f t="shared" si="13"/>
        <v>7076.923077</v>
      </c>
      <c r="N53" s="141">
        <f t="shared" si="13"/>
        <v>8615.384615</v>
      </c>
      <c r="O53" s="141">
        <f t="shared" si="13"/>
        <v>8615.384615</v>
      </c>
      <c r="P53" s="141">
        <f t="shared" si="13"/>
        <v>8615.384615</v>
      </c>
      <c r="Q53" s="141">
        <f t="shared" si="13"/>
        <v>8707.692308</v>
      </c>
      <c r="R53" s="141">
        <f t="shared" si="13"/>
        <v>8707.692308</v>
      </c>
      <c r="S53" s="141">
        <f t="shared" si="13"/>
        <v>8707.692308</v>
      </c>
      <c r="T53" s="141">
        <f t="shared" si="13"/>
        <v>8707.692308</v>
      </c>
      <c r="U53" s="141">
        <f t="shared" si="13"/>
        <v>8707.692308</v>
      </c>
      <c r="V53" s="141">
        <f t="shared" si="13"/>
        <v>8707.692308</v>
      </c>
      <c r="W53" s="141">
        <f t="shared" si="13"/>
        <v>8707.692308</v>
      </c>
      <c r="X53" s="141">
        <f t="shared" si="13"/>
        <v>10276.92308</v>
      </c>
      <c r="Y53" s="141">
        <f t="shared" si="13"/>
        <v>10276.92308</v>
      </c>
      <c r="Z53" s="141">
        <f t="shared" si="13"/>
        <v>10276.92308</v>
      </c>
      <c r="AA53" s="141">
        <f t="shared" si="13"/>
        <v>10276.92308</v>
      </c>
      <c r="AB53" s="141">
        <f t="shared" si="13"/>
        <v>10276.92308</v>
      </c>
      <c r="AC53" s="141">
        <f t="shared" si="13"/>
        <v>10402.46154</v>
      </c>
      <c r="AD53" s="141">
        <f t="shared" si="13"/>
        <v>18094.76923</v>
      </c>
      <c r="AE53" s="141">
        <f t="shared" si="13"/>
        <v>19695.38462</v>
      </c>
      <c r="AF53" s="141">
        <f t="shared" si="13"/>
        <v>19695.38462</v>
      </c>
      <c r="AG53" s="141">
        <f t="shared" si="13"/>
        <v>19695.38462</v>
      </c>
      <c r="AH53" s="141">
        <f t="shared" si="13"/>
        <v>19695.38462</v>
      </c>
      <c r="AI53" s="141">
        <f t="shared" si="13"/>
        <v>19695.38462</v>
      </c>
      <c r="AJ53" s="141">
        <f t="shared" si="13"/>
        <v>21296</v>
      </c>
      <c r="AK53" s="141">
        <f t="shared" si="13"/>
        <v>21296</v>
      </c>
      <c r="AL53" s="141">
        <f t="shared" si="13"/>
        <v>33603.69231</v>
      </c>
      <c r="AM53" s="141">
        <f t="shared" si="13"/>
        <v>33603.69231</v>
      </c>
      <c r="AN53" s="141">
        <f t="shared" si="13"/>
        <v>35204.30769</v>
      </c>
      <c r="AO53" s="141">
        <f t="shared" si="13"/>
        <v>35428.39385</v>
      </c>
      <c r="AP53" s="141">
        <f t="shared" si="13"/>
        <v>66274.54769</v>
      </c>
      <c r="AQ53" s="141">
        <f t="shared" si="13"/>
        <v>66274.54769</v>
      </c>
      <c r="AR53" s="141">
        <f t="shared" si="13"/>
        <v>67907.17538</v>
      </c>
      <c r="AS53" s="141">
        <f t="shared" si="13"/>
        <v>67907.17538</v>
      </c>
      <c r="AT53" s="141">
        <f t="shared" si="13"/>
        <v>67907.17538</v>
      </c>
      <c r="AU53" s="141">
        <f t="shared" si="13"/>
        <v>69539.80308</v>
      </c>
      <c r="AV53" s="141">
        <f t="shared" si="13"/>
        <v>69539.80308</v>
      </c>
      <c r="AW53" s="141">
        <f t="shared" si="13"/>
        <v>71172.43077</v>
      </c>
      <c r="AX53" s="141">
        <f t="shared" si="13"/>
        <v>71172.43077</v>
      </c>
      <c r="AY53" s="141">
        <f t="shared" si="13"/>
        <v>71172.43077</v>
      </c>
      <c r="AZ53" s="141">
        <f t="shared" si="13"/>
        <v>72805.05846</v>
      </c>
      <c r="BA53" s="141">
        <f t="shared" si="13"/>
        <v>73164.23655</v>
      </c>
      <c r="BB53" s="141">
        <f t="shared" si="13"/>
        <v>75417.20911</v>
      </c>
      <c r="BC53" s="141">
        <f t="shared" si="13"/>
        <v>75417.20911</v>
      </c>
      <c r="BD53" s="141">
        <f t="shared" si="13"/>
        <v>77082.48935</v>
      </c>
      <c r="BE53" s="141">
        <f t="shared" si="13"/>
        <v>78747.7696</v>
      </c>
      <c r="BF53" s="141">
        <f t="shared" si="13"/>
        <v>78747.7696</v>
      </c>
      <c r="BG53" s="141">
        <f t="shared" si="13"/>
        <v>80413.04985</v>
      </c>
      <c r="BH53" s="141">
        <f t="shared" si="13"/>
        <v>82078.33009</v>
      </c>
      <c r="BI53" s="141">
        <f t="shared" si="13"/>
        <v>82078.33009</v>
      </c>
      <c r="BJ53" s="141">
        <f t="shared" si="13"/>
        <v>83743.61034</v>
      </c>
      <c r="BK53" s="141">
        <f t="shared" si="13"/>
        <v>85408.89058</v>
      </c>
      <c r="BL53" s="141">
        <f t="shared" si="13"/>
        <v>87074.17083</v>
      </c>
      <c r="BM53" s="141">
        <f t="shared" si="13"/>
        <v>89405.56318</v>
      </c>
      <c r="BN53" s="141">
        <f t="shared" si="13"/>
        <v>91712.21056</v>
      </c>
      <c r="BO53" s="141">
        <f t="shared" si="13"/>
        <v>93410.79642</v>
      </c>
      <c r="BP53" s="141">
        <f t="shared" si="13"/>
        <v>95109.38227</v>
      </c>
      <c r="BQ53" s="141">
        <f t="shared" si="13"/>
        <v>96807.96812</v>
      </c>
      <c r="BR53" s="141">
        <f t="shared" si="13"/>
        <v>98506.55397</v>
      </c>
      <c r="BS53" s="141">
        <f t="shared" si="13"/>
        <v>100205.1398</v>
      </c>
      <c r="BT53" s="141">
        <f t="shared" si="13"/>
        <v>101903.7257</v>
      </c>
      <c r="BU53" s="141">
        <f t="shared" si="13"/>
        <v>105300.8974</v>
      </c>
      <c r="BV53" s="141">
        <f t="shared" si="13"/>
        <v>106999.4832</v>
      </c>
      <c r="BW53" s="141">
        <f t="shared" si="13"/>
        <v>108698.0691</v>
      </c>
      <c r="BX53" s="141">
        <f t="shared" si="13"/>
        <v>112095.2408</v>
      </c>
      <c r="BY53" s="141">
        <f t="shared" si="13"/>
        <v>116681.4226</v>
      </c>
      <c r="BZ53" s="141">
        <f t="shared" si="13"/>
        <v>119043.1629</v>
      </c>
      <c r="CA53" s="141">
        <f t="shared" si="13"/>
        <v>122508.278</v>
      </c>
      <c r="CB53" s="141">
        <f t="shared" si="13"/>
        <v>125973.3932</v>
      </c>
      <c r="CC53" s="141">
        <f t="shared" si="13"/>
        <v>129438.5083</v>
      </c>
      <c r="CD53" s="141">
        <f t="shared" si="13"/>
        <v>132903.6235</v>
      </c>
      <c r="CE53" s="141">
        <f t="shared" si="13"/>
        <v>136368.7386</v>
      </c>
      <c r="CF53" s="141">
        <f t="shared" si="13"/>
        <v>139833.8537</v>
      </c>
      <c r="CG53" s="141">
        <f t="shared" si="13"/>
        <v>145031.5264</v>
      </c>
      <c r="CH53" s="141">
        <f t="shared" si="13"/>
        <v>148496.6416</v>
      </c>
      <c r="CI53" s="141">
        <f t="shared" si="13"/>
        <v>153694.3143</v>
      </c>
      <c r="CJ53" s="141">
        <f t="shared" si="13"/>
        <v>157159.4294</v>
      </c>
      <c r="CK53" s="141">
        <f t="shared" si="13"/>
        <v>164470.8223</v>
      </c>
      <c r="CL53" s="141">
        <f t="shared" si="13"/>
        <v>170423.5333</v>
      </c>
      <c r="CM53" s="141">
        <f t="shared" si="13"/>
        <v>175725.1595</v>
      </c>
      <c r="CN53" s="141">
        <f t="shared" si="13"/>
        <v>182793.9944</v>
      </c>
      <c r="CO53" s="141">
        <f t="shared" si="13"/>
        <v>188095.6205</v>
      </c>
      <c r="CP53" s="141">
        <f t="shared" si="13"/>
        <v>195164.4554</v>
      </c>
      <c r="CQ53" s="141">
        <f t="shared" si="13"/>
        <v>202233.2903</v>
      </c>
      <c r="CR53" s="141">
        <f t="shared" si="13"/>
        <v>209302.1252</v>
      </c>
      <c r="CS53" s="141">
        <f t="shared" si="13"/>
        <v>216370.96</v>
      </c>
      <c r="CT53" s="141">
        <f t="shared" si="13"/>
        <v>223439.7949</v>
      </c>
      <c r="CU53" s="141">
        <f t="shared" si="13"/>
        <v>232275.8385</v>
      </c>
      <c r="CV53" s="141">
        <f t="shared" si="13"/>
        <v>235810.256</v>
      </c>
      <c r="CW53" s="141">
        <f t="shared" si="13"/>
        <v>239380.0176</v>
      </c>
      <c r="CX53" s="141">
        <f t="shared" si="13"/>
        <v>240053.8152</v>
      </c>
    </row>
    <row r="54" ht="15.75" customHeight="1">
      <c r="A54" s="134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</row>
    <row r="55" ht="15.75" customHeight="1">
      <c r="A55" s="145" t="s">
        <v>165</v>
      </c>
      <c r="B55" s="146"/>
      <c r="C55" s="146"/>
      <c r="D55" s="146"/>
      <c r="E55" s="147">
        <f t="shared" ref="E55:CX55" si="14">E57+E65+E68</f>
        <v>1000</v>
      </c>
      <c r="F55" s="147">
        <f t="shared" si="14"/>
        <v>1000</v>
      </c>
      <c r="G55" s="147">
        <f t="shared" si="14"/>
        <v>1000</v>
      </c>
      <c r="H55" s="147">
        <f t="shared" si="14"/>
        <v>1000</v>
      </c>
      <c r="I55" s="147">
        <f t="shared" si="14"/>
        <v>1000</v>
      </c>
      <c r="J55" s="147">
        <f t="shared" si="14"/>
        <v>1000</v>
      </c>
      <c r="K55" s="147">
        <f t="shared" si="14"/>
        <v>1000</v>
      </c>
      <c r="L55" s="147">
        <f t="shared" si="14"/>
        <v>1000</v>
      </c>
      <c r="M55" s="147">
        <f t="shared" si="14"/>
        <v>1000</v>
      </c>
      <c r="N55" s="147">
        <f t="shared" si="14"/>
        <v>1000</v>
      </c>
      <c r="O55" s="147">
        <f t="shared" si="14"/>
        <v>1000</v>
      </c>
      <c r="P55" s="147">
        <f t="shared" si="14"/>
        <v>1000</v>
      </c>
      <c r="Q55" s="147">
        <f t="shared" si="14"/>
        <v>1000</v>
      </c>
      <c r="R55" s="147">
        <f t="shared" si="14"/>
        <v>1000</v>
      </c>
      <c r="S55" s="147">
        <f t="shared" si="14"/>
        <v>1000</v>
      </c>
      <c r="T55" s="147">
        <f t="shared" si="14"/>
        <v>1000</v>
      </c>
      <c r="U55" s="147">
        <f t="shared" si="14"/>
        <v>1000</v>
      </c>
      <c r="V55" s="147">
        <f t="shared" si="14"/>
        <v>1000</v>
      </c>
      <c r="W55" s="147">
        <f t="shared" si="14"/>
        <v>1000</v>
      </c>
      <c r="X55" s="147">
        <f t="shared" si="14"/>
        <v>1000</v>
      </c>
      <c r="Y55" s="147">
        <f t="shared" si="14"/>
        <v>1000</v>
      </c>
      <c r="Z55" s="147">
        <f t="shared" si="14"/>
        <v>1000</v>
      </c>
      <c r="AA55" s="147">
        <f t="shared" si="14"/>
        <v>1000</v>
      </c>
      <c r="AB55" s="147">
        <f t="shared" si="14"/>
        <v>1000</v>
      </c>
      <c r="AC55" s="147">
        <f t="shared" si="14"/>
        <v>1000</v>
      </c>
      <c r="AD55" s="147">
        <f t="shared" si="14"/>
        <v>1000</v>
      </c>
      <c r="AE55" s="147">
        <f t="shared" si="14"/>
        <v>1000</v>
      </c>
      <c r="AF55" s="147">
        <f t="shared" si="14"/>
        <v>1000</v>
      </c>
      <c r="AG55" s="147">
        <f t="shared" si="14"/>
        <v>1000</v>
      </c>
      <c r="AH55" s="147">
        <f t="shared" si="14"/>
        <v>1000</v>
      </c>
      <c r="AI55" s="147">
        <f t="shared" si="14"/>
        <v>1000</v>
      </c>
      <c r="AJ55" s="147">
        <f t="shared" si="14"/>
        <v>1000</v>
      </c>
      <c r="AK55" s="147">
        <f t="shared" si="14"/>
        <v>1000</v>
      </c>
      <c r="AL55" s="147">
        <f t="shared" si="14"/>
        <v>1000</v>
      </c>
      <c r="AM55" s="147">
        <f t="shared" si="14"/>
        <v>1000</v>
      </c>
      <c r="AN55" s="147">
        <f t="shared" si="14"/>
        <v>1000</v>
      </c>
      <c r="AO55" s="147">
        <f t="shared" si="14"/>
        <v>1000</v>
      </c>
      <c r="AP55" s="147">
        <f t="shared" si="14"/>
        <v>4000</v>
      </c>
      <c r="AQ55" s="147">
        <f t="shared" si="14"/>
        <v>4000</v>
      </c>
      <c r="AR55" s="147">
        <f t="shared" si="14"/>
        <v>4000</v>
      </c>
      <c r="AS55" s="147">
        <f t="shared" si="14"/>
        <v>4000</v>
      </c>
      <c r="AT55" s="147">
        <f t="shared" si="14"/>
        <v>4000</v>
      </c>
      <c r="AU55" s="147">
        <f t="shared" si="14"/>
        <v>4000</v>
      </c>
      <c r="AV55" s="147">
        <f t="shared" si="14"/>
        <v>4000</v>
      </c>
      <c r="AW55" s="147">
        <f t="shared" si="14"/>
        <v>4000</v>
      </c>
      <c r="AX55" s="147">
        <f t="shared" si="14"/>
        <v>4000</v>
      </c>
      <c r="AY55" s="147">
        <f t="shared" si="14"/>
        <v>4000</v>
      </c>
      <c r="AZ55" s="147">
        <f t="shared" si="14"/>
        <v>4000</v>
      </c>
      <c r="BA55" s="147">
        <f t="shared" si="14"/>
        <v>4000</v>
      </c>
      <c r="BB55" s="147">
        <f t="shared" si="14"/>
        <v>4000</v>
      </c>
      <c r="BC55" s="147">
        <f t="shared" si="14"/>
        <v>4000</v>
      </c>
      <c r="BD55" s="147">
        <f t="shared" si="14"/>
        <v>4000</v>
      </c>
      <c r="BE55" s="147">
        <f t="shared" si="14"/>
        <v>4000</v>
      </c>
      <c r="BF55" s="147">
        <f t="shared" si="14"/>
        <v>4000</v>
      </c>
      <c r="BG55" s="147">
        <f t="shared" si="14"/>
        <v>4000</v>
      </c>
      <c r="BH55" s="147">
        <f t="shared" si="14"/>
        <v>4000</v>
      </c>
      <c r="BI55" s="147">
        <f t="shared" si="14"/>
        <v>4000</v>
      </c>
      <c r="BJ55" s="147">
        <f t="shared" si="14"/>
        <v>4000</v>
      </c>
      <c r="BK55" s="147">
        <f t="shared" si="14"/>
        <v>4000</v>
      </c>
      <c r="BL55" s="147">
        <f t="shared" si="14"/>
        <v>4000</v>
      </c>
      <c r="BM55" s="147">
        <f t="shared" si="14"/>
        <v>4000</v>
      </c>
      <c r="BN55" s="147">
        <f t="shared" si="14"/>
        <v>4000</v>
      </c>
      <c r="BO55" s="147">
        <f t="shared" si="14"/>
        <v>4000</v>
      </c>
      <c r="BP55" s="147">
        <f t="shared" si="14"/>
        <v>4000</v>
      </c>
      <c r="BQ55" s="147">
        <f t="shared" si="14"/>
        <v>4000</v>
      </c>
      <c r="BR55" s="147">
        <f t="shared" si="14"/>
        <v>4000</v>
      </c>
      <c r="BS55" s="147">
        <f t="shared" si="14"/>
        <v>4000</v>
      </c>
      <c r="BT55" s="147">
        <f t="shared" si="14"/>
        <v>4000</v>
      </c>
      <c r="BU55" s="147">
        <f t="shared" si="14"/>
        <v>4000</v>
      </c>
      <c r="BV55" s="147">
        <f t="shared" si="14"/>
        <v>4000</v>
      </c>
      <c r="BW55" s="147">
        <f t="shared" si="14"/>
        <v>4000</v>
      </c>
      <c r="BX55" s="147">
        <f t="shared" si="14"/>
        <v>4000</v>
      </c>
      <c r="BY55" s="147">
        <f t="shared" si="14"/>
        <v>4000</v>
      </c>
      <c r="BZ55" s="147">
        <f t="shared" si="14"/>
        <v>4000</v>
      </c>
      <c r="CA55" s="147">
        <f t="shared" si="14"/>
        <v>4000</v>
      </c>
      <c r="CB55" s="147">
        <f t="shared" si="14"/>
        <v>4000</v>
      </c>
      <c r="CC55" s="147">
        <f t="shared" si="14"/>
        <v>4000</v>
      </c>
      <c r="CD55" s="147">
        <f t="shared" si="14"/>
        <v>4000</v>
      </c>
      <c r="CE55" s="147">
        <f t="shared" si="14"/>
        <v>4000</v>
      </c>
      <c r="CF55" s="147">
        <f t="shared" si="14"/>
        <v>4000</v>
      </c>
      <c r="CG55" s="147">
        <f t="shared" si="14"/>
        <v>4000</v>
      </c>
      <c r="CH55" s="147">
        <f t="shared" si="14"/>
        <v>4000</v>
      </c>
      <c r="CI55" s="147">
        <f t="shared" si="14"/>
        <v>4000</v>
      </c>
      <c r="CJ55" s="147">
        <f t="shared" si="14"/>
        <v>4000</v>
      </c>
      <c r="CK55" s="147">
        <f t="shared" si="14"/>
        <v>4000</v>
      </c>
      <c r="CL55" s="147">
        <f t="shared" si="14"/>
        <v>4000</v>
      </c>
      <c r="CM55" s="147">
        <f t="shared" si="14"/>
        <v>4000</v>
      </c>
      <c r="CN55" s="147">
        <f t="shared" si="14"/>
        <v>4000</v>
      </c>
      <c r="CO55" s="147">
        <f t="shared" si="14"/>
        <v>4000</v>
      </c>
      <c r="CP55" s="147">
        <f t="shared" si="14"/>
        <v>4000</v>
      </c>
      <c r="CQ55" s="147">
        <f t="shared" si="14"/>
        <v>4000</v>
      </c>
      <c r="CR55" s="147">
        <f t="shared" si="14"/>
        <v>4000</v>
      </c>
      <c r="CS55" s="147">
        <f t="shared" si="14"/>
        <v>4000</v>
      </c>
      <c r="CT55" s="147">
        <f t="shared" si="14"/>
        <v>4000</v>
      </c>
      <c r="CU55" s="147">
        <f t="shared" si="14"/>
        <v>4000</v>
      </c>
      <c r="CV55" s="147">
        <f t="shared" si="14"/>
        <v>4000</v>
      </c>
      <c r="CW55" s="147">
        <f t="shared" si="14"/>
        <v>4000</v>
      </c>
      <c r="CX55" s="147">
        <f t="shared" si="14"/>
        <v>4000</v>
      </c>
    </row>
    <row r="56" ht="15.75" customHeight="1" outlineLevel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</row>
    <row r="57" ht="15.75" customHeight="1" outlineLevel="1">
      <c r="A57" s="60" t="str">
        <f>Projections!A75</f>
        <v>Brand awareness campaigns</v>
      </c>
      <c r="B57" s="60" t="s">
        <v>100</v>
      </c>
      <c r="C57" s="60"/>
      <c r="D57" s="60"/>
      <c r="E57" s="60">
        <f t="shared" ref="E57:CX57" si="15">SUM(E58:E60)</f>
        <v>0</v>
      </c>
      <c r="F57" s="60">
        <f t="shared" si="15"/>
        <v>0</v>
      </c>
      <c r="G57" s="60">
        <f t="shared" si="15"/>
        <v>0</v>
      </c>
      <c r="H57" s="60">
        <f t="shared" si="15"/>
        <v>0</v>
      </c>
      <c r="I57" s="60">
        <f t="shared" si="15"/>
        <v>0</v>
      </c>
      <c r="J57" s="60">
        <f t="shared" si="15"/>
        <v>0</v>
      </c>
      <c r="K57" s="60">
        <f t="shared" si="15"/>
        <v>0</v>
      </c>
      <c r="L57" s="60">
        <f t="shared" si="15"/>
        <v>0</v>
      </c>
      <c r="M57" s="60">
        <f t="shared" si="15"/>
        <v>0</v>
      </c>
      <c r="N57" s="60">
        <f t="shared" si="15"/>
        <v>0</v>
      </c>
      <c r="O57" s="60">
        <f t="shared" si="15"/>
        <v>0</v>
      </c>
      <c r="P57" s="60">
        <f t="shared" si="15"/>
        <v>0</v>
      </c>
      <c r="Q57" s="60">
        <f t="shared" si="15"/>
        <v>0</v>
      </c>
      <c r="R57" s="60">
        <f t="shared" si="15"/>
        <v>0</v>
      </c>
      <c r="S57" s="60">
        <f t="shared" si="15"/>
        <v>0</v>
      </c>
      <c r="T57" s="60">
        <f t="shared" si="15"/>
        <v>0</v>
      </c>
      <c r="U57" s="60">
        <f t="shared" si="15"/>
        <v>0</v>
      </c>
      <c r="V57" s="60">
        <f t="shared" si="15"/>
        <v>0</v>
      </c>
      <c r="W57" s="60">
        <f t="shared" si="15"/>
        <v>0</v>
      </c>
      <c r="X57" s="60">
        <f t="shared" si="15"/>
        <v>0</v>
      </c>
      <c r="Y57" s="60">
        <f t="shared" si="15"/>
        <v>0</v>
      </c>
      <c r="Z57" s="60">
        <f t="shared" si="15"/>
        <v>0</v>
      </c>
      <c r="AA57" s="60">
        <f t="shared" si="15"/>
        <v>0</v>
      </c>
      <c r="AB57" s="60">
        <f t="shared" si="15"/>
        <v>0</v>
      </c>
      <c r="AC57" s="60">
        <f t="shared" si="15"/>
        <v>0</v>
      </c>
      <c r="AD57" s="60">
        <f t="shared" si="15"/>
        <v>0</v>
      </c>
      <c r="AE57" s="60">
        <f t="shared" si="15"/>
        <v>0</v>
      </c>
      <c r="AF57" s="60">
        <f t="shared" si="15"/>
        <v>0</v>
      </c>
      <c r="AG57" s="60">
        <f t="shared" si="15"/>
        <v>0</v>
      </c>
      <c r="AH57" s="60">
        <f t="shared" si="15"/>
        <v>0</v>
      </c>
      <c r="AI57" s="60">
        <f t="shared" si="15"/>
        <v>0</v>
      </c>
      <c r="AJ57" s="60">
        <f t="shared" si="15"/>
        <v>0</v>
      </c>
      <c r="AK57" s="60">
        <f t="shared" si="15"/>
        <v>0</v>
      </c>
      <c r="AL57" s="60">
        <f t="shared" si="15"/>
        <v>0</v>
      </c>
      <c r="AM57" s="60">
        <f t="shared" si="15"/>
        <v>0</v>
      </c>
      <c r="AN57" s="60">
        <f t="shared" si="15"/>
        <v>0</v>
      </c>
      <c r="AO57" s="60">
        <f t="shared" si="15"/>
        <v>0</v>
      </c>
      <c r="AP57" s="60">
        <f t="shared" si="15"/>
        <v>3000</v>
      </c>
      <c r="AQ57" s="60">
        <f t="shared" si="15"/>
        <v>3000</v>
      </c>
      <c r="AR57" s="60">
        <f t="shared" si="15"/>
        <v>3000</v>
      </c>
      <c r="AS57" s="60">
        <f t="shared" si="15"/>
        <v>3000</v>
      </c>
      <c r="AT57" s="60">
        <f t="shared" si="15"/>
        <v>3000</v>
      </c>
      <c r="AU57" s="60">
        <f t="shared" si="15"/>
        <v>3000</v>
      </c>
      <c r="AV57" s="60">
        <f t="shared" si="15"/>
        <v>3000</v>
      </c>
      <c r="AW57" s="60">
        <f t="shared" si="15"/>
        <v>3000</v>
      </c>
      <c r="AX57" s="60">
        <f t="shared" si="15"/>
        <v>3000</v>
      </c>
      <c r="AY57" s="60">
        <f t="shared" si="15"/>
        <v>3000</v>
      </c>
      <c r="AZ57" s="60">
        <f t="shared" si="15"/>
        <v>3000</v>
      </c>
      <c r="BA57" s="60">
        <f t="shared" si="15"/>
        <v>3000</v>
      </c>
      <c r="BB57" s="60">
        <f t="shared" si="15"/>
        <v>3000</v>
      </c>
      <c r="BC57" s="60">
        <f t="shared" si="15"/>
        <v>3000</v>
      </c>
      <c r="BD57" s="60">
        <f t="shared" si="15"/>
        <v>3000</v>
      </c>
      <c r="BE57" s="60">
        <f t="shared" si="15"/>
        <v>3000</v>
      </c>
      <c r="BF57" s="60">
        <f t="shared" si="15"/>
        <v>3000</v>
      </c>
      <c r="BG57" s="60">
        <f t="shared" si="15"/>
        <v>3000</v>
      </c>
      <c r="BH57" s="60">
        <f t="shared" si="15"/>
        <v>3000</v>
      </c>
      <c r="BI57" s="60">
        <f t="shared" si="15"/>
        <v>3000</v>
      </c>
      <c r="BJ57" s="60">
        <f t="shared" si="15"/>
        <v>3000</v>
      </c>
      <c r="BK57" s="60">
        <f t="shared" si="15"/>
        <v>3000</v>
      </c>
      <c r="BL57" s="60">
        <f t="shared" si="15"/>
        <v>3000</v>
      </c>
      <c r="BM57" s="60">
        <f t="shared" si="15"/>
        <v>3000</v>
      </c>
      <c r="BN57" s="60">
        <f t="shared" si="15"/>
        <v>3000</v>
      </c>
      <c r="BO57" s="60">
        <f t="shared" si="15"/>
        <v>3000</v>
      </c>
      <c r="BP57" s="60">
        <f t="shared" si="15"/>
        <v>3000</v>
      </c>
      <c r="BQ57" s="60">
        <f t="shared" si="15"/>
        <v>3000</v>
      </c>
      <c r="BR57" s="60">
        <f t="shared" si="15"/>
        <v>3000</v>
      </c>
      <c r="BS57" s="60">
        <f t="shared" si="15"/>
        <v>3000</v>
      </c>
      <c r="BT57" s="60">
        <f t="shared" si="15"/>
        <v>3000</v>
      </c>
      <c r="BU57" s="60">
        <f t="shared" si="15"/>
        <v>3000</v>
      </c>
      <c r="BV57" s="60">
        <f t="shared" si="15"/>
        <v>3000</v>
      </c>
      <c r="BW57" s="60">
        <f t="shared" si="15"/>
        <v>3000</v>
      </c>
      <c r="BX57" s="60">
        <f t="shared" si="15"/>
        <v>3000</v>
      </c>
      <c r="BY57" s="60">
        <f t="shared" si="15"/>
        <v>3000</v>
      </c>
      <c r="BZ57" s="60">
        <f t="shared" si="15"/>
        <v>3000</v>
      </c>
      <c r="CA57" s="60">
        <f t="shared" si="15"/>
        <v>3000</v>
      </c>
      <c r="CB57" s="60">
        <f t="shared" si="15"/>
        <v>3000</v>
      </c>
      <c r="CC57" s="60">
        <f t="shared" si="15"/>
        <v>3000</v>
      </c>
      <c r="CD57" s="60">
        <f t="shared" si="15"/>
        <v>3000</v>
      </c>
      <c r="CE57" s="60">
        <f t="shared" si="15"/>
        <v>3000</v>
      </c>
      <c r="CF57" s="60">
        <f t="shared" si="15"/>
        <v>3000</v>
      </c>
      <c r="CG57" s="60">
        <f t="shared" si="15"/>
        <v>3000</v>
      </c>
      <c r="CH57" s="60">
        <f t="shared" si="15"/>
        <v>3000</v>
      </c>
      <c r="CI57" s="60">
        <f t="shared" si="15"/>
        <v>3000</v>
      </c>
      <c r="CJ57" s="60">
        <f t="shared" si="15"/>
        <v>3000</v>
      </c>
      <c r="CK57" s="60">
        <f t="shared" si="15"/>
        <v>3000</v>
      </c>
      <c r="CL57" s="60">
        <f t="shared" si="15"/>
        <v>3000</v>
      </c>
      <c r="CM57" s="60">
        <f t="shared" si="15"/>
        <v>3000</v>
      </c>
      <c r="CN57" s="60">
        <f t="shared" si="15"/>
        <v>3000</v>
      </c>
      <c r="CO57" s="60">
        <f t="shared" si="15"/>
        <v>3000</v>
      </c>
      <c r="CP57" s="60">
        <f t="shared" si="15"/>
        <v>3000</v>
      </c>
      <c r="CQ57" s="60">
        <f t="shared" si="15"/>
        <v>3000</v>
      </c>
      <c r="CR57" s="60">
        <f t="shared" si="15"/>
        <v>3000</v>
      </c>
      <c r="CS57" s="60">
        <f t="shared" si="15"/>
        <v>3000</v>
      </c>
      <c r="CT57" s="60">
        <f t="shared" si="15"/>
        <v>3000</v>
      </c>
      <c r="CU57" s="60">
        <f t="shared" si="15"/>
        <v>3000</v>
      </c>
      <c r="CV57" s="60">
        <f t="shared" si="15"/>
        <v>3000</v>
      </c>
      <c r="CW57" s="60">
        <f t="shared" si="15"/>
        <v>3000</v>
      </c>
      <c r="CX57" s="60">
        <f t="shared" si="15"/>
        <v>3000</v>
      </c>
    </row>
    <row r="58" ht="15.75" customHeight="1" outlineLevel="2">
      <c r="A58" s="56" t="str">
        <f>Projections!A76</f>
        <v>Channel 1</v>
      </c>
      <c r="B58" s="56"/>
      <c r="C58" s="56"/>
      <c r="D58" s="56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>0</v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>0</v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>0</v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>0</v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>0</v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>0</v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>0</v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>0</v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>0</v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>0</v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>0</v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>0</v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>0</v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>0</v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>0</v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>0</v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>0</v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>0</v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>0</v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>0</v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>0</v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>0</v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>0</v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>0</v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>0</v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>0</v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>0</v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>0</v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>0</v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>0</v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>0</v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>0</v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>0</v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>0</v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>0</v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>0</v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>0</v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>3000</v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>3000</v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>3000</v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>3000</v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>3000</v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>3000</v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>3000</v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>3000</v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>3000</v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>3000</v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>3000</v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>3000</v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>3000</v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>3000</v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>3000</v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>3000</v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>3000</v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>3000</v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>3000</v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>3000</v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>3000</v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>3000</v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>3000</v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>3000</v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>3000</v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>3000</v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>3000</v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>3000</v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>3000</v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>3000</v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>3000</v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>3000</v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>3000</v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>3000</v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>3000</v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>3000</v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>3000</v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>3000</v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>3000</v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>3000</v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>3000</v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>3000</v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>3000</v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>3000</v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>3000</v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>3000</v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>3000</v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>3000</v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>3000</v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>3000</v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>3000</v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>3000</v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>3000</v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>3000</v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>3000</v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>3000</v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>3000</v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>3000</v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>3000</v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>3000</v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>3000</v>
      </c>
    </row>
    <row r="59" ht="15.75" customHeight="1" outlineLevel="2">
      <c r="A59" s="56" t="str">
        <f>Projections!A77</f>
        <v>Channel 2</v>
      </c>
      <c r="B59" s="56"/>
      <c r="C59" s="56"/>
      <c r="D59" s="56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>0</v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>0</v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>0</v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>0</v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>0</v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>0</v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>0</v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>0</v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>0</v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>0</v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>0</v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>0</v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>0</v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>0</v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>0</v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>0</v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>0</v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>0</v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>0</v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>0</v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>0</v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>0</v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>0</v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>0</v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>0</v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>0</v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>0</v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>0</v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>0</v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>0</v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>0</v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>0</v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>0</v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>0</v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>0</v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>0</v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>0</v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>0</v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>0</v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>0</v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>0</v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>0</v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>0</v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>0</v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>0</v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>0</v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>0</v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>0</v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>0</v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>0</v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>0</v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>0</v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>0</v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>0</v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>0</v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>0</v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>0</v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>0</v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>0</v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>0</v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>0</v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>0</v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>0</v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>0</v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>0</v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>0</v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>0</v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>0</v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>0</v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>0</v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>0</v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>0</v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>0</v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>0</v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>0</v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>0</v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>0</v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>0</v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>0</v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>0</v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>0</v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>0</v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>0</v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>0</v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>0</v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>0</v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>0</v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>0</v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>0</v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>0</v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>0</v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>0</v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>0</v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>0</v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>0</v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>0</v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>0</v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>0</v>
      </c>
    </row>
    <row r="60" ht="15.75" customHeight="1" outlineLevel="2">
      <c r="A60" s="56" t="str">
        <f>Projections!A78</f>
        <v>Channel 3</v>
      </c>
      <c r="B60" s="56"/>
      <c r="C60" s="56"/>
      <c r="D60" s="56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>0</v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>0</v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>0</v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>0</v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>0</v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>0</v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>0</v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>0</v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>0</v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>0</v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>0</v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>0</v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>0</v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>0</v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>0</v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>0</v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>0</v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>0</v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>0</v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>0</v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>0</v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>0</v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>0</v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>0</v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>0</v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>0</v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>0</v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>0</v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>0</v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>0</v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>0</v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>0</v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>0</v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>0</v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>0</v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>0</v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>0</v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>0</v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>0</v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>0</v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>0</v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>0</v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>0</v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>0</v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>0</v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>0</v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>0</v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>0</v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>0</v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>0</v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>0</v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>0</v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>0</v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>0</v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>0</v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>0</v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>0</v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>0</v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>0</v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>0</v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>0</v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>0</v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>0</v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>0</v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>0</v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>0</v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>0</v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>0</v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>0</v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>0</v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>0</v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>0</v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>0</v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>0</v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>0</v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>0</v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>0</v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>0</v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>0</v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>0</v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>0</v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>0</v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>0</v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>0</v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>0</v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>0</v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>0</v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>0</v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>0</v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>0</v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>0</v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>0</v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>0</v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>0</v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>0</v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>0</v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>0</v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>0</v>
      </c>
    </row>
    <row r="61" ht="15.75" customHeight="1" outlineLevel="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</row>
    <row r="62" ht="15.75" customHeight="1" outlineLevel="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</row>
    <row r="63" ht="15.75" customHeight="1" outlineLevel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</row>
    <row r="64" ht="15.75" customHeight="1" outlineLevel="1">
      <c r="A64" s="148" t="s">
        <v>220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</row>
    <row r="65" ht="15.75" customHeight="1" outlineLevel="2">
      <c r="A65" s="134" t="s">
        <v>221</v>
      </c>
      <c r="B65" s="60" t="s">
        <v>100</v>
      </c>
      <c r="C65" s="56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>0</v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>1000</v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>1000</v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>1000</v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>1000</v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>1000</v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>1000</v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>1000</v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>1000</v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>1000</v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>1000</v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>1000</v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>1000</v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>1000</v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>1000</v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>1000</v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>1000</v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>1000</v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>1000</v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>1000</v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>1000</v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>1000</v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>1000</v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>1000</v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>1000</v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>1000</v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>1000</v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>1000</v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>1000</v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>1000</v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>1000</v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>1000</v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>1000</v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>1000</v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>1000</v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>1000</v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>1000</v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>1000</v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>1000</v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>1000</v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>1000</v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>1000</v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>1000</v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>1000</v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>1000</v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>1000</v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>1000</v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>1000</v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>1000</v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>1000</v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>1000</v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>1000</v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>1000</v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>1000</v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>1000</v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>1000</v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>1000</v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>1000</v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>1000</v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>1000</v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>1000</v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>1000</v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>1000</v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>1000</v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>1000</v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>1000</v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>1000</v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>1000</v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>1000</v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>1000</v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>1000</v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>1000</v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>1000</v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>1000</v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>1000</v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>1000</v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>1000</v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>1000</v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>1000</v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>1000</v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>1000</v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>1000</v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>1000</v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>1000</v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>1000</v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>1000</v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>1000</v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>1000</v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>1000</v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>1000</v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>1000</v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>1000</v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>1000</v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>1000</v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>1000</v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>1000</v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>1000</v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>1000</v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>1000</v>
      </c>
    </row>
    <row r="66" ht="15.75" customHeight="1" outlineLevel="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</row>
    <row r="67" ht="15.75" customHeight="1" outlineLevel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</row>
    <row r="68" ht="15.75" customHeight="1" outlineLevel="1">
      <c r="A68" s="60" t="s">
        <v>170</v>
      </c>
      <c r="B68" s="60" t="s">
        <v>100</v>
      </c>
      <c r="C68" s="60"/>
      <c r="D68" s="60"/>
      <c r="E68" s="60">
        <f t="shared" ref="E68:CX68" si="16">SUM(E69:E76)</f>
        <v>0</v>
      </c>
      <c r="F68" s="60">
        <f t="shared" si="16"/>
        <v>0</v>
      </c>
      <c r="G68" s="60">
        <f t="shared" si="16"/>
        <v>0</v>
      </c>
      <c r="H68" s="60">
        <f t="shared" si="16"/>
        <v>0</v>
      </c>
      <c r="I68" s="60">
        <f t="shared" si="16"/>
        <v>0</v>
      </c>
      <c r="J68" s="60">
        <f t="shared" si="16"/>
        <v>0</v>
      </c>
      <c r="K68" s="60">
        <f t="shared" si="16"/>
        <v>0</v>
      </c>
      <c r="L68" s="60">
        <f t="shared" si="16"/>
        <v>0</v>
      </c>
      <c r="M68" s="60">
        <f t="shared" si="16"/>
        <v>0</v>
      </c>
      <c r="N68" s="60">
        <f t="shared" si="16"/>
        <v>0</v>
      </c>
      <c r="O68" s="60">
        <f t="shared" si="16"/>
        <v>0</v>
      </c>
      <c r="P68" s="60">
        <f t="shared" si="16"/>
        <v>0</v>
      </c>
      <c r="Q68" s="60">
        <f t="shared" si="16"/>
        <v>0</v>
      </c>
      <c r="R68" s="60">
        <f t="shared" si="16"/>
        <v>0</v>
      </c>
      <c r="S68" s="60">
        <f t="shared" si="16"/>
        <v>0</v>
      </c>
      <c r="T68" s="60">
        <f t="shared" si="16"/>
        <v>0</v>
      </c>
      <c r="U68" s="60">
        <f t="shared" si="16"/>
        <v>0</v>
      </c>
      <c r="V68" s="60">
        <f t="shared" si="16"/>
        <v>0</v>
      </c>
      <c r="W68" s="60">
        <f t="shared" si="16"/>
        <v>0</v>
      </c>
      <c r="X68" s="60">
        <f t="shared" si="16"/>
        <v>0</v>
      </c>
      <c r="Y68" s="60">
        <f t="shared" si="16"/>
        <v>0</v>
      </c>
      <c r="Z68" s="60">
        <f t="shared" si="16"/>
        <v>0</v>
      </c>
      <c r="AA68" s="60">
        <f t="shared" si="16"/>
        <v>0</v>
      </c>
      <c r="AB68" s="60">
        <f t="shared" si="16"/>
        <v>0</v>
      </c>
      <c r="AC68" s="60">
        <f t="shared" si="16"/>
        <v>0</v>
      </c>
      <c r="AD68" s="60">
        <f t="shared" si="16"/>
        <v>0</v>
      </c>
      <c r="AE68" s="60">
        <f t="shared" si="16"/>
        <v>0</v>
      </c>
      <c r="AF68" s="60">
        <f t="shared" si="16"/>
        <v>0</v>
      </c>
      <c r="AG68" s="60">
        <f t="shared" si="16"/>
        <v>0</v>
      </c>
      <c r="AH68" s="60">
        <f t="shared" si="16"/>
        <v>0</v>
      </c>
      <c r="AI68" s="60">
        <f t="shared" si="16"/>
        <v>0</v>
      </c>
      <c r="AJ68" s="60">
        <f t="shared" si="16"/>
        <v>0</v>
      </c>
      <c r="AK68" s="60">
        <f t="shared" si="16"/>
        <v>0</v>
      </c>
      <c r="AL68" s="60">
        <f t="shared" si="16"/>
        <v>0</v>
      </c>
      <c r="AM68" s="60">
        <f t="shared" si="16"/>
        <v>0</v>
      </c>
      <c r="AN68" s="60">
        <f t="shared" si="16"/>
        <v>0</v>
      </c>
      <c r="AO68" s="60">
        <f t="shared" si="16"/>
        <v>0</v>
      </c>
      <c r="AP68" s="60">
        <f t="shared" si="16"/>
        <v>0</v>
      </c>
      <c r="AQ68" s="60">
        <f t="shared" si="16"/>
        <v>0</v>
      </c>
      <c r="AR68" s="60">
        <f t="shared" si="16"/>
        <v>0</v>
      </c>
      <c r="AS68" s="60">
        <f t="shared" si="16"/>
        <v>0</v>
      </c>
      <c r="AT68" s="60">
        <f t="shared" si="16"/>
        <v>0</v>
      </c>
      <c r="AU68" s="60">
        <f t="shared" si="16"/>
        <v>0</v>
      </c>
      <c r="AV68" s="60">
        <f t="shared" si="16"/>
        <v>0</v>
      </c>
      <c r="AW68" s="60">
        <f t="shared" si="16"/>
        <v>0</v>
      </c>
      <c r="AX68" s="60">
        <f t="shared" si="16"/>
        <v>0</v>
      </c>
      <c r="AY68" s="60">
        <f t="shared" si="16"/>
        <v>0</v>
      </c>
      <c r="AZ68" s="60">
        <f t="shared" si="16"/>
        <v>0</v>
      </c>
      <c r="BA68" s="60">
        <f t="shared" si="16"/>
        <v>0</v>
      </c>
      <c r="BB68" s="60">
        <f t="shared" si="16"/>
        <v>0</v>
      </c>
      <c r="BC68" s="60">
        <f t="shared" si="16"/>
        <v>0</v>
      </c>
      <c r="BD68" s="60">
        <f t="shared" si="16"/>
        <v>0</v>
      </c>
      <c r="BE68" s="60">
        <f t="shared" si="16"/>
        <v>0</v>
      </c>
      <c r="BF68" s="60">
        <f t="shared" si="16"/>
        <v>0</v>
      </c>
      <c r="BG68" s="60">
        <f t="shared" si="16"/>
        <v>0</v>
      </c>
      <c r="BH68" s="60">
        <f t="shared" si="16"/>
        <v>0</v>
      </c>
      <c r="BI68" s="60">
        <f t="shared" si="16"/>
        <v>0</v>
      </c>
      <c r="BJ68" s="60">
        <f t="shared" si="16"/>
        <v>0</v>
      </c>
      <c r="BK68" s="60">
        <f t="shared" si="16"/>
        <v>0</v>
      </c>
      <c r="BL68" s="60">
        <f t="shared" si="16"/>
        <v>0</v>
      </c>
      <c r="BM68" s="60">
        <f t="shared" si="16"/>
        <v>0</v>
      </c>
      <c r="BN68" s="60">
        <f t="shared" si="16"/>
        <v>0</v>
      </c>
      <c r="BO68" s="60">
        <f t="shared" si="16"/>
        <v>0</v>
      </c>
      <c r="BP68" s="60">
        <f t="shared" si="16"/>
        <v>0</v>
      </c>
      <c r="BQ68" s="60">
        <f t="shared" si="16"/>
        <v>0</v>
      </c>
      <c r="BR68" s="60">
        <f t="shared" si="16"/>
        <v>0</v>
      </c>
      <c r="BS68" s="60">
        <f t="shared" si="16"/>
        <v>0</v>
      </c>
      <c r="BT68" s="60">
        <f t="shared" si="16"/>
        <v>0</v>
      </c>
      <c r="BU68" s="60">
        <f t="shared" si="16"/>
        <v>0</v>
      </c>
      <c r="BV68" s="60">
        <f t="shared" si="16"/>
        <v>0</v>
      </c>
      <c r="BW68" s="60">
        <f t="shared" si="16"/>
        <v>0</v>
      </c>
      <c r="BX68" s="60">
        <f t="shared" si="16"/>
        <v>0</v>
      </c>
      <c r="BY68" s="60">
        <f t="shared" si="16"/>
        <v>0</v>
      </c>
      <c r="BZ68" s="60">
        <f t="shared" si="16"/>
        <v>0</v>
      </c>
      <c r="CA68" s="60">
        <f t="shared" si="16"/>
        <v>0</v>
      </c>
      <c r="CB68" s="60">
        <f t="shared" si="16"/>
        <v>0</v>
      </c>
      <c r="CC68" s="60">
        <f t="shared" si="16"/>
        <v>0</v>
      </c>
      <c r="CD68" s="60">
        <f t="shared" si="16"/>
        <v>0</v>
      </c>
      <c r="CE68" s="60">
        <f t="shared" si="16"/>
        <v>0</v>
      </c>
      <c r="CF68" s="60">
        <f t="shared" si="16"/>
        <v>0</v>
      </c>
      <c r="CG68" s="60">
        <f t="shared" si="16"/>
        <v>0</v>
      </c>
      <c r="CH68" s="60">
        <f t="shared" si="16"/>
        <v>0</v>
      </c>
      <c r="CI68" s="60">
        <f t="shared" si="16"/>
        <v>0</v>
      </c>
      <c r="CJ68" s="60">
        <f t="shared" si="16"/>
        <v>0</v>
      </c>
      <c r="CK68" s="60">
        <f t="shared" si="16"/>
        <v>0</v>
      </c>
      <c r="CL68" s="60">
        <f t="shared" si="16"/>
        <v>0</v>
      </c>
      <c r="CM68" s="60">
        <f t="shared" si="16"/>
        <v>0</v>
      </c>
      <c r="CN68" s="60">
        <f t="shared" si="16"/>
        <v>0</v>
      </c>
      <c r="CO68" s="60">
        <f t="shared" si="16"/>
        <v>0</v>
      </c>
      <c r="CP68" s="60">
        <f t="shared" si="16"/>
        <v>0</v>
      </c>
      <c r="CQ68" s="60">
        <f t="shared" si="16"/>
        <v>0</v>
      </c>
      <c r="CR68" s="60">
        <f t="shared" si="16"/>
        <v>0</v>
      </c>
      <c r="CS68" s="60">
        <f t="shared" si="16"/>
        <v>0</v>
      </c>
      <c r="CT68" s="60">
        <f t="shared" si="16"/>
        <v>0</v>
      </c>
      <c r="CU68" s="60">
        <f t="shared" si="16"/>
        <v>0</v>
      </c>
      <c r="CV68" s="60">
        <f t="shared" si="16"/>
        <v>0</v>
      </c>
      <c r="CW68" s="60">
        <f t="shared" si="16"/>
        <v>0</v>
      </c>
      <c r="CX68" s="60">
        <f t="shared" si="16"/>
        <v>0</v>
      </c>
    </row>
    <row r="69" ht="15.75" customHeight="1" outlineLevel="2">
      <c r="A69" s="134" t="str">
        <f>Projections!A82</f>
        <v>Expense 1</v>
      </c>
      <c r="B69" s="56"/>
      <c r="C69" s="56"/>
      <c r="D69" s="56"/>
      <c r="E69" s="56">
        <f>IF(E$2&gt;=Projections!$D82,Projections!$B82,0)</f>
        <v>0</v>
      </c>
      <c r="F69" s="56">
        <f>IF(F$2&gt;=Projections!$D82,Projections!$B82,0)</f>
        <v>0</v>
      </c>
      <c r="G69" s="56">
        <f>IF(G$2&gt;=Projections!$D82,Projections!$B82,0)</f>
        <v>0</v>
      </c>
      <c r="H69" s="56">
        <f>IF(H$2&gt;=Projections!$D82,Projections!$B82,0)</f>
        <v>0</v>
      </c>
      <c r="I69" s="56">
        <f>IF(I$2&gt;=Projections!$D82,Projections!$B82,0)</f>
        <v>0</v>
      </c>
      <c r="J69" s="56">
        <f>IF(J$2&gt;=Projections!$D82,Projections!$B82,0)</f>
        <v>0</v>
      </c>
      <c r="K69" s="56">
        <f>IF(K$2&gt;=Projections!$D82,Projections!$B82,0)</f>
        <v>0</v>
      </c>
      <c r="L69" s="56">
        <f>IF(L$2&gt;=Projections!$D82,Projections!$B82,0)</f>
        <v>0</v>
      </c>
      <c r="M69" s="56">
        <f>IF(M$2&gt;=Projections!$D82,Projections!$B82,0)</f>
        <v>0</v>
      </c>
      <c r="N69" s="56">
        <f>IF(N$2&gt;=Projections!$D82,Projections!$B82,0)</f>
        <v>0</v>
      </c>
      <c r="O69" s="56">
        <f>IF(O$2&gt;=Projections!$D82,Projections!$B82,0)</f>
        <v>0</v>
      </c>
      <c r="P69" s="56">
        <f>IF(P$2&gt;=Projections!$D82,Projections!$B82,0)</f>
        <v>0</v>
      </c>
      <c r="Q69" s="56">
        <f>IF(Q$2&gt;=Projections!$D82,Projections!$B82,0)</f>
        <v>0</v>
      </c>
      <c r="R69" s="56">
        <f>IF(R$2&gt;=Projections!$D82,Projections!$B82,0)</f>
        <v>0</v>
      </c>
      <c r="S69" s="56">
        <f>IF(S$2&gt;=Projections!$D82,Projections!$B82,0)</f>
        <v>0</v>
      </c>
      <c r="T69" s="56">
        <f>IF(T$2&gt;=Projections!$D82,Projections!$B82,0)</f>
        <v>0</v>
      </c>
      <c r="U69" s="56">
        <f>IF(U$2&gt;=Projections!$D82,Projections!$B82,0)</f>
        <v>0</v>
      </c>
      <c r="V69" s="56">
        <f>IF(V$2&gt;=Projections!$D82,Projections!$B82,0)</f>
        <v>0</v>
      </c>
      <c r="W69" s="56">
        <f>IF(W$2&gt;=Projections!$D82,Projections!$B82,0)</f>
        <v>0</v>
      </c>
      <c r="X69" s="56">
        <f>IF(X$2&gt;=Projections!$D82,Projections!$B82,0)</f>
        <v>0</v>
      </c>
      <c r="Y69" s="56">
        <f>IF(Y$2&gt;=Projections!$D82,Projections!$B82,0)</f>
        <v>0</v>
      </c>
      <c r="Z69" s="56">
        <f>IF(Z$2&gt;=Projections!$D82,Projections!$B82,0)</f>
        <v>0</v>
      </c>
      <c r="AA69" s="56">
        <f>IF(AA$2&gt;=Projections!$D82,Projections!$B82,0)</f>
        <v>0</v>
      </c>
      <c r="AB69" s="56">
        <f>IF(AB$2&gt;=Projections!$D82,Projections!$B82,0)</f>
        <v>0</v>
      </c>
      <c r="AC69" s="56">
        <f>IF(AC$2&gt;=Projections!$D82,Projections!$B82,0)</f>
        <v>0</v>
      </c>
      <c r="AD69" s="56">
        <f>IF(AD$2&gt;=Projections!$D82,Projections!$B82,0)</f>
        <v>0</v>
      </c>
      <c r="AE69" s="56">
        <f>IF(AE$2&gt;=Projections!$D82,Projections!$B82,0)</f>
        <v>0</v>
      </c>
      <c r="AF69" s="56">
        <f>IF(AF$2&gt;=Projections!$D82,Projections!$B82,0)</f>
        <v>0</v>
      </c>
      <c r="AG69" s="56">
        <f>IF(AG$2&gt;=Projections!$D82,Projections!$B82,0)</f>
        <v>0</v>
      </c>
      <c r="AH69" s="56">
        <f>IF(AH$2&gt;=Projections!$D82,Projections!$B82,0)</f>
        <v>0</v>
      </c>
      <c r="AI69" s="56">
        <f>IF(AI$2&gt;=Projections!$D82,Projections!$B82,0)</f>
        <v>0</v>
      </c>
      <c r="AJ69" s="56">
        <f>IF(AJ$2&gt;=Projections!$D82,Projections!$B82,0)</f>
        <v>0</v>
      </c>
      <c r="AK69" s="56">
        <f>IF(AK$2&gt;=Projections!$D82,Projections!$B82,0)</f>
        <v>0</v>
      </c>
      <c r="AL69" s="56">
        <f>IF(AL$2&gt;=Projections!$D82,Projections!$B82,0)</f>
        <v>0</v>
      </c>
      <c r="AM69" s="56">
        <f>IF(AM$2&gt;=Projections!$D82,Projections!$B82,0)</f>
        <v>0</v>
      </c>
      <c r="AN69" s="56">
        <f>IF(AN$2&gt;=Projections!$D82,Projections!$B82,0)</f>
        <v>0</v>
      </c>
      <c r="AO69" s="56">
        <f>IF(AO$2&gt;=Projections!$D82,Projections!$B82,0)</f>
        <v>0</v>
      </c>
      <c r="AP69" s="56">
        <f>IF(AP$2&gt;=Projections!$D82,Projections!$B82,0)</f>
        <v>0</v>
      </c>
      <c r="AQ69" s="56">
        <f>IF(AQ$2&gt;=Projections!$D82,Projections!$B82,0)</f>
        <v>0</v>
      </c>
      <c r="AR69" s="56">
        <f>IF(AR$2&gt;=Projections!$D82,Projections!$B82,0)</f>
        <v>0</v>
      </c>
      <c r="AS69" s="56">
        <f>IF(AS$2&gt;=Projections!$D82,Projections!$B82,0)</f>
        <v>0</v>
      </c>
      <c r="AT69" s="56">
        <f>IF(AT$2&gt;=Projections!$D82,Projections!$B82,0)</f>
        <v>0</v>
      </c>
      <c r="AU69" s="56">
        <f>IF(AU$2&gt;=Projections!$D82,Projections!$B82,0)</f>
        <v>0</v>
      </c>
      <c r="AV69" s="56">
        <f>IF(AV$2&gt;=Projections!$D82,Projections!$B82,0)</f>
        <v>0</v>
      </c>
      <c r="AW69" s="56">
        <f>IF(AW$2&gt;=Projections!$D82,Projections!$B82,0)</f>
        <v>0</v>
      </c>
      <c r="AX69" s="56">
        <f>IF(AX$2&gt;=Projections!$D82,Projections!$B82,0)</f>
        <v>0</v>
      </c>
      <c r="AY69" s="56">
        <f>IF(AY$2&gt;=Projections!$D82,Projections!$B82,0)</f>
        <v>0</v>
      </c>
      <c r="AZ69" s="56">
        <f>IF(AZ$2&gt;=Projections!$D82,Projections!$B82,0)</f>
        <v>0</v>
      </c>
      <c r="BA69" s="56">
        <f>IF(BA$2&gt;=Projections!$D82,Projections!$B82,0)</f>
        <v>0</v>
      </c>
      <c r="BB69" s="56">
        <f>IF(BB$2&gt;=Projections!$D82,Projections!$B82,0)</f>
        <v>0</v>
      </c>
      <c r="BC69" s="56">
        <f>IF(BC$2&gt;=Projections!$D82,Projections!$B82,0)</f>
        <v>0</v>
      </c>
      <c r="BD69" s="56">
        <f>IF(BD$2&gt;=Projections!$D82,Projections!$B82,0)</f>
        <v>0</v>
      </c>
      <c r="BE69" s="56">
        <f>IF(BE$2&gt;=Projections!$D82,Projections!$B82,0)</f>
        <v>0</v>
      </c>
      <c r="BF69" s="56">
        <f>IF(BF$2&gt;=Projections!$D82,Projections!$B82,0)</f>
        <v>0</v>
      </c>
      <c r="BG69" s="56">
        <f>IF(BG$2&gt;=Projections!$D82,Projections!$B82,0)</f>
        <v>0</v>
      </c>
      <c r="BH69" s="56">
        <f>IF(BH$2&gt;=Projections!$D82,Projections!$B82,0)</f>
        <v>0</v>
      </c>
      <c r="BI69" s="56">
        <f>IF(BI$2&gt;=Projections!$D82,Projections!$B82,0)</f>
        <v>0</v>
      </c>
      <c r="BJ69" s="56">
        <f>IF(BJ$2&gt;=Projections!$D82,Projections!$B82,0)</f>
        <v>0</v>
      </c>
      <c r="BK69" s="56">
        <f>IF(BK$2&gt;=Projections!$D82,Projections!$B82,0)</f>
        <v>0</v>
      </c>
      <c r="BL69" s="56">
        <f>IF(BL$2&gt;=Projections!$D82,Projections!$B82,0)</f>
        <v>0</v>
      </c>
      <c r="BM69" s="56">
        <f>IF(BM$2&gt;=Projections!$D82,Projections!$B82,0)</f>
        <v>0</v>
      </c>
      <c r="BN69" s="56">
        <f>IF(BN$2&gt;=Projections!$D82,Projections!$B82,0)</f>
        <v>0</v>
      </c>
      <c r="BO69" s="56">
        <f>IF(BO$2&gt;=Projections!$D82,Projections!$B82,0)</f>
        <v>0</v>
      </c>
      <c r="BP69" s="56">
        <f>IF(BP$2&gt;=Projections!$D82,Projections!$B82,0)</f>
        <v>0</v>
      </c>
      <c r="BQ69" s="56">
        <f>IF(BQ$2&gt;=Projections!$D82,Projections!$B82,0)</f>
        <v>0</v>
      </c>
      <c r="BR69" s="56">
        <f>IF(BR$2&gt;=Projections!$D82,Projections!$B82,0)</f>
        <v>0</v>
      </c>
      <c r="BS69" s="56">
        <f>IF(BS$2&gt;=Projections!$D82,Projections!$B82,0)</f>
        <v>0</v>
      </c>
      <c r="BT69" s="56">
        <f>IF(BT$2&gt;=Projections!$D82,Projections!$B82,0)</f>
        <v>0</v>
      </c>
      <c r="BU69" s="56">
        <f>IF(BU$2&gt;=Projections!$D82,Projections!$B82,0)</f>
        <v>0</v>
      </c>
      <c r="BV69" s="56">
        <f>IF(BV$2&gt;=Projections!$D82,Projections!$B82,0)</f>
        <v>0</v>
      </c>
      <c r="BW69" s="56">
        <f>IF(BW$2&gt;=Projections!$D82,Projections!$B82,0)</f>
        <v>0</v>
      </c>
      <c r="BX69" s="56">
        <f>IF(BX$2&gt;=Projections!$D82,Projections!$B82,0)</f>
        <v>0</v>
      </c>
      <c r="BY69" s="56">
        <f>IF(BY$2&gt;=Projections!$D82,Projections!$B82,0)</f>
        <v>0</v>
      </c>
      <c r="BZ69" s="56">
        <f>IF(BZ$2&gt;=Projections!$D82,Projections!$B82,0)</f>
        <v>0</v>
      </c>
      <c r="CA69" s="56">
        <f>IF(CA$2&gt;=Projections!$D82,Projections!$B82,0)</f>
        <v>0</v>
      </c>
      <c r="CB69" s="56">
        <f>IF(CB$2&gt;=Projections!$D82,Projections!$B82,0)</f>
        <v>0</v>
      </c>
      <c r="CC69" s="56">
        <f>IF(CC$2&gt;=Projections!$D82,Projections!$B82,0)</f>
        <v>0</v>
      </c>
      <c r="CD69" s="56">
        <f>IF(CD$2&gt;=Projections!$D82,Projections!$B82,0)</f>
        <v>0</v>
      </c>
      <c r="CE69" s="56">
        <f>IF(CE$2&gt;=Projections!$D82,Projections!$B82,0)</f>
        <v>0</v>
      </c>
      <c r="CF69" s="56">
        <f>IF(CF$2&gt;=Projections!$D82,Projections!$B82,0)</f>
        <v>0</v>
      </c>
      <c r="CG69" s="56">
        <f>IF(CG$2&gt;=Projections!$D82,Projections!$B82,0)</f>
        <v>0</v>
      </c>
      <c r="CH69" s="56">
        <f>IF(CH$2&gt;=Projections!$D82,Projections!$B82,0)</f>
        <v>0</v>
      </c>
      <c r="CI69" s="56">
        <f>IF(CI$2&gt;=Projections!$D82,Projections!$B82,0)</f>
        <v>0</v>
      </c>
      <c r="CJ69" s="56">
        <f>IF(CJ$2&gt;=Projections!$D82,Projections!$B82,0)</f>
        <v>0</v>
      </c>
      <c r="CK69" s="56">
        <f>IF(CK$2&gt;=Projections!$D82,Projections!$B82,0)</f>
        <v>0</v>
      </c>
      <c r="CL69" s="56">
        <f>IF(CL$2&gt;=Projections!$D82,Projections!$B82,0)</f>
        <v>0</v>
      </c>
      <c r="CM69" s="56">
        <f>IF(CM$2&gt;=Projections!$D82,Projections!$B82,0)</f>
        <v>0</v>
      </c>
      <c r="CN69" s="56">
        <f>IF(CN$2&gt;=Projections!$D82,Projections!$B82,0)</f>
        <v>0</v>
      </c>
      <c r="CO69" s="56">
        <f>IF(CO$2&gt;=Projections!$D82,Projections!$B82,0)</f>
        <v>0</v>
      </c>
      <c r="CP69" s="56">
        <f>IF(CP$2&gt;=Projections!$D82,Projections!$B82,0)</f>
        <v>0</v>
      </c>
      <c r="CQ69" s="56">
        <f>IF(CQ$2&gt;=Projections!$D82,Projections!$B82,0)</f>
        <v>0</v>
      </c>
      <c r="CR69" s="56">
        <f>IF(CR$2&gt;=Projections!$D82,Projections!$B82,0)</f>
        <v>0</v>
      </c>
      <c r="CS69" s="56">
        <f>IF(CS$2&gt;=Projections!$D82,Projections!$B82,0)</f>
        <v>0</v>
      </c>
      <c r="CT69" s="56">
        <f>IF(CT$2&gt;=Projections!$D82,Projections!$B82,0)</f>
        <v>0</v>
      </c>
      <c r="CU69" s="56">
        <f>IF(CU$2&gt;=Projections!$D82,Projections!$B82,0)</f>
        <v>0</v>
      </c>
      <c r="CV69" s="56">
        <f>IF(CV$2&gt;=Projections!$D82,Projections!$B82,0)</f>
        <v>0</v>
      </c>
      <c r="CW69" s="56">
        <f>IF(CW$2&gt;=Projections!$D82,Projections!$B82,0)</f>
        <v>0</v>
      </c>
      <c r="CX69" s="56">
        <f>IF(CX$2&gt;=Projections!$D82,Projections!$B82,0)</f>
        <v>0</v>
      </c>
    </row>
    <row r="70" ht="15.75" customHeight="1" outlineLevel="2">
      <c r="A70" s="134" t="str">
        <f>Projections!A83</f>
        <v>Expense 2</v>
      </c>
      <c r="B70" s="56"/>
      <c r="C70" s="56"/>
      <c r="D70" s="56"/>
      <c r="E70" s="56">
        <f>IF(E$2&gt;=Projections!$D83,Projections!$B83,0)</f>
        <v>0</v>
      </c>
      <c r="F70" s="56">
        <f>IF(F$2&gt;=Projections!$D83,Projections!$B83,0)</f>
        <v>0</v>
      </c>
      <c r="G70" s="56">
        <f>IF(G$2&gt;=Projections!$D83,Projections!$B83,0)</f>
        <v>0</v>
      </c>
      <c r="H70" s="56">
        <f>IF(H$2&gt;=Projections!$D83,Projections!$B83,0)</f>
        <v>0</v>
      </c>
      <c r="I70" s="56">
        <f>IF(I$2&gt;=Projections!$D83,Projections!$B83,0)</f>
        <v>0</v>
      </c>
      <c r="J70" s="56">
        <f>IF(J$2&gt;=Projections!$D83,Projections!$B83,0)</f>
        <v>0</v>
      </c>
      <c r="K70" s="56">
        <f>IF(K$2&gt;=Projections!$D83,Projections!$B83,0)</f>
        <v>0</v>
      </c>
      <c r="L70" s="56">
        <f>IF(L$2&gt;=Projections!$D83,Projections!$B83,0)</f>
        <v>0</v>
      </c>
      <c r="M70" s="56">
        <f>IF(M$2&gt;=Projections!$D83,Projections!$B83,0)</f>
        <v>0</v>
      </c>
      <c r="N70" s="56">
        <f>IF(N$2&gt;=Projections!$D83,Projections!$B83,0)</f>
        <v>0</v>
      </c>
      <c r="O70" s="56">
        <f>IF(O$2&gt;=Projections!$D83,Projections!$B83,0)</f>
        <v>0</v>
      </c>
      <c r="P70" s="56">
        <f>IF(P$2&gt;=Projections!$D83,Projections!$B83,0)</f>
        <v>0</v>
      </c>
      <c r="Q70" s="56">
        <f>IF(Q$2&gt;=Projections!$D83,Projections!$B83,0)</f>
        <v>0</v>
      </c>
      <c r="R70" s="56">
        <f>IF(R$2&gt;=Projections!$D83,Projections!$B83,0)</f>
        <v>0</v>
      </c>
      <c r="S70" s="56">
        <f>IF(S$2&gt;=Projections!$D83,Projections!$B83,0)</f>
        <v>0</v>
      </c>
      <c r="T70" s="56">
        <f>IF(T$2&gt;=Projections!$D83,Projections!$B83,0)</f>
        <v>0</v>
      </c>
      <c r="U70" s="56">
        <f>IF(U$2&gt;=Projections!$D83,Projections!$B83,0)</f>
        <v>0</v>
      </c>
      <c r="V70" s="56">
        <f>IF(V$2&gt;=Projections!$D83,Projections!$B83,0)</f>
        <v>0</v>
      </c>
      <c r="W70" s="56">
        <f>IF(W$2&gt;=Projections!$D83,Projections!$B83,0)</f>
        <v>0</v>
      </c>
      <c r="X70" s="56">
        <f>IF(X$2&gt;=Projections!$D83,Projections!$B83,0)</f>
        <v>0</v>
      </c>
      <c r="Y70" s="56">
        <f>IF(Y$2&gt;=Projections!$D83,Projections!$B83,0)</f>
        <v>0</v>
      </c>
      <c r="Z70" s="56">
        <f>IF(Z$2&gt;=Projections!$D83,Projections!$B83,0)</f>
        <v>0</v>
      </c>
      <c r="AA70" s="56">
        <f>IF(AA$2&gt;=Projections!$D83,Projections!$B83,0)</f>
        <v>0</v>
      </c>
      <c r="AB70" s="56">
        <f>IF(AB$2&gt;=Projections!$D83,Projections!$B83,0)</f>
        <v>0</v>
      </c>
      <c r="AC70" s="56">
        <f>IF(AC$2&gt;=Projections!$D83,Projections!$B83,0)</f>
        <v>0</v>
      </c>
      <c r="AD70" s="56">
        <f>IF(AD$2&gt;=Projections!$D83,Projections!$B83,0)</f>
        <v>0</v>
      </c>
      <c r="AE70" s="56">
        <f>IF(AE$2&gt;=Projections!$D83,Projections!$B83,0)</f>
        <v>0</v>
      </c>
      <c r="AF70" s="56">
        <f>IF(AF$2&gt;=Projections!$D83,Projections!$B83,0)</f>
        <v>0</v>
      </c>
      <c r="AG70" s="56">
        <f>IF(AG$2&gt;=Projections!$D83,Projections!$B83,0)</f>
        <v>0</v>
      </c>
      <c r="AH70" s="56">
        <f>IF(AH$2&gt;=Projections!$D83,Projections!$B83,0)</f>
        <v>0</v>
      </c>
      <c r="AI70" s="56">
        <f>IF(AI$2&gt;=Projections!$D83,Projections!$B83,0)</f>
        <v>0</v>
      </c>
      <c r="AJ70" s="56">
        <f>IF(AJ$2&gt;=Projections!$D83,Projections!$B83,0)</f>
        <v>0</v>
      </c>
      <c r="AK70" s="56">
        <f>IF(AK$2&gt;=Projections!$D83,Projections!$B83,0)</f>
        <v>0</v>
      </c>
      <c r="AL70" s="56">
        <f>IF(AL$2&gt;=Projections!$D83,Projections!$B83,0)</f>
        <v>0</v>
      </c>
      <c r="AM70" s="56">
        <f>IF(AM$2&gt;=Projections!$D83,Projections!$B83,0)</f>
        <v>0</v>
      </c>
      <c r="AN70" s="56">
        <f>IF(AN$2&gt;=Projections!$D83,Projections!$B83,0)</f>
        <v>0</v>
      </c>
      <c r="AO70" s="56">
        <f>IF(AO$2&gt;=Projections!$D83,Projections!$B83,0)</f>
        <v>0</v>
      </c>
      <c r="AP70" s="56">
        <f>IF(AP$2&gt;=Projections!$D83,Projections!$B83,0)</f>
        <v>0</v>
      </c>
      <c r="AQ70" s="56">
        <f>IF(AQ$2&gt;=Projections!$D83,Projections!$B83,0)</f>
        <v>0</v>
      </c>
      <c r="AR70" s="56">
        <f>IF(AR$2&gt;=Projections!$D83,Projections!$B83,0)</f>
        <v>0</v>
      </c>
      <c r="AS70" s="56">
        <f>IF(AS$2&gt;=Projections!$D83,Projections!$B83,0)</f>
        <v>0</v>
      </c>
      <c r="AT70" s="56">
        <f>IF(AT$2&gt;=Projections!$D83,Projections!$B83,0)</f>
        <v>0</v>
      </c>
      <c r="AU70" s="56">
        <f>IF(AU$2&gt;=Projections!$D83,Projections!$B83,0)</f>
        <v>0</v>
      </c>
      <c r="AV70" s="56">
        <f>IF(AV$2&gt;=Projections!$D83,Projections!$B83,0)</f>
        <v>0</v>
      </c>
      <c r="AW70" s="56">
        <f>IF(AW$2&gt;=Projections!$D83,Projections!$B83,0)</f>
        <v>0</v>
      </c>
      <c r="AX70" s="56">
        <f>IF(AX$2&gt;=Projections!$D83,Projections!$B83,0)</f>
        <v>0</v>
      </c>
      <c r="AY70" s="56">
        <f>IF(AY$2&gt;=Projections!$D83,Projections!$B83,0)</f>
        <v>0</v>
      </c>
      <c r="AZ70" s="56">
        <f>IF(AZ$2&gt;=Projections!$D83,Projections!$B83,0)</f>
        <v>0</v>
      </c>
      <c r="BA70" s="56">
        <f>IF(BA$2&gt;=Projections!$D83,Projections!$B83,0)</f>
        <v>0</v>
      </c>
      <c r="BB70" s="56">
        <f>IF(BB$2&gt;=Projections!$D83,Projections!$B83,0)</f>
        <v>0</v>
      </c>
      <c r="BC70" s="56">
        <f>IF(BC$2&gt;=Projections!$D83,Projections!$B83,0)</f>
        <v>0</v>
      </c>
      <c r="BD70" s="56">
        <f>IF(BD$2&gt;=Projections!$D83,Projections!$B83,0)</f>
        <v>0</v>
      </c>
      <c r="BE70" s="56">
        <f>IF(BE$2&gt;=Projections!$D83,Projections!$B83,0)</f>
        <v>0</v>
      </c>
      <c r="BF70" s="56">
        <f>IF(BF$2&gt;=Projections!$D83,Projections!$B83,0)</f>
        <v>0</v>
      </c>
      <c r="BG70" s="56">
        <f>IF(BG$2&gt;=Projections!$D83,Projections!$B83,0)</f>
        <v>0</v>
      </c>
      <c r="BH70" s="56">
        <f>IF(BH$2&gt;=Projections!$D83,Projections!$B83,0)</f>
        <v>0</v>
      </c>
      <c r="BI70" s="56">
        <f>IF(BI$2&gt;=Projections!$D83,Projections!$B83,0)</f>
        <v>0</v>
      </c>
      <c r="BJ70" s="56">
        <f>IF(BJ$2&gt;=Projections!$D83,Projections!$B83,0)</f>
        <v>0</v>
      </c>
      <c r="BK70" s="56">
        <f>IF(BK$2&gt;=Projections!$D83,Projections!$B83,0)</f>
        <v>0</v>
      </c>
      <c r="BL70" s="56">
        <f>IF(BL$2&gt;=Projections!$D83,Projections!$B83,0)</f>
        <v>0</v>
      </c>
      <c r="BM70" s="56">
        <f>IF(BM$2&gt;=Projections!$D83,Projections!$B83,0)</f>
        <v>0</v>
      </c>
      <c r="BN70" s="56">
        <f>IF(BN$2&gt;=Projections!$D83,Projections!$B83,0)</f>
        <v>0</v>
      </c>
      <c r="BO70" s="56">
        <f>IF(BO$2&gt;=Projections!$D83,Projections!$B83,0)</f>
        <v>0</v>
      </c>
      <c r="BP70" s="56">
        <f>IF(BP$2&gt;=Projections!$D83,Projections!$B83,0)</f>
        <v>0</v>
      </c>
      <c r="BQ70" s="56">
        <f>IF(BQ$2&gt;=Projections!$D83,Projections!$B83,0)</f>
        <v>0</v>
      </c>
      <c r="BR70" s="56">
        <f>IF(BR$2&gt;=Projections!$D83,Projections!$B83,0)</f>
        <v>0</v>
      </c>
      <c r="BS70" s="56">
        <f>IF(BS$2&gt;=Projections!$D83,Projections!$B83,0)</f>
        <v>0</v>
      </c>
      <c r="BT70" s="56">
        <f>IF(BT$2&gt;=Projections!$D83,Projections!$B83,0)</f>
        <v>0</v>
      </c>
      <c r="BU70" s="56">
        <f>IF(BU$2&gt;=Projections!$D83,Projections!$B83,0)</f>
        <v>0</v>
      </c>
      <c r="BV70" s="56">
        <f>IF(BV$2&gt;=Projections!$D83,Projections!$B83,0)</f>
        <v>0</v>
      </c>
      <c r="BW70" s="56">
        <f>IF(BW$2&gt;=Projections!$D83,Projections!$B83,0)</f>
        <v>0</v>
      </c>
      <c r="BX70" s="56">
        <f>IF(BX$2&gt;=Projections!$D83,Projections!$B83,0)</f>
        <v>0</v>
      </c>
      <c r="BY70" s="56">
        <f>IF(BY$2&gt;=Projections!$D83,Projections!$B83,0)</f>
        <v>0</v>
      </c>
      <c r="BZ70" s="56">
        <f>IF(BZ$2&gt;=Projections!$D83,Projections!$B83,0)</f>
        <v>0</v>
      </c>
      <c r="CA70" s="56">
        <f>IF(CA$2&gt;=Projections!$D83,Projections!$B83,0)</f>
        <v>0</v>
      </c>
      <c r="CB70" s="56">
        <f>IF(CB$2&gt;=Projections!$D83,Projections!$B83,0)</f>
        <v>0</v>
      </c>
      <c r="CC70" s="56">
        <f>IF(CC$2&gt;=Projections!$D83,Projections!$B83,0)</f>
        <v>0</v>
      </c>
      <c r="CD70" s="56">
        <f>IF(CD$2&gt;=Projections!$D83,Projections!$B83,0)</f>
        <v>0</v>
      </c>
      <c r="CE70" s="56">
        <f>IF(CE$2&gt;=Projections!$D83,Projections!$B83,0)</f>
        <v>0</v>
      </c>
      <c r="CF70" s="56">
        <f>IF(CF$2&gt;=Projections!$D83,Projections!$B83,0)</f>
        <v>0</v>
      </c>
      <c r="CG70" s="56">
        <f>IF(CG$2&gt;=Projections!$D83,Projections!$B83,0)</f>
        <v>0</v>
      </c>
      <c r="CH70" s="56">
        <f>IF(CH$2&gt;=Projections!$D83,Projections!$B83,0)</f>
        <v>0</v>
      </c>
      <c r="CI70" s="56">
        <f>IF(CI$2&gt;=Projections!$D83,Projections!$B83,0)</f>
        <v>0</v>
      </c>
      <c r="CJ70" s="56">
        <f>IF(CJ$2&gt;=Projections!$D83,Projections!$B83,0)</f>
        <v>0</v>
      </c>
      <c r="CK70" s="56">
        <f>IF(CK$2&gt;=Projections!$D83,Projections!$B83,0)</f>
        <v>0</v>
      </c>
      <c r="CL70" s="56">
        <f>IF(CL$2&gt;=Projections!$D83,Projections!$B83,0)</f>
        <v>0</v>
      </c>
      <c r="CM70" s="56">
        <f>IF(CM$2&gt;=Projections!$D83,Projections!$B83,0)</f>
        <v>0</v>
      </c>
      <c r="CN70" s="56">
        <f>IF(CN$2&gt;=Projections!$D83,Projections!$B83,0)</f>
        <v>0</v>
      </c>
      <c r="CO70" s="56">
        <f>IF(CO$2&gt;=Projections!$D83,Projections!$B83,0)</f>
        <v>0</v>
      </c>
      <c r="CP70" s="56">
        <f>IF(CP$2&gt;=Projections!$D83,Projections!$B83,0)</f>
        <v>0</v>
      </c>
      <c r="CQ70" s="56">
        <f>IF(CQ$2&gt;=Projections!$D83,Projections!$B83,0)</f>
        <v>0</v>
      </c>
      <c r="CR70" s="56">
        <f>IF(CR$2&gt;=Projections!$D83,Projections!$B83,0)</f>
        <v>0</v>
      </c>
      <c r="CS70" s="56">
        <f>IF(CS$2&gt;=Projections!$D83,Projections!$B83,0)</f>
        <v>0</v>
      </c>
      <c r="CT70" s="56">
        <f>IF(CT$2&gt;=Projections!$D83,Projections!$B83,0)</f>
        <v>0</v>
      </c>
      <c r="CU70" s="56">
        <f>IF(CU$2&gt;=Projections!$D83,Projections!$B83,0)</f>
        <v>0</v>
      </c>
      <c r="CV70" s="56">
        <f>IF(CV$2&gt;=Projections!$D83,Projections!$B83,0)</f>
        <v>0</v>
      </c>
      <c r="CW70" s="56">
        <f>IF(CW$2&gt;=Projections!$D83,Projections!$B83,0)</f>
        <v>0</v>
      </c>
      <c r="CX70" s="56">
        <f>IF(CX$2&gt;=Projections!$D83,Projections!$B83,0)</f>
        <v>0</v>
      </c>
    </row>
    <row r="71" ht="15.75" customHeight="1" outlineLevel="2">
      <c r="A71" s="134" t="str">
        <f>Projections!A84</f>
        <v>Expense 3</v>
      </c>
      <c r="B71" s="56"/>
      <c r="C71" s="56"/>
      <c r="D71" s="56"/>
      <c r="E71" s="56">
        <f>IF(E$2&gt;=Projections!$D84,Projections!$B84,0)</f>
        <v>0</v>
      </c>
      <c r="F71" s="56">
        <f>IF(F$2&gt;=Projections!$D84,Projections!$B84,0)</f>
        <v>0</v>
      </c>
      <c r="G71" s="56">
        <f>IF(G$2&gt;=Projections!$D84,Projections!$B84,0)</f>
        <v>0</v>
      </c>
      <c r="H71" s="56">
        <f>IF(H$2&gt;=Projections!$D84,Projections!$B84,0)</f>
        <v>0</v>
      </c>
      <c r="I71" s="56">
        <f>IF(I$2&gt;=Projections!$D84,Projections!$B84,0)</f>
        <v>0</v>
      </c>
      <c r="J71" s="56">
        <f>IF(J$2&gt;=Projections!$D84,Projections!$B84,0)</f>
        <v>0</v>
      </c>
      <c r="K71" s="56">
        <f>IF(K$2&gt;=Projections!$D84,Projections!$B84,0)</f>
        <v>0</v>
      </c>
      <c r="L71" s="56">
        <f>IF(L$2&gt;=Projections!$D84,Projections!$B84,0)</f>
        <v>0</v>
      </c>
      <c r="M71" s="56">
        <f>IF(M$2&gt;=Projections!$D84,Projections!$B84,0)</f>
        <v>0</v>
      </c>
      <c r="N71" s="56">
        <f>IF(N$2&gt;=Projections!$D84,Projections!$B84,0)</f>
        <v>0</v>
      </c>
      <c r="O71" s="56">
        <f>IF(O$2&gt;=Projections!$D84,Projections!$B84,0)</f>
        <v>0</v>
      </c>
      <c r="P71" s="56">
        <f>IF(P$2&gt;=Projections!$D84,Projections!$B84,0)</f>
        <v>0</v>
      </c>
      <c r="Q71" s="56">
        <f>IF(Q$2&gt;=Projections!$D84,Projections!$B84,0)</f>
        <v>0</v>
      </c>
      <c r="R71" s="56">
        <f>IF(R$2&gt;=Projections!$D84,Projections!$B84,0)</f>
        <v>0</v>
      </c>
      <c r="S71" s="56">
        <f>IF(S$2&gt;=Projections!$D84,Projections!$B84,0)</f>
        <v>0</v>
      </c>
      <c r="T71" s="56">
        <f>IF(T$2&gt;=Projections!$D84,Projections!$B84,0)</f>
        <v>0</v>
      </c>
      <c r="U71" s="56">
        <f>IF(U$2&gt;=Projections!$D84,Projections!$B84,0)</f>
        <v>0</v>
      </c>
      <c r="V71" s="56">
        <f>IF(V$2&gt;=Projections!$D84,Projections!$B84,0)</f>
        <v>0</v>
      </c>
      <c r="W71" s="56">
        <f>IF(W$2&gt;=Projections!$D84,Projections!$B84,0)</f>
        <v>0</v>
      </c>
      <c r="X71" s="56">
        <f>IF(X$2&gt;=Projections!$D84,Projections!$B84,0)</f>
        <v>0</v>
      </c>
      <c r="Y71" s="56">
        <f>IF(Y$2&gt;=Projections!$D84,Projections!$B84,0)</f>
        <v>0</v>
      </c>
      <c r="Z71" s="56">
        <f>IF(Z$2&gt;=Projections!$D84,Projections!$B84,0)</f>
        <v>0</v>
      </c>
      <c r="AA71" s="56">
        <f>IF(AA$2&gt;=Projections!$D84,Projections!$B84,0)</f>
        <v>0</v>
      </c>
      <c r="AB71" s="56">
        <f>IF(AB$2&gt;=Projections!$D84,Projections!$B84,0)</f>
        <v>0</v>
      </c>
      <c r="AC71" s="56">
        <f>IF(AC$2&gt;=Projections!$D84,Projections!$B84,0)</f>
        <v>0</v>
      </c>
      <c r="AD71" s="56">
        <f>IF(AD$2&gt;=Projections!$D84,Projections!$B84,0)</f>
        <v>0</v>
      </c>
      <c r="AE71" s="56">
        <f>IF(AE$2&gt;=Projections!$D84,Projections!$B84,0)</f>
        <v>0</v>
      </c>
      <c r="AF71" s="56">
        <f>IF(AF$2&gt;=Projections!$D84,Projections!$B84,0)</f>
        <v>0</v>
      </c>
      <c r="AG71" s="56">
        <f>IF(AG$2&gt;=Projections!$D84,Projections!$B84,0)</f>
        <v>0</v>
      </c>
      <c r="AH71" s="56">
        <f>IF(AH$2&gt;=Projections!$D84,Projections!$B84,0)</f>
        <v>0</v>
      </c>
      <c r="AI71" s="56">
        <f>IF(AI$2&gt;=Projections!$D84,Projections!$B84,0)</f>
        <v>0</v>
      </c>
      <c r="AJ71" s="56">
        <f>IF(AJ$2&gt;=Projections!$D84,Projections!$B84,0)</f>
        <v>0</v>
      </c>
      <c r="AK71" s="56">
        <f>IF(AK$2&gt;=Projections!$D84,Projections!$B84,0)</f>
        <v>0</v>
      </c>
      <c r="AL71" s="56">
        <f>IF(AL$2&gt;=Projections!$D84,Projections!$B84,0)</f>
        <v>0</v>
      </c>
      <c r="AM71" s="56">
        <f>IF(AM$2&gt;=Projections!$D84,Projections!$B84,0)</f>
        <v>0</v>
      </c>
      <c r="AN71" s="56">
        <f>IF(AN$2&gt;=Projections!$D84,Projections!$B84,0)</f>
        <v>0</v>
      </c>
      <c r="AO71" s="56">
        <f>IF(AO$2&gt;=Projections!$D84,Projections!$B84,0)</f>
        <v>0</v>
      </c>
      <c r="AP71" s="56">
        <f>IF(AP$2&gt;=Projections!$D84,Projections!$B84,0)</f>
        <v>0</v>
      </c>
      <c r="AQ71" s="56">
        <f>IF(AQ$2&gt;=Projections!$D84,Projections!$B84,0)</f>
        <v>0</v>
      </c>
      <c r="AR71" s="56">
        <f>IF(AR$2&gt;=Projections!$D84,Projections!$B84,0)</f>
        <v>0</v>
      </c>
      <c r="AS71" s="56">
        <f>IF(AS$2&gt;=Projections!$D84,Projections!$B84,0)</f>
        <v>0</v>
      </c>
      <c r="AT71" s="56">
        <f>IF(AT$2&gt;=Projections!$D84,Projections!$B84,0)</f>
        <v>0</v>
      </c>
      <c r="AU71" s="56">
        <f>IF(AU$2&gt;=Projections!$D84,Projections!$B84,0)</f>
        <v>0</v>
      </c>
      <c r="AV71" s="56">
        <f>IF(AV$2&gt;=Projections!$D84,Projections!$B84,0)</f>
        <v>0</v>
      </c>
      <c r="AW71" s="56">
        <f>IF(AW$2&gt;=Projections!$D84,Projections!$B84,0)</f>
        <v>0</v>
      </c>
      <c r="AX71" s="56">
        <f>IF(AX$2&gt;=Projections!$D84,Projections!$B84,0)</f>
        <v>0</v>
      </c>
      <c r="AY71" s="56">
        <f>IF(AY$2&gt;=Projections!$D84,Projections!$B84,0)</f>
        <v>0</v>
      </c>
      <c r="AZ71" s="56">
        <f>IF(AZ$2&gt;=Projections!$D84,Projections!$B84,0)</f>
        <v>0</v>
      </c>
      <c r="BA71" s="56">
        <f>IF(BA$2&gt;=Projections!$D84,Projections!$B84,0)</f>
        <v>0</v>
      </c>
      <c r="BB71" s="56">
        <f>IF(BB$2&gt;=Projections!$D84,Projections!$B84,0)</f>
        <v>0</v>
      </c>
      <c r="BC71" s="56">
        <f>IF(BC$2&gt;=Projections!$D84,Projections!$B84,0)</f>
        <v>0</v>
      </c>
      <c r="BD71" s="56">
        <f>IF(BD$2&gt;=Projections!$D84,Projections!$B84,0)</f>
        <v>0</v>
      </c>
      <c r="BE71" s="56">
        <f>IF(BE$2&gt;=Projections!$D84,Projections!$B84,0)</f>
        <v>0</v>
      </c>
      <c r="BF71" s="56">
        <f>IF(BF$2&gt;=Projections!$D84,Projections!$B84,0)</f>
        <v>0</v>
      </c>
      <c r="BG71" s="56">
        <f>IF(BG$2&gt;=Projections!$D84,Projections!$B84,0)</f>
        <v>0</v>
      </c>
      <c r="BH71" s="56">
        <f>IF(BH$2&gt;=Projections!$D84,Projections!$B84,0)</f>
        <v>0</v>
      </c>
      <c r="BI71" s="56">
        <f>IF(BI$2&gt;=Projections!$D84,Projections!$B84,0)</f>
        <v>0</v>
      </c>
      <c r="BJ71" s="56">
        <f>IF(BJ$2&gt;=Projections!$D84,Projections!$B84,0)</f>
        <v>0</v>
      </c>
      <c r="BK71" s="56">
        <f>IF(BK$2&gt;=Projections!$D84,Projections!$B84,0)</f>
        <v>0</v>
      </c>
      <c r="BL71" s="56">
        <f>IF(BL$2&gt;=Projections!$D84,Projections!$B84,0)</f>
        <v>0</v>
      </c>
      <c r="BM71" s="56">
        <f>IF(BM$2&gt;=Projections!$D84,Projections!$B84,0)</f>
        <v>0</v>
      </c>
      <c r="BN71" s="56">
        <f>IF(BN$2&gt;=Projections!$D84,Projections!$B84,0)</f>
        <v>0</v>
      </c>
      <c r="BO71" s="56">
        <f>IF(BO$2&gt;=Projections!$D84,Projections!$B84,0)</f>
        <v>0</v>
      </c>
      <c r="BP71" s="56">
        <f>IF(BP$2&gt;=Projections!$D84,Projections!$B84,0)</f>
        <v>0</v>
      </c>
      <c r="BQ71" s="56">
        <f>IF(BQ$2&gt;=Projections!$D84,Projections!$B84,0)</f>
        <v>0</v>
      </c>
      <c r="BR71" s="56">
        <f>IF(BR$2&gt;=Projections!$D84,Projections!$B84,0)</f>
        <v>0</v>
      </c>
      <c r="BS71" s="56">
        <f>IF(BS$2&gt;=Projections!$D84,Projections!$B84,0)</f>
        <v>0</v>
      </c>
      <c r="BT71" s="56">
        <f>IF(BT$2&gt;=Projections!$D84,Projections!$B84,0)</f>
        <v>0</v>
      </c>
      <c r="BU71" s="56">
        <f>IF(BU$2&gt;=Projections!$D84,Projections!$B84,0)</f>
        <v>0</v>
      </c>
      <c r="BV71" s="56">
        <f>IF(BV$2&gt;=Projections!$D84,Projections!$B84,0)</f>
        <v>0</v>
      </c>
      <c r="BW71" s="56">
        <f>IF(BW$2&gt;=Projections!$D84,Projections!$B84,0)</f>
        <v>0</v>
      </c>
      <c r="BX71" s="56">
        <f>IF(BX$2&gt;=Projections!$D84,Projections!$B84,0)</f>
        <v>0</v>
      </c>
      <c r="BY71" s="56">
        <f>IF(BY$2&gt;=Projections!$D84,Projections!$B84,0)</f>
        <v>0</v>
      </c>
      <c r="BZ71" s="56">
        <f>IF(BZ$2&gt;=Projections!$D84,Projections!$B84,0)</f>
        <v>0</v>
      </c>
      <c r="CA71" s="56">
        <f>IF(CA$2&gt;=Projections!$D84,Projections!$B84,0)</f>
        <v>0</v>
      </c>
      <c r="CB71" s="56">
        <f>IF(CB$2&gt;=Projections!$D84,Projections!$B84,0)</f>
        <v>0</v>
      </c>
      <c r="CC71" s="56">
        <f>IF(CC$2&gt;=Projections!$D84,Projections!$B84,0)</f>
        <v>0</v>
      </c>
      <c r="CD71" s="56">
        <f>IF(CD$2&gt;=Projections!$D84,Projections!$B84,0)</f>
        <v>0</v>
      </c>
      <c r="CE71" s="56">
        <f>IF(CE$2&gt;=Projections!$D84,Projections!$B84,0)</f>
        <v>0</v>
      </c>
      <c r="CF71" s="56">
        <f>IF(CF$2&gt;=Projections!$D84,Projections!$B84,0)</f>
        <v>0</v>
      </c>
      <c r="CG71" s="56">
        <f>IF(CG$2&gt;=Projections!$D84,Projections!$B84,0)</f>
        <v>0</v>
      </c>
      <c r="CH71" s="56">
        <f>IF(CH$2&gt;=Projections!$D84,Projections!$B84,0)</f>
        <v>0</v>
      </c>
      <c r="CI71" s="56">
        <f>IF(CI$2&gt;=Projections!$D84,Projections!$B84,0)</f>
        <v>0</v>
      </c>
      <c r="CJ71" s="56">
        <f>IF(CJ$2&gt;=Projections!$D84,Projections!$B84,0)</f>
        <v>0</v>
      </c>
      <c r="CK71" s="56">
        <f>IF(CK$2&gt;=Projections!$D84,Projections!$B84,0)</f>
        <v>0</v>
      </c>
      <c r="CL71" s="56">
        <f>IF(CL$2&gt;=Projections!$D84,Projections!$B84,0)</f>
        <v>0</v>
      </c>
      <c r="CM71" s="56">
        <f>IF(CM$2&gt;=Projections!$D84,Projections!$B84,0)</f>
        <v>0</v>
      </c>
      <c r="CN71" s="56">
        <f>IF(CN$2&gt;=Projections!$D84,Projections!$B84,0)</f>
        <v>0</v>
      </c>
      <c r="CO71" s="56">
        <f>IF(CO$2&gt;=Projections!$D84,Projections!$B84,0)</f>
        <v>0</v>
      </c>
      <c r="CP71" s="56">
        <f>IF(CP$2&gt;=Projections!$D84,Projections!$B84,0)</f>
        <v>0</v>
      </c>
      <c r="CQ71" s="56">
        <f>IF(CQ$2&gt;=Projections!$D84,Projections!$B84,0)</f>
        <v>0</v>
      </c>
      <c r="CR71" s="56">
        <f>IF(CR$2&gt;=Projections!$D84,Projections!$B84,0)</f>
        <v>0</v>
      </c>
      <c r="CS71" s="56">
        <f>IF(CS$2&gt;=Projections!$D84,Projections!$B84,0)</f>
        <v>0</v>
      </c>
      <c r="CT71" s="56">
        <f>IF(CT$2&gt;=Projections!$D84,Projections!$B84,0)</f>
        <v>0</v>
      </c>
      <c r="CU71" s="56">
        <f>IF(CU$2&gt;=Projections!$D84,Projections!$B84,0)</f>
        <v>0</v>
      </c>
      <c r="CV71" s="56">
        <f>IF(CV$2&gt;=Projections!$D84,Projections!$B84,0)</f>
        <v>0</v>
      </c>
      <c r="CW71" s="56">
        <f>IF(CW$2&gt;=Projections!$D84,Projections!$B84,0)</f>
        <v>0</v>
      </c>
      <c r="CX71" s="56">
        <f>IF(CX$2&gt;=Projections!$D84,Projections!$B84,0)</f>
        <v>0</v>
      </c>
    </row>
    <row r="72" ht="15.75" customHeight="1" outlineLevel="2">
      <c r="A72" s="134" t="str">
        <f>Projections!A85</f>
        <v>Expense 4</v>
      </c>
      <c r="B72" s="56"/>
      <c r="C72" s="56"/>
      <c r="D72" s="56"/>
      <c r="E72" s="56">
        <f>IF(E$2&gt;=Projections!$D85,Projections!$B85,0)</f>
        <v>0</v>
      </c>
      <c r="F72" s="56">
        <f>IF(F$2&gt;=Projections!$D85,Projections!$B85,0)</f>
        <v>0</v>
      </c>
      <c r="G72" s="56">
        <f>IF(G$2&gt;=Projections!$D85,Projections!$B85,0)</f>
        <v>0</v>
      </c>
      <c r="H72" s="56">
        <f>IF(H$2&gt;=Projections!$D85,Projections!$B85,0)</f>
        <v>0</v>
      </c>
      <c r="I72" s="56">
        <f>IF(I$2&gt;=Projections!$D85,Projections!$B85,0)</f>
        <v>0</v>
      </c>
      <c r="J72" s="56">
        <f>IF(J$2&gt;=Projections!$D85,Projections!$B85,0)</f>
        <v>0</v>
      </c>
      <c r="K72" s="56">
        <f>IF(K$2&gt;=Projections!$D85,Projections!$B85,0)</f>
        <v>0</v>
      </c>
      <c r="L72" s="56">
        <f>IF(L$2&gt;=Projections!$D85,Projections!$B85,0)</f>
        <v>0</v>
      </c>
      <c r="M72" s="56">
        <f>IF(M$2&gt;=Projections!$D85,Projections!$B85,0)</f>
        <v>0</v>
      </c>
      <c r="N72" s="56">
        <f>IF(N$2&gt;=Projections!$D85,Projections!$B85,0)</f>
        <v>0</v>
      </c>
      <c r="O72" s="56">
        <f>IF(O$2&gt;=Projections!$D85,Projections!$B85,0)</f>
        <v>0</v>
      </c>
      <c r="P72" s="56">
        <f>IF(P$2&gt;=Projections!$D85,Projections!$B85,0)</f>
        <v>0</v>
      </c>
      <c r="Q72" s="56">
        <f>IF(Q$2&gt;=Projections!$D85,Projections!$B85,0)</f>
        <v>0</v>
      </c>
      <c r="R72" s="56">
        <f>IF(R$2&gt;=Projections!$D85,Projections!$B85,0)</f>
        <v>0</v>
      </c>
      <c r="S72" s="56">
        <f>IF(S$2&gt;=Projections!$D85,Projections!$B85,0)</f>
        <v>0</v>
      </c>
      <c r="T72" s="56">
        <f>IF(T$2&gt;=Projections!$D85,Projections!$B85,0)</f>
        <v>0</v>
      </c>
      <c r="U72" s="56">
        <f>IF(U$2&gt;=Projections!$D85,Projections!$B85,0)</f>
        <v>0</v>
      </c>
      <c r="V72" s="56">
        <f>IF(V$2&gt;=Projections!$D85,Projections!$B85,0)</f>
        <v>0</v>
      </c>
      <c r="W72" s="56">
        <f>IF(W$2&gt;=Projections!$D85,Projections!$B85,0)</f>
        <v>0</v>
      </c>
      <c r="X72" s="56">
        <f>IF(X$2&gt;=Projections!$D85,Projections!$B85,0)</f>
        <v>0</v>
      </c>
      <c r="Y72" s="56">
        <f>IF(Y$2&gt;=Projections!$D85,Projections!$B85,0)</f>
        <v>0</v>
      </c>
      <c r="Z72" s="56">
        <f>IF(Z$2&gt;=Projections!$D85,Projections!$B85,0)</f>
        <v>0</v>
      </c>
      <c r="AA72" s="56">
        <f>IF(AA$2&gt;=Projections!$D85,Projections!$B85,0)</f>
        <v>0</v>
      </c>
      <c r="AB72" s="56">
        <f>IF(AB$2&gt;=Projections!$D85,Projections!$B85,0)</f>
        <v>0</v>
      </c>
      <c r="AC72" s="56">
        <f>IF(AC$2&gt;=Projections!$D85,Projections!$B85,0)</f>
        <v>0</v>
      </c>
      <c r="AD72" s="56">
        <f>IF(AD$2&gt;=Projections!$D85,Projections!$B85,0)</f>
        <v>0</v>
      </c>
      <c r="AE72" s="56">
        <f>IF(AE$2&gt;=Projections!$D85,Projections!$B85,0)</f>
        <v>0</v>
      </c>
      <c r="AF72" s="56">
        <f>IF(AF$2&gt;=Projections!$D85,Projections!$B85,0)</f>
        <v>0</v>
      </c>
      <c r="AG72" s="56">
        <f>IF(AG$2&gt;=Projections!$D85,Projections!$B85,0)</f>
        <v>0</v>
      </c>
      <c r="AH72" s="56">
        <f>IF(AH$2&gt;=Projections!$D85,Projections!$B85,0)</f>
        <v>0</v>
      </c>
      <c r="AI72" s="56">
        <f>IF(AI$2&gt;=Projections!$D85,Projections!$B85,0)</f>
        <v>0</v>
      </c>
      <c r="AJ72" s="56">
        <f>IF(AJ$2&gt;=Projections!$D85,Projections!$B85,0)</f>
        <v>0</v>
      </c>
      <c r="AK72" s="56">
        <f>IF(AK$2&gt;=Projections!$D85,Projections!$B85,0)</f>
        <v>0</v>
      </c>
      <c r="AL72" s="56">
        <f>IF(AL$2&gt;=Projections!$D85,Projections!$B85,0)</f>
        <v>0</v>
      </c>
      <c r="AM72" s="56">
        <f>IF(AM$2&gt;=Projections!$D85,Projections!$B85,0)</f>
        <v>0</v>
      </c>
      <c r="AN72" s="56">
        <f>IF(AN$2&gt;=Projections!$D85,Projections!$B85,0)</f>
        <v>0</v>
      </c>
      <c r="AO72" s="56">
        <f>IF(AO$2&gt;=Projections!$D85,Projections!$B85,0)</f>
        <v>0</v>
      </c>
      <c r="AP72" s="56">
        <f>IF(AP$2&gt;=Projections!$D85,Projections!$B85,0)</f>
        <v>0</v>
      </c>
      <c r="AQ72" s="56">
        <f>IF(AQ$2&gt;=Projections!$D85,Projections!$B85,0)</f>
        <v>0</v>
      </c>
      <c r="AR72" s="56">
        <f>IF(AR$2&gt;=Projections!$D85,Projections!$B85,0)</f>
        <v>0</v>
      </c>
      <c r="AS72" s="56">
        <f>IF(AS$2&gt;=Projections!$D85,Projections!$B85,0)</f>
        <v>0</v>
      </c>
      <c r="AT72" s="56">
        <f>IF(AT$2&gt;=Projections!$D85,Projections!$B85,0)</f>
        <v>0</v>
      </c>
      <c r="AU72" s="56">
        <f>IF(AU$2&gt;=Projections!$D85,Projections!$B85,0)</f>
        <v>0</v>
      </c>
      <c r="AV72" s="56">
        <f>IF(AV$2&gt;=Projections!$D85,Projections!$B85,0)</f>
        <v>0</v>
      </c>
      <c r="AW72" s="56">
        <f>IF(AW$2&gt;=Projections!$D85,Projections!$B85,0)</f>
        <v>0</v>
      </c>
      <c r="AX72" s="56">
        <f>IF(AX$2&gt;=Projections!$D85,Projections!$B85,0)</f>
        <v>0</v>
      </c>
      <c r="AY72" s="56">
        <f>IF(AY$2&gt;=Projections!$D85,Projections!$B85,0)</f>
        <v>0</v>
      </c>
      <c r="AZ72" s="56">
        <f>IF(AZ$2&gt;=Projections!$D85,Projections!$B85,0)</f>
        <v>0</v>
      </c>
      <c r="BA72" s="56">
        <f>IF(BA$2&gt;=Projections!$D85,Projections!$B85,0)</f>
        <v>0</v>
      </c>
      <c r="BB72" s="56">
        <f>IF(BB$2&gt;=Projections!$D85,Projections!$B85,0)</f>
        <v>0</v>
      </c>
      <c r="BC72" s="56">
        <f>IF(BC$2&gt;=Projections!$D85,Projections!$B85,0)</f>
        <v>0</v>
      </c>
      <c r="BD72" s="56">
        <f>IF(BD$2&gt;=Projections!$D85,Projections!$B85,0)</f>
        <v>0</v>
      </c>
      <c r="BE72" s="56">
        <f>IF(BE$2&gt;=Projections!$D85,Projections!$B85,0)</f>
        <v>0</v>
      </c>
      <c r="BF72" s="56">
        <f>IF(BF$2&gt;=Projections!$D85,Projections!$B85,0)</f>
        <v>0</v>
      </c>
      <c r="BG72" s="56">
        <f>IF(BG$2&gt;=Projections!$D85,Projections!$B85,0)</f>
        <v>0</v>
      </c>
      <c r="BH72" s="56">
        <f>IF(BH$2&gt;=Projections!$D85,Projections!$B85,0)</f>
        <v>0</v>
      </c>
      <c r="BI72" s="56">
        <f>IF(BI$2&gt;=Projections!$D85,Projections!$B85,0)</f>
        <v>0</v>
      </c>
      <c r="BJ72" s="56">
        <f>IF(BJ$2&gt;=Projections!$D85,Projections!$B85,0)</f>
        <v>0</v>
      </c>
      <c r="BK72" s="56">
        <f>IF(BK$2&gt;=Projections!$D85,Projections!$B85,0)</f>
        <v>0</v>
      </c>
      <c r="BL72" s="56">
        <f>IF(BL$2&gt;=Projections!$D85,Projections!$B85,0)</f>
        <v>0</v>
      </c>
      <c r="BM72" s="56">
        <f>IF(BM$2&gt;=Projections!$D85,Projections!$B85,0)</f>
        <v>0</v>
      </c>
      <c r="BN72" s="56">
        <f>IF(BN$2&gt;=Projections!$D85,Projections!$B85,0)</f>
        <v>0</v>
      </c>
      <c r="BO72" s="56">
        <f>IF(BO$2&gt;=Projections!$D85,Projections!$B85,0)</f>
        <v>0</v>
      </c>
      <c r="BP72" s="56">
        <f>IF(BP$2&gt;=Projections!$D85,Projections!$B85,0)</f>
        <v>0</v>
      </c>
      <c r="BQ72" s="56">
        <f>IF(BQ$2&gt;=Projections!$D85,Projections!$B85,0)</f>
        <v>0</v>
      </c>
      <c r="BR72" s="56">
        <f>IF(BR$2&gt;=Projections!$D85,Projections!$B85,0)</f>
        <v>0</v>
      </c>
      <c r="BS72" s="56">
        <f>IF(BS$2&gt;=Projections!$D85,Projections!$B85,0)</f>
        <v>0</v>
      </c>
      <c r="BT72" s="56">
        <f>IF(BT$2&gt;=Projections!$D85,Projections!$B85,0)</f>
        <v>0</v>
      </c>
      <c r="BU72" s="56">
        <f>IF(BU$2&gt;=Projections!$D85,Projections!$B85,0)</f>
        <v>0</v>
      </c>
      <c r="BV72" s="56">
        <f>IF(BV$2&gt;=Projections!$D85,Projections!$B85,0)</f>
        <v>0</v>
      </c>
      <c r="BW72" s="56">
        <f>IF(BW$2&gt;=Projections!$D85,Projections!$B85,0)</f>
        <v>0</v>
      </c>
      <c r="BX72" s="56">
        <f>IF(BX$2&gt;=Projections!$D85,Projections!$B85,0)</f>
        <v>0</v>
      </c>
      <c r="BY72" s="56">
        <f>IF(BY$2&gt;=Projections!$D85,Projections!$B85,0)</f>
        <v>0</v>
      </c>
      <c r="BZ72" s="56">
        <f>IF(BZ$2&gt;=Projections!$D85,Projections!$B85,0)</f>
        <v>0</v>
      </c>
      <c r="CA72" s="56">
        <f>IF(CA$2&gt;=Projections!$D85,Projections!$B85,0)</f>
        <v>0</v>
      </c>
      <c r="CB72" s="56">
        <f>IF(CB$2&gt;=Projections!$D85,Projections!$B85,0)</f>
        <v>0</v>
      </c>
      <c r="CC72" s="56">
        <f>IF(CC$2&gt;=Projections!$D85,Projections!$B85,0)</f>
        <v>0</v>
      </c>
      <c r="CD72" s="56">
        <f>IF(CD$2&gt;=Projections!$D85,Projections!$B85,0)</f>
        <v>0</v>
      </c>
      <c r="CE72" s="56">
        <f>IF(CE$2&gt;=Projections!$D85,Projections!$B85,0)</f>
        <v>0</v>
      </c>
      <c r="CF72" s="56">
        <f>IF(CF$2&gt;=Projections!$D85,Projections!$B85,0)</f>
        <v>0</v>
      </c>
      <c r="CG72" s="56">
        <f>IF(CG$2&gt;=Projections!$D85,Projections!$B85,0)</f>
        <v>0</v>
      </c>
      <c r="CH72" s="56">
        <f>IF(CH$2&gt;=Projections!$D85,Projections!$B85,0)</f>
        <v>0</v>
      </c>
      <c r="CI72" s="56">
        <f>IF(CI$2&gt;=Projections!$D85,Projections!$B85,0)</f>
        <v>0</v>
      </c>
      <c r="CJ72" s="56">
        <f>IF(CJ$2&gt;=Projections!$D85,Projections!$B85,0)</f>
        <v>0</v>
      </c>
      <c r="CK72" s="56">
        <f>IF(CK$2&gt;=Projections!$D85,Projections!$B85,0)</f>
        <v>0</v>
      </c>
      <c r="CL72" s="56">
        <f>IF(CL$2&gt;=Projections!$D85,Projections!$B85,0)</f>
        <v>0</v>
      </c>
      <c r="CM72" s="56">
        <f>IF(CM$2&gt;=Projections!$D85,Projections!$B85,0)</f>
        <v>0</v>
      </c>
      <c r="CN72" s="56">
        <f>IF(CN$2&gt;=Projections!$D85,Projections!$B85,0)</f>
        <v>0</v>
      </c>
      <c r="CO72" s="56">
        <f>IF(CO$2&gt;=Projections!$D85,Projections!$B85,0)</f>
        <v>0</v>
      </c>
      <c r="CP72" s="56">
        <f>IF(CP$2&gt;=Projections!$D85,Projections!$B85,0)</f>
        <v>0</v>
      </c>
      <c r="CQ72" s="56">
        <f>IF(CQ$2&gt;=Projections!$D85,Projections!$B85,0)</f>
        <v>0</v>
      </c>
      <c r="CR72" s="56">
        <f>IF(CR$2&gt;=Projections!$D85,Projections!$B85,0)</f>
        <v>0</v>
      </c>
      <c r="CS72" s="56">
        <f>IF(CS$2&gt;=Projections!$D85,Projections!$B85,0)</f>
        <v>0</v>
      </c>
      <c r="CT72" s="56">
        <f>IF(CT$2&gt;=Projections!$D85,Projections!$B85,0)</f>
        <v>0</v>
      </c>
      <c r="CU72" s="56">
        <f>IF(CU$2&gt;=Projections!$D85,Projections!$B85,0)</f>
        <v>0</v>
      </c>
      <c r="CV72" s="56">
        <f>IF(CV$2&gt;=Projections!$D85,Projections!$B85,0)</f>
        <v>0</v>
      </c>
      <c r="CW72" s="56">
        <f>IF(CW$2&gt;=Projections!$D85,Projections!$B85,0)</f>
        <v>0</v>
      </c>
      <c r="CX72" s="56">
        <f>IF(CX$2&gt;=Projections!$D85,Projections!$B85,0)</f>
        <v>0</v>
      </c>
    </row>
    <row r="73" ht="15.75" customHeight="1" outlineLevel="2">
      <c r="A73" s="134" t="str">
        <f>Projections!A86</f>
        <v>Expense 5</v>
      </c>
      <c r="B73" s="56"/>
      <c r="C73" s="56"/>
      <c r="D73" s="56"/>
      <c r="E73" s="56">
        <f>IF(E$2&gt;=Projections!$D86,Projections!$B86,0)</f>
        <v>0</v>
      </c>
      <c r="F73" s="56">
        <f>IF(F$2&gt;=Projections!$D86,Projections!$B86,0)</f>
        <v>0</v>
      </c>
      <c r="G73" s="56">
        <f>IF(G$2&gt;=Projections!$D86,Projections!$B86,0)</f>
        <v>0</v>
      </c>
      <c r="H73" s="56">
        <f>IF(H$2&gt;=Projections!$D86,Projections!$B86,0)</f>
        <v>0</v>
      </c>
      <c r="I73" s="56">
        <f>IF(I$2&gt;=Projections!$D86,Projections!$B86,0)</f>
        <v>0</v>
      </c>
      <c r="J73" s="56">
        <f>IF(J$2&gt;=Projections!$D86,Projections!$B86,0)</f>
        <v>0</v>
      </c>
      <c r="K73" s="56">
        <f>IF(K$2&gt;=Projections!$D86,Projections!$B86,0)</f>
        <v>0</v>
      </c>
      <c r="L73" s="56">
        <f>IF(L$2&gt;=Projections!$D86,Projections!$B86,0)</f>
        <v>0</v>
      </c>
      <c r="M73" s="56">
        <f>IF(M$2&gt;=Projections!$D86,Projections!$B86,0)</f>
        <v>0</v>
      </c>
      <c r="N73" s="56">
        <f>IF(N$2&gt;=Projections!$D86,Projections!$B86,0)</f>
        <v>0</v>
      </c>
      <c r="O73" s="56">
        <f>IF(O$2&gt;=Projections!$D86,Projections!$B86,0)</f>
        <v>0</v>
      </c>
      <c r="P73" s="56">
        <f>IF(P$2&gt;=Projections!$D86,Projections!$B86,0)</f>
        <v>0</v>
      </c>
      <c r="Q73" s="56">
        <f>IF(Q$2&gt;=Projections!$D86,Projections!$B86,0)</f>
        <v>0</v>
      </c>
      <c r="R73" s="56">
        <f>IF(R$2&gt;=Projections!$D86,Projections!$B86,0)</f>
        <v>0</v>
      </c>
      <c r="S73" s="56">
        <f>IF(S$2&gt;=Projections!$D86,Projections!$B86,0)</f>
        <v>0</v>
      </c>
      <c r="T73" s="56">
        <f>IF(T$2&gt;=Projections!$D86,Projections!$B86,0)</f>
        <v>0</v>
      </c>
      <c r="U73" s="56">
        <f>IF(U$2&gt;=Projections!$D86,Projections!$B86,0)</f>
        <v>0</v>
      </c>
      <c r="V73" s="56">
        <f>IF(V$2&gt;=Projections!$D86,Projections!$B86,0)</f>
        <v>0</v>
      </c>
      <c r="W73" s="56">
        <f>IF(W$2&gt;=Projections!$D86,Projections!$B86,0)</f>
        <v>0</v>
      </c>
      <c r="X73" s="56">
        <f>IF(X$2&gt;=Projections!$D86,Projections!$B86,0)</f>
        <v>0</v>
      </c>
      <c r="Y73" s="56">
        <f>IF(Y$2&gt;=Projections!$D86,Projections!$B86,0)</f>
        <v>0</v>
      </c>
      <c r="Z73" s="56">
        <f>IF(Z$2&gt;=Projections!$D86,Projections!$B86,0)</f>
        <v>0</v>
      </c>
      <c r="AA73" s="56">
        <f>IF(AA$2&gt;=Projections!$D86,Projections!$B86,0)</f>
        <v>0</v>
      </c>
      <c r="AB73" s="56">
        <f>IF(AB$2&gt;=Projections!$D86,Projections!$B86,0)</f>
        <v>0</v>
      </c>
      <c r="AC73" s="56">
        <f>IF(AC$2&gt;=Projections!$D86,Projections!$B86,0)</f>
        <v>0</v>
      </c>
      <c r="AD73" s="56">
        <f>IF(AD$2&gt;=Projections!$D86,Projections!$B86,0)</f>
        <v>0</v>
      </c>
      <c r="AE73" s="56">
        <f>IF(AE$2&gt;=Projections!$D86,Projections!$B86,0)</f>
        <v>0</v>
      </c>
      <c r="AF73" s="56">
        <f>IF(AF$2&gt;=Projections!$D86,Projections!$B86,0)</f>
        <v>0</v>
      </c>
      <c r="AG73" s="56">
        <f>IF(AG$2&gt;=Projections!$D86,Projections!$B86,0)</f>
        <v>0</v>
      </c>
      <c r="AH73" s="56">
        <f>IF(AH$2&gt;=Projections!$D86,Projections!$B86,0)</f>
        <v>0</v>
      </c>
      <c r="AI73" s="56">
        <f>IF(AI$2&gt;=Projections!$D86,Projections!$B86,0)</f>
        <v>0</v>
      </c>
      <c r="AJ73" s="56">
        <f>IF(AJ$2&gt;=Projections!$D86,Projections!$B86,0)</f>
        <v>0</v>
      </c>
      <c r="AK73" s="56">
        <f>IF(AK$2&gt;=Projections!$D86,Projections!$B86,0)</f>
        <v>0</v>
      </c>
      <c r="AL73" s="56">
        <f>IF(AL$2&gt;=Projections!$D86,Projections!$B86,0)</f>
        <v>0</v>
      </c>
      <c r="AM73" s="56">
        <f>IF(AM$2&gt;=Projections!$D86,Projections!$B86,0)</f>
        <v>0</v>
      </c>
      <c r="AN73" s="56">
        <f>IF(AN$2&gt;=Projections!$D86,Projections!$B86,0)</f>
        <v>0</v>
      </c>
      <c r="AO73" s="56">
        <f>IF(AO$2&gt;=Projections!$D86,Projections!$B86,0)</f>
        <v>0</v>
      </c>
      <c r="AP73" s="56">
        <f>IF(AP$2&gt;=Projections!$D86,Projections!$B86,0)</f>
        <v>0</v>
      </c>
      <c r="AQ73" s="56">
        <f>IF(AQ$2&gt;=Projections!$D86,Projections!$B86,0)</f>
        <v>0</v>
      </c>
      <c r="AR73" s="56">
        <f>IF(AR$2&gt;=Projections!$D86,Projections!$B86,0)</f>
        <v>0</v>
      </c>
      <c r="AS73" s="56">
        <f>IF(AS$2&gt;=Projections!$D86,Projections!$B86,0)</f>
        <v>0</v>
      </c>
      <c r="AT73" s="56">
        <f>IF(AT$2&gt;=Projections!$D86,Projections!$B86,0)</f>
        <v>0</v>
      </c>
      <c r="AU73" s="56">
        <f>IF(AU$2&gt;=Projections!$D86,Projections!$B86,0)</f>
        <v>0</v>
      </c>
      <c r="AV73" s="56">
        <f>IF(AV$2&gt;=Projections!$D86,Projections!$B86,0)</f>
        <v>0</v>
      </c>
      <c r="AW73" s="56">
        <f>IF(AW$2&gt;=Projections!$D86,Projections!$B86,0)</f>
        <v>0</v>
      </c>
      <c r="AX73" s="56">
        <f>IF(AX$2&gt;=Projections!$D86,Projections!$B86,0)</f>
        <v>0</v>
      </c>
      <c r="AY73" s="56">
        <f>IF(AY$2&gt;=Projections!$D86,Projections!$B86,0)</f>
        <v>0</v>
      </c>
      <c r="AZ73" s="56">
        <f>IF(AZ$2&gt;=Projections!$D86,Projections!$B86,0)</f>
        <v>0</v>
      </c>
      <c r="BA73" s="56">
        <f>IF(BA$2&gt;=Projections!$D86,Projections!$B86,0)</f>
        <v>0</v>
      </c>
      <c r="BB73" s="56">
        <f>IF(BB$2&gt;=Projections!$D86,Projections!$B86,0)</f>
        <v>0</v>
      </c>
      <c r="BC73" s="56">
        <f>IF(BC$2&gt;=Projections!$D86,Projections!$B86,0)</f>
        <v>0</v>
      </c>
      <c r="BD73" s="56">
        <f>IF(BD$2&gt;=Projections!$D86,Projections!$B86,0)</f>
        <v>0</v>
      </c>
      <c r="BE73" s="56">
        <f>IF(BE$2&gt;=Projections!$D86,Projections!$B86,0)</f>
        <v>0</v>
      </c>
      <c r="BF73" s="56">
        <f>IF(BF$2&gt;=Projections!$D86,Projections!$B86,0)</f>
        <v>0</v>
      </c>
      <c r="BG73" s="56">
        <f>IF(BG$2&gt;=Projections!$D86,Projections!$B86,0)</f>
        <v>0</v>
      </c>
      <c r="BH73" s="56">
        <f>IF(BH$2&gt;=Projections!$D86,Projections!$B86,0)</f>
        <v>0</v>
      </c>
      <c r="BI73" s="56">
        <f>IF(BI$2&gt;=Projections!$D86,Projections!$B86,0)</f>
        <v>0</v>
      </c>
      <c r="BJ73" s="56">
        <f>IF(BJ$2&gt;=Projections!$D86,Projections!$B86,0)</f>
        <v>0</v>
      </c>
      <c r="BK73" s="56">
        <f>IF(BK$2&gt;=Projections!$D86,Projections!$B86,0)</f>
        <v>0</v>
      </c>
      <c r="BL73" s="56">
        <f>IF(BL$2&gt;=Projections!$D86,Projections!$B86,0)</f>
        <v>0</v>
      </c>
      <c r="BM73" s="56">
        <f>IF(BM$2&gt;=Projections!$D86,Projections!$B86,0)</f>
        <v>0</v>
      </c>
      <c r="BN73" s="56">
        <f>IF(BN$2&gt;=Projections!$D86,Projections!$B86,0)</f>
        <v>0</v>
      </c>
      <c r="BO73" s="56">
        <f>IF(BO$2&gt;=Projections!$D86,Projections!$B86,0)</f>
        <v>0</v>
      </c>
      <c r="BP73" s="56">
        <f>IF(BP$2&gt;=Projections!$D86,Projections!$B86,0)</f>
        <v>0</v>
      </c>
      <c r="BQ73" s="56">
        <f>IF(BQ$2&gt;=Projections!$D86,Projections!$B86,0)</f>
        <v>0</v>
      </c>
      <c r="BR73" s="56">
        <f>IF(BR$2&gt;=Projections!$D86,Projections!$B86,0)</f>
        <v>0</v>
      </c>
      <c r="BS73" s="56">
        <f>IF(BS$2&gt;=Projections!$D86,Projections!$B86,0)</f>
        <v>0</v>
      </c>
      <c r="BT73" s="56">
        <f>IF(BT$2&gt;=Projections!$D86,Projections!$B86,0)</f>
        <v>0</v>
      </c>
      <c r="BU73" s="56">
        <f>IF(BU$2&gt;=Projections!$D86,Projections!$B86,0)</f>
        <v>0</v>
      </c>
      <c r="BV73" s="56">
        <f>IF(BV$2&gt;=Projections!$D86,Projections!$B86,0)</f>
        <v>0</v>
      </c>
      <c r="BW73" s="56">
        <f>IF(BW$2&gt;=Projections!$D86,Projections!$B86,0)</f>
        <v>0</v>
      </c>
      <c r="BX73" s="56">
        <f>IF(BX$2&gt;=Projections!$D86,Projections!$B86,0)</f>
        <v>0</v>
      </c>
      <c r="BY73" s="56">
        <f>IF(BY$2&gt;=Projections!$D86,Projections!$B86,0)</f>
        <v>0</v>
      </c>
      <c r="BZ73" s="56">
        <f>IF(BZ$2&gt;=Projections!$D86,Projections!$B86,0)</f>
        <v>0</v>
      </c>
      <c r="CA73" s="56">
        <f>IF(CA$2&gt;=Projections!$D86,Projections!$B86,0)</f>
        <v>0</v>
      </c>
      <c r="CB73" s="56">
        <f>IF(CB$2&gt;=Projections!$D86,Projections!$B86,0)</f>
        <v>0</v>
      </c>
      <c r="CC73" s="56">
        <f>IF(CC$2&gt;=Projections!$D86,Projections!$B86,0)</f>
        <v>0</v>
      </c>
      <c r="CD73" s="56">
        <f>IF(CD$2&gt;=Projections!$D86,Projections!$B86,0)</f>
        <v>0</v>
      </c>
      <c r="CE73" s="56">
        <f>IF(CE$2&gt;=Projections!$D86,Projections!$B86,0)</f>
        <v>0</v>
      </c>
      <c r="CF73" s="56">
        <f>IF(CF$2&gt;=Projections!$D86,Projections!$B86,0)</f>
        <v>0</v>
      </c>
      <c r="CG73" s="56">
        <f>IF(CG$2&gt;=Projections!$D86,Projections!$B86,0)</f>
        <v>0</v>
      </c>
      <c r="CH73" s="56">
        <f>IF(CH$2&gt;=Projections!$D86,Projections!$B86,0)</f>
        <v>0</v>
      </c>
      <c r="CI73" s="56">
        <f>IF(CI$2&gt;=Projections!$D86,Projections!$B86,0)</f>
        <v>0</v>
      </c>
      <c r="CJ73" s="56">
        <f>IF(CJ$2&gt;=Projections!$D86,Projections!$B86,0)</f>
        <v>0</v>
      </c>
      <c r="CK73" s="56">
        <f>IF(CK$2&gt;=Projections!$D86,Projections!$B86,0)</f>
        <v>0</v>
      </c>
      <c r="CL73" s="56">
        <f>IF(CL$2&gt;=Projections!$D86,Projections!$B86,0)</f>
        <v>0</v>
      </c>
      <c r="CM73" s="56">
        <f>IF(CM$2&gt;=Projections!$D86,Projections!$B86,0)</f>
        <v>0</v>
      </c>
      <c r="CN73" s="56">
        <f>IF(CN$2&gt;=Projections!$D86,Projections!$B86,0)</f>
        <v>0</v>
      </c>
      <c r="CO73" s="56">
        <f>IF(CO$2&gt;=Projections!$D86,Projections!$B86,0)</f>
        <v>0</v>
      </c>
      <c r="CP73" s="56">
        <f>IF(CP$2&gt;=Projections!$D86,Projections!$B86,0)</f>
        <v>0</v>
      </c>
      <c r="CQ73" s="56">
        <f>IF(CQ$2&gt;=Projections!$D86,Projections!$B86,0)</f>
        <v>0</v>
      </c>
      <c r="CR73" s="56">
        <f>IF(CR$2&gt;=Projections!$D86,Projections!$B86,0)</f>
        <v>0</v>
      </c>
      <c r="CS73" s="56">
        <f>IF(CS$2&gt;=Projections!$D86,Projections!$B86,0)</f>
        <v>0</v>
      </c>
      <c r="CT73" s="56">
        <f>IF(CT$2&gt;=Projections!$D86,Projections!$B86,0)</f>
        <v>0</v>
      </c>
      <c r="CU73" s="56">
        <f>IF(CU$2&gt;=Projections!$D86,Projections!$B86,0)</f>
        <v>0</v>
      </c>
      <c r="CV73" s="56">
        <f>IF(CV$2&gt;=Projections!$D86,Projections!$B86,0)</f>
        <v>0</v>
      </c>
      <c r="CW73" s="56">
        <f>IF(CW$2&gt;=Projections!$D86,Projections!$B86,0)</f>
        <v>0</v>
      </c>
      <c r="CX73" s="56">
        <f>IF(CX$2&gt;=Projections!$D86,Projections!$B86,0)</f>
        <v>0</v>
      </c>
    </row>
    <row r="74" ht="15.75" customHeight="1" outlineLevel="2">
      <c r="A74" s="134" t="str">
        <f>Projections!A87</f>
        <v>Expense 6</v>
      </c>
      <c r="B74" s="56"/>
      <c r="C74" s="56"/>
      <c r="D74" s="56"/>
      <c r="E74" s="56">
        <f>IF(E$2&gt;=Projections!$D87,Projections!$B87,0)</f>
        <v>0</v>
      </c>
      <c r="F74" s="56">
        <f>IF(F$2&gt;=Projections!$D87,Projections!$B87,0)</f>
        <v>0</v>
      </c>
      <c r="G74" s="56">
        <f>IF(G$2&gt;=Projections!$D87,Projections!$B87,0)</f>
        <v>0</v>
      </c>
      <c r="H74" s="56">
        <f>IF(H$2&gt;=Projections!$D87,Projections!$B87,0)</f>
        <v>0</v>
      </c>
      <c r="I74" s="56">
        <f>IF(I$2&gt;=Projections!$D87,Projections!$B87,0)</f>
        <v>0</v>
      </c>
      <c r="J74" s="56">
        <f>IF(J$2&gt;=Projections!$D87,Projections!$B87,0)</f>
        <v>0</v>
      </c>
      <c r="K74" s="56">
        <f>IF(K$2&gt;=Projections!$D87,Projections!$B87,0)</f>
        <v>0</v>
      </c>
      <c r="L74" s="56">
        <f>IF(L$2&gt;=Projections!$D87,Projections!$B87,0)</f>
        <v>0</v>
      </c>
      <c r="M74" s="56">
        <f>IF(M$2&gt;=Projections!$D87,Projections!$B87,0)</f>
        <v>0</v>
      </c>
      <c r="N74" s="56">
        <f>IF(N$2&gt;=Projections!$D87,Projections!$B87,0)</f>
        <v>0</v>
      </c>
      <c r="O74" s="56">
        <f>IF(O$2&gt;=Projections!$D87,Projections!$B87,0)</f>
        <v>0</v>
      </c>
      <c r="P74" s="56">
        <f>IF(P$2&gt;=Projections!$D87,Projections!$B87,0)</f>
        <v>0</v>
      </c>
      <c r="Q74" s="56">
        <f>IF(Q$2&gt;=Projections!$D87,Projections!$B87,0)</f>
        <v>0</v>
      </c>
      <c r="R74" s="56">
        <f>IF(R$2&gt;=Projections!$D87,Projections!$B87,0)</f>
        <v>0</v>
      </c>
      <c r="S74" s="56">
        <f>IF(S$2&gt;=Projections!$D87,Projections!$B87,0)</f>
        <v>0</v>
      </c>
      <c r="T74" s="56">
        <f>IF(T$2&gt;=Projections!$D87,Projections!$B87,0)</f>
        <v>0</v>
      </c>
      <c r="U74" s="56">
        <f>IF(U$2&gt;=Projections!$D87,Projections!$B87,0)</f>
        <v>0</v>
      </c>
      <c r="V74" s="56">
        <f>IF(V$2&gt;=Projections!$D87,Projections!$B87,0)</f>
        <v>0</v>
      </c>
      <c r="W74" s="56">
        <f>IF(W$2&gt;=Projections!$D87,Projections!$B87,0)</f>
        <v>0</v>
      </c>
      <c r="X74" s="56">
        <f>IF(X$2&gt;=Projections!$D87,Projections!$B87,0)</f>
        <v>0</v>
      </c>
      <c r="Y74" s="56">
        <f>IF(Y$2&gt;=Projections!$D87,Projections!$B87,0)</f>
        <v>0</v>
      </c>
      <c r="Z74" s="56">
        <f>IF(Z$2&gt;=Projections!$D87,Projections!$B87,0)</f>
        <v>0</v>
      </c>
      <c r="AA74" s="56">
        <f>IF(AA$2&gt;=Projections!$D87,Projections!$B87,0)</f>
        <v>0</v>
      </c>
      <c r="AB74" s="56">
        <f>IF(AB$2&gt;=Projections!$D87,Projections!$B87,0)</f>
        <v>0</v>
      </c>
      <c r="AC74" s="56">
        <f>IF(AC$2&gt;=Projections!$D87,Projections!$B87,0)</f>
        <v>0</v>
      </c>
      <c r="AD74" s="56">
        <f>IF(AD$2&gt;=Projections!$D87,Projections!$B87,0)</f>
        <v>0</v>
      </c>
      <c r="AE74" s="56">
        <f>IF(AE$2&gt;=Projections!$D87,Projections!$B87,0)</f>
        <v>0</v>
      </c>
      <c r="AF74" s="56">
        <f>IF(AF$2&gt;=Projections!$D87,Projections!$B87,0)</f>
        <v>0</v>
      </c>
      <c r="AG74" s="56">
        <f>IF(AG$2&gt;=Projections!$D87,Projections!$B87,0)</f>
        <v>0</v>
      </c>
      <c r="AH74" s="56">
        <f>IF(AH$2&gt;=Projections!$D87,Projections!$B87,0)</f>
        <v>0</v>
      </c>
      <c r="AI74" s="56">
        <f>IF(AI$2&gt;=Projections!$D87,Projections!$B87,0)</f>
        <v>0</v>
      </c>
      <c r="AJ74" s="56">
        <f>IF(AJ$2&gt;=Projections!$D87,Projections!$B87,0)</f>
        <v>0</v>
      </c>
      <c r="AK74" s="56">
        <f>IF(AK$2&gt;=Projections!$D87,Projections!$B87,0)</f>
        <v>0</v>
      </c>
      <c r="AL74" s="56">
        <f>IF(AL$2&gt;=Projections!$D87,Projections!$B87,0)</f>
        <v>0</v>
      </c>
      <c r="AM74" s="56">
        <f>IF(AM$2&gt;=Projections!$D87,Projections!$B87,0)</f>
        <v>0</v>
      </c>
      <c r="AN74" s="56">
        <f>IF(AN$2&gt;=Projections!$D87,Projections!$B87,0)</f>
        <v>0</v>
      </c>
      <c r="AO74" s="56">
        <f>IF(AO$2&gt;=Projections!$D87,Projections!$B87,0)</f>
        <v>0</v>
      </c>
      <c r="AP74" s="56">
        <f>IF(AP$2&gt;=Projections!$D87,Projections!$B87,0)</f>
        <v>0</v>
      </c>
      <c r="AQ74" s="56">
        <f>IF(AQ$2&gt;=Projections!$D87,Projections!$B87,0)</f>
        <v>0</v>
      </c>
      <c r="AR74" s="56">
        <f>IF(AR$2&gt;=Projections!$D87,Projections!$B87,0)</f>
        <v>0</v>
      </c>
      <c r="AS74" s="56">
        <f>IF(AS$2&gt;=Projections!$D87,Projections!$B87,0)</f>
        <v>0</v>
      </c>
      <c r="AT74" s="56">
        <f>IF(AT$2&gt;=Projections!$D87,Projections!$B87,0)</f>
        <v>0</v>
      </c>
      <c r="AU74" s="56">
        <f>IF(AU$2&gt;=Projections!$D87,Projections!$B87,0)</f>
        <v>0</v>
      </c>
      <c r="AV74" s="56">
        <f>IF(AV$2&gt;=Projections!$D87,Projections!$B87,0)</f>
        <v>0</v>
      </c>
      <c r="AW74" s="56">
        <f>IF(AW$2&gt;=Projections!$D87,Projections!$B87,0)</f>
        <v>0</v>
      </c>
      <c r="AX74" s="56">
        <f>IF(AX$2&gt;=Projections!$D87,Projections!$B87,0)</f>
        <v>0</v>
      </c>
      <c r="AY74" s="56">
        <f>IF(AY$2&gt;=Projections!$D87,Projections!$B87,0)</f>
        <v>0</v>
      </c>
      <c r="AZ74" s="56">
        <f>IF(AZ$2&gt;=Projections!$D87,Projections!$B87,0)</f>
        <v>0</v>
      </c>
      <c r="BA74" s="56">
        <f>IF(BA$2&gt;=Projections!$D87,Projections!$B87,0)</f>
        <v>0</v>
      </c>
      <c r="BB74" s="56">
        <f>IF(BB$2&gt;=Projections!$D87,Projections!$B87,0)</f>
        <v>0</v>
      </c>
      <c r="BC74" s="56">
        <f>IF(BC$2&gt;=Projections!$D87,Projections!$B87,0)</f>
        <v>0</v>
      </c>
      <c r="BD74" s="56">
        <f>IF(BD$2&gt;=Projections!$D87,Projections!$B87,0)</f>
        <v>0</v>
      </c>
      <c r="BE74" s="56">
        <f>IF(BE$2&gt;=Projections!$D87,Projections!$B87,0)</f>
        <v>0</v>
      </c>
      <c r="BF74" s="56">
        <f>IF(BF$2&gt;=Projections!$D87,Projections!$B87,0)</f>
        <v>0</v>
      </c>
      <c r="BG74" s="56">
        <f>IF(BG$2&gt;=Projections!$D87,Projections!$B87,0)</f>
        <v>0</v>
      </c>
      <c r="BH74" s="56">
        <f>IF(BH$2&gt;=Projections!$D87,Projections!$B87,0)</f>
        <v>0</v>
      </c>
      <c r="BI74" s="56">
        <f>IF(BI$2&gt;=Projections!$D87,Projections!$B87,0)</f>
        <v>0</v>
      </c>
      <c r="BJ74" s="56">
        <f>IF(BJ$2&gt;=Projections!$D87,Projections!$B87,0)</f>
        <v>0</v>
      </c>
      <c r="BK74" s="56">
        <f>IF(BK$2&gt;=Projections!$D87,Projections!$B87,0)</f>
        <v>0</v>
      </c>
      <c r="BL74" s="56">
        <f>IF(BL$2&gt;=Projections!$D87,Projections!$B87,0)</f>
        <v>0</v>
      </c>
      <c r="BM74" s="56">
        <f>IF(BM$2&gt;=Projections!$D87,Projections!$B87,0)</f>
        <v>0</v>
      </c>
      <c r="BN74" s="56">
        <f>IF(BN$2&gt;=Projections!$D87,Projections!$B87,0)</f>
        <v>0</v>
      </c>
      <c r="BO74" s="56">
        <f>IF(BO$2&gt;=Projections!$D87,Projections!$B87,0)</f>
        <v>0</v>
      </c>
      <c r="BP74" s="56">
        <f>IF(BP$2&gt;=Projections!$D87,Projections!$B87,0)</f>
        <v>0</v>
      </c>
      <c r="BQ74" s="56">
        <f>IF(BQ$2&gt;=Projections!$D87,Projections!$B87,0)</f>
        <v>0</v>
      </c>
      <c r="BR74" s="56">
        <f>IF(BR$2&gt;=Projections!$D87,Projections!$B87,0)</f>
        <v>0</v>
      </c>
      <c r="BS74" s="56">
        <f>IF(BS$2&gt;=Projections!$D87,Projections!$B87,0)</f>
        <v>0</v>
      </c>
      <c r="BT74" s="56">
        <f>IF(BT$2&gt;=Projections!$D87,Projections!$B87,0)</f>
        <v>0</v>
      </c>
      <c r="BU74" s="56">
        <f>IF(BU$2&gt;=Projections!$D87,Projections!$B87,0)</f>
        <v>0</v>
      </c>
      <c r="BV74" s="56">
        <f>IF(BV$2&gt;=Projections!$D87,Projections!$B87,0)</f>
        <v>0</v>
      </c>
      <c r="BW74" s="56">
        <f>IF(BW$2&gt;=Projections!$D87,Projections!$B87,0)</f>
        <v>0</v>
      </c>
      <c r="BX74" s="56">
        <f>IF(BX$2&gt;=Projections!$D87,Projections!$B87,0)</f>
        <v>0</v>
      </c>
      <c r="BY74" s="56">
        <f>IF(BY$2&gt;=Projections!$D87,Projections!$B87,0)</f>
        <v>0</v>
      </c>
      <c r="BZ74" s="56">
        <f>IF(BZ$2&gt;=Projections!$D87,Projections!$B87,0)</f>
        <v>0</v>
      </c>
      <c r="CA74" s="56">
        <f>IF(CA$2&gt;=Projections!$D87,Projections!$B87,0)</f>
        <v>0</v>
      </c>
      <c r="CB74" s="56">
        <f>IF(CB$2&gt;=Projections!$D87,Projections!$B87,0)</f>
        <v>0</v>
      </c>
      <c r="CC74" s="56">
        <f>IF(CC$2&gt;=Projections!$D87,Projections!$B87,0)</f>
        <v>0</v>
      </c>
      <c r="CD74" s="56">
        <f>IF(CD$2&gt;=Projections!$D87,Projections!$B87,0)</f>
        <v>0</v>
      </c>
      <c r="CE74" s="56">
        <f>IF(CE$2&gt;=Projections!$D87,Projections!$B87,0)</f>
        <v>0</v>
      </c>
      <c r="CF74" s="56">
        <f>IF(CF$2&gt;=Projections!$D87,Projections!$B87,0)</f>
        <v>0</v>
      </c>
      <c r="CG74" s="56">
        <f>IF(CG$2&gt;=Projections!$D87,Projections!$B87,0)</f>
        <v>0</v>
      </c>
      <c r="CH74" s="56">
        <f>IF(CH$2&gt;=Projections!$D87,Projections!$B87,0)</f>
        <v>0</v>
      </c>
      <c r="CI74" s="56">
        <f>IF(CI$2&gt;=Projections!$D87,Projections!$B87,0)</f>
        <v>0</v>
      </c>
      <c r="CJ74" s="56">
        <f>IF(CJ$2&gt;=Projections!$D87,Projections!$B87,0)</f>
        <v>0</v>
      </c>
      <c r="CK74" s="56">
        <f>IF(CK$2&gt;=Projections!$D87,Projections!$B87,0)</f>
        <v>0</v>
      </c>
      <c r="CL74" s="56">
        <f>IF(CL$2&gt;=Projections!$D87,Projections!$B87,0)</f>
        <v>0</v>
      </c>
      <c r="CM74" s="56">
        <f>IF(CM$2&gt;=Projections!$D87,Projections!$B87,0)</f>
        <v>0</v>
      </c>
      <c r="CN74" s="56">
        <f>IF(CN$2&gt;=Projections!$D87,Projections!$B87,0)</f>
        <v>0</v>
      </c>
      <c r="CO74" s="56">
        <f>IF(CO$2&gt;=Projections!$D87,Projections!$B87,0)</f>
        <v>0</v>
      </c>
      <c r="CP74" s="56">
        <f>IF(CP$2&gt;=Projections!$D87,Projections!$B87,0)</f>
        <v>0</v>
      </c>
      <c r="CQ74" s="56">
        <f>IF(CQ$2&gt;=Projections!$D87,Projections!$B87,0)</f>
        <v>0</v>
      </c>
      <c r="CR74" s="56">
        <f>IF(CR$2&gt;=Projections!$D87,Projections!$B87,0)</f>
        <v>0</v>
      </c>
      <c r="CS74" s="56">
        <f>IF(CS$2&gt;=Projections!$D87,Projections!$B87,0)</f>
        <v>0</v>
      </c>
      <c r="CT74" s="56">
        <f>IF(CT$2&gt;=Projections!$D87,Projections!$B87,0)</f>
        <v>0</v>
      </c>
      <c r="CU74" s="56">
        <f>IF(CU$2&gt;=Projections!$D87,Projections!$B87,0)</f>
        <v>0</v>
      </c>
      <c r="CV74" s="56">
        <f>IF(CV$2&gt;=Projections!$D87,Projections!$B87,0)</f>
        <v>0</v>
      </c>
      <c r="CW74" s="56">
        <f>IF(CW$2&gt;=Projections!$D87,Projections!$B87,0)</f>
        <v>0</v>
      </c>
      <c r="CX74" s="56">
        <f>IF(CX$2&gt;=Projections!$D87,Projections!$B87,0)</f>
        <v>0</v>
      </c>
    </row>
    <row r="75" ht="15.75" customHeight="1" outlineLevel="2">
      <c r="A75" s="134" t="str">
        <f>Projections!A88</f>
        <v>Expense 7</v>
      </c>
      <c r="B75" s="56"/>
      <c r="C75" s="56"/>
      <c r="D75" s="56"/>
      <c r="E75" s="56">
        <f>IF(E$2&gt;=Projections!$D88,Projections!$B88,0)</f>
        <v>0</v>
      </c>
      <c r="F75" s="56">
        <f>IF(F$2&gt;=Projections!$D88,Projections!$B88,0)</f>
        <v>0</v>
      </c>
      <c r="G75" s="56">
        <f>IF(G$2&gt;=Projections!$D88,Projections!$B88,0)</f>
        <v>0</v>
      </c>
      <c r="H75" s="56">
        <f>IF(H$2&gt;=Projections!$D88,Projections!$B88,0)</f>
        <v>0</v>
      </c>
      <c r="I75" s="56">
        <f>IF(I$2&gt;=Projections!$D88,Projections!$B88,0)</f>
        <v>0</v>
      </c>
      <c r="J75" s="56">
        <f>IF(J$2&gt;=Projections!$D88,Projections!$B88,0)</f>
        <v>0</v>
      </c>
      <c r="K75" s="56">
        <f>IF(K$2&gt;=Projections!$D88,Projections!$B88,0)</f>
        <v>0</v>
      </c>
      <c r="L75" s="56">
        <f>IF(L$2&gt;=Projections!$D88,Projections!$B88,0)</f>
        <v>0</v>
      </c>
      <c r="M75" s="56">
        <f>IF(M$2&gt;=Projections!$D88,Projections!$B88,0)</f>
        <v>0</v>
      </c>
      <c r="N75" s="56">
        <f>IF(N$2&gt;=Projections!$D88,Projections!$B88,0)</f>
        <v>0</v>
      </c>
      <c r="O75" s="56">
        <f>IF(O$2&gt;=Projections!$D88,Projections!$B88,0)</f>
        <v>0</v>
      </c>
      <c r="P75" s="56">
        <f>IF(P$2&gt;=Projections!$D88,Projections!$B88,0)</f>
        <v>0</v>
      </c>
      <c r="Q75" s="56">
        <f>IF(Q$2&gt;=Projections!$D88,Projections!$B88,0)</f>
        <v>0</v>
      </c>
      <c r="R75" s="56">
        <f>IF(R$2&gt;=Projections!$D88,Projections!$B88,0)</f>
        <v>0</v>
      </c>
      <c r="S75" s="56">
        <f>IF(S$2&gt;=Projections!$D88,Projections!$B88,0)</f>
        <v>0</v>
      </c>
      <c r="T75" s="56">
        <f>IF(T$2&gt;=Projections!$D88,Projections!$B88,0)</f>
        <v>0</v>
      </c>
      <c r="U75" s="56">
        <f>IF(U$2&gt;=Projections!$D88,Projections!$B88,0)</f>
        <v>0</v>
      </c>
      <c r="V75" s="56">
        <f>IF(V$2&gt;=Projections!$D88,Projections!$B88,0)</f>
        <v>0</v>
      </c>
      <c r="W75" s="56">
        <f>IF(W$2&gt;=Projections!$D88,Projections!$B88,0)</f>
        <v>0</v>
      </c>
      <c r="X75" s="56">
        <f>IF(X$2&gt;=Projections!$D88,Projections!$B88,0)</f>
        <v>0</v>
      </c>
      <c r="Y75" s="56">
        <f>IF(Y$2&gt;=Projections!$D88,Projections!$B88,0)</f>
        <v>0</v>
      </c>
      <c r="Z75" s="56">
        <f>IF(Z$2&gt;=Projections!$D88,Projections!$B88,0)</f>
        <v>0</v>
      </c>
      <c r="AA75" s="56">
        <f>IF(AA$2&gt;=Projections!$D88,Projections!$B88,0)</f>
        <v>0</v>
      </c>
      <c r="AB75" s="56">
        <f>IF(AB$2&gt;=Projections!$D88,Projections!$B88,0)</f>
        <v>0</v>
      </c>
      <c r="AC75" s="56">
        <f>IF(AC$2&gt;=Projections!$D88,Projections!$B88,0)</f>
        <v>0</v>
      </c>
      <c r="AD75" s="56">
        <f>IF(AD$2&gt;=Projections!$D88,Projections!$B88,0)</f>
        <v>0</v>
      </c>
      <c r="AE75" s="56">
        <f>IF(AE$2&gt;=Projections!$D88,Projections!$B88,0)</f>
        <v>0</v>
      </c>
      <c r="AF75" s="56">
        <f>IF(AF$2&gt;=Projections!$D88,Projections!$B88,0)</f>
        <v>0</v>
      </c>
      <c r="AG75" s="56">
        <f>IF(AG$2&gt;=Projections!$D88,Projections!$B88,0)</f>
        <v>0</v>
      </c>
      <c r="AH75" s="56">
        <f>IF(AH$2&gt;=Projections!$D88,Projections!$B88,0)</f>
        <v>0</v>
      </c>
      <c r="AI75" s="56">
        <f>IF(AI$2&gt;=Projections!$D88,Projections!$B88,0)</f>
        <v>0</v>
      </c>
      <c r="AJ75" s="56">
        <f>IF(AJ$2&gt;=Projections!$D88,Projections!$B88,0)</f>
        <v>0</v>
      </c>
      <c r="AK75" s="56">
        <f>IF(AK$2&gt;=Projections!$D88,Projections!$B88,0)</f>
        <v>0</v>
      </c>
      <c r="AL75" s="56">
        <f>IF(AL$2&gt;=Projections!$D88,Projections!$B88,0)</f>
        <v>0</v>
      </c>
      <c r="AM75" s="56">
        <f>IF(AM$2&gt;=Projections!$D88,Projections!$B88,0)</f>
        <v>0</v>
      </c>
      <c r="AN75" s="56">
        <f>IF(AN$2&gt;=Projections!$D88,Projections!$B88,0)</f>
        <v>0</v>
      </c>
      <c r="AO75" s="56">
        <f>IF(AO$2&gt;=Projections!$D88,Projections!$B88,0)</f>
        <v>0</v>
      </c>
      <c r="AP75" s="56">
        <f>IF(AP$2&gt;=Projections!$D88,Projections!$B88,0)</f>
        <v>0</v>
      </c>
      <c r="AQ75" s="56">
        <f>IF(AQ$2&gt;=Projections!$D88,Projections!$B88,0)</f>
        <v>0</v>
      </c>
      <c r="AR75" s="56">
        <f>IF(AR$2&gt;=Projections!$D88,Projections!$B88,0)</f>
        <v>0</v>
      </c>
      <c r="AS75" s="56">
        <f>IF(AS$2&gt;=Projections!$D88,Projections!$B88,0)</f>
        <v>0</v>
      </c>
      <c r="AT75" s="56">
        <f>IF(AT$2&gt;=Projections!$D88,Projections!$B88,0)</f>
        <v>0</v>
      </c>
      <c r="AU75" s="56">
        <f>IF(AU$2&gt;=Projections!$D88,Projections!$B88,0)</f>
        <v>0</v>
      </c>
      <c r="AV75" s="56">
        <f>IF(AV$2&gt;=Projections!$D88,Projections!$B88,0)</f>
        <v>0</v>
      </c>
      <c r="AW75" s="56">
        <f>IF(AW$2&gt;=Projections!$D88,Projections!$B88,0)</f>
        <v>0</v>
      </c>
      <c r="AX75" s="56">
        <f>IF(AX$2&gt;=Projections!$D88,Projections!$B88,0)</f>
        <v>0</v>
      </c>
      <c r="AY75" s="56">
        <f>IF(AY$2&gt;=Projections!$D88,Projections!$B88,0)</f>
        <v>0</v>
      </c>
      <c r="AZ75" s="56">
        <f>IF(AZ$2&gt;=Projections!$D88,Projections!$B88,0)</f>
        <v>0</v>
      </c>
      <c r="BA75" s="56">
        <f>IF(BA$2&gt;=Projections!$D88,Projections!$B88,0)</f>
        <v>0</v>
      </c>
      <c r="BB75" s="56">
        <f>IF(BB$2&gt;=Projections!$D88,Projections!$B88,0)</f>
        <v>0</v>
      </c>
      <c r="BC75" s="56">
        <f>IF(BC$2&gt;=Projections!$D88,Projections!$B88,0)</f>
        <v>0</v>
      </c>
      <c r="BD75" s="56">
        <f>IF(BD$2&gt;=Projections!$D88,Projections!$B88,0)</f>
        <v>0</v>
      </c>
      <c r="BE75" s="56">
        <f>IF(BE$2&gt;=Projections!$D88,Projections!$B88,0)</f>
        <v>0</v>
      </c>
      <c r="BF75" s="56">
        <f>IF(BF$2&gt;=Projections!$D88,Projections!$B88,0)</f>
        <v>0</v>
      </c>
      <c r="BG75" s="56">
        <f>IF(BG$2&gt;=Projections!$D88,Projections!$B88,0)</f>
        <v>0</v>
      </c>
      <c r="BH75" s="56">
        <f>IF(BH$2&gt;=Projections!$D88,Projections!$B88,0)</f>
        <v>0</v>
      </c>
      <c r="BI75" s="56">
        <f>IF(BI$2&gt;=Projections!$D88,Projections!$B88,0)</f>
        <v>0</v>
      </c>
      <c r="BJ75" s="56">
        <f>IF(BJ$2&gt;=Projections!$D88,Projections!$B88,0)</f>
        <v>0</v>
      </c>
      <c r="BK75" s="56">
        <f>IF(BK$2&gt;=Projections!$D88,Projections!$B88,0)</f>
        <v>0</v>
      </c>
      <c r="BL75" s="56">
        <f>IF(BL$2&gt;=Projections!$D88,Projections!$B88,0)</f>
        <v>0</v>
      </c>
      <c r="BM75" s="56">
        <f>IF(BM$2&gt;=Projections!$D88,Projections!$B88,0)</f>
        <v>0</v>
      </c>
      <c r="BN75" s="56">
        <f>IF(BN$2&gt;=Projections!$D88,Projections!$B88,0)</f>
        <v>0</v>
      </c>
      <c r="BO75" s="56">
        <f>IF(BO$2&gt;=Projections!$D88,Projections!$B88,0)</f>
        <v>0</v>
      </c>
      <c r="BP75" s="56">
        <f>IF(BP$2&gt;=Projections!$D88,Projections!$B88,0)</f>
        <v>0</v>
      </c>
      <c r="BQ75" s="56">
        <f>IF(BQ$2&gt;=Projections!$D88,Projections!$B88,0)</f>
        <v>0</v>
      </c>
      <c r="BR75" s="56">
        <f>IF(BR$2&gt;=Projections!$D88,Projections!$B88,0)</f>
        <v>0</v>
      </c>
      <c r="BS75" s="56">
        <f>IF(BS$2&gt;=Projections!$D88,Projections!$B88,0)</f>
        <v>0</v>
      </c>
      <c r="BT75" s="56">
        <f>IF(BT$2&gt;=Projections!$D88,Projections!$B88,0)</f>
        <v>0</v>
      </c>
      <c r="BU75" s="56">
        <f>IF(BU$2&gt;=Projections!$D88,Projections!$B88,0)</f>
        <v>0</v>
      </c>
      <c r="BV75" s="56">
        <f>IF(BV$2&gt;=Projections!$D88,Projections!$B88,0)</f>
        <v>0</v>
      </c>
      <c r="BW75" s="56">
        <f>IF(BW$2&gt;=Projections!$D88,Projections!$B88,0)</f>
        <v>0</v>
      </c>
      <c r="BX75" s="56">
        <f>IF(BX$2&gt;=Projections!$D88,Projections!$B88,0)</f>
        <v>0</v>
      </c>
      <c r="BY75" s="56">
        <f>IF(BY$2&gt;=Projections!$D88,Projections!$B88,0)</f>
        <v>0</v>
      </c>
      <c r="BZ75" s="56">
        <f>IF(BZ$2&gt;=Projections!$D88,Projections!$B88,0)</f>
        <v>0</v>
      </c>
      <c r="CA75" s="56">
        <f>IF(CA$2&gt;=Projections!$D88,Projections!$B88,0)</f>
        <v>0</v>
      </c>
      <c r="CB75" s="56">
        <f>IF(CB$2&gt;=Projections!$D88,Projections!$B88,0)</f>
        <v>0</v>
      </c>
      <c r="CC75" s="56">
        <f>IF(CC$2&gt;=Projections!$D88,Projections!$B88,0)</f>
        <v>0</v>
      </c>
      <c r="CD75" s="56">
        <f>IF(CD$2&gt;=Projections!$D88,Projections!$B88,0)</f>
        <v>0</v>
      </c>
      <c r="CE75" s="56">
        <f>IF(CE$2&gt;=Projections!$D88,Projections!$B88,0)</f>
        <v>0</v>
      </c>
      <c r="CF75" s="56">
        <f>IF(CF$2&gt;=Projections!$D88,Projections!$B88,0)</f>
        <v>0</v>
      </c>
      <c r="CG75" s="56">
        <f>IF(CG$2&gt;=Projections!$D88,Projections!$B88,0)</f>
        <v>0</v>
      </c>
      <c r="CH75" s="56">
        <f>IF(CH$2&gt;=Projections!$D88,Projections!$B88,0)</f>
        <v>0</v>
      </c>
      <c r="CI75" s="56">
        <f>IF(CI$2&gt;=Projections!$D88,Projections!$B88,0)</f>
        <v>0</v>
      </c>
      <c r="CJ75" s="56">
        <f>IF(CJ$2&gt;=Projections!$D88,Projections!$B88,0)</f>
        <v>0</v>
      </c>
      <c r="CK75" s="56">
        <f>IF(CK$2&gt;=Projections!$D88,Projections!$B88,0)</f>
        <v>0</v>
      </c>
      <c r="CL75" s="56">
        <f>IF(CL$2&gt;=Projections!$D88,Projections!$B88,0)</f>
        <v>0</v>
      </c>
      <c r="CM75" s="56">
        <f>IF(CM$2&gt;=Projections!$D88,Projections!$B88,0)</f>
        <v>0</v>
      </c>
      <c r="CN75" s="56">
        <f>IF(CN$2&gt;=Projections!$D88,Projections!$B88,0)</f>
        <v>0</v>
      </c>
      <c r="CO75" s="56">
        <f>IF(CO$2&gt;=Projections!$D88,Projections!$B88,0)</f>
        <v>0</v>
      </c>
      <c r="CP75" s="56">
        <f>IF(CP$2&gt;=Projections!$D88,Projections!$B88,0)</f>
        <v>0</v>
      </c>
      <c r="CQ75" s="56">
        <f>IF(CQ$2&gt;=Projections!$D88,Projections!$B88,0)</f>
        <v>0</v>
      </c>
      <c r="CR75" s="56">
        <f>IF(CR$2&gt;=Projections!$D88,Projections!$B88,0)</f>
        <v>0</v>
      </c>
      <c r="CS75" s="56">
        <f>IF(CS$2&gt;=Projections!$D88,Projections!$B88,0)</f>
        <v>0</v>
      </c>
      <c r="CT75" s="56">
        <f>IF(CT$2&gt;=Projections!$D88,Projections!$B88,0)</f>
        <v>0</v>
      </c>
      <c r="CU75" s="56">
        <f>IF(CU$2&gt;=Projections!$D88,Projections!$B88,0)</f>
        <v>0</v>
      </c>
      <c r="CV75" s="56">
        <f>IF(CV$2&gt;=Projections!$D88,Projections!$B88,0)</f>
        <v>0</v>
      </c>
      <c r="CW75" s="56">
        <f>IF(CW$2&gt;=Projections!$D88,Projections!$B88,0)</f>
        <v>0</v>
      </c>
      <c r="CX75" s="56">
        <f>IF(CX$2&gt;=Projections!$D88,Projections!$B88,0)</f>
        <v>0</v>
      </c>
    </row>
    <row r="76" ht="15.75" customHeight="1" outlineLevel="2">
      <c r="A76" s="134" t="str">
        <f>Projections!A89</f>
        <v>Expense 8</v>
      </c>
      <c r="B76" s="56"/>
      <c r="C76" s="56"/>
      <c r="D76" s="56"/>
      <c r="E76" s="56">
        <f>IF(E$2&gt;=Projections!$D89,Projections!$B89,0)</f>
        <v>0</v>
      </c>
      <c r="F76" s="56">
        <f>IF(F$2&gt;=Projections!$D89,Projections!$B89,0)</f>
        <v>0</v>
      </c>
      <c r="G76" s="56">
        <f>IF(G$2&gt;=Projections!$D89,Projections!$B89,0)</f>
        <v>0</v>
      </c>
      <c r="H76" s="56">
        <f>IF(H$2&gt;=Projections!$D89,Projections!$B89,0)</f>
        <v>0</v>
      </c>
      <c r="I76" s="56">
        <f>IF(I$2&gt;=Projections!$D89,Projections!$B89,0)</f>
        <v>0</v>
      </c>
      <c r="J76" s="56">
        <f>IF(J$2&gt;=Projections!$D89,Projections!$B89,0)</f>
        <v>0</v>
      </c>
      <c r="K76" s="56">
        <f>IF(K$2&gt;=Projections!$D89,Projections!$B89,0)</f>
        <v>0</v>
      </c>
      <c r="L76" s="56">
        <f>IF(L$2&gt;=Projections!$D89,Projections!$B89,0)</f>
        <v>0</v>
      </c>
      <c r="M76" s="56">
        <f>IF(M$2&gt;=Projections!$D89,Projections!$B89,0)</f>
        <v>0</v>
      </c>
      <c r="N76" s="56">
        <f>IF(N$2&gt;=Projections!$D89,Projections!$B89,0)</f>
        <v>0</v>
      </c>
      <c r="O76" s="56">
        <f>IF(O$2&gt;=Projections!$D89,Projections!$B89,0)</f>
        <v>0</v>
      </c>
      <c r="P76" s="56">
        <f>IF(P$2&gt;=Projections!$D89,Projections!$B89,0)</f>
        <v>0</v>
      </c>
      <c r="Q76" s="56">
        <f>IF(Q$2&gt;=Projections!$D89,Projections!$B89,0)</f>
        <v>0</v>
      </c>
      <c r="R76" s="56">
        <f>IF(R$2&gt;=Projections!$D89,Projections!$B89,0)</f>
        <v>0</v>
      </c>
      <c r="S76" s="56">
        <f>IF(S$2&gt;=Projections!$D89,Projections!$B89,0)</f>
        <v>0</v>
      </c>
      <c r="T76" s="56">
        <f>IF(T$2&gt;=Projections!$D89,Projections!$B89,0)</f>
        <v>0</v>
      </c>
      <c r="U76" s="56">
        <f>IF(U$2&gt;=Projections!$D89,Projections!$B89,0)</f>
        <v>0</v>
      </c>
      <c r="V76" s="56">
        <f>IF(V$2&gt;=Projections!$D89,Projections!$B89,0)</f>
        <v>0</v>
      </c>
      <c r="W76" s="56">
        <f>IF(W$2&gt;=Projections!$D89,Projections!$B89,0)</f>
        <v>0</v>
      </c>
      <c r="X76" s="56">
        <f>IF(X$2&gt;=Projections!$D89,Projections!$B89,0)</f>
        <v>0</v>
      </c>
      <c r="Y76" s="56">
        <f>IF(Y$2&gt;=Projections!$D89,Projections!$B89,0)</f>
        <v>0</v>
      </c>
      <c r="Z76" s="56">
        <f>IF(Z$2&gt;=Projections!$D89,Projections!$B89,0)</f>
        <v>0</v>
      </c>
      <c r="AA76" s="56">
        <f>IF(AA$2&gt;=Projections!$D89,Projections!$B89,0)</f>
        <v>0</v>
      </c>
      <c r="AB76" s="56">
        <f>IF(AB$2&gt;=Projections!$D89,Projections!$B89,0)</f>
        <v>0</v>
      </c>
      <c r="AC76" s="56">
        <f>IF(AC$2&gt;=Projections!$D89,Projections!$B89,0)</f>
        <v>0</v>
      </c>
      <c r="AD76" s="56">
        <f>IF(AD$2&gt;=Projections!$D89,Projections!$B89,0)</f>
        <v>0</v>
      </c>
      <c r="AE76" s="56">
        <f>IF(AE$2&gt;=Projections!$D89,Projections!$B89,0)</f>
        <v>0</v>
      </c>
      <c r="AF76" s="56">
        <f>IF(AF$2&gt;=Projections!$D89,Projections!$B89,0)</f>
        <v>0</v>
      </c>
      <c r="AG76" s="56">
        <f>IF(AG$2&gt;=Projections!$D89,Projections!$B89,0)</f>
        <v>0</v>
      </c>
      <c r="AH76" s="56">
        <f>IF(AH$2&gt;=Projections!$D89,Projections!$B89,0)</f>
        <v>0</v>
      </c>
      <c r="AI76" s="56">
        <f>IF(AI$2&gt;=Projections!$D89,Projections!$B89,0)</f>
        <v>0</v>
      </c>
      <c r="AJ76" s="56">
        <f>IF(AJ$2&gt;=Projections!$D89,Projections!$B89,0)</f>
        <v>0</v>
      </c>
      <c r="AK76" s="56">
        <f>IF(AK$2&gt;=Projections!$D89,Projections!$B89,0)</f>
        <v>0</v>
      </c>
      <c r="AL76" s="56">
        <f>IF(AL$2&gt;=Projections!$D89,Projections!$B89,0)</f>
        <v>0</v>
      </c>
      <c r="AM76" s="56">
        <f>IF(AM$2&gt;=Projections!$D89,Projections!$B89,0)</f>
        <v>0</v>
      </c>
      <c r="AN76" s="56">
        <f>IF(AN$2&gt;=Projections!$D89,Projections!$B89,0)</f>
        <v>0</v>
      </c>
      <c r="AO76" s="56">
        <f>IF(AO$2&gt;=Projections!$D89,Projections!$B89,0)</f>
        <v>0</v>
      </c>
      <c r="AP76" s="56">
        <f>IF(AP$2&gt;=Projections!$D89,Projections!$B89,0)</f>
        <v>0</v>
      </c>
      <c r="AQ76" s="56">
        <f>IF(AQ$2&gt;=Projections!$D89,Projections!$B89,0)</f>
        <v>0</v>
      </c>
      <c r="AR76" s="56">
        <f>IF(AR$2&gt;=Projections!$D89,Projections!$B89,0)</f>
        <v>0</v>
      </c>
      <c r="AS76" s="56">
        <f>IF(AS$2&gt;=Projections!$D89,Projections!$B89,0)</f>
        <v>0</v>
      </c>
      <c r="AT76" s="56">
        <f>IF(AT$2&gt;=Projections!$D89,Projections!$B89,0)</f>
        <v>0</v>
      </c>
      <c r="AU76" s="56">
        <f>IF(AU$2&gt;=Projections!$D89,Projections!$B89,0)</f>
        <v>0</v>
      </c>
      <c r="AV76" s="56">
        <f>IF(AV$2&gt;=Projections!$D89,Projections!$B89,0)</f>
        <v>0</v>
      </c>
      <c r="AW76" s="56">
        <f>IF(AW$2&gt;=Projections!$D89,Projections!$B89,0)</f>
        <v>0</v>
      </c>
      <c r="AX76" s="56">
        <f>IF(AX$2&gt;=Projections!$D89,Projections!$B89,0)</f>
        <v>0</v>
      </c>
      <c r="AY76" s="56">
        <f>IF(AY$2&gt;=Projections!$D89,Projections!$B89,0)</f>
        <v>0</v>
      </c>
      <c r="AZ76" s="56">
        <f>IF(AZ$2&gt;=Projections!$D89,Projections!$B89,0)</f>
        <v>0</v>
      </c>
      <c r="BA76" s="56">
        <f>IF(BA$2&gt;=Projections!$D89,Projections!$B89,0)</f>
        <v>0</v>
      </c>
      <c r="BB76" s="56">
        <f>IF(BB$2&gt;=Projections!$D89,Projections!$B89,0)</f>
        <v>0</v>
      </c>
      <c r="BC76" s="56">
        <f>IF(BC$2&gt;=Projections!$D89,Projections!$B89,0)</f>
        <v>0</v>
      </c>
      <c r="BD76" s="56">
        <f>IF(BD$2&gt;=Projections!$D89,Projections!$B89,0)</f>
        <v>0</v>
      </c>
      <c r="BE76" s="56">
        <f>IF(BE$2&gt;=Projections!$D89,Projections!$B89,0)</f>
        <v>0</v>
      </c>
      <c r="BF76" s="56">
        <f>IF(BF$2&gt;=Projections!$D89,Projections!$B89,0)</f>
        <v>0</v>
      </c>
      <c r="BG76" s="56">
        <f>IF(BG$2&gt;=Projections!$D89,Projections!$B89,0)</f>
        <v>0</v>
      </c>
      <c r="BH76" s="56">
        <f>IF(BH$2&gt;=Projections!$D89,Projections!$B89,0)</f>
        <v>0</v>
      </c>
      <c r="BI76" s="56">
        <f>IF(BI$2&gt;=Projections!$D89,Projections!$B89,0)</f>
        <v>0</v>
      </c>
      <c r="BJ76" s="56">
        <f>IF(BJ$2&gt;=Projections!$D89,Projections!$B89,0)</f>
        <v>0</v>
      </c>
      <c r="BK76" s="56">
        <f>IF(BK$2&gt;=Projections!$D89,Projections!$B89,0)</f>
        <v>0</v>
      </c>
      <c r="BL76" s="56">
        <f>IF(BL$2&gt;=Projections!$D89,Projections!$B89,0)</f>
        <v>0</v>
      </c>
      <c r="BM76" s="56">
        <f>IF(BM$2&gt;=Projections!$D89,Projections!$B89,0)</f>
        <v>0</v>
      </c>
      <c r="BN76" s="56">
        <f>IF(BN$2&gt;=Projections!$D89,Projections!$B89,0)</f>
        <v>0</v>
      </c>
      <c r="BO76" s="56">
        <f>IF(BO$2&gt;=Projections!$D89,Projections!$B89,0)</f>
        <v>0</v>
      </c>
      <c r="BP76" s="56">
        <f>IF(BP$2&gt;=Projections!$D89,Projections!$B89,0)</f>
        <v>0</v>
      </c>
      <c r="BQ76" s="56">
        <f>IF(BQ$2&gt;=Projections!$D89,Projections!$B89,0)</f>
        <v>0</v>
      </c>
      <c r="BR76" s="56">
        <f>IF(BR$2&gt;=Projections!$D89,Projections!$B89,0)</f>
        <v>0</v>
      </c>
      <c r="BS76" s="56">
        <f>IF(BS$2&gt;=Projections!$D89,Projections!$B89,0)</f>
        <v>0</v>
      </c>
      <c r="BT76" s="56">
        <f>IF(BT$2&gt;=Projections!$D89,Projections!$B89,0)</f>
        <v>0</v>
      </c>
      <c r="BU76" s="56">
        <f>IF(BU$2&gt;=Projections!$D89,Projections!$B89,0)</f>
        <v>0</v>
      </c>
      <c r="BV76" s="56">
        <f>IF(BV$2&gt;=Projections!$D89,Projections!$B89,0)</f>
        <v>0</v>
      </c>
      <c r="BW76" s="56">
        <f>IF(BW$2&gt;=Projections!$D89,Projections!$B89,0)</f>
        <v>0</v>
      </c>
      <c r="BX76" s="56">
        <f>IF(BX$2&gt;=Projections!$D89,Projections!$B89,0)</f>
        <v>0</v>
      </c>
      <c r="BY76" s="56">
        <f>IF(BY$2&gt;=Projections!$D89,Projections!$B89,0)</f>
        <v>0</v>
      </c>
      <c r="BZ76" s="56">
        <f>IF(BZ$2&gt;=Projections!$D89,Projections!$B89,0)</f>
        <v>0</v>
      </c>
      <c r="CA76" s="56">
        <f>IF(CA$2&gt;=Projections!$D89,Projections!$B89,0)</f>
        <v>0</v>
      </c>
      <c r="CB76" s="56">
        <f>IF(CB$2&gt;=Projections!$D89,Projections!$B89,0)</f>
        <v>0</v>
      </c>
      <c r="CC76" s="56">
        <f>IF(CC$2&gt;=Projections!$D89,Projections!$B89,0)</f>
        <v>0</v>
      </c>
      <c r="CD76" s="56">
        <f>IF(CD$2&gt;=Projections!$D89,Projections!$B89,0)</f>
        <v>0</v>
      </c>
      <c r="CE76" s="56">
        <f>IF(CE$2&gt;=Projections!$D89,Projections!$B89,0)</f>
        <v>0</v>
      </c>
      <c r="CF76" s="56">
        <f>IF(CF$2&gt;=Projections!$D89,Projections!$B89,0)</f>
        <v>0</v>
      </c>
      <c r="CG76" s="56">
        <f>IF(CG$2&gt;=Projections!$D89,Projections!$B89,0)</f>
        <v>0</v>
      </c>
      <c r="CH76" s="56">
        <f>IF(CH$2&gt;=Projections!$D89,Projections!$B89,0)</f>
        <v>0</v>
      </c>
      <c r="CI76" s="56">
        <f>IF(CI$2&gt;=Projections!$D89,Projections!$B89,0)</f>
        <v>0</v>
      </c>
      <c r="CJ76" s="56">
        <f>IF(CJ$2&gt;=Projections!$D89,Projections!$B89,0)</f>
        <v>0</v>
      </c>
      <c r="CK76" s="56">
        <f>IF(CK$2&gt;=Projections!$D89,Projections!$B89,0)</f>
        <v>0</v>
      </c>
      <c r="CL76" s="56">
        <f>IF(CL$2&gt;=Projections!$D89,Projections!$B89,0)</f>
        <v>0</v>
      </c>
      <c r="CM76" s="56">
        <f>IF(CM$2&gt;=Projections!$D89,Projections!$B89,0)</f>
        <v>0</v>
      </c>
      <c r="CN76" s="56">
        <f>IF(CN$2&gt;=Projections!$D89,Projections!$B89,0)</f>
        <v>0</v>
      </c>
      <c r="CO76" s="56">
        <f>IF(CO$2&gt;=Projections!$D89,Projections!$B89,0)</f>
        <v>0</v>
      </c>
      <c r="CP76" s="56">
        <f>IF(CP$2&gt;=Projections!$D89,Projections!$B89,0)</f>
        <v>0</v>
      </c>
      <c r="CQ76" s="56">
        <f>IF(CQ$2&gt;=Projections!$D89,Projections!$B89,0)</f>
        <v>0</v>
      </c>
      <c r="CR76" s="56">
        <f>IF(CR$2&gt;=Projections!$D89,Projections!$B89,0)</f>
        <v>0</v>
      </c>
      <c r="CS76" s="56">
        <f>IF(CS$2&gt;=Projections!$D89,Projections!$B89,0)</f>
        <v>0</v>
      </c>
      <c r="CT76" s="56">
        <f>IF(CT$2&gt;=Projections!$D89,Projections!$B89,0)</f>
        <v>0</v>
      </c>
      <c r="CU76" s="56">
        <f>IF(CU$2&gt;=Projections!$D89,Projections!$B89,0)</f>
        <v>0</v>
      </c>
      <c r="CV76" s="56">
        <f>IF(CV$2&gt;=Projections!$D89,Projections!$B89,0)</f>
        <v>0</v>
      </c>
      <c r="CW76" s="56">
        <f>IF(CW$2&gt;=Projections!$D89,Projections!$B89,0)</f>
        <v>0</v>
      </c>
      <c r="CX76" s="56">
        <f>IF(CX$2&gt;=Projections!$D89,Projections!$B89,0)</f>
        <v>0</v>
      </c>
    </row>
    <row r="77" ht="15.75" customHeight="1" outlineLevel="2">
      <c r="A77" s="134" t="str">
        <f>Projections!A90</f>
        <v/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</row>
    <row r="79" ht="15.75" customHeight="1">
      <c r="A79" s="146" t="s">
        <v>222</v>
      </c>
      <c r="B79" s="60"/>
      <c r="C79" s="60"/>
      <c r="D79" s="60"/>
      <c r="E79" s="60">
        <f t="shared" ref="E79:CX79" si="17">E84+E89</f>
        <v>3076.923077</v>
      </c>
      <c r="F79" s="60">
        <f t="shared" si="17"/>
        <v>3076.923077</v>
      </c>
      <c r="G79" s="60">
        <f t="shared" si="17"/>
        <v>3076.923077</v>
      </c>
      <c r="H79" s="60">
        <f t="shared" si="17"/>
        <v>3076.923077</v>
      </c>
      <c r="I79" s="60">
        <f t="shared" si="17"/>
        <v>3076.923077</v>
      </c>
      <c r="J79" s="60">
        <f t="shared" si="17"/>
        <v>3076.923077</v>
      </c>
      <c r="K79" s="60">
        <f t="shared" si="17"/>
        <v>3076.923077</v>
      </c>
      <c r="L79" s="60">
        <f t="shared" si="17"/>
        <v>3076.923077</v>
      </c>
      <c r="M79" s="60">
        <f t="shared" si="17"/>
        <v>3076.923077</v>
      </c>
      <c r="N79" s="60">
        <f t="shared" si="17"/>
        <v>4615.384615</v>
      </c>
      <c r="O79" s="60">
        <f t="shared" si="17"/>
        <v>4615.384615</v>
      </c>
      <c r="P79" s="60">
        <f t="shared" si="17"/>
        <v>4615.384615</v>
      </c>
      <c r="Q79" s="60">
        <f t="shared" si="17"/>
        <v>4707.692308</v>
      </c>
      <c r="R79" s="60">
        <f t="shared" si="17"/>
        <v>4707.692308</v>
      </c>
      <c r="S79" s="60">
        <f t="shared" si="17"/>
        <v>4707.692308</v>
      </c>
      <c r="T79" s="60">
        <f t="shared" si="17"/>
        <v>4707.692308</v>
      </c>
      <c r="U79" s="60">
        <f t="shared" si="17"/>
        <v>4707.692308</v>
      </c>
      <c r="V79" s="60">
        <f t="shared" si="17"/>
        <v>4707.692308</v>
      </c>
      <c r="W79" s="60">
        <f t="shared" si="17"/>
        <v>4707.692308</v>
      </c>
      <c r="X79" s="60">
        <f t="shared" si="17"/>
        <v>6276.923077</v>
      </c>
      <c r="Y79" s="60">
        <f t="shared" si="17"/>
        <v>6276.923077</v>
      </c>
      <c r="Z79" s="60">
        <f t="shared" si="17"/>
        <v>6276.923077</v>
      </c>
      <c r="AA79" s="60">
        <f t="shared" si="17"/>
        <v>6276.923077</v>
      </c>
      <c r="AB79" s="60">
        <f t="shared" si="17"/>
        <v>6276.923077</v>
      </c>
      <c r="AC79" s="60">
        <f t="shared" si="17"/>
        <v>6402.461538</v>
      </c>
      <c r="AD79" s="60">
        <f t="shared" si="17"/>
        <v>6402.461538</v>
      </c>
      <c r="AE79" s="60">
        <f t="shared" si="17"/>
        <v>8003.076923</v>
      </c>
      <c r="AF79" s="60">
        <f t="shared" si="17"/>
        <v>8003.076923</v>
      </c>
      <c r="AG79" s="60">
        <f t="shared" si="17"/>
        <v>8003.076923</v>
      </c>
      <c r="AH79" s="60">
        <f t="shared" si="17"/>
        <v>8003.076923</v>
      </c>
      <c r="AI79" s="60">
        <f t="shared" si="17"/>
        <v>8003.076923</v>
      </c>
      <c r="AJ79" s="60">
        <f t="shared" si="17"/>
        <v>9603.692308</v>
      </c>
      <c r="AK79" s="60">
        <f t="shared" si="17"/>
        <v>9603.692308</v>
      </c>
      <c r="AL79" s="60">
        <f t="shared" si="17"/>
        <v>9603.692308</v>
      </c>
      <c r="AM79" s="60">
        <f t="shared" si="17"/>
        <v>9603.692308</v>
      </c>
      <c r="AN79" s="60">
        <f t="shared" si="17"/>
        <v>11204.30769</v>
      </c>
      <c r="AO79" s="60">
        <f t="shared" si="17"/>
        <v>11428.39385</v>
      </c>
      <c r="AP79" s="60">
        <f t="shared" si="17"/>
        <v>11428.39385</v>
      </c>
      <c r="AQ79" s="60">
        <f t="shared" si="17"/>
        <v>11428.39385</v>
      </c>
      <c r="AR79" s="60">
        <f t="shared" si="17"/>
        <v>13061.02154</v>
      </c>
      <c r="AS79" s="60">
        <f t="shared" si="17"/>
        <v>13061.02154</v>
      </c>
      <c r="AT79" s="60">
        <f t="shared" si="17"/>
        <v>13061.02154</v>
      </c>
      <c r="AU79" s="60">
        <f t="shared" si="17"/>
        <v>14693.64923</v>
      </c>
      <c r="AV79" s="60">
        <f t="shared" si="17"/>
        <v>14693.64923</v>
      </c>
      <c r="AW79" s="60">
        <f t="shared" si="17"/>
        <v>16326.27692</v>
      </c>
      <c r="AX79" s="60">
        <f t="shared" si="17"/>
        <v>16326.27692</v>
      </c>
      <c r="AY79" s="60">
        <f t="shared" si="17"/>
        <v>16326.27692</v>
      </c>
      <c r="AZ79" s="60">
        <f t="shared" si="17"/>
        <v>17958.90462</v>
      </c>
      <c r="BA79" s="60">
        <f t="shared" si="17"/>
        <v>18318.08271</v>
      </c>
      <c r="BB79" s="60">
        <f t="shared" si="17"/>
        <v>19983.36295</v>
      </c>
      <c r="BC79" s="60">
        <f t="shared" si="17"/>
        <v>19983.36295</v>
      </c>
      <c r="BD79" s="60">
        <f t="shared" si="17"/>
        <v>21648.6432</v>
      </c>
      <c r="BE79" s="60">
        <f t="shared" si="17"/>
        <v>23313.92345</v>
      </c>
      <c r="BF79" s="60">
        <f t="shared" si="17"/>
        <v>23313.92345</v>
      </c>
      <c r="BG79" s="60">
        <f t="shared" si="17"/>
        <v>24979.20369</v>
      </c>
      <c r="BH79" s="60">
        <f t="shared" si="17"/>
        <v>26644.48394</v>
      </c>
      <c r="BI79" s="60">
        <f t="shared" si="17"/>
        <v>26644.48394</v>
      </c>
      <c r="BJ79" s="60">
        <f t="shared" si="17"/>
        <v>28309.76418</v>
      </c>
      <c r="BK79" s="60">
        <f t="shared" si="17"/>
        <v>29975.04443</v>
      </c>
      <c r="BL79" s="60">
        <f t="shared" si="17"/>
        <v>31640.32468</v>
      </c>
      <c r="BM79" s="60">
        <f t="shared" si="17"/>
        <v>33971.71702</v>
      </c>
      <c r="BN79" s="60">
        <f t="shared" si="17"/>
        <v>35670.30287</v>
      </c>
      <c r="BO79" s="60">
        <f t="shared" si="17"/>
        <v>37368.88872</v>
      </c>
      <c r="BP79" s="60">
        <f t="shared" si="17"/>
        <v>39067.47457</v>
      </c>
      <c r="BQ79" s="60">
        <f t="shared" si="17"/>
        <v>40766.06043</v>
      </c>
      <c r="BR79" s="60">
        <f t="shared" si="17"/>
        <v>42464.64628</v>
      </c>
      <c r="BS79" s="60">
        <f t="shared" si="17"/>
        <v>44163.23213</v>
      </c>
      <c r="BT79" s="60">
        <f t="shared" si="17"/>
        <v>45861.81798</v>
      </c>
      <c r="BU79" s="60">
        <f t="shared" si="17"/>
        <v>49258.98968</v>
      </c>
      <c r="BV79" s="60">
        <f t="shared" si="17"/>
        <v>50957.57553</v>
      </c>
      <c r="BW79" s="60">
        <f t="shared" si="17"/>
        <v>52656.16138</v>
      </c>
      <c r="BX79" s="60">
        <f t="shared" si="17"/>
        <v>56053.33309</v>
      </c>
      <c r="BY79" s="60">
        <f t="shared" si="17"/>
        <v>60639.51488</v>
      </c>
      <c r="BZ79" s="60">
        <f t="shared" si="17"/>
        <v>62372.07245</v>
      </c>
      <c r="CA79" s="60">
        <f t="shared" si="17"/>
        <v>65837.18759</v>
      </c>
      <c r="CB79" s="60">
        <f t="shared" si="17"/>
        <v>69302.30272</v>
      </c>
      <c r="CC79" s="60">
        <f t="shared" si="17"/>
        <v>72767.41786</v>
      </c>
      <c r="CD79" s="60">
        <f t="shared" si="17"/>
        <v>76232.533</v>
      </c>
      <c r="CE79" s="60">
        <f t="shared" si="17"/>
        <v>79697.64813</v>
      </c>
      <c r="CF79" s="60">
        <f t="shared" si="17"/>
        <v>83162.76327</v>
      </c>
      <c r="CG79" s="60">
        <f t="shared" si="17"/>
        <v>88360.43597</v>
      </c>
      <c r="CH79" s="60">
        <f t="shared" si="17"/>
        <v>91825.55111</v>
      </c>
      <c r="CI79" s="60">
        <f t="shared" si="17"/>
        <v>97023.22381</v>
      </c>
      <c r="CJ79" s="60">
        <f t="shared" si="17"/>
        <v>100488.3389</v>
      </c>
      <c r="CK79" s="60">
        <f t="shared" si="17"/>
        <v>107799.7319</v>
      </c>
      <c r="CL79" s="60">
        <f t="shared" si="17"/>
        <v>113101.358</v>
      </c>
      <c r="CM79" s="60">
        <f t="shared" si="17"/>
        <v>118402.9842</v>
      </c>
      <c r="CN79" s="60">
        <f t="shared" si="17"/>
        <v>125471.8191</v>
      </c>
      <c r="CO79" s="60">
        <f t="shared" si="17"/>
        <v>130773.4452</v>
      </c>
      <c r="CP79" s="60">
        <f t="shared" si="17"/>
        <v>137842.2801</v>
      </c>
      <c r="CQ79" s="60">
        <f t="shared" si="17"/>
        <v>144911.115</v>
      </c>
      <c r="CR79" s="60">
        <f t="shared" si="17"/>
        <v>151979.9499</v>
      </c>
      <c r="CS79" s="60">
        <f t="shared" si="17"/>
        <v>159048.7848</v>
      </c>
      <c r="CT79" s="60">
        <f t="shared" si="17"/>
        <v>166117.6196</v>
      </c>
      <c r="CU79" s="60">
        <f t="shared" si="17"/>
        <v>174953.6632</v>
      </c>
      <c r="CV79" s="60">
        <f t="shared" si="17"/>
        <v>178488.0807</v>
      </c>
      <c r="CW79" s="60">
        <f t="shared" si="17"/>
        <v>182057.8423</v>
      </c>
      <c r="CX79" s="60">
        <f t="shared" si="17"/>
        <v>182057.8423</v>
      </c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</row>
    <row r="81" ht="15.75" customHeight="1">
      <c r="A81" s="148" t="s">
        <v>223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</row>
    <row r="82" ht="15.75" customHeight="1">
      <c r="A82" s="134" t="s">
        <v>224</v>
      </c>
      <c r="B82" s="56"/>
      <c r="C82" s="56"/>
      <c r="D82" s="56"/>
      <c r="E82" s="56">
        <f>ROUNDUP(E26/Projections!$B$49,0)</f>
        <v>2</v>
      </c>
      <c r="F82" s="56">
        <f>ROUNDUP(F26/Projections!$B$49,0)</f>
        <v>2</v>
      </c>
      <c r="G82" s="56">
        <f>ROUNDUP(G26/Projections!$B$49,0)</f>
        <v>2</v>
      </c>
      <c r="H82" s="56">
        <f>ROUNDUP(H26/Projections!$B$49,0)</f>
        <v>2</v>
      </c>
      <c r="I82" s="56">
        <f>ROUNDUP(I26/Projections!$B$49,0)</f>
        <v>2</v>
      </c>
      <c r="J82" s="56">
        <f>ROUNDUP(J26/Projections!$B$49,0)</f>
        <v>2</v>
      </c>
      <c r="K82" s="56">
        <f>ROUNDUP(K26/Projections!$B$49,0)</f>
        <v>2</v>
      </c>
      <c r="L82" s="56">
        <f>ROUNDUP(L26/Projections!$B$49,0)</f>
        <v>2</v>
      </c>
      <c r="M82" s="56">
        <f>ROUNDUP(M26/Projections!$B$49,0)</f>
        <v>2</v>
      </c>
      <c r="N82" s="56">
        <f>ROUNDUP(N26/Projections!$B$49,0)</f>
        <v>3</v>
      </c>
      <c r="O82" s="56">
        <f>ROUNDUP(O26/Projections!$B$49,0)</f>
        <v>3</v>
      </c>
      <c r="P82" s="56">
        <f>ROUNDUP(P26/Projections!$B$49,0)</f>
        <v>3</v>
      </c>
      <c r="Q82" s="56">
        <f>ROUNDUP(Q26/Projections!$B$49,0)</f>
        <v>3</v>
      </c>
      <c r="R82" s="56">
        <f>ROUNDUP(R26/Projections!$B$49,0)</f>
        <v>3</v>
      </c>
      <c r="S82" s="56">
        <f>ROUNDUP(S26/Projections!$B$49,0)</f>
        <v>3</v>
      </c>
      <c r="T82" s="56">
        <f>ROUNDUP(T26/Projections!$B$49,0)</f>
        <v>3</v>
      </c>
      <c r="U82" s="56">
        <f>ROUNDUP(U26/Projections!$B$49,0)</f>
        <v>3</v>
      </c>
      <c r="V82" s="56">
        <f>ROUNDUP(V26/Projections!$B$49,0)</f>
        <v>3</v>
      </c>
      <c r="W82" s="56">
        <f>ROUNDUP(W26/Projections!$B$49,0)</f>
        <v>3</v>
      </c>
      <c r="X82" s="56">
        <f>ROUNDUP(X26/Projections!$B$49,0)</f>
        <v>4</v>
      </c>
      <c r="Y82" s="56">
        <f>ROUNDUP(Y26/Projections!$B$49,0)</f>
        <v>4</v>
      </c>
      <c r="Z82" s="56">
        <f>ROUNDUP(Z26/Projections!$B$49,0)</f>
        <v>4</v>
      </c>
      <c r="AA82" s="56">
        <f>ROUNDUP(AA26/Projections!$B$49,0)</f>
        <v>4</v>
      </c>
      <c r="AB82" s="56">
        <f>ROUNDUP(AB26/Projections!$B$49,0)</f>
        <v>4</v>
      </c>
      <c r="AC82" s="56">
        <f>ROUNDUP(AC26/Projections!$B$49,0)</f>
        <v>4</v>
      </c>
      <c r="AD82" s="56">
        <f>ROUNDUP(AD26/Projections!$B$49,0)</f>
        <v>4</v>
      </c>
      <c r="AE82" s="56">
        <f>ROUNDUP(AE26/Projections!$B$49,0)</f>
        <v>5</v>
      </c>
      <c r="AF82" s="56">
        <f>ROUNDUP(AF26/Projections!$B$49,0)</f>
        <v>5</v>
      </c>
      <c r="AG82" s="56">
        <f>ROUNDUP(AG26/Projections!$B$49,0)</f>
        <v>5</v>
      </c>
      <c r="AH82" s="56">
        <f>ROUNDUP(AH26/Projections!$B$49,0)</f>
        <v>5</v>
      </c>
      <c r="AI82" s="56">
        <f>ROUNDUP(AI26/Projections!$B$49,0)</f>
        <v>5</v>
      </c>
      <c r="AJ82" s="56">
        <f>ROUNDUP(AJ26/Projections!$B$49,0)</f>
        <v>6</v>
      </c>
      <c r="AK82" s="56">
        <f>ROUNDUP(AK26/Projections!$B$49,0)</f>
        <v>6</v>
      </c>
      <c r="AL82" s="56">
        <f>ROUNDUP(AL26/Projections!$B$49,0)</f>
        <v>6</v>
      </c>
      <c r="AM82" s="56">
        <f>ROUNDUP(AM26/Projections!$B$49,0)</f>
        <v>6</v>
      </c>
      <c r="AN82" s="56">
        <f>ROUNDUP(AN26/Projections!$B$49,0)</f>
        <v>7</v>
      </c>
      <c r="AO82" s="56">
        <f>ROUNDUP(AO26/Projections!$B$49,0)</f>
        <v>7</v>
      </c>
      <c r="AP82" s="56">
        <f>ROUNDUP(AP26/Projections!$B$49,0)</f>
        <v>7</v>
      </c>
      <c r="AQ82" s="56">
        <f>ROUNDUP(AQ26/Projections!$B$49,0)</f>
        <v>7</v>
      </c>
      <c r="AR82" s="56">
        <f>ROUNDUP(AR26/Projections!$B$49,0)</f>
        <v>8</v>
      </c>
      <c r="AS82" s="56">
        <f>ROUNDUP(AS26/Projections!$B$49,0)</f>
        <v>8</v>
      </c>
      <c r="AT82" s="56">
        <f>ROUNDUP(AT26/Projections!$B$49,0)</f>
        <v>8</v>
      </c>
      <c r="AU82" s="56">
        <f>ROUNDUP(AU26/Projections!$B$49,0)</f>
        <v>9</v>
      </c>
      <c r="AV82" s="56">
        <f>ROUNDUP(AV26/Projections!$B$49,0)</f>
        <v>9</v>
      </c>
      <c r="AW82" s="56">
        <f>ROUNDUP(AW26/Projections!$B$49,0)</f>
        <v>10</v>
      </c>
      <c r="AX82" s="56">
        <f>ROUNDUP(AX26/Projections!$B$49,0)</f>
        <v>10</v>
      </c>
      <c r="AY82" s="56">
        <f>ROUNDUP(AY26/Projections!$B$49,0)</f>
        <v>10</v>
      </c>
      <c r="AZ82" s="56">
        <f>ROUNDUP(AZ26/Projections!$B$49,0)</f>
        <v>11</v>
      </c>
      <c r="BA82" s="56">
        <f>ROUNDUP(BA26/Projections!$B$49,0)</f>
        <v>11</v>
      </c>
      <c r="BB82" s="56">
        <f>ROUNDUP(BB26/Projections!$B$49,0)</f>
        <v>12</v>
      </c>
      <c r="BC82" s="56">
        <f>ROUNDUP(BC26/Projections!$B$49,0)</f>
        <v>12</v>
      </c>
      <c r="BD82" s="56">
        <f>ROUNDUP(BD26/Projections!$B$49,0)</f>
        <v>13</v>
      </c>
      <c r="BE82" s="56">
        <f>ROUNDUP(BE26/Projections!$B$49,0)</f>
        <v>14</v>
      </c>
      <c r="BF82" s="56">
        <f>ROUNDUP(BF26/Projections!$B$49,0)</f>
        <v>14</v>
      </c>
      <c r="BG82" s="56">
        <f>ROUNDUP(BG26/Projections!$B$49,0)</f>
        <v>15</v>
      </c>
      <c r="BH82" s="56">
        <f>ROUNDUP(BH26/Projections!$B$49,0)</f>
        <v>16</v>
      </c>
      <c r="BI82" s="56">
        <f>ROUNDUP(BI26/Projections!$B$49,0)</f>
        <v>16</v>
      </c>
      <c r="BJ82" s="56">
        <f>ROUNDUP(BJ26/Projections!$B$49,0)</f>
        <v>17</v>
      </c>
      <c r="BK82" s="56">
        <f>ROUNDUP(BK26/Projections!$B$49,0)</f>
        <v>18</v>
      </c>
      <c r="BL82" s="56">
        <f>ROUNDUP(BL26/Projections!$B$49,0)</f>
        <v>19</v>
      </c>
      <c r="BM82" s="56">
        <f>ROUNDUP(BM26/Projections!$B$49,0)</f>
        <v>20</v>
      </c>
      <c r="BN82" s="56">
        <f>ROUNDUP(BN26/Projections!$B$49,0)</f>
        <v>21</v>
      </c>
      <c r="BO82" s="56">
        <f>ROUNDUP(BO26/Projections!$B$49,0)</f>
        <v>22</v>
      </c>
      <c r="BP82" s="56">
        <f>ROUNDUP(BP26/Projections!$B$49,0)</f>
        <v>23</v>
      </c>
      <c r="BQ82" s="56">
        <f>ROUNDUP(BQ26/Projections!$B$49,0)</f>
        <v>24</v>
      </c>
      <c r="BR82" s="56">
        <f>ROUNDUP(BR26/Projections!$B$49,0)</f>
        <v>25</v>
      </c>
      <c r="BS82" s="56">
        <f>ROUNDUP(BS26/Projections!$B$49,0)</f>
        <v>26</v>
      </c>
      <c r="BT82" s="56">
        <f>ROUNDUP(BT26/Projections!$B$49,0)</f>
        <v>27</v>
      </c>
      <c r="BU82" s="56">
        <f>ROUNDUP(BU26/Projections!$B$49,0)</f>
        <v>29</v>
      </c>
      <c r="BV82" s="56">
        <f>ROUNDUP(BV26/Projections!$B$49,0)</f>
        <v>30</v>
      </c>
      <c r="BW82" s="56">
        <f>ROUNDUP(BW26/Projections!$B$49,0)</f>
        <v>31</v>
      </c>
      <c r="BX82" s="56">
        <f>ROUNDUP(BX26/Projections!$B$49,0)</f>
        <v>33</v>
      </c>
      <c r="BY82" s="56">
        <f>ROUNDUP(BY26/Projections!$B$49,0)</f>
        <v>35</v>
      </c>
      <c r="BZ82" s="56">
        <f>ROUNDUP(BZ26/Projections!$B$49,0)</f>
        <v>36</v>
      </c>
      <c r="CA82" s="56">
        <f>ROUNDUP(CA26/Projections!$B$49,0)</f>
        <v>38</v>
      </c>
      <c r="CB82" s="56">
        <f>ROUNDUP(CB26/Projections!$B$49,0)</f>
        <v>40</v>
      </c>
      <c r="CC82" s="56">
        <f>ROUNDUP(CC26/Projections!$B$49,0)</f>
        <v>42</v>
      </c>
      <c r="CD82" s="56">
        <f>ROUNDUP(CD26/Projections!$B$49,0)</f>
        <v>44</v>
      </c>
      <c r="CE82" s="56">
        <f>ROUNDUP(CE26/Projections!$B$49,0)</f>
        <v>46</v>
      </c>
      <c r="CF82" s="56">
        <f>ROUNDUP(CF26/Projections!$B$49,0)</f>
        <v>48</v>
      </c>
      <c r="CG82" s="56">
        <f>ROUNDUP(CG26/Projections!$B$49,0)</f>
        <v>51</v>
      </c>
      <c r="CH82" s="56">
        <f>ROUNDUP(CH26/Projections!$B$49,0)</f>
        <v>53</v>
      </c>
      <c r="CI82" s="56">
        <f>ROUNDUP(CI26/Projections!$B$49,0)</f>
        <v>56</v>
      </c>
      <c r="CJ82" s="56">
        <f>ROUNDUP(CJ26/Projections!$B$49,0)</f>
        <v>58</v>
      </c>
      <c r="CK82" s="56">
        <f>ROUNDUP(CK26/Projections!$B$49,0)</f>
        <v>61</v>
      </c>
      <c r="CL82" s="56">
        <f>ROUNDUP(CL26/Projections!$B$49,0)</f>
        <v>64</v>
      </c>
      <c r="CM82" s="56">
        <f>ROUNDUP(CM26/Projections!$B$49,0)</f>
        <v>67</v>
      </c>
      <c r="CN82" s="56">
        <f>ROUNDUP(CN26/Projections!$B$49,0)</f>
        <v>71</v>
      </c>
      <c r="CO82" s="56">
        <f>ROUNDUP(CO26/Projections!$B$49,0)</f>
        <v>74</v>
      </c>
      <c r="CP82" s="56">
        <f>ROUNDUP(CP26/Projections!$B$49,0)</f>
        <v>78</v>
      </c>
      <c r="CQ82" s="56">
        <f>ROUNDUP(CQ26/Projections!$B$49,0)</f>
        <v>82</v>
      </c>
      <c r="CR82" s="56">
        <f>ROUNDUP(CR26/Projections!$B$49,0)</f>
        <v>86</v>
      </c>
      <c r="CS82" s="56">
        <f>ROUNDUP(CS26/Projections!$B$49,0)</f>
        <v>90</v>
      </c>
      <c r="CT82" s="56">
        <f>ROUNDUP(CT26/Projections!$B$49,0)</f>
        <v>94</v>
      </c>
      <c r="CU82" s="56">
        <f>ROUNDUP(CU26/Projections!$B$49,0)</f>
        <v>99</v>
      </c>
      <c r="CV82" s="56">
        <f>ROUNDUP(CV26/Projections!$B$49,0)</f>
        <v>101</v>
      </c>
      <c r="CW82" s="56">
        <f>ROUNDUP(CW26/Projections!$B$49,0)</f>
        <v>101</v>
      </c>
      <c r="CX82" s="56">
        <f>ROUNDUP(CX26/Projections!$B$49,0)</f>
        <v>101</v>
      </c>
    </row>
    <row r="83" ht="15.75" customHeight="1">
      <c r="A83" s="134" t="s">
        <v>225</v>
      </c>
      <c r="B83" s="56"/>
      <c r="C83" s="56"/>
      <c r="D83" s="56"/>
      <c r="E83" s="56">
        <f>IF(E$2=Payroll!$I45,Payroll!$F45,IF(E$2&gt;Payroll!$I45,Payroll!$F45*((1+Payroll!$J45)^(ROUNDDOWN(DATEDIF(Payroll!$I45,E$2,"M")/Payroll!$K45,0))),0))</f>
        <v>1538.461538</v>
      </c>
      <c r="F83" s="56">
        <f>IF(F$2=Payroll!$I45,Payroll!$F45,IF(F$2&gt;Payroll!$I45,Payroll!$F45*((1+Payroll!$J45)^(ROUNDDOWN(DATEDIF(Payroll!$I45,F$2,"M")/Payroll!$K45,0))),0))</f>
        <v>1538.461538</v>
      </c>
      <c r="G83" s="56">
        <f>IF(G$2=Payroll!$I45,Payroll!$F45,IF(G$2&gt;Payroll!$I45,Payroll!$F45*((1+Payroll!$J45)^(ROUNDDOWN(DATEDIF(Payroll!$I45,G$2,"M")/Payroll!$K45,0))),0))</f>
        <v>1538.461538</v>
      </c>
      <c r="H83" s="56">
        <f>IF(H$2=Payroll!$I45,Payroll!$F45,IF(H$2&gt;Payroll!$I45,Payroll!$F45*((1+Payroll!$J45)^(ROUNDDOWN(DATEDIF(Payroll!$I45,H$2,"M")/Payroll!$K45,0))),0))</f>
        <v>1538.461538</v>
      </c>
      <c r="I83" s="56">
        <f>IF(I$2=Payroll!$I45,Payroll!$F45,IF(I$2&gt;Payroll!$I45,Payroll!$F45*((1+Payroll!$J45)^(ROUNDDOWN(DATEDIF(Payroll!$I45,I$2,"M")/Payroll!$K45,0))),0))</f>
        <v>1538.461538</v>
      </c>
      <c r="J83" s="56">
        <f>IF(J$2=Payroll!$I45,Payroll!$F45,IF(J$2&gt;Payroll!$I45,Payroll!$F45*((1+Payroll!$J45)^(ROUNDDOWN(DATEDIF(Payroll!$I45,J$2,"M")/Payroll!$K45,0))),0))</f>
        <v>1538.461538</v>
      </c>
      <c r="K83" s="56">
        <f>IF(K$2=Payroll!$I45,Payroll!$F45,IF(K$2&gt;Payroll!$I45,Payroll!$F45*((1+Payroll!$J45)^(ROUNDDOWN(DATEDIF(Payroll!$I45,K$2,"M")/Payroll!$K45,0))),0))</f>
        <v>1538.461538</v>
      </c>
      <c r="L83" s="56">
        <f>IF(L$2=Payroll!$I45,Payroll!$F45,IF(L$2&gt;Payroll!$I45,Payroll!$F45*((1+Payroll!$J45)^(ROUNDDOWN(DATEDIF(Payroll!$I45,L$2,"M")/Payroll!$K45,0))),0))</f>
        <v>1538.461538</v>
      </c>
      <c r="M83" s="56">
        <f>IF(M$2=Payroll!$I45,Payroll!$F45,IF(M$2&gt;Payroll!$I45,Payroll!$F45*((1+Payroll!$J45)^(ROUNDDOWN(DATEDIF(Payroll!$I45,M$2,"M")/Payroll!$K45,0))),0))</f>
        <v>1538.461538</v>
      </c>
      <c r="N83" s="56">
        <f>IF(N$2=Payroll!$I45,Payroll!$F45,IF(N$2&gt;Payroll!$I45,Payroll!$F45*((1+Payroll!$J45)^(ROUNDDOWN(DATEDIF(Payroll!$I45,N$2,"M")/Payroll!$K45,0))),0))</f>
        <v>1538.461538</v>
      </c>
      <c r="O83" s="56">
        <f>IF(O$2=Payroll!$I45,Payroll!$F45,IF(O$2&gt;Payroll!$I45,Payroll!$F45*((1+Payroll!$J45)^(ROUNDDOWN(DATEDIF(Payroll!$I45,O$2,"M")/Payroll!$K45,0))),0))</f>
        <v>1538.461538</v>
      </c>
      <c r="P83" s="56">
        <f>IF(P$2=Payroll!$I45,Payroll!$F45,IF(P$2&gt;Payroll!$I45,Payroll!$F45*((1+Payroll!$J45)^(ROUNDDOWN(DATEDIF(Payroll!$I45,P$2,"M")/Payroll!$K45,0))),0))</f>
        <v>1538.461538</v>
      </c>
      <c r="Q83" s="56">
        <f>IF(Q$2=Payroll!$I45,Payroll!$F45,IF(Q$2&gt;Payroll!$I45,Payroll!$F45*((1+Payroll!$J45)^(ROUNDDOWN(DATEDIF(Payroll!$I45,Q$2,"M")/Payroll!$K45,0))),0))</f>
        <v>1569.230769</v>
      </c>
      <c r="R83" s="56">
        <f>IF(R$2=Payroll!$I45,Payroll!$F45,IF(R$2&gt;Payroll!$I45,Payroll!$F45*((1+Payroll!$J45)^(ROUNDDOWN(DATEDIF(Payroll!$I45,R$2,"M")/Payroll!$K45,0))),0))</f>
        <v>1569.230769</v>
      </c>
      <c r="S83" s="56">
        <f>IF(S$2=Payroll!$I45,Payroll!$F45,IF(S$2&gt;Payroll!$I45,Payroll!$F45*((1+Payroll!$J45)^(ROUNDDOWN(DATEDIF(Payroll!$I45,S$2,"M")/Payroll!$K45,0))),0))</f>
        <v>1569.230769</v>
      </c>
      <c r="T83" s="56">
        <f>IF(T$2=Payroll!$I45,Payroll!$F45,IF(T$2&gt;Payroll!$I45,Payroll!$F45*((1+Payroll!$J45)^(ROUNDDOWN(DATEDIF(Payroll!$I45,T$2,"M")/Payroll!$K45,0))),0))</f>
        <v>1569.230769</v>
      </c>
      <c r="U83" s="56">
        <f>IF(U$2=Payroll!$I45,Payroll!$F45,IF(U$2&gt;Payroll!$I45,Payroll!$F45*((1+Payroll!$J45)^(ROUNDDOWN(DATEDIF(Payroll!$I45,U$2,"M")/Payroll!$K45,0))),0))</f>
        <v>1569.230769</v>
      </c>
      <c r="V83" s="56">
        <f>IF(V$2=Payroll!$I45,Payroll!$F45,IF(V$2&gt;Payroll!$I45,Payroll!$F45*((1+Payroll!$J45)^(ROUNDDOWN(DATEDIF(Payroll!$I45,V$2,"M")/Payroll!$K45,0))),0))</f>
        <v>1569.230769</v>
      </c>
      <c r="W83" s="56">
        <f>IF(W$2=Payroll!$I45,Payroll!$F45,IF(W$2&gt;Payroll!$I45,Payroll!$F45*((1+Payroll!$J45)^(ROUNDDOWN(DATEDIF(Payroll!$I45,W$2,"M")/Payroll!$K45,0))),0))</f>
        <v>1569.230769</v>
      </c>
      <c r="X83" s="56">
        <f>IF(X$2=Payroll!$I45,Payroll!$F45,IF(X$2&gt;Payroll!$I45,Payroll!$F45*((1+Payroll!$J45)^(ROUNDDOWN(DATEDIF(Payroll!$I45,X$2,"M")/Payroll!$K45,0))),0))</f>
        <v>1569.230769</v>
      </c>
      <c r="Y83" s="56">
        <f>IF(Y$2=Payroll!$I45,Payroll!$F45,IF(Y$2&gt;Payroll!$I45,Payroll!$F45*((1+Payroll!$J45)^(ROUNDDOWN(DATEDIF(Payroll!$I45,Y$2,"M")/Payroll!$K45,0))),0))</f>
        <v>1569.230769</v>
      </c>
      <c r="Z83" s="56">
        <f>IF(Z$2=Payroll!$I45,Payroll!$F45,IF(Z$2&gt;Payroll!$I45,Payroll!$F45*((1+Payroll!$J45)^(ROUNDDOWN(DATEDIF(Payroll!$I45,Z$2,"M")/Payroll!$K45,0))),0))</f>
        <v>1569.230769</v>
      </c>
      <c r="AA83" s="56">
        <f>IF(AA$2=Payroll!$I45,Payroll!$F45,IF(AA$2&gt;Payroll!$I45,Payroll!$F45*((1+Payroll!$J45)^(ROUNDDOWN(DATEDIF(Payroll!$I45,AA$2,"M")/Payroll!$K45,0))),0))</f>
        <v>1569.230769</v>
      </c>
      <c r="AB83" s="56">
        <f>IF(AB$2=Payroll!$I45,Payroll!$F45,IF(AB$2&gt;Payroll!$I45,Payroll!$F45*((1+Payroll!$J45)^(ROUNDDOWN(DATEDIF(Payroll!$I45,AB$2,"M")/Payroll!$K45,0))),0))</f>
        <v>1569.230769</v>
      </c>
      <c r="AC83" s="56">
        <f>IF(AC$2=Payroll!$I45,Payroll!$F45,IF(AC$2&gt;Payroll!$I45,Payroll!$F45*((1+Payroll!$J45)^(ROUNDDOWN(DATEDIF(Payroll!$I45,AC$2,"M")/Payroll!$K45,0))),0))</f>
        <v>1600.615385</v>
      </c>
      <c r="AD83" s="56">
        <f>IF(AD$2=Payroll!$I45,Payroll!$F45,IF(AD$2&gt;Payroll!$I45,Payroll!$F45*((1+Payroll!$J45)^(ROUNDDOWN(DATEDIF(Payroll!$I45,AD$2,"M")/Payroll!$K45,0))),0))</f>
        <v>1600.615385</v>
      </c>
      <c r="AE83" s="56">
        <f>IF(AE$2=Payroll!$I45,Payroll!$F45,IF(AE$2&gt;Payroll!$I45,Payroll!$F45*((1+Payroll!$J45)^(ROUNDDOWN(DATEDIF(Payroll!$I45,AE$2,"M")/Payroll!$K45,0))),0))</f>
        <v>1600.615385</v>
      </c>
      <c r="AF83" s="56">
        <f>IF(AF$2=Payroll!$I45,Payroll!$F45,IF(AF$2&gt;Payroll!$I45,Payroll!$F45*((1+Payroll!$J45)^(ROUNDDOWN(DATEDIF(Payroll!$I45,AF$2,"M")/Payroll!$K45,0))),0))</f>
        <v>1600.615385</v>
      </c>
      <c r="AG83" s="56">
        <f>IF(AG$2=Payroll!$I45,Payroll!$F45,IF(AG$2&gt;Payroll!$I45,Payroll!$F45*((1+Payroll!$J45)^(ROUNDDOWN(DATEDIF(Payroll!$I45,AG$2,"M")/Payroll!$K45,0))),0))</f>
        <v>1600.615385</v>
      </c>
      <c r="AH83" s="56">
        <f>IF(AH$2=Payroll!$I45,Payroll!$F45,IF(AH$2&gt;Payroll!$I45,Payroll!$F45*((1+Payroll!$J45)^(ROUNDDOWN(DATEDIF(Payroll!$I45,AH$2,"M")/Payroll!$K45,0))),0))</f>
        <v>1600.615385</v>
      </c>
      <c r="AI83" s="56">
        <f>IF(AI$2=Payroll!$I45,Payroll!$F45,IF(AI$2&gt;Payroll!$I45,Payroll!$F45*((1+Payroll!$J45)^(ROUNDDOWN(DATEDIF(Payroll!$I45,AI$2,"M")/Payroll!$K45,0))),0))</f>
        <v>1600.615385</v>
      </c>
      <c r="AJ83" s="56">
        <f>IF(AJ$2=Payroll!$I45,Payroll!$F45,IF(AJ$2&gt;Payroll!$I45,Payroll!$F45*((1+Payroll!$J45)^(ROUNDDOWN(DATEDIF(Payroll!$I45,AJ$2,"M")/Payroll!$K45,0))),0))</f>
        <v>1600.615385</v>
      </c>
      <c r="AK83" s="56">
        <f>IF(AK$2=Payroll!$I45,Payroll!$F45,IF(AK$2&gt;Payroll!$I45,Payroll!$F45*((1+Payroll!$J45)^(ROUNDDOWN(DATEDIF(Payroll!$I45,AK$2,"M")/Payroll!$K45,0))),0))</f>
        <v>1600.615385</v>
      </c>
      <c r="AL83" s="56">
        <f>IF(AL$2=Payroll!$I45,Payroll!$F45,IF(AL$2&gt;Payroll!$I45,Payroll!$F45*((1+Payroll!$J45)^(ROUNDDOWN(DATEDIF(Payroll!$I45,AL$2,"M")/Payroll!$K45,0))),0))</f>
        <v>1600.615385</v>
      </c>
      <c r="AM83" s="56">
        <f>IF(AM$2=Payroll!$I45,Payroll!$F45,IF(AM$2&gt;Payroll!$I45,Payroll!$F45*((1+Payroll!$J45)^(ROUNDDOWN(DATEDIF(Payroll!$I45,AM$2,"M")/Payroll!$K45,0))),0))</f>
        <v>1600.615385</v>
      </c>
      <c r="AN83" s="56">
        <f>IF(AN$2=Payroll!$I45,Payroll!$F45,IF(AN$2&gt;Payroll!$I45,Payroll!$F45*((1+Payroll!$J45)^(ROUNDDOWN(DATEDIF(Payroll!$I45,AN$2,"M")/Payroll!$K45,0))),0))</f>
        <v>1600.615385</v>
      </c>
      <c r="AO83" s="56">
        <f>IF(AO$2=Payroll!$I45,Payroll!$F45,IF(AO$2&gt;Payroll!$I45,Payroll!$F45*((1+Payroll!$J45)^(ROUNDDOWN(DATEDIF(Payroll!$I45,AO$2,"M")/Payroll!$K45,0))),0))</f>
        <v>1632.627692</v>
      </c>
      <c r="AP83" s="56">
        <f>IF(AP$2=Payroll!$I45,Payroll!$F45,IF(AP$2&gt;Payroll!$I45,Payroll!$F45*((1+Payroll!$J45)^(ROUNDDOWN(DATEDIF(Payroll!$I45,AP$2,"M")/Payroll!$K45,0))),0))</f>
        <v>1632.627692</v>
      </c>
      <c r="AQ83" s="56">
        <f>IF(AQ$2=Payroll!$I45,Payroll!$F45,IF(AQ$2&gt;Payroll!$I45,Payroll!$F45*((1+Payroll!$J45)^(ROUNDDOWN(DATEDIF(Payroll!$I45,AQ$2,"M")/Payroll!$K45,0))),0))</f>
        <v>1632.627692</v>
      </c>
      <c r="AR83" s="56">
        <f>IF(AR$2=Payroll!$I45,Payroll!$F45,IF(AR$2&gt;Payroll!$I45,Payroll!$F45*((1+Payroll!$J45)^(ROUNDDOWN(DATEDIF(Payroll!$I45,AR$2,"M")/Payroll!$K45,0))),0))</f>
        <v>1632.627692</v>
      </c>
      <c r="AS83" s="56">
        <f>IF(AS$2=Payroll!$I45,Payroll!$F45,IF(AS$2&gt;Payroll!$I45,Payroll!$F45*((1+Payroll!$J45)^(ROUNDDOWN(DATEDIF(Payroll!$I45,AS$2,"M")/Payroll!$K45,0))),0))</f>
        <v>1632.627692</v>
      </c>
      <c r="AT83" s="56">
        <f>IF(AT$2=Payroll!$I45,Payroll!$F45,IF(AT$2&gt;Payroll!$I45,Payroll!$F45*((1+Payroll!$J45)^(ROUNDDOWN(DATEDIF(Payroll!$I45,AT$2,"M")/Payroll!$K45,0))),0))</f>
        <v>1632.627692</v>
      </c>
      <c r="AU83" s="56">
        <f>IF(AU$2=Payroll!$I45,Payroll!$F45,IF(AU$2&gt;Payroll!$I45,Payroll!$F45*((1+Payroll!$J45)^(ROUNDDOWN(DATEDIF(Payroll!$I45,AU$2,"M")/Payroll!$K45,0))),0))</f>
        <v>1632.627692</v>
      </c>
      <c r="AV83" s="56">
        <f>IF(AV$2=Payroll!$I45,Payroll!$F45,IF(AV$2&gt;Payroll!$I45,Payroll!$F45*((1+Payroll!$J45)^(ROUNDDOWN(DATEDIF(Payroll!$I45,AV$2,"M")/Payroll!$K45,0))),0))</f>
        <v>1632.627692</v>
      </c>
      <c r="AW83" s="56">
        <f>IF(AW$2=Payroll!$I45,Payroll!$F45,IF(AW$2&gt;Payroll!$I45,Payroll!$F45*((1+Payroll!$J45)^(ROUNDDOWN(DATEDIF(Payroll!$I45,AW$2,"M")/Payroll!$K45,0))),0))</f>
        <v>1632.627692</v>
      </c>
      <c r="AX83" s="56">
        <f>IF(AX$2=Payroll!$I45,Payroll!$F45,IF(AX$2&gt;Payroll!$I45,Payroll!$F45*((1+Payroll!$J45)^(ROUNDDOWN(DATEDIF(Payroll!$I45,AX$2,"M")/Payroll!$K45,0))),0))</f>
        <v>1632.627692</v>
      </c>
      <c r="AY83" s="56">
        <f>IF(AY$2=Payroll!$I45,Payroll!$F45,IF(AY$2&gt;Payroll!$I45,Payroll!$F45*((1+Payroll!$J45)^(ROUNDDOWN(DATEDIF(Payroll!$I45,AY$2,"M")/Payroll!$K45,0))),0))</f>
        <v>1632.627692</v>
      </c>
      <c r="AZ83" s="56">
        <f>IF(AZ$2=Payroll!$I45,Payroll!$F45,IF(AZ$2&gt;Payroll!$I45,Payroll!$F45*((1+Payroll!$J45)^(ROUNDDOWN(DATEDIF(Payroll!$I45,AZ$2,"M")/Payroll!$K45,0))),0))</f>
        <v>1632.627692</v>
      </c>
      <c r="BA83" s="56">
        <f>IF(BA$2=Payroll!$I45,Payroll!$F45,IF(BA$2&gt;Payroll!$I45,Payroll!$F45*((1+Payroll!$J45)^(ROUNDDOWN(DATEDIF(Payroll!$I45,BA$2,"M")/Payroll!$K45,0))),0))</f>
        <v>1665.280246</v>
      </c>
      <c r="BB83" s="56">
        <f>IF(BB$2=Payroll!$I45,Payroll!$F45,IF(BB$2&gt;Payroll!$I45,Payroll!$F45*((1+Payroll!$J45)^(ROUNDDOWN(DATEDIF(Payroll!$I45,BB$2,"M")/Payroll!$K45,0))),0))</f>
        <v>1665.280246</v>
      </c>
      <c r="BC83" s="56">
        <f>IF(BC$2=Payroll!$I45,Payroll!$F45,IF(BC$2&gt;Payroll!$I45,Payroll!$F45*((1+Payroll!$J45)^(ROUNDDOWN(DATEDIF(Payroll!$I45,BC$2,"M")/Payroll!$K45,0))),0))</f>
        <v>1665.280246</v>
      </c>
      <c r="BD83" s="56">
        <f>IF(BD$2=Payroll!$I45,Payroll!$F45,IF(BD$2&gt;Payroll!$I45,Payroll!$F45*((1+Payroll!$J45)^(ROUNDDOWN(DATEDIF(Payroll!$I45,BD$2,"M")/Payroll!$K45,0))),0))</f>
        <v>1665.280246</v>
      </c>
      <c r="BE83" s="56">
        <f>IF(BE$2=Payroll!$I45,Payroll!$F45,IF(BE$2&gt;Payroll!$I45,Payroll!$F45*((1+Payroll!$J45)^(ROUNDDOWN(DATEDIF(Payroll!$I45,BE$2,"M")/Payroll!$K45,0))),0))</f>
        <v>1665.280246</v>
      </c>
      <c r="BF83" s="56">
        <f>IF(BF$2=Payroll!$I45,Payroll!$F45,IF(BF$2&gt;Payroll!$I45,Payroll!$F45*((1+Payroll!$J45)^(ROUNDDOWN(DATEDIF(Payroll!$I45,BF$2,"M")/Payroll!$K45,0))),0))</f>
        <v>1665.280246</v>
      </c>
      <c r="BG83" s="56">
        <f>IF(BG$2=Payroll!$I45,Payroll!$F45,IF(BG$2&gt;Payroll!$I45,Payroll!$F45*((1+Payroll!$J45)^(ROUNDDOWN(DATEDIF(Payroll!$I45,BG$2,"M")/Payroll!$K45,0))),0))</f>
        <v>1665.280246</v>
      </c>
      <c r="BH83" s="56">
        <f>IF(BH$2=Payroll!$I45,Payroll!$F45,IF(BH$2&gt;Payroll!$I45,Payroll!$F45*((1+Payroll!$J45)^(ROUNDDOWN(DATEDIF(Payroll!$I45,BH$2,"M")/Payroll!$K45,0))),0))</f>
        <v>1665.280246</v>
      </c>
      <c r="BI83" s="56">
        <f>IF(BI$2=Payroll!$I45,Payroll!$F45,IF(BI$2&gt;Payroll!$I45,Payroll!$F45*((1+Payroll!$J45)^(ROUNDDOWN(DATEDIF(Payroll!$I45,BI$2,"M")/Payroll!$K45,0))),0))</f>
        <v>1665.280246</v>
      </c>
      <c r="BJ83" s="56">
        <f>IF(BJ$2=Payroll!$I45,Payroll!$F45,IF(BJ$2&gt;Payroll!$I45,Payroll!$F45*((1+Payroll!$J45)^(ROUNDDOWN(DATEDIF(Payroll!$I45,BJ$2,"M")/Payroll!$K45,0))),0))</f>
        <v>1665.280246</v>
      </c>
      <c r="BK83" s="56">
        <f>IF(BK$2=Payroll!$I45,Payroll!$F45,IF(BK$2&gt;Payroll!$I45,Payroll!$F45*((1+Payroll!$J45)^(ROUNDDOWN(DATEDIF(Payroll!$I45,BK$2,"M")/Payroll!$K45,0))),0))</f>
        <v>1665.280246</v>
      </c>
      <c r="BL83" s="56">
        <f>IF(BL$2=Payroll!$I45,Payroll!$F45,IF(BL$2&gt;Payroll!$I45,Payroll!$F45*((1+Payroll!$J45)^(ROUNDDOWN(DATEDIF(Payroll!$I45,BL$2,"M")/Payroll!$K45,0))),0))</f>
        <v>1665.280246</v>
      </c>
      <c r="BM83" s="56">
        <f>IF(BM$2=Payroll!$I45,Payroll!$F45,IF(BM$2&gt;Payroll!$I45,Payroll!$F45*((1+Payroll!$J45)^(ROUNDDOWN(DATEDIF(Payroll!$I45,BM$2,"M")/Payroll!$K45,0))),0))</f>
        <v>1698.585851</v>
      </c>
      <c r="BN83" s="56">
        <f>IF(BN$2=Payroll!$I45,Payroll!$F45,IF(BN$2&gt;Payroll!$I45,Payroll!$F45*((1+Payroll!$J45)^(ROUNDDOWN(DATEDIF(Payroll!$I45,BN$2,"M")/Payroll!$K45,0))),0))</f>
        <v>1698.585851</v>
      </c>
      <c r="BO83" s="56">
        <f>IF(BO$2=Payroll!$I45,Payroll!$F45,IF(BO$2&gt;Payroll!$I45,Payroll!$F45*((1+Payroll!$J45)^(ROUNDDOWN(DATEDIF(Payroll!$I45,BO$2,"M")/Payroll!$K45,0))),0))</f>
        <v>1698.585851</v>
      </c>
      <c r="BP83" s="56">
        <f>IF(BP$2=Payroll!$I45,Payroll!$F45,IF(BP$2&gt;Payroll!$I45,Payroll!$F45*((1+Payroll!$J45)^(ROUNDDOWN(DATEDIF(Payroll!$I45,BP$2,"M")/Payroll!$K45,0))),0))</f>
        <v>1698.585851</v>
      </c>
      <c r="BQ83" s="56">
        <f>IF(BQ$2=Payroll!$I45,Payroll!$F45,IF(BQ$2&gt;Payroll!$I45,Payroll!$F45*((1+Payroll!$J45)^(ROUNDDOWN(DATEDIF(Payroll!$I45,BQ$2,"M")/Payroll!$K45,0))),0))</f>
        <v>1698.585851</v>
      </c>
      <c r="BR83" s="56">
        <f>IF(BR$2=Payroll!$I45,Payroll!$F45,IF(BR$2&gt;Payroll!$I45,Payroll!$F45*((1+Payroll!$J45)^(ROUNDDOWN(DATEDIF(Payroll!$I45,BR$2,"M")/Payroll!$K45,0))),0))</f>
        <v>1698.585851</v>
      </c>
      <c r="BS83" s="56">
        <f>IF(BS$2=Payroll!$I45,Payroll!$F45,IF(BS$2&gt;Payroll!$I45,Payroll!$F45*((1+Payroll!$J45)^(ROUNDDOWN(DATEDIF(Payroll!$I45,BS$2,"M")/Payroll!$K45,0))),0))</f>
        <v>1698.585851</v>
      </c>
      <c r="BT83" s="56">
        <f>IF(BT$2=Payroll!$I45,Payroll!$F45,IF(BT$2&gt;Payroll!$I45,Payroll!$F45*((1+Payroll!$J45)^(ROUNDDOWN(DATEDIF(Payroll!$I45,BT$2,"M")/Payroll!$K45,0))),0))</f>
        <v>1698.585851</v>
      </c>
      <c r="BU83" s="56">
        <f>IF(BU$2=Payroll!$I45,Payroll!$F45,IF(BU$2&gt;Payroll!$I45,Payroll!$F45*((1+Payroll!$J45)^(ROUNDDOWN(DATEDIF(Payroll!$I45,BU$2,"M")/Payroll!$K45,0))),0))</f>
        <v>1698.585851</v>
      </c>
      <c r="BV83" s="56">
        <f>IF(BV$2=Payroll!$I45,Payroll!$F45,IF(BV$2&gt;Payroll!$I45,Payroll!$F45*((1+Payroll!$J45)^(ROUNDDOWN(DATEDIF(Payroll!$I45,BV$2,"M")/Payroll!$K45,0))),0))</f>
        <v>1698.585851</v>
      </c>
      <c r="BW83" s="56">
        <f>IF(BW$2=Payroll!$I45,Payroll!$F45,IF(BW$2&gt;Payroll!$I45,Payroll!$F45*((1+Payroll!$J45)^(ROUNDDOWN(DATEDIF(Payroll!$I45,BW$2,"M")/Payroll!$K45,0))),0))</f>
        <v>1698.585851</v>
      </c>
      <c r="BX83" s="56">
        <f>IF(BX$2=Payroll!$I45,Payroll!$F45,IF(BX$2&gt;Payroll!$I45,Payroll!$F45*((1+Payroll!$J45)^(ROUNDDOWN(DATEDIF(Payroll!$I45,BX$2,"M")/Payroll!$K45,0))),0))</f>
        <v>1698.585851</v>
      </c>
      <c r="BY83" s="56">
        <f>IF(BY$2=Payroll!$I45,Payroll!$F45,IF(BY$2&gt;Payroll!$I45,Payroll!$F45*((1+Payroll!$J45)^(ROUNDDOWN(DATEDIF(Payroll!$I45,BY$2,"M")/Payroll!$K45,0))),0))</f>
        <v>1732.557568</v>
      </c>
      <c r="BZ83" s="56">
        <f>IF(BZ$2=Payroll!$I45,Payroll!$F45,IF(BZ$2&gt;Payroll!$I45,Payroll!$F45*((1+Payroll!$J45)^(ROUNDDOWN(DATEDIF(Payroll!$I45,BZ$2,"M")/Payroll!$K45,0))),0))</f>
        <v>1732.557568</v>
      </c>
      <c r="CA83" s="56">
        <f>IF(CA$2=Payroll!$I45,Payroll!$F45,IF(CA$2&gt;Payroll!$I45,Payroll!$F45*((1+Payroll!$J45)^(ROUNDDOWN(DATEDIF(Payroll!$I45,CA$2,"M")/Payroll!$K45,0))),0))</f>
        <v>1732.557568</v>
      </c>
      <c r="CB83" s="56">
        <f>IF(CB$2=Payroll!$I45,Payroll!$F45,IF(CB$2&gt;Payroll!$I45,Payroll!$F45*((1+Payroll!$J45)^(ROUNDDOWN(DATEDIF(Payroll!$I45,CB$2,"M")/Payroll!$K45,0))),0))</f>
        <v>1732.557568</v>
      </c>
      <c r="CC83" s="56">
        <f>IF(CC$2=Payroll!$I45,Payroll!$F45,IF(CC$2&gt;Payroll!$I45,Payroll!$F45*((1+Payroll!$J45)^(ROUNDDOWN(DATEDIF(Payroll!$I45,CC$2,"M")/Payroll!$K45,0))),0))</f>
        <v>1732.557568</v>
      </c>
      <c r="CD83" s="56">
        <f>IF(CD$2=Payroll!$I45,Payroll!$F45,IF(CD$2&gt;Payroll!$I45,Payroll!$F45*((1+Payroll!$J45)^(ROUNDDOWN(DATEDIF(Payroll!$I45,CD$2,"M")/Payroll!$K45,0))),0))</f>
        <v>1732.557568</v>
      </c>
      <c r="CE83" s="56">
        <f>IF(CE$2=Payroll!$I45,Payroll!$F45,IF(CE$2&gt;Payroll!$I45,Payroll!$F45*((1+Payroll!$J45)^(ROUNDDOWN(DATEDIF(Payroll!$I45,CE$2,"M")/Payroll!$K45,0))),0))</f>
        <v>1732.557568</v>
      </c>
      <c r="CF83" s="56">
        <f>IF(CF$2=Payroll!$I45,Payroll!$F45,IF(CF$2&gt;Payroll!$I45,Payroll!$F45*((1+Payroll!$J45)^(ROUNDDOWN(DATEDIF(Payroll!$I45,CF$2,"M")/Payroll!$K45,0))),0))</f>
        <v>1732.557568</v>
      </c>
      <c r="CG83" s="56">
        <f>IF(CG$2=Payroll!$I45,Payroll!$F45,IF(CG$2&gt;Payroll!$I45,Payroll!$F45*((1+Payroll!$J45)^(ROUNDDOWN(DATEDIF(Payroll!$I45,CG$2,"M")/Payroll!$K45,0))),0))</f>
        <v>1732.557568</v>
      </c>
      <c r="CH83" s="56">
        <f>IF(CH$2=Payroll!$I45,Payroll!$F45,IF(CH$2&gt;Payroll!$I45,Payroll!$F45*((1+Payroll!$J45)^(ROUNDDOWN(DATEDIF(Payroll!$I45,CH$2,"M")/Payroll!$K45,0))),0))</f>
        <v>1732.557568</v>
      </c>
      <c r="CI83" s="56">
        <f>IF(CI$2=Payroll!$I45,Payroll!$F45,IF(CI$2&gt;Payroll!$I45,Payroll!$F45*((1+Payroll!$J45)^(ROUNDDOWN(DATEDIF(Payroll!$I45,CI$2,"M")/Payroll!$K45,0))),0))</f>
        <v>1732.557568</v>
      </c>
      <c r="CJ83" s="56">
        <f>IF(CJ$2=Payroll!$I45,Payroll!$F45,IF(CJ$2&gt;Payroll!$I45,Payroll!$F45*((1+Payroll!$J45)^(ROUNDDOWN(DATEDIF(Payroll!$I45,CJ$2,"M")/Payroll!$K45,0))),0))</f>
        <v>1732.557568</v>
      </c>
      <c r="CK83" s="56">
        <f>IF(CK$2=Payroll!$I45,Payroll!$F45,IF(CK$2&gt;Payroll!$I45,Payroll!$F45*((1+Payroll!$J45)^(ROUNDDOWN(DATEDIF(Payroll!$I45,CK$2,"M")/Payroll!$K45,0))),0))</f>
        <v>1767.208719</v>
      </c>
      <c r="CL83" s="56">
        <f>IF(CL$2=Payroll!$I45,Payroll!$F45,IF(CL$2&gt;Payroll!$I45,Payroll!$F45*((1+Payroll!$J45)^(ROUNDDOWN(DATEDIF(Payroll!$I45,CL$2,"M")/Payroll!$K45,0))),0))</f>
        <v>1767.208719</v>
      </c>
      <c r="CM83" s="56">
        <f>IF(CM$2=Payroll!$I45,Payroll!$F45,IF(CM$2&gt;Payroll!$I45,Payroll!$F45*((1+Payroll!$J45)^(ROUNDDOWN(DATEDIF(Payroll!$I45,CM$2,"M")/Payroll!$K45,0))),0))</f>
        <v>1767.208719</v>
      </c>
      <c r="CN83" s="56">
        <f>IF(CN$2=Payroll!$I45,Payroll!$F45,IF(CN$2&gt;Payroll!$I45,Payroll!$F45*((1+Payroll!$J45)^(ROUNDDOWN(DATEDIF(Payroll!$I45,CN$2,"M")/Payroll!$K45,0))),0))</f>
        <v>1767.208719</v>
      </c>
      <c r="CO83" s="56">
        <f>IF(CO$2=Payroll!$I45,Payroll!$F45,IF(CO$2&gt;Payroll!$I45,Payroll!$F45*((1+Payroll!$J45)^(ROUNDDOWN(DATEDIF(Payroll!$I45,CO$2,"M")/Payroll!$K45,0))),0))</f>
        <v>1767.208719</v>
      </c>
      <c r="CP83" s="56">
        <f>IF(CP$2=Payroll!$I45,Payroll!$F45,IF(CP$2&gt;Payroll!$I45,Payroll!$F45*((1+Payroll!$J45)^(ROUNDDOWN(DATEDIF(Payroll!$I45,CP$2,"M")/Payroll!$K45,0))),0))</f>
        <v>1767.208719</v>
      </c>
      <c r="CQ83" s="56">
        <f>IF(CQ$2=Payroll!$I45,Payroll!$F45,IF(CQ$2&gt;Payroll!$I45,Payroll!$F45*((1+Payroll!$J45)^(ROUNDDOWN(DATEDIF(Payroll!$I45,CQ$2,"M")/Payroll!$K45,0))),0))</f>
        <v>1767.208719</v>
      </c>
      <c r="CR83" s="56">
        <f>IF(CR$2=Payroll!$I45,Payroll!$F45,IF(CR$2&gt;Payroll!$I45,Payroll!$F45*((1+Payroll!$J45)^(ROUNDDOWN(DATEDIF(Payroll!$I45,CR$2,"M")/Payroll!$K45,0))),0))</f>
        <v>1767.208719</v>
      </c>
      <c r="CS83" s="56">
        <f>IF(CS$2=Payroll!$I45,Payroll!$F45,IF(CS$2&gt;Payroll!$I45,Payroll!$F45*((1+Payroll!$J45)^(ROUNDDOWN(DATEDIF(Payroll!$I45,CS$2,"M")/Payroll!$K45,0))),0))</f>
        <v>1767.208719</v>
      </c>
      <c r="CT83" s="56">
        <f>IF(CT$2=Payroll!$I45,Payroll!$F45,IF(CT$2&gt;Payroll!$I45,Payroll!$F45*((1+Payroll!$J45)^(ROUNDDOWN(DATEDIF(Payroll!$I45,CT$2,"M")/Payroll!$K45,0))),0))</f>
        <v>1767.208719</v>
      </c>
      <c r="CU83" s="56">
        <f>IF(CU$2=Payroll!$I45,Payroll!$F45,IF(CU$2&gt;Payroll!$I45,Payroll!$F45*((1+Payroll!$J45)^(ROUNDDOWN(DATEDIF(Payroll!$I45,CU$2,"M")/Payroll!$K45,0))),0))</f>
        <v>1767.208719</v>
      </c>
      <c r="CV83" s="56">
        <f>IF(CV$2=Payroll!$I45,Payroll!$F45,IF(CV$2&gt;Payroll!$I45,Payroll!$F45*((1+Payroll!$J45)^(ROUNDDOWN(DATEDIF(Payroll!$I45,CV$2,"M")/Payroll!$K45,0))),0))</f>
        <v>1767.208719</v>
      </c>
      <c r="CW83" s="56">
        <f>IF(CW$2=Payroll!$I45,Payroll!$F45,IF(CW$2&gt;Payroll!$I45,Payroll!$F45*((1+Payroll!$J45)^(ROUNDDOWN(DATEDIF(Payroll!$I45,CW$2,"M")/Payroll!$K45,0))),0))</f>
        <v>1802.552894</v>
      </c>
      <c r="CX83" s="56">
        <f>IF(CX$2=Payroll!$I45,Payroll!$F45,IF(CX$2&gt;Payroll!$I45,Payroll!$F45*((1+Payroll!$J45)^(ROUNDDOWN(DATEDIF(Payroll!$I45,CX$2,"M")/Payroll!$K45,0))),0))</f>
        <v>1802.552894</v>
      </c>
    </row>
    <row r="84" ht="15.75" customHeight="1">
      <c r="A84" s="134" t="s">
        <v>226</v>
      </c>
      <c r="B84" s="56"/>
      <c r="C84" s="56"/>
      <c r="D84" s="56"/>
      <c r="E84" s="56">
        <f t="shared" ref="E84:CX84" si="18">E82*E83</f>
        <v>3076.923077</v>
      </c>
      <c r="F84" s="56">
        <f t="shared" si="18"/>
        <v>3076.923077</v>
      </c>
      <c r="G84" s="56">
        <f t="shared" si="18"/>
        <v>3076.923077</v>
      </c>
      <c r="H84" s="56">
        <f t="shared" si="18"/>
        <v>3076.923077</v>
      </c>
      <c r="I84" s="56">
        <f t="shared" si="18"/>
        <v>3076.923077</v>
      </c>
      <c r="J84" s="56">
        <f t="shared" si="18"/>
        <v>3076.923077</v>
      </c>
      <c r="K84" s="56">
        <f t="shared" si="18"/>
        <v>3076.923077</v>
      </c>
      <c r="L84" s="56">
        <f t="shared" si="18"/>
        <v>3076.923077</v>
      </c>
      <c r="M84" s="56">
        <f t="shared" si="18"/>
        <v>3076.923077</v>
      </c>
      <c r="N84" s="56">
        <f t="shared" si="18"/>
        <v>4615.384615</v>
      </c>
      <c r="O84" s="56">
        <f t="shared" si="18"/>
        <v>4615.384615</v>
      </c>
      <c r="P84" s="56">
        <f t="shared" si="18"/>
        <v>4615.384615</v>
      </c>
      <c r="Q84" s="56">
        <f t="shared" si="18"/>
        <v>4707.692308</v>
      </c>
      <c r="R84" s="56">
        <f t="shared" si="18"/>
        <v>4707.692308</v>
      </c>
      <c r="S84" s="56">
        <f t="shared" si="18"/>
        <v>4707.692308</v>
      </c>
      <c r="T84" s="56">
        <f t="shared" si="18"/>
        <v>4707.692308</v>
      </c>
      <c r="U84" s="56">
        <f t="shared" si="18"/>
        <v>4707.692308</v>
      </c>
      <c r="V84" s="56">
        <f t="shared" si="18"/>
        <v>4707.692308</v>
      </c>
      <c r="W84" s="56">
        <f t="shared" si="18"/>
        <v>4707.692308</v>
      </c>
      <c r="X84" s="56">
        <f t="shared" si="18"/>
        <v>6276.923077</v>
      </c>
      <c r="Y84" s="56">
        <f t="shared" si="18"/>
        <v>6276.923077</v>
      </c>
      <c r="Z84" s="56">
        <f t="shared" si="18"/>
        <v>6276.923077</v>
      </c>
      <c r="AA84" s="56">
        <f t="shared" si="18"/>
        <v>6276.923077</v>
      </c>
      <c r="AB84" s="56">
        <f t="shared" si="18"/>
        <v>6276.923077</v>
      </c>
      <c r="AC84" s="56">
        <f t="shared" si="18"/>
        <v>6402.461538</v>
      </c>
      <c r="AD84" s="56">
        <f t="shared" si="18"/>
        <v>6402.461538</v>
      </c>
      <c r="AE84" s="56">
        <f t="shared" si="18"/>
        <v>8003.076923</v>
      </c>
      <c r="AF84" s="56">
        <f t="shared" si="18"/>
        <v>8003.076923</v>
      </c>
      <c r="AG84" s="56">
        <f t="shared" si="18"/>
        <v>8003.076923</v>
      </c>
      <c r="AH84" s="56">
        <f t="shared" si="18"/>
        <v>8003.076923</v>
      </c>
      <c r="AI84" s="56">
        <f t="shared" si="18"/>
        <v>8003.076923</v>
      </c>
      <c r="AJ84" s="56">
        <f t="shared" si="18"/>
        <v>9603.692308</v>
      </c>
      <c r="AK84" s="56">
        <f t="shared" si="18"/>
        <v>9603.692308</v>
      </c>
      <c r="AL84" s="56">
        <f t="shared" si="18"/>
        <v>9603.692308</v>
      </c>
      <c r="AM84" s="56">
        <f t="shared" si="18"/>
        <v>9603.692308</v>
      </c>
      <c r="AN84" s="56">
        <f t="shared" si="18"/>
        <v>11204.30769</v>
      </c>
      <c r="AO84" s="56">
        <f t="shared" si="18"/>
        <v>11428.39385</v>
      </c>
      <c r="AP84" s="56">
        <f t="shared" si="18"/>
        <v>11428.39385</v>
      </c>
      <c r="AQ84" s="56">
        <f t="shared" si="18"/>
        <v>11428.39385</v>
      </c>
      <c r="AR84" s="56">
        <f t="shared" si="18"/>
        <v>13061.02154</v>
      </c>
      <c r="AS84" s="56">
        <f t="shared" si="18"/>
        <v>13061.02154</v>
      </c>
      <c r="AT84" s="56">
        <f t="shared" si="18"/>
        <v>13061.02154</v>
      </c>
      <c r="AU84" s="56">
        <f t="shared" si="18"/>
        <v>14693.64923</v>
      </c>
      <c r="AV84" s="56">
        <f t="shared" si="18"/>
        <v>14693.64923</v>
      </c>
      <c r="AW84" s="56">
        <f t="shared" si="18"/>
        <v>16326.27692</v>
      </c>
      <c r="AX84" s="56">
        <f t="shared" si="18"/>
        <v>16326.27692</v>
      </c>
      <c r="AY84" s="56">
        <f t="shared" si="18"/>
        <v>16326.27692</v>
      </c>
      <c r="AZ84" s="56">
        <f t="shared" si="18"/>
        <v>17958.90462</v>
      </c>
      <c r="BA84" s="56">
        <f t="shared" si="18"/>
        <v>18318.08271</v>
      </c>
      <c r="BB84" s="56">
        <f t="shared" si="18"/>
        <v>19983.36295</v>
      </c>
      <c r="BC84" s="56">
        <f t="shared" si="18"/>
        <v>19983.36295</v>
      </c>
      <c r="BD84" s="56">
        <f t="shared" si="18"/>
        <v>21648.6432</v>
      </c>
      <c r="BE84" s="56">
        <f t="shared" si="18"/>
        <v>23313.92345</v>
      </c>
      <c r="BF84" s="56">
        <f t="shared" si="18"/>
        <v>23313.92345</v>
      </c>
      <c r="BG84" s="56">
        <f t="shared" si="18"/>
        <v>24979.20369</v>
      </c>
      <c r="BH84" s="56">
        <f t="shared" si="18"/>
        <v>26644.48394</v>
      </c>
      <c r="BI84" s="56">
        <f t="shared" si="18"/>
        <v>26644.48394</v>
      </c>
      <c r="BJ84" s="56">
        <f t="shared" si="18"/>
        <v>28309.76418</v>
      </c>
      <c r="BK84" s="56">
        <f t="shared" si="18"/>
        <v>29975.04443</v>
      </c>
      <c r="BL84" s="56">
        <f t="shared" si="18"/>
        <v>31640.32468</v>
      </c>
      <c r="BM84" s="56">
        <f t="shared" si="18"/>
        <v>33971.71702</v>
      </c>
      <c r="BN84" s="56">
        <f t="shared" si="18"/>
        <v>35670.30287</v>
      </c>
      <c r="BO84" s="56">
        <f t="shared" si="18"/>
        <v>37368.88872</v>
      </c>
      <c r="BP84" s="56">
        <f t="shared" si="18"/>
        <v>39067.47457</v>
      </c>
      <c r="BQ84" s="56">
        <f t="shared" si="18"/>
        <v>40766.06043</v>
      </c>
      <c r="BR84" s="56">
        <f t="shared" si="18"/>
        <v>42464.64628</v>
      </c>
      <c r="BS84" s="56">
        <f t="shared" si="18"/>
        <v>44163.23213</v>
      </c>
      <c r="BT84" s="56">
        <f t="shared" si="18"/>
        <v>45861.81798</v>
      </c>
      <c r="BU84" s="56">
        <f t="shared" si="18"/>
        <v>49258.98968</v>
      </c>
      <c r="BV84" s="56">
        <f t="shared" si="18"/>
        <v>50957.57553</v>
      </c>
      <c r="BW84" s="56">
        <f t="shared" si="18"/>
        <v>52656.16138</v>
      </c>
      <c r="BX84" s="56">
        <f t="shared" si="18"/>
        <v>56053.33309</v>
      </c>
      <c r="BY84" s="56">
        <f t="shared" si="18"/>
        <v>60639.51488</v>
      </c>
      <c r="BZ84" s="56">
        <f t="shared" si="18"/>
        <v>62372.07245</v>
      </c>
      <c r="CA84" s="56">
        <f t="shared" si="18"/>
        <v>65837.18759</v>
      </c>
      <c r="CB84" s="56">
        <f t="shared" si="18"/>
        <v>69302.30272</v>
      </c>
      <c r="CC84" s="56">
        <f t="shared" si="18"/>
        <v>72767.41786</v>
      </c>
      <c r="CD84" s="56">
        <f t="shared" si="18"/>
        <v>76232.533</v>
      </c>
      <c r="CE84" s="56">
        <f t="shared" si="18"/>
        <v>79697.64813</v>
      </c>
      <c r="CF84" s="56">
        <f t="shared" si="18"/>
        <v>83162.76327</v>
      </c>
      <c r="CG84" s="56">
        <f t="shared" si="18"/>
        <v>88360.43597</v>
      </c>
      <c r="CH84" s="56">
        <f t="shared" si="18"/>
        <v>91825.55111</v>
      </c>
      <c r="CI84" s="56">
        <f t="shared" si="18"/>
        <v>97023.22381</v>
      </c>
      <c r="CJ84" s="56">
        <f t="shared" si="18"/>
        <v>100488.3389</v>
      </c>
      <c r="CK84" s="56">
        <f t="shared" si="18"/>
        <v>107799.7319</v>
      </c>
      <c r="CL84" s="56">
        <f t="shared" si="18"/>
        <v>113101.358</v>
      </c>
      <c r="CM84" s="56">
        <f t="shared" si="18"/>
        <v>118402.9842</v>
      </c>
      <c r="CN84" s="56">
        <f t="shared" si="18"/>
        <v>125471.8191</v>
      </c>
      <c r="CO84" s="56">
        <f t="shared" si="18"/>
        <v>130773.4452</v>
      </c>
      <c r="CP84" s="56">
        <f t="shared" si="18"/>
        <v>137842.2801</v>
      </c>
      <c r="CQ84" s="56">
        <f t="shared" si="18"/>
        <v>144911.115</v>
      </c>
      <c r="CR84" s="56">
        <f t="shared" si="18"/>
        <v>151979.9499</v>
      </c>
      <c r="CS84" s="56">
        <f t="shared" si="18"/>
        <v>159048.7848</v>
      </c>
      <c r="CT84" s="56">
        <f t="shared" si="18"/>
        <v>166117.6196</v>
      </c>
      <c r="CU84" s="56">
        <f t="shared" si="18"/>
        <v>174953.6632</v>
      </c>
      <c r="CV84" s="56">
        <f t="shared" si="18"/>
        <v>178488.0807</v>
      </c>
      <c r="CW84" s="56">
        <f t="shared" si="18"/>
        <v>182057.8423</v>
      </c>
      <c r="CX84" s="56">
        <f t="shared" si="18"/>
        <v>182057.8423</v>
      </c>
    </row>
    <row r="85" ht="15.75" customHeight="1">
      <c r="A85" s="134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</row>
    <row r="86" ht="15.75" customHeight="1">
      <c r="A86" s="148" t="s">
        <v>227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</row>
    <row r="87" ht="15.75" customHeight="1">
      <c r="A87" s="134" t="s">
        <v>228</v>
      </c>
      <c r="B87" s="56"/>
      <c r="C87" s="56"/>
      <c r="D87" s="56"/>
      <c r="E87" s="56">
        <f>IF(E2=Projections!$C$56,Projections!$B$58,if(E2&gt;Projections!$C$56,MIN(Projections!$B$60,D87+IF(mod(DATEDIF(Projections!$C$56,E2,"M"),Projections!$B$59)=0,1,0)),0))</f>
        <v>1</v>
      </c>
      <c r="F87" s="56">
        <f>IF(F2=Projections!$C$56,Projections!$B$58,if(F2&gt;Projections!$C$56,MIN(Projections!$B$60,E87+IF(mod(DATEDIF(Projections!$C$56,F2,"M"),Projections!$B$59)=0,1,0)),0))</f>
        <v>1</v>
      </c>
      <c r="G87" s="56">
        <f>IF(G2=Projections!$C$56,Projections!$B$58,if(G2&gt;Projections!$C$56,MIN(Projections!$B$60,F87+IF(mod(DATEDIF(Projections!$C$56,G2,"M"),Projections!$B$59)=0,1,0)),0))</f>
        <v>1</v>
      </c>
      <c r="H87" s="56">
        <f>IF(H2=Projections!$C$56,Projections!$B$58,if(H2&gt;Projections!$C$56,MIN(Projections!$B$60,G87+IF(mod(DATEDIF(Projections!$C$56,H2,"M"),Projections!$B$59)=0,1,0)),0))</f>
        <v>2</v>
      </c>
      <c r="I87" s="56">
        <f>IF(I2=Projections!$C$56,Projections!$B$58,if(I2&gt;Projections!$C$56,MIN(Projections!$B$60,H87+IF(mod(DATEDIF(Projections!$C$56,I2,"M"),Projections!$B$59)=0,1,0)),0))</f>
        <v>2</v>
      </c>
      <c r="J87" s="56">
        <f>IF(J2=Projections!$C$56,Projections!$B$58,if(J2&gt;Projections!$C$56,MIN(Projections!$B$60,I87+IF(mod(DATEDIF(Projections!$C$56,J2,"M"),Projections!$B$59)=0,1,0)),0))</f>
        <v>2</v>
      </c>
      <c r="K87" s="56">
        <f>IF(K2=Projections!$C$56,Projections!$B$58,if(K2&gt;Projections!$C$56,MIN(Projections!$B$60,J87+IF(mod(DATEDIF(Projections!$C$56,K2,"M"),Projections!$B$59)=0,1,0)),0))</f>
        <v>3</v>
      </c>
      <c r="L87" s="56">
        <f>IF(L2=Projections!$C$56,Projections!$B$58,if(L2&gt;Projections!$C$56,MIN(Projections!$B$60,K87+IF(mod(DATEDIF(Projections!$C$56,L2,"M"),Projections!$B$59)=0,1,0)),0))</f>
        <v>3</v>
      </c>
      <c r="M87" s="56">
        <f>IF(M2=Projections!$C$56,Projections!$B$58,if(M2&gt;Projections!$C$56,MIN(Projections!$B$60,L87+IF(mod(DATEDIF(Projections!$C$56,M2,"M"),Projections!$B$59)=0,1,0)),0))</f>
        <v>3</v>
      </c>
      <c r="N87" s="56">
        <f>IF(N2=Projections!$C$56,Projections!$B$58,if(N2&gt;Projections!$C$56,MIN(Projections!$B$60,M87+IF(mod(DATEDIF(Projections!$C$56,N2,"M"),Projections!$B$59)=0,1,0)),0))</f>
        <v>4</v>
      </c>
      <c r="O87" s="56">
        <f>IF(O2=Projections!$C$56,Projections!$B$58,if(O2&gt;Projections!$C$56,MIN(Projections!$B$60,N87+IF(mod(DATEDIF(Projections!$C$56,O2,"M"),Projections!$B$59)=0,1,0)),0))</f>
        <v>4</v>
      </c>
      <c r="P87" s="56">
        <f>IF(P2=Projections!$C$56,Projections!$B$58,if(P2&gt;Projections!$C$56,MIN(Projections!$B$60,O87+IF(mod(DATEDIF(Projections!$C$56,P2,"M"),Projections!$B$59)=0,1,0)),0))</f>
        <v>4</v>
      </c>
      <c r="Q87" s="56">
        <f>IF(Q2=Projections!$C$56,Projections!$B$58,if(Q2&gt;Projections!$C$56,MIN(Projections!$B$60,P87+IF(mod(DATEDIF(Projections!$C$56,Q2,"M"),Projections!$B$59)=0,1,0)),0))</f>
        <v>5</v>
      </c>
      <c r="R87" s="56">
        <f>IF(R2=Projections!$C$56,Projections!$B$58,if(R2&gt;Projections!$C$56,MIN(Projections!$B$60,Q87+IF(mod(DATEDIF(Projections!$C$56,R2,"M"),Projections!$B$59)=0,1,0)),0))</f>
        <v>5</v>
      </c>
      <c r="S87" s="56">
        <f>IF(S2=Projections!$C$56,Projections!$B$58,if(S2&gt;Projections!$C$56,MIN(Projections!$B$60,R87+IF(mod(DATEDIF(Projections!$C$56,S2,"M"),Projections!$B$59)=0,1,0)),0))</f>
        <v>5</v>
      </c>
      <c r="T87" s="56">
        <f>IF(T2=Projections!$C$56,Projections!$B$58,if(T2&gt;Projections!$C$56,MIN(Projections!$B$60,S87+IF(mod(DATEDIF(Projections!$C$56,T2,"M"),Projections!$B$59)=0,1,0)),0))</f>
        <v>6</v>
      </c>
      <c r="U87" s="56">
        <f>IF(U2=Projections!$C$56,Projections!$B$58,if(U2&gt;Projections!$C$56,MIN(Projections!$B$60,T87+IF(mod(DATEDIF(Projections!$C$56,U2,"M"),Projections!$B$59)=0,1,0)),0))</f>
        <v>6</v>
      </c>
      <c r="V87" s="56">
        <f>IF(V2=Projections!$C$56,Projections!$B$58,if(V2&gt;Projections!$C$56,MIN(Projections!$B$60,U87+IF(mod(DATEDIF(Projections!$C$56,V2,"M"),Projections!$B$59)=0,1,0)),0))</f>
        <v>6</v>
      </c>
      <c r="W87" s="56">
        <f>IF(W2=Projections!$C$56,Projections!$B$58,if(W2&gt;Projections!$C$56,MIN(Projections!$B$60,V87+IF(mod(DATEDIF(Projections!$C$56,W2,"M"),Projections!$B$59)=0,1,0)),0))</f>
        <v>7</v>
      </c>
      <c r="X87" s="56">
        <f>IF(X2=Projections!$C$56,Projections!$B$58,if(X2&gt;Projections!$C$56,MIN(Projections!$B$60,W87+IF(mod(DATEDIF(Projections!$C$56,X2,"M"),Projections!$B$59)=0,1,0)),0))</f>
        <v>7</v>
      </c>
      <c r="Y87" s="56">
        <f>IF(Y2=Projections!$C$56,Projections!$B$58,if(Y2&gt;Projections!$C$56,MIN(Projections!$B$60,X87+IF(mod(DATEDIF(Projections!$C$56,Y2,"M"),Projections!$B$59)=0,1,0)),0))</f>
        <v>7</v>
      </c>
      <c r="Z87" s="56">
        <f>IF(Z2=Projections!$C$56,Projections!$B$58,if(Z2&gt;Projections!$C$56,MIN(Projections!$B$60,Y87+IF(mod(DATEDIF(Projections!$C$56,Z2,"M"),Projections!$B$59)=0,1,0)),0))</f>
        <v>8</v>
      </c>
      <c r="AA87" s="56">
        <f>IF(AA2=Projections!$C$56,Projections!$B$58,if(AA2&gt;Projections!$C$56,MIN(Projections!$B$60,Z87+IF(mod(DATEDIF(Projections!$C$56,AA2,"M"),Projections!$B$59)=0,1,0)),0))</f>
        <v>8</v>
      </c>
      <c r="AB87" s="56">
        <f>IF(AB2=Projections!$C$56,Projections!$B$58,if(AB2&gt;Projections!$C$56,MIN(Projections!$B$60,AA87+IF(mod(DATEDIF(Projections!$C$56,AB2,"M"),Projections!$B$59)=0,1,0)),0))</f>
        <v>8</v>
      </c>
      <c r="AC87" s="56">
        <f>IF(AC2=Projections!$C$56,Projections!$B$58,if(AC2&gt;Projections!$C$56,MIN(Projections!$B$60,AB87+IF(mod(DATEDIF(Projections!$C$56,AC2,"M"),Projections!$B$59)=0,1,0)),0))</f>
        <v>9</v>
      </c>
      <c r="AD87" s="56">
        <f>IF(AD2=Projections!$C$56,Projections!$B$58,if(AD2&gt;Projections!$C$56,MIN(Projections!$B$60,AC87+IF(mod(DATEDIF(Projections!$C$56,AD2,"M"),Projections!$B$59)=0,1,0)),0))</f>
        <v>9</v>
      </c>
      <c r="AE87" s="56">
        <f>IF(AE2=Projections!$C$56,Projections!$B$58,if(AE2&gt;Projections!$C$56,MIN(Projections!$B$60,AD87+IF(mod(DATEDIF(Projections!$C$56,AE2,"M"),Projections!$B$59)=0,1,0)),0))</f>
        <v>9</v>
      </c>
      <c r="AF87" s="56">
        <f>IF(AF2=Projections!$C$56,Projections!$B$58,if(AF2&gt;Projections!$C$56,MIN(Projections!$B$60,AE87+IF(mod(DATEDIF(Projections!$C$56,AF2,"M"),Projections!$B$59)=0,1,0)),0))</f>
        <v>10</v>
      </c>
      <c r="AG87" s="56">
        <f>IF(AG2=Projections!$C$56,Projections!$B$58,if(AG2&gt;Projections!$C$56,MIN(Projections!$B$60,AF87+IF(mod(DATEDIF(Projections!$C$56,AG2,"M"),Projections!$B$59)=0,1,0)),0))</f>
        <v>10</v>
      </c>
      <c r="AH87" s="56">
        <f>IF(AH2=Projections!$C$56,Projections!$B$58,if(AH2&gt;Projections!$C$56,MIN(Projections!$B$60,AG87+IF(mod(DATEDIF(Projections!$C$56,AH2,"M"),Projections!$B$59)=0,1,0)),0))</f>
        <v>10</v>
      </c>
      <c r="AI87" s="56">
        <f>IF(AI2=Projections!$C$56,Projections!$B$58,if(AI2&gt;Projections!$C$56,MIN(Projections!$B$60,AH87+IF(mod(DATEDIF(Projections!$C$56,AI2,"M"),Projections!$B$59)=0,1,0)),0))</f>
        <v>10</v>
      </c>
      <c r="AJ87" s="56">
        <f>IF(AJ2=Projections!$C$56,Projections!$B$58,if(AJ2&gt;Projections!$C$56,MIN(Projections!$B$60,AI87+IF(mod(DATEDIF(Projections!$C$56,AJ2,"M"),Projections!$B$59)=0,1,0)),0))</f>
        <v>10</v>
      </c>
      <c r="AK87" s="56">
        <f>IF(AK2=Projections!$C$56,Projections!$B$58,if(AK2&gt;Projections!$C$56,MIN(Projections!$B$60,AJ87+IF(mod(DATEDIF(Projections!$C$56,AK2,"M"),Projections!$B$59)=0,1,0)),0))</f>
        <v>10</v>
      </c>
      <c r="AL87" s="56">
        <f>IF(AL2=Projections!$C$56,Projections!$B$58,if(AL2&gt;Projections!$C$56,MIN(Projections!$B$60,AK87+IF(mod(DATEDIF(Projections!$C$56,AL2,"M"),Projections!$B$59)=0,1,0)),0))</f>
        <v>10</v>
      </c>
      <c r="AM87" s="56">
        <f>IF(AM2=Projections!$C$56,Projections!$B$58,if(AM2&gt;Projections!$C$56,MIN(Projections!$B$60,AL87+IF(mod(DATEDIF(Projections!$C$56,AM2,"M"),Projections!$B$59)=0,1,0)),0))</f>
        <v>10</v>
      </c>
      <c r="AN87" s="56">
        <f>IF(AN2=Projections!$C$56,Projections!$B$58,if(AN2&gt;Projections!$C$56,MIN(Projections!$B$60,AM87+IF(mod(DATEDIF(Projections!$C$56,AN2,"M"),Projections!$B$59)=0,1,0)),0))</f>
        <v>10</v>
      </c>
      <c r="AO87" s="56">
        <f>IF(AO2=Projections!$C$56,Projections!$B$58,if(AO2&gt;Projections!$C$56,MIN(Projections!$B$60,AN87+IF(mod(DATEDIF(Projections!$C$56,AO2,"M"),Projections!$B$59)=0,1,0)),0))</f>
        <v>10</v>
      </c>
      <c r="AP87" s="56">
        <f>IF(AP2=Projections!$C$56,Projections!$B$58,if(AP2&gt;Projections!$C$56,MIN(Projections!$B$60,AO87+IF(mod(DATEDIF(Projections!$C$56,AP2,"M"),Projections!$B$59)=0,1,0)),0))</f>
        <v>10</v>
      </c>
      <c r="AQ87" s="56">
        <f>IF(AQ2=Projections!$C$56,Projections!$B$58,if(AQ2&gt;Projections!$C$56,MIN(Projections!$B$60,AP87+IF(mod(DATEDIF(Projections!$C$56,AQ2,"M"),Projections!$B$59)=0,1,0)),0))</f>
        <v>10</v>
      </c>
      <c r="AR87" s="56">
        <f>IF(AR2=Projections!$C$56,Projections!$B$58,if(AR2&gt;Projections!$C$56,MIN(Projections!$B$60,AQ87+IF(mod(DATEDIF(Projections!$C$56,AR2,"M"),Projections!$B$59)=0,1,0)),0))</f>
        <v>10</v>
      </c>
      <c r="AS87" s="56">
        <f>IF(AS2=Projections!$C$56,Projections!$B$58,if(AS2&gt;Projections!$C$56,MIN(Projections!$B$60,AR87+IF(mod(DATEDIF(Projections!$C$56,AS2,"M"),Projections!$B$59)=0,1,0)),0))</f>
        <v>10</v>
      </c>
      <c r="AT87" s="56">
        <f>IF(AT2=Projections!$C$56,Projections!$B$58,if(AT2&gt;Projections!$C$56,MIN(Projections!$B$60,AS87+IF(mod(DATEDIF(Projections!$C$56,AT2,"M"),Projections!$B$59)=0,1,0)),0))</f>
        <v>10</v>
      </c>
      <c r="AU87" s="56">
        <f>IF(AU2=Projections!$C$56,Projections!$B$58,if(AU2&gt;Projections!$C$56,MIN(Projections!$B$60,AT87+IF(mod(DATEDIF(Projections!$C$56,AU2,"M"),Projections!$B$59)=0,1,0)),0))</f>
        <v>10</v>
      </c>
      <c r="AV87" s="56">
        <f>IF(AV2=Projections!$C$56,Projections!$B$58,if(AV2&gt;Projections!$C$56,MIN(Projections!$B$60,AU87+IF(mod(DATEDIF(Projections!$C$56,AV2,"M"),Projections!$B$59)=0,1,0)),0))</f>
        <v>10</v>
      </c>
      <c r="AW87" s="56">
        <f>IF(AW2=Projections!$C$56,Projections!$B$58,if(AW2&gt;Projections!$C$56,MIN(Projections!$B$60,AV87+IF(mod(DATEDIF(Projections!$C$56,AW2,"M"),Projections!$B$59)=0,1,0)),0))</f>
        <v>10</v>
      </c>
      <c r="AX87" s="56">
        <f>IF(AX2=Projections!$C$56,Projections!$B$58,if(AX2&gt;Projections!$C$56,MIN(Projections!$B$60,AW87+IF(mod(DATEDIF(Projections!$C$56,AX2,"M"),Projections!$B$59)=0,1,0)),0))</f>
        <v>10</v>
      </c>
      <c r="AY87" s="56">
        <f>IF(AY2=Projections!$C$56,Projections!$B$58,if(AY2&gt;Projections!$C$56,MIN(Projections!$B$60,AX87+IF(mod(DATEDIF(Projections!$C$56,AY2,"M"),Projections!$B$59)=0,1,0)),0))</f>
        <v>10</v>
      </c>
      <c r="AZ87" s="56">
        <f>IF(AZ2=Projections!$C$56,Projections!$B$58,if(AZ2&gt;Projections!$C$56,MIN(Projections!$B$60,AY87+IF(mod(DATEDIF(Projections!$C$56,AZ2,"M"),Projections!$B$59)=0,1,0)),0))</f>
        <v>10</v>
      </c>
      <c r="BA87" s="56">
        <f>IF(BA2=Projections!$C$56,Projections!$B$58,if(BA2&gt;Projections!$C$56,MIN(Projections!$B$60,AZ87+IF(mod(DATEDIF(Projections!$C$56,BA2,"M"),Projections!$B$59)=0,1,0)),0))</f>
        <v>10</v>
      </c>
      <c r="BB87" s="56">
        <f>IF(BB2=Projections!$C$56,Projections!$B$58,if(BB2&gt;Projections!$C$56,MIN(Projections!$B$60,BA87+IF(mod(DATEDIF(Projections!$C$56,BB2,"M"),Projections!$B$59)=0,1,0)),0))</f>
        <v>10</v>
      </c>
      <c r="BC87" s="56">
        <f>IF(BC2=Projections!$C$56,Projections!$B$58,if(BC2&gt;Projections!$C$56,MIN(Projections!$B$60,BB87+IF(mod(DATEDIF(Projections!$C$56,BC2,"M"),Projections!$B$59)=0,1,0)),0))</f>
        <v>10</v>
      </c>
      <c r="BD87" s="56">
        <f>IF(BD2=Projections!$C$56,Projections!$B$58,if(BD2&gt;Projections!$C$56,MIN(Projections!$B$60,BC87+IF(mod(DATEDIF(Projections!$C$56,BD2,"M"),Projections!$B$59)=0,1,0)),0))</f>
        <v>10</v>
      </c>
      <c r="BE87" s="56">
        <f>IF(BE2=Projections!$C$56,Projections!$B$58,if(BE2&gt;Projections!$C$56,MIN(Projections!$B$60,BD87+IF(mod(DATEDIF(Projections!$C$56,BE2,"M"),Projections!$B$59)=0,1,0)),0))</f>
        <v>10</v>
      </c>
      <c r="BF87" s="56">
        <f>IF(BF2=Projections!$C$56,Projections!$B$58,if(BF2&gt;Projections!$C$56,MIN(Projections!$B$60,BE87+IF(mod(DATEDIF(Projections!$C$56,BF2,"M"),Projections!$B$59)=0,1,0)),0))</f>
        <v>10</v>
      </c>
      <c r="BG87" s="56">
        <f>IF(BG2=Projections!$C$56,Projections!$B$58,if(BG2&gt;Projections!$C$56,MIN(Projections!$B$60,BF87+IF(mod(DATEDIF(Projections!$C$56,BG2,"M"),Projections!$B$59)=0,1,0)),0))</f>
        <v>10</v>
      </c>
      <c r="BH87" s="56">
        <f>IF(BH2=Projections!$C$56,Projections!$B$58,if(BH2&gt;Projections!$C$56,MIN(Projections!$B$60,BG87+IF(mod(DATEDIF(Projections!$C$56,BH2,"M"),Projections!$B$59)=0,1,0)),0))</f>
        <v>10</v>
      </c>
      <c r="BI87" s="56">
        <f>IF(BI2=Projections!$C$56,Projections!$B$58,if(BI2&gt;Projections!$C$56,MIN(Projections!$B$60,BH87+IF(mod(DATEDIF(Projections!$C$56,BI2,"M"),Projections!$B$59)=0,1,0)),0))</f>
        <v>10</v>
      </c>
      <c r="BJ87" s="56">
        <f>IF(BJ2=Projections!$C$56,Projections!$B$58,if(BJ2&gt;Projections!$C$56,MIN(Projections!$B$60,BI87+IF(mod(DATEDIF(Projections!$C$56,BJ2,"M"),Projections!$B$59)=0,1,0)),0))</f>
        <v>10</v>
      </c>
      <c r="BK87" s="56">
        <f>IF(BK2=Projections!$C$56,Projections!$B$58,if(BK2&gt;Projections!$C$56,MIN(Projections!$B$60,BJ87+IF(mod(DATEDIF(Projections!$C$56,BK2,"M"),Projections!$B$59)=0,1,0)),0))</f>
        <v>10</v>
      </c>
      <c r="BL87" s="56">
        <f>IF(BL2=Projections!$C$56,Projections!$B$58,if(BL2&gt;Projections!$C$56,MIN(Projections!$B$60,BK87+IF(mod(DATEDIF(Projections!$C$56,BL2,"M"),Projections!$B$59)=0,1,0)),0))</f>
        <v>10</v>
      </c>
      <c r="BM87" s="56">
        <f>IF(BM2=Projections!$C$56,Projections!$B$58,if(BM2&gt;Projections!$C$56,MIN(Projections!$B$60,BL87+IF(mod(DATEDIF(Projections!$C$56,BM2,"M"),Projections!$B$59)=0,1,0)),0))</f>
        <v>10</v>
      </c>
      <c r="BN87" s="56">
        <f>IF(BN2=Projections!$C$56,Projections!$B$58,if(BN2&gt;Projections!$C$56,MIN(Projections!$B$60,BM87+IF(mod(DATEDIF(Projections!$C$56,BN2,"M"),Projections!$B$59)=0,1,0)),0))</f>
        <v>10</v>
      </c>
      <c r="BO87" s="56">
        <f>IF(BO2=Projections!$C$56,Projections!$B$58,if(BO2&gt;Projections!$C$56,MIN(Projections!$B$60,BN87+IF(mod(DATEDIF(Projections!$C$56,BO2,"M"),Projections!$B$59)=0,1,0)),0))</f>
        <v>10</v>
      </c>
      <c r="BP87" s="56">
        <f>IF(BP2=Projections!$C$56,Projections!$B$58,if(BP2&gt;Projections!$C$56,MIN(Projections!$B$60,BO87+IF(mod(DATEDIF(Projections!$C$56,BP2,"M"),Projections!$B$59)=0,1,0)),0))</f>
        <v>10</v>
      </c>
      <c r="BQ87" s="56">
        <f>IF(BQ2=Projections!$C$56,Projections!$B$58,if(BQ2&gt;Projections!$C$56,MIN(Projections!$B$60,BP87+IF(mod(DATEDIF(Projections!$C$56,BQ2,"M"),Projections!$B$59)=0,1,0)),0))</f>
        <v>10</v>
      </c>
      <c r="BR87" s="56">
        <f>IF(BR2=Projections!$C$56,Projections!$B$58,if(BR2&gt;Projections!$C$56,MIN(Projections!$B$60,BQ87+IF(mod(DATEDIF(Projections!$C$56,BR2,"M"),Projections!$B$59)=0,1,0)),0))</f>
        <v>10</v>
      </c>
      <c r="BS87" s="56">
        <f>IF(BS2=Projections!$C$56,Projections!$B$58,if(BS2&gt;Projections!$C$56,MIN(Projections!$B$60,BR87+IF(mod(DATEDIF(Projections!$C$56,BS2,"M"),Projections!$B$59)=0,1,0)),0))</f>
        <v>10</v>
      </c>
      <c r="BT87" s="56">
        <f>IF(BT2=Projections!$C$56,Projections!$B$58,if(BT2&gt;Projections!$C$56,MIN(Projections!$B$60,BS87+IF(mod(DATEDIF(Projections!$C$56,BT2,"M"),Projections!$B$59)=0,1,0)),0))</f>
        <v>10</v>
      </c>
      <c r="BU87" s="56">
        <f>IF(BU2=Projections!$C$56,Projections!$B$58,if(BU2&gt;Projections!$C$56,MIN(Projections!$B$60,BT87+IF(mod(DATEDIF(Projections!$C$56,BU2,"M"),Projections!$B$59)=0,1,0)),0))</f>
        <v>10</v>
      </c>
      <c r="BV87" s="56">
        <f>IF(BV2=Projections!$C$56,Projections!$B$58,if(BV2&gt;Projections!$C$56,MIN(Projections!$B$60,BU87+IF(mod(DATEDIF(Projections!$C$56,BV2,"M"),Projections!$B$59)=0,1,0)),0))</f>
        <v>10</v>
      </c>
      <c r="BW87" s="56">
        <f>IF(BW2=Projections!$C$56,Projections!$B$58,if(BW2&gt;Projections!$C$56,MIN(Projections!$B$60,BV87+IF(mod(DATEDIF(Projections!$C$56,BW2,"M"),Projections!$B$59)=0,1,0)),0))</f>
        <v>10</v>
      </c>
      <c r="BX87" s="56">
        <f>IF(BX2=Projections!$C$56,Projections!$B$58,if(BX2&gt;Projections!$C$56,MIN(Projections!$B$60,BW87+IF(mod(DATEDIF(Projections!$C$56,BX2,"M"),Projections!$B$59)=0,1,0)),0))</f>
        <v>10</v>
      </c>
      <c r="BY87" s="56">
        <f>IF(BY2=Projections!$C$56,Projections!$B$58,if(BY2&gt;Projections!$C$56,MIN(Projections!$B$60,BX87+IF(mod(DATEDIF(Projections!$C$56,BY2,"M"),Projections!$B$59)=0,1,0)),0))</f>
        <v>10</v>
      </c>
      <c r="BZ87" s="56">
        <f>IF(BZ2=Projections!$C$56,Projections!$B$58,if(BZ2&gt;Projections!$C$56,MIN(Projections!$B$60,BY87+IF(mod(DATEDIF(Projections!$C$56,BZ2,"M"),Projections!$B$59)=0,1,0)),0))</f>
        <v>10</v>
      </c>
      <c r="CA87" s="56">
        <f>IF(CA2=Projections!$C$56,Projections!$B$58,if(CA2&gt;Projections!$C$56,MIN(Projections!$B$60,BZ87+IF(mod(DATEDIF(Projections!$C$56,CA2,"M"),Projections!$B$59)=0,1,0)),0))</f>
        <v>10</v>
      </c>
      <c r="CB87" s="56">
        <f>IF(CB2=Projections!$C$56,Projections!$B$58,if(CB2&gt;Projections!$C$56,MIN(Projections!$B$60,CA87+IF(mod(DATEDIF(Projections!$C$56,CB2,"M"),Projections!$B$59)=0,1,0)),0))</f>
        <v>10</v>
      </c>
      <c r="CC87" s="56">
        <f>IF(CC2=Projections!$C$56,Projections!$B$58,if(CC2&gt;Projections!$C$56,MIN(Projections!$B$60,CB87+IF(mod(DATEDIF(Projections!$C$56,CC2,"M"),Projections!$B$59)=0,1,0)),0))</f>
        <v>10</v>
      </c>
      <c r="CD87" s="56">
        <f>IF(CD2=Projections!$C$56,Projections!$B$58,if(CD2&gt;Projections!$C$56,MIN(Projections!$B$60,CC87+IF(mod(DATEDIF(Projections!$C$56,CD2,"M"),Projections!$B$59)=0,1,0)),0))</f>
        <v>10</v>
      </c>
      <c r="CE87" s="56">
        <f>IF(CE2=Projections!$C$56,Projections!$B$58,if(CE2&gt;Projections!$C$56,MIN(Projections!$B$60,CD87+IF(mod(DATEDIF(Projections!$C$56,CE2,"M"),Projections!$B$59)=0,1,0)),0))</f>
        <v>10</v>
      </c>
      <c r="CF87" s="56">
        <f>IF(CF2=Projections!$C$56,Projections!$B$58,if(CF2&gt;Projections!$C$56,MIN(Projections!$B$60,CE87+IF(mod(DATEDIF(Projections!$C$56,CF2,"M"),Projections!$B$59)=0,1,0)),0))</f>
        <v>10</v>
      </c>
      <c r="CG87" s="56">
        <f>IF(CG2=Projections!$C$56,Projections!$B$58,if(CG2&gt;Projections!$C$56,MIN(Projections!$B$60,CF87+IF(mod(DATEDIF(Projections!$C$56,CG2,"M"),Projections!$B$59)=0,1,0)),0))</f>
        <v>10</v>
      </c>
      <c r="CH87" s="56">
        <f>IF(CH2=Projections!$C$56,Projections!$B$58,if(CH2&gt;Projections!$C$56,MIN(Projections!$B$60,CG87+IF(mod(DATEDIF(Projections!$C$56,CH2,"M"),Projections!$B$59)=0,1,0)),0))</f>
        <v>10</v>
      </c>
      <c r="CI87" s="56">
        <f>IF(CI2=Projections!$C$56,Projections!$B$58,if(CI2&gt;Projections!$C$56,MIN(Projections!$B$60,CH87+IF(mod(DATEDIF(Projections!$C$56,CI2,"M"),Projections!$B$59)=0,1,0)),0))</f>
        <v>10</v>
      </c>
      <c r="CJ87" s="56">
        <f>IF(CJ2=Projections!$C$56,Projections!$B$58,if(CJ2&gt;Projections!$C$56,MIN(Projections!$B$60,CI87+IF(mod(DATEDIF(Projections!$C$56,CJ2,"M"),Projections!$B$59)=0,1,0)),0))</f>
        <v>10</v>
      </c>
      <c r="CK87" s="56">
        <f>IF(CK2=Projections!$C$56,Projections!$B$58,if(CK2&gt;Projections!$C$56,MIN(Projections!$B$60,CJ87+IF(mod(DATEDIF(Projections!$C$56,CK2,"M"),Projections!$B$59)=0,1,0)),0))</f>
        <v>10</v>
      </c>
      <c r="CL87" s="56">
        <f>IF(CL2=Projections!$C$56,Projections!$B$58,if(CL2&gt;Projections!$C$56,MIN(Projections!$B$60,CK87+IF(mod(DATEDIF(Projections!$C$56,CL2,"M"),Projections!$B$59)=0,1,0)),0))</f>
        <v>10</v>
      </c>
      <c r="CM87" s="56">
        <f>IF(CM2=Projections!$C$56,Projections!$B$58,if(CM2&gt;Projections!$C$56,MIN(Projections!$B$60,CL87+IF(mod(DATEDIF(Projections!$C$56,CM2,"M"),Projections!$B$59)=0,1,0)),0))</f>
        <v>10</v>
      </c>
      <c r="CN87" s="56">
        <f>IF(CN2=Projections!$C$56,Projections!$B$58,if(CN2&gt;Projections!$C$56,MIN(Projections!$B$60,CM87+IF(mod(DATEDIF(Projections!$C$56,CN2,"M"),Projections!$B$59)=0,1,0)),0))</f>
        <v>10</v>
      </c>
      <c r="CO87" s="56">
        <f>IF(CO2=Projections!$C$56,Projections!$B$58,if(CO2&gt;Projections!$C$56,MIN(Projections!$B$60,CN87+IF(mod(DATEDIF(Projections!$C$56,CO2,"M"),Projections!$B$59)=0,1,0)),0))</f>
        <v>10</v>
      </c>
      <c r="CP87" s="56">
        <f>IF(CP2=Projections!$C$56,Projections!$B$58,if(CP2&gt;Projections!$C$56,MIN(Projections!$B$60,CO87+IF(mod(DATEDIF(Projections!$C$56,CP2,"M"),Projections!$B$59)=0,1,0)),0))</f>
        <v>10</v>
      </c>
      <c r="CQ87" s="56">
        <f>IF(CQ2=Projections!$C$56,Projections!$B$58,if(CQ2&gt;Projections!$C$56,MIN(Projections!$B$60,CP87+IF(mod(DATEDIF(Projections!$C$56,CQ2,"M"),Projections!$B$59)=0,1,0)),0))</f>
        <v>10</v>
      </c>
      <c r="CR87" s="56">
        <f>IF(CR2=Projections!$C$56,Projections!$B$58,if(CR2&gt;Projections!$C$56,MIN(Projections!$B$60,CQ87+IF(mod(DATEDIF(Projections!$C$56,CR2,"M"),Projections!$B$59)=0,1,0)),0))</f>
        <v>10</v>
      </c>
      <c r="CS87" s="56">
        <f>IF(CS2=Projections!$C$56,Projections!$B$58,if(CS2&gt;Projections!$C$56,MIN(Projections!$B$60,CR87+IF(mod(DATEDIF(Projections!$C$56,CS2,"M"),Projections!$B$59)=0,1,0)),0))</f>
        <v>10</v>
      </c>
      <c r="CT87" s="56">
        <f>IF(CT2=Projections!$C$56,Projections!$B$58,if(CT2&gt;Projections!$C$56,MIN(Projections!$B$60,CS87+IF(mod(DATEDIF(Projections!$C$56,CT2,"M"),Projections!$B$59)=0,1,0)),0))</f>
        <v>10</v>
      </c>
      <c r="CU87" s="56">
        <f>IF(CU2=Projections!$C$56,Projections!$B$58,if(CU2&gt;Projections!$C$56,MIN(Projections!$B$60,CT87+IF(mod(DATEDIF(Projections!$C$56,CU2,"M"),Projections!$B$59)=0,1,0)),0))</f>
        <v>10</v>
      </c>
      <c r="CV87" s="56">
        <f>IF(CV2=Projections!$C$56,Projections!$B$58,if(CV2&gt;Projections!$C$56,MIN(Projections!$B$60,CU87+IF(mod(DATEDIF(Projections!$C$56,CV2,"M"),Projections!$B$59)=0,1,0)),0))</f>
        <v>10</v>
      </c>
      <c r="CW87" s="56">
        <f>IF(CW2=Projections!$C$56,Projections!$B$58,if(CW2&gt;Projections!$C$56,MIN(Projections!$B$60,CV87+IF(mod(DATEDIF(Projections!$C$56,CW2,"M"),Projections!$B$59)=0,1,0)),0))</f>
        <v>10</v>
      </c>
      <c r="CX87" s="56">
        <f>IF(CX2=Projections!$C$56,Projections!$B$58,if(CX2&gt;Projections!$C$56,MIN(Projections!$B$60,CW87+IF(mod(DATEDIF(Projections!$C$56,CX2,"M"),Projections!$B$59)=0,1,0)),0))</f>
        <v>10</v>
      </c>
    </row>
    <row r="88" ht="15.75" customHeight="1">
      <c r="A88" s="134" t="s">
        <v>225</v>
      </c>
      <c r="B88" s="56"/>
      <c r="C88" s="56"/>
      <c r="D88" s="56"/>
      <c r="E88" s="56">
        <f>IF(E$2=Payroll!$I46,Payroll!$F46,IF(E$2&gt;Payroll!$I46,Payroll!$F46*((1+Payroll!$J46)^(ROUNDDOWN(DATEDIF(Payroll!$I46,E$2,"M")/Payroll!$K46,0))),0))</f>
        <v>0</v>
      </c>
      <c r="F88" s="56">
        <f>IF(F$2=Payroll!$I46,Payroll!$F46,IF(F$2&gt;Payroll!$I46,Payroll!$F46*((1+Payroll!$J46)^(ROUNDDOWN(DATEDIF(Payroll!$I46,F$2,"M")/Payroll!$K46,0))),0))</f>
        <v>0</v>
      </c>
      <c r="G88" s="56">
        <f>IF(G$2=Payroll!$I46,Payroll!$F46,IF(G$2&gt;Payroll!$I46,Payroll!$F46*((1+Payroll!$J46)^(ROUNDDOWN(DATEDIF(Payroll!$I46,G$2,"M")/Payroll!$K46,0))),0))</f>
        <v>0</v>
      </c>
      <c r="H88" s="56">
        <f>IF(H$2=Payroll!$I46,Payroll!$F46,IF(H$2&gt;Payroll!$I46,Payroll!$F46*((1+Payroll!$J46)^(ROUNDDOWN(DATEDIF(Payroll!$I46,H$2,"M")/Payroll!$K46,0))),0))</f>
        <v>0</v>
      </c>
      <c r="I88" s="56">
        <f>IF(I$2=Payroll!$I46,Payroll!$F46,IF(I$2&gt;Payroll!$I46,Payroll!$F46*((1+Payroll!$J46)^(ROUNDDOWN(DATEDIF(Payroll!$I46,I$2,"M")/Payroll!$K46,0))),0))</f>
        <v>0</v>
      </c>
      <c r="J88" s="56">
        <f>IF(J$2=Payroll!$I46,Payroll!$F46,IF(J$2&gt;Payroll!$I46,Payroll!$F46*((1+Payroll!$J46)^(ROUNDDOWN(DATEDIF(Payroll!$I46,J$2,"M")/Payroll!$K46,0))),0))</f>
        <v>0</v>
      </c>
      <c r="K88" s="56">
        <f>IF(K$2=Payroll!$I46,Payroll!$F46,IF(K$2&gt;Payroll!$I46,Payroll!$F46*((1+Payroll!$J46)^(ROUNDDOWN(DATEDIF(Payroll!$I46,K$2,"M")/Payroll!$K46,0))),0))</f>
        <v>0</v>
      </c>
      <c r="L88" s="56">
        <f>IF(L$2=Payroll!$I46,Payroll!$F46,IF(L$2&gt;Payroll!$I46,Payroll!$F46*((1+Payroll!$J46)^(ROUNDDOWN(DATEDIF(Payroll!$I46,L$2,"M")/Payroll!$K46,0))),0))</f>
        <v>0</v>
      </c>
      <c r="M88" s="56">
        <f>IF(M$2=Payroll!$I46,Payroll!$F46,IF(M$2&gt;Payroll!$I46,Payroll!$F46*((1+Payroll!$J46)^(ROUNDDOWN(DATEDIF(Payroll!$I46,M$2,"M")/Payroll!$K46,0))),0))</f>
        <v>0</v>
      </c>
      <c r="N88" s="56">
        <f>IF(N$2=Payroll!$I46,Payroll!$F46,IF(N$2&gt;Payroll!$I46,Payroll!$F46*((1+Payroll!$J46)^(ROUNDDOWN(DATEDIF(Payroll!$I46,N$2,"M")/Payroll!$K46,0))),0))</f>
        <v>0</v>
      </c>
      <c r="O88" s="56">
        <f>IF(O$2=Payroll!$I46,Payroll!$F46,IF(O$2&gt;Payroll!$I46,Payroll!$F46*((1+Payroll!$J46)^(ROUNDDOWN(DATEDIF(Payroll!$I46,O$2,"M")/Payroll!$K46,0))),0))</f>
        <v>0</v>
      </c>
      <c r="P88" s="56">
        <f>IF(P$2=Payroll!$I46,Payroll!$F46,IF(P$2&gt;Payroll!$I46,Payroll!$F46*((1+Payroll!$J46)^(ROUNDDOWN(DATEDIF(Payroll!$I46,P$2,"M")/Payroll!$K46,0))),0))</f>
        <v>0</v>
      </c>
      <c r="Q88" s="56">
        <f>IF(Q$2=Payroll!$I46,Payroll!$F46,IF(Q$2&gt;Payroll!$I46,Payroll!$F46*((1+Payroll!$J46)^(ROUNDDOWN(DATEDIF(Payroll!$I46,Q$2,"M")/Payroll!$K46,0))),0))</f>
        <v>0</v>
      </c>
      <c r="R88" s="56">
        <f>IF(R$2=Payroll!$I46,Payroll!$F46,IF(R$2&gt;Payroll!$I46,Payroll!$F46*((1+Payroll!$J46)^(ROUNDDOWN(DATEDIF(Payroll!$I46,R$2,"M")/Payroll!$K46,0))),0))</f>
        <v>0</v>
      </c>
      <c r="S88" s="56">
        <f>IF(S$2=Payroll!$I46,Payroll!$F46,IF(S$2&gt;Payroll!$I46,Payroll!$F46*((1+Payroll!$J46)^(ROUNDDOWN(DATEDIF(Payroll!$I46,S$2,"M")/Payroll!$K46,0))),0))</f>
        <v>0</v>
      </c>
      <c r="T88" s="56">
        <f>IF(T$2=Payroll!$I46,Payroll!$F46,IF(T$2&gt;Payroll!$I46,Payroll!$F46*((1+Payroll!$J46)^(ROUNDDOWN(DATEDIF(Payroll!$I46,T$2,"M")/Payroll!$K46,0))),0))</f>
        <v>0</v>
      </c>
      <c r="U88" s="56">
        <f>IF(U$2=Payroll!$I46,Payroll!$F46,IF(U$2&gt;Payroll!$I46,Payroll!$F46*((1+Payroll!$J46)^(ROUNDDOWN(DATEDIF(Payroll!$I46,U$2,"M")/Payroll!$K46,0))),0))</f>
        <v>0</v>
      </c>
      <c r="V88" s="56">
        <f>IF(V$2=Payroll!$I46,Payroll!$F46,IF(V$2&gt;Payroll!$I46,Payroll!$F46*((1+Payroll!$J46)^(ROUNDDOWN(DATEDIF(Payroll!$I46,V$2,"M")/Payroll!$K46,0))),0))</f>
        <v>0</v>
      </c>
      <c r="W88" s="56">
        <f>IF(W$2=Payroll!$I46,Payroll!$F46,IF(W$2&gt;Payroll!$I46,Payroll!$F46*((1+Payroll!$J46)^(ROUNDDOWN(DATEDIF(Payroll!$I46,W$2,"M")/Payroll!$K46,0))),0))</f>
        <v>0</v>
      </c>
      <c r="X88" s="56">
        <f>IF(X$2=Payroll!$I46,Payroll!$F46,IF(X$2&gt;Payroll!$I46,Payroll!$F46*((1+Payroll!$J46)^(ROUNDDOWN(DATEDIF(Payroll!$I46,X$2,"M")/Payroll!$K46,0))),0))</f>
        <v>0</v>
      </c>
      <c r="Y88" s="56">
        <f>IF(Y$2=Payroll!$I46,Payroll!$F46,IF(Y$2&gt;Payroll!$I46,Payroll!$F46*((1+Payroll!$J46)^(ROUNDDOWN(DATEDIF(Payroll!$I46,Y$2,"M")/Payroll!$K46,0))),0))</f>
        <v>0</v>
      </c>
      <c r="Z88" s="56">
        <f>IF(Z$2=Payroll!$I46,Payroll!$F46,IF(Z$2&gt;Payroll!$I46,Payroll!$F46*((1+Payroll!$J46)^(ROUNDDOWN(DATEDIF(Payroll!$I46,Z$2,"M")/Payroll!$K46,0))),0))</f>
        <v>0</v>
      </c>
      <c r="AA88" s="56">
        <f>IF(AA$2=Payroll!$I46,Payroll!$F46,IF(AA$2&gt;Payroll!$I46,Payroll!$F46*((1+Payroll!$J46)^(ROUNDDOWN(DATEDIF(Payroll!$I46,AA$2,"M")/Payroll!$K46,0))),0))</f>
        <v>0</v>
      </c>
      <c r="AB88" s="56">
        <f>IF(AB$2=Payroll!$I46,Payroll!$F46,IF(AB$2&gt;Payroll!$I46,Payroll!$F46*((1+Payroll!$J46)^(ROUNDDOWN(DATEDIF(Payroll!$I46,AB$2,"M")/Payroll!$K46,0))),0))</f>
        <v>0</v>
      </c>
      <c r="AC88" s="56">
        <f>IF(AC$2=Payroll!$I46,Payroll!$F46,IF(AC$2&gt;Payroll!$I46,Payroll!$F46*((1+Payroll!$J46)^(ROUNDDOWN(DATEDIF(Payroll!$I46,AC$2,"M")/Payroll!$K46,0))),0))</f>
        <v>0</v>
      </c>
      <c r="AD88" s="56">
        <f>IF(AD$2=Payroll!$I46,Payroll!$F46,IF(AD$2&gt;Payroll!$I46,Payroll!$F46*((1+Payroll!$J46)^(ROUNDDOWN(DATEDIF(Payroll!$I46,AD$2,"M")/Payroll!$K46,0))),0))</f>
        <v>0</v>
      </c>
      <c r="AE88" s="56">
        <f>IF(AE$2=Payroll!$I46,Payroll!$F46,IF(AE$2&gt;Payroll!$I46,Payroll!$F46*((1+Payroll!$J46)^(ROUNDDOWN(DATEDIF(Payroll!$I46,AE$2,"M")/Payroll!$K46,0))),0))</f>
        <v>0</v>
      </c>
      <c r="AF88" s="56">
        <f>IF(AF$2=Payroll!$I46,Payroll!$F46,IF(AF$2&gt;Payroll!$I46,Payroll!$F46*((1+Payroll!$J46)^(ROUNDDOWN(DATEDIF(Payroll!$I46,AF$2,"M")/Payroll!$K46,0))),0))</f>
        <v>0</v>
      </c>
      <c r="AG88" s="56">
        <f>IF(AG$2=Payroll!$I46,Payroll!$F46,IF(AG$2&gt;Payroll!$I46,Payroll!$F46*((1+Payroll!$J46)^(ROUNDDOWN(DATEDIF(Payroll!$I46,AG$2,"M")/Payroll!$K46,0))),0))</f>
        <v>0</v>
      </c>
      <c r="AH88" s="56">
        <f>IF(AH$2=Payroll!$I46,Payroll!$F46,IF(AH$2&gt;Payroll!$I46,Payroll!$F46*((1+Payroll!$J46)^(ROUNDDOWN(DATEDIF(Payroll!$I46,AH$2,"M")/Payroll!$K46,0))),0))</f>
        <v>0</v>
      </c>
      <c r="AI88" s="56">
        <f>IF(AI$2=Payroll!$I46,Payroll!$F46,IF(AI$2&gt;Payroll!$I46,Payroll!$F46*((1+Payroll!$J46)^(ROUNDDOWN(DATEDIF(Payroll!$I46,AI$2,"M")/Payroll!$K46,0))),0))</f>
        <v>0</v>
      </c>
      <c r="AJ88" s="56">
        <f>IF(AJ$2=Payroll!$I46,Payroll!$F46,IF(AJ$2&gt;Payroll!$I46,Payroll!$F46*((1+Payroll!$J46)^(ROUNDDOWN(DATEDIF(Payroll!$I46,AJ$2,"M")/Payroll!$K46,0))),0))</f>
        <v>0</v>
      </c>
      <c r="AK88" s="56">
        <f>IF(AK$2=Payroll!$I46,Payroll!$F46,IF(AK$2&gt;Payroll!$I46,Payroll!$F46*((1+Payroll!$J46)^(ROUNDDOWN(DATEDIF(Payroll!$I46,AK$2,"M")/Payroll!$K46,0))),0))</f>
        <v>0</v>
      </c>
      <c r="AL88" s="56">
        <f>IF(AL$2=Payroll!$I46,Payroll!$F46,IF(AL$2&gt;Payroll!$I46,Payroll!$F46*((1+Payroll!$J46)^(ROUNDDOWN(DATEDIF(Payroll!$I46,AL$2,"M")/Payroll!$K46,0))),0))</f>
        <v>0</v>
      </c>
      <c r="AM88" s="56">
        <f>IF(AM$2=Payroll!$I46,Payroll!$F46,IF(AM$2&gt;Payroll!$I46,Payroll!$F46*((1+Payroll!$J46)^(ROUNDDOWN(DATEDIF(Payroll!$I46,AM$2,"M")/Payroll!$K46,0))),0))</f>
        <v>0</v>
      </c>
      <c r="AN88" s="56">
        <f>IF(AN$2=Payroll!$I46,Payroll!$F46,IF(AN$2&gt;Payroll!$I46,Payroll!$F46*((1+Payroll!$J46)^(ROUNDDOWN(DATEDIF(Payroll!$I46,AN$2,"M")/Payroll!$K46,0))),0))</f>
        <v>0</v>
      </c>
      <c r="AO88" s="56">
        <f>IF(AO$2=Payroll!$I46,Payroll!$F46,IF(AO$2&gt;Payroll!$I46,Payroll!$F46*((1+Payroll!$J46)^(ROUNDDOWN(DATEDIF(Payroll!$I46,AO$2,"M")/Payroll!$K46,0))),0))</f>
        <v>0</v>
      </c>
      <c r="AP88" s="56">
        <f>IF(AP$2=Payroll!$I46,Payroll!$F46,IF(AP$2&gt;Payroll!$I46,Payroll!$F46*((1+Payroll!$J46)^(ROUNDDOWN(DATEDIF(Payroll!$I46,AP$2,"M")/Payroll!$K46,0))),0))</f>
        <v>0</v>
      </c>
      <c r="AQ88" s="56">
        <f>IF(AQ$2=Payroll!$I46,Payroll!$F46,IF(AQ$2&gt;Payroll!$I46,Payroll!$F46*((1+Payroll!$J46)^(ROUNDDOWN(DATEDIF(Payroll!$I46,AQ$2,"M")/Payroll!$K46,0))),0))</f>
        <v>0</v>
      </c>
      <c r="AR88" s="56">
        <f>IF(AR$2=Payroll!$I46,Payroll!$F46,IF(AR$2&gt;Payroll!$I46,Payroll!$F46*((1+Payroll!$J46)^(ROUNDDOWN(DATEDIF(Payroll!$I46,AR$2,"M")/Payroll!$K46,0))),0))</f>
        <v>0</v>
      </c>
      <c r="AS88" s="56">
        <f>IF(AS$2=Payroll!$I46,Payroll!$F46,IF(AS$2&gt;Payroll!$I46,Payroll!$F46*((1+Payroll!$J46)^(ROUNDDOWN(DATEDIF(Payroll!$I46,AS$2,"M")/Payroll!$K46,0))),0))</f>
        <v>0</v>
      </c>
      <c r="AT88" s="56">
        <f>IF(AT$2=Payroll!$I46,Payroll!$F46,IF(AT$2&gt;Payroll!$I46,Payroll!$F46*((1+Payroll!$J46)^(ROUNDDOWN(DATEDIF(Payroll!$I46,AT$2,"M")/Payroll!$K46,0))),0))</f>
        <v>0</v>
      </c>
      <c r="AU88" s="56">
        <f>IF(AU$2=Payroll!$I46,Payroll!$F46,IF(AU$2&gt;Payroll!$I46,Payroll!$F46*((1+Payroll!$J46)^(ROUNDDOWN(DATEDIF(Payroll!$I46,AU$2,"M")/Payroll!$K46,0))),0))</f>
        <v>0</v>
      </c>
      <c r="AV88" s="56">
        <f>IF(AV$2=Payroll!$I46,Payroll!$F46,IF(AV$2&gt;Payroll!$I46,Payroll!$F46*((1+Payroll!$J46)^(ROUNDDOWN(DATEDIF(Payroll!$I46,AV$2,"M")/Payroll!$K46,0))),0))</f>
        <v>0</v>
      </c>
      <c r="AW88" s="56">
        <f>IF(AW$2=Payroll!$I46,Payroll!$F46,IF(AW$2&gt;Payroll!$I46,Payroll!$F46*((1+Payroll!$J46)^(ROUNDDOWN(DATEDIF(Payroll!$I46,AW$2,"M")/Payroll!$K46,0))),0))</f>
        <v>0</v>
      </c>
      <c r="AX88" s="56">
        <f>IF(AX$2=Payroll!$I46,Payroll!$F46,IF(AX$2&gt;Payroll!$I46,Payroll!$F46*((1+Payroll!$J46)^(ROUNDDOWN(DATEDIF(Payroll!$I46,AX$2,"M")/Payroll!$K46,0))),0))</f>
        <v>0</v>
      </c>
      <c r="AY88" s="56">
        <f>IF(AY$2=Payroll!$I46,Payroll!$F46,IF(AY$2&gt;Payroll!$I46,Payroll!$F46*((1+Payroll!$J46)^(ROUNDDOWN(DATEDIF(Payroll!$I46,AY$2,"M")/Payroll!$K46,0))),0))</f>
        <v>0</v>
      </c>
      <c r="AZ88" s="56">
        <f>IF(AZ$2=Payroll!$I46,Payroll!$F46,IF(AZ$2&gt;Payroll!$I46,Payroll!$F46*((1+Payroll!$J46)^(ROUNDDOWN(DATEDIF(Payroll!$I46,AZ$2,"M")/Payroll!$K46,0))),0))</f>
        <v>0</v>
      </c>
      <c r="BA88" s="56">
        <f>IF(BA$2=Payroll!$I46,Payroll!$F46,IF(BA$2&gt;Payroll!$I46,Payroll!$F46*((1+Payroll!$J46)^(ROUNDDOWN(DATEDIF(Payroll!$I46,BA$2,"M")/Payroll!$K46,0))),0))</f>
        <v>0</v>
      </c>
      <c r="BB88" s="56">
        <f>IF(BB$2=Payroll!$I46,Payroll!$F46,IF(BB$2&gt;Payroll!$I46,Payroll!$F46*((1+Payroll!$J46)^(ROUNDDOWN(DATEDIF(Payroll!$I46,BB$2,"M")/Payroll!$K46,0))),0))</f>
        <v>0</v>
      </c>
      <c r="BC88" s="56">
        <f>IF(BC$2=Payroll!$I46,Payroll!$F46,IF(BC$2&gt;Payroll!$I46,Payroll!$F46*((1+Payroll!$J46)^(ROUNDDOWN(DATEDIF(Payroll!$I46,BC$2,"M")/Payroll!$K46,0))),0))</f>
        <v>0</v>
      </c>
      <c r="BD88" s="56">
        <f>IF(BD$2=Payroll!$I46,Payroll!$F46,IF(BD$2&gt;Payroll!$I46,Payroll!$F46*((1+Payroll!$J46)^(ROUNDDOWN(DATEDIF(Payroll!$I46,BD$2,"M")/Payroll!$K46,0))),0))</f>
        <v>0</v>
      </c>
      <c r="BE88" s="56">
        <f>IF(BE$2=Payroll!$I46,Payroll!$F46,IF(BE$2&gt;Payroll!$I46,Payroll!$F46*((1+Payroll!$J46)^(ROUNDDOWN(DATEDIF(Payroll!$I46,BE$2,"M")/Payroll!$K46,0))),0))</f>
        <v>0</v>
      </c>
      <c r="BF88" s="56">
        <f>IF(BF$2=Payroll!$I46,Payroll!$F46,IF(BF$2&gt;Payroll!$I46,Payroll!$F46*((1+Payroll!$J46)^(ROUNDDOWN(DATEDIF(Payroll!$I46,BF$2,"M")/Payroll!$K46,0))),0))</f>
        <v>0</v>
      </c>
      <c r="BG88" s="56">
        <f>IF(BG$2=Payroll!$I46,Payroll!$F46,IF(BG$2&gt;Payroll!$I46,Payroll!$F46*((1+Payroll!$J46)^(ROUNDDOWN(DATEDIF(Payroll!$I46,BG$2,"M")/Payroll!$K46,0))),0))</f>
        <v>0</v>
      </c>
      <c r="BH88" s="56">
        <f>IF(BH$2=Payroll!$I46,Payroll!$F46,IF(BH$2&gt;Payroll!$I46,Payroll!$F46*((1+Payroll!$J46)^(ROUNDDOWN(DATEDIF(Payroll!$I46,BH$2,"M")/Payroll!$K46,0))),0))</f>
        <v>0</v>
      </c>
      <c r="BI88" s="56">
        <f>IF(BI$2=Payroll!$I46,Payroll!$F46,IF(BI$2&gt;Payroll!$I46,Payroll!$F46*((1+Payroll!$J46)^(ROUNDDOWN(DATEDIF(Payroll!$I46,BI$2,"M")/Payroll!$K46,0))),0))</f>
        <v>0</v>
      </c>
      <c r="BJ88" s="56">
        <f>IF(BJ$2=Payroll!$I46,Payroll!$F46,IF(BJ$2&gt;Payroll!$I46,Payroll!$F46*((1+Payroll!$J46)^(ROUNDDOWN(DATEDIF(Payroll!$I46,BJ$2,"M")/Payroll!$K46,0))),0))</f>
        <v>0</v>
      </c>
      <c r="BK88" s="56">
        <f>IF(BK$2=Payroll!$I46,Payroll!$F46,IF(BK$2&gt;Payroll!$I46,Payroll!$F46*((1+Payroll!$J46)^(ROUNDDOWN(DATEDIF(Payroll!$I46,BK$2,"M")/Payroll!$K46,0))),0))</f>
        <v>0</v>
      </c>
      <c r="BL88" s="56">
        <f>IF(BL$2=Payroll!$I46,Payroll!$F46,IF(BL$2&gt;Payroll!$I46,Payroll!$F46*((1+Payroll!$J46)^(ROUNDDOWN(DATEDIF(Payroll!$I46,BL$2,"M")/Payroll!$K46,0))),0))</f>
        <v>0</v>
      </c>
      <c r="BM88" s="56">
        <f>IF(BM$2=Payroll!$I46,Payroll!$F46,IF(BM$2&gt;Payroll!$I46,Payroll!$F46*((1+Payroll!$J46)^(ROUNDDOWN(DATEDIF(Payroll!$I46,BM$2,"M")/Payroll!$K46,0))),0))</f>
        <v>0</v>
      </c>
      <c r="BN88" s="56">
        <f>IF(BN$2=Payroll!$I46,Payroll!$F46,IF(BN$2&gt;Payroll!$I46,Payroll!$F46*((1+Payroll!$J46)^(ROUNDDOWN(DATEDIF(Payroll!$I46,BN$2,"M")/Payroll!$K46,0))),0))</f>
        <v>0</v>
      </c>
      <c r="BO88" s="56">
        <f>IF(BO$2=Payroll!$I46,Payroll!$F46,IF(BO$2&gt;Payroll!$I46,Payroll!$F46*((1+Payroll!$J46)^(ROUNDDOWN(DATEDIF(Payroll!$I46,BO$2,"M")/Payroll!$K46,0))),0))</f>
        <v>0</v>
      </c>
      <c r="BP88" s="56">
        <f>IF(BP$2=Payroll!$I46,Payroll!$F46,IF(BP$2&gt;Payroll!$I46,Payroll!$F46*((1+Payroll!$J46)^(ROUNDDOWN(DATEDIF(Payroll!$I46,BP$2,"M")/Payroll!$K46,0))),0))</f>
        <v>0</v>
      </c>
      <c r="BQ88" s="56">
        <f>IF(BQ$2=Payroll!$I46,Payroll!$F46,IF(BQ$2&gt;Payroll!$I46,Payroll!$F46*((1+Payroll!$J46)^(ROUNDDOWN(DATEDIF(Payroll!$I46,BQ$2,"M")/Payroll!$K46,0))),0))</f>
        <v>0</v>
      </c>
      <c r="BR88" s="56">
        <f>IF(BR$2=Payroll!$I46,Payroll!$F46,IF(BR$2&gt;Payroll!$I46,Payroll!$F46*((1+Payroll!$J46)^(ROUNDDOWN(DATEDIF(Payroll!$I46,BR$2,"M")/Payroll!$K46,0))),0))</f>
        <v>0</v>
      </c>
      <c r="BS88" s="56">
        <f>IF(BS$2=Payroll!$I46,Payroll!$F46,IF(BS$2&gt;Payroll!$I46,Payroll!$F46*((1+Payroll!$J46)^(ROUNDDOWN(DATEDIF(Payroll!$I46,BS$2,"M")/Payroll!$K46,0))),0))</f>
        <v>0</v>
      </c>
      <c r="BT88" s="56">
        <f>IF(BT$2=Payroll!$I46,Payroll!$F46,IF(BT$2&gt;Payroll!$I46,Payroll!$F46*((1+Payroll!$J46)^(ROUNDDOWN(DATEDIF(Payroll!$I46,BT$2,"M")/Payroll!$K46,0))),0))</f>
        <v>0</v>
      </c>
      <c r="BU88" s="56">
        <f>IF(BU$2=Payroll!$I46,Payroll!$F46,IF(BU$2&gt;Payroll!$I46,Payroll!$F46*((1+Payroll!$J46)^(ROUNDDOWN(DATEDIF(Payroll!$I46,BU$2,"M")/Payroll!$K46,0))),0))</f>
        <v>0</v>
      </c>
      <c r="BV88" s="56">
        <f>IF(BV$2=Payroll!$I46,Payroll!$F46,IF(BV$2&gt;Payroll!$I46,Payroll!$F46*((1+Payroll!$J46)^(ROUNDDOWN(DATEDIF(Payroll!$I46,BV$2,"M")/Payroll!$K46,0))),0))</f>
        <v>0</v>
      </c>
      <c r="BW88" s="56">
        <f>IF(BW$2=Payroll!$I46,Payroll!$F46,IF(BW$2&gt;Payroll!$I46,Payroll!$F46*((1+Payroll!$J46)^(ROUNDDOWN(DATEDIF(Payroll!$I46,BW$2,"M")/Payroll!$K46,0))),0))</f>
        <v>0</v>
      </c>
      <c r="BX88" s="56">
        <f>IF(BX$2=Payroll!$I46,Payroll!$F46,IF(BX$2&gt;Payroll!$I46,Payroll!$F46*((1+Payroll!$J46)^(ROUNDDOWN(DATEDIF(Payroll!$I46,BX$2,"M")/Payroll!$K46,0))),0))</f>
        <v>0</v>
      </c>
      <c r="BY88" s="56">
        <f>IF(BY$2=Payroll!$I46,Payroll!$F46,IF(BY$2&gt;Payroll!$I46,Payroll!$F46*((1+Payroll!$J46)^(ROUNDDOWN(DATEDIF(Payroll!$I46,BY$2,"M")/Payroll!$K46,0))),0))</f>
        <v>0</v>
      </c>
      <c r="BZ88" s="56">
        <f>IF(BZ$2=Payroll!$I46,Payroll!$F46,IF(BZ$2&gt;Payroll!$I46,Payroll!$F46*((1+Payroll!$J46)^(ROUNDDOWN(DATEDIF(Payroll!$I46,BZ$2,"M")/Payroll!$K46,0))),0))</f>
        <v>0</v>
      </c>
      <c r="CA88" s="56">
        <f>IF(CA$2=Payroll!$I46,Payroll!$F46,IF(CA$2&gt;Payroll!$I46,Payroll!$F46*((1+Payroll!$J46)^(ROUNDDOWN(DATEDIF(Payroll!$I46,CA$2,"M")/Payroll!$K46,0))),0))</f>
        <v>0</v>
      </c>
      <c r="CB88" s="56">
        <f>IF(CB$2=Payroll!$I46,Payroll!$F46,IF(CB$2&gt;Payroll!$I46,Payroll!$F46*((1+Payroll!$J46)^(ROUNDDOWN(DATEDIF(Payroll!$I46,CB$2,"M")/Payroll!$K46,0))),0))</f>
        <v>0</v>
      </c>
      <c r="CC88" s="56">
        <f>IF(CC$2=Payroll!$I46,Payroll!$F46,IF(CC$2&gt;Payroll!$I46,Payroll!$F46*((1+Payroll!$J46)^(ROUNDDOWN(DATEDIF(Payroll!$I46,CC$2,"M")/Payroll!$K46,0))),0))</f>
        <v>0</v>
      </c>
      <c r="CD88" s="56">
        <f>IF(CD$2=Payroll!$I46,Payroll!$F46,IF(CD$2&gt;Payroll!$I46,Payroll!$F46*((1+Payroll!$J46)^(ROUNDDOWN(DATEDIF(Payroll!$I46,CD$2,"M")/Payroll!$K46,0))),0))</f>
        <v>0</v>
      </c>
      <c r="CE88" s="56">
        <f>IF(CE$2=Payroll!$I46,Payroll!$F46,IF(CE$2&gt;Payroll!$I46,Payroll!$F46*((1+Payroll!$J46)^(ROUNDDOWN(DATEDIF(Payroll!$I46,CE$2,"M")/Payroll!$K46,0))),0))</f>
        <v>0</v>
      </c>
      <c r="CF88" s="56">
        <f>IF(CF$2=Payroll!$I46,Payroll!$F46,IF(CF$2&gt;Payroll!$I46,Payroll!$F46*((1+Payroll!$J46)^(ROUNDDOWN(DATEDIF(Payroll!$I46,CF$2,"M")/Payroll!$K46,0))),0))</f>
        <v>0</v>
      </c>
      <c r="CG88" s="56">
        <f>IF(CG$2=Payroll!$I46,Payroll!$F46,IF(CG$2&gt;Payroll!$I46,Payroll!$F46*((1+Payroll!$J46)^(ROUNDDOWN(DATEDIF(Payroll!$I46,CG$2,"M")/Payroll!$K46,0))),0))</f>
        <v>0</v>
      </c>
      <c r="CH88" s="56">
        <f>IF(CH$2=Payroll!$I46,Payroll!$F46,IF(CH$2&gt;Payroll!$I46,Payroll!$F46*((1+Payroll!$J46)^(ROUNDDOWN(DATEDIF(Payroll!$I46,CH$2,"M")/Payroll!$K46,0))),0))</f>
        <v>0</v>
      </c>
      <c r="CI88" s="56">
        <f>IF(CI$2=Payroll!$I46,Payroll!$F46,IF(CI$2&gt;Payroll!$I46,Payroll!$F46*((1+Payroll!$J46)^(ROUNDDOWN(DATEDIF(Payroll!$I46,CI$2,"M")/Payroll!$K46,0))),0))</f>
        <v>0</v>
      </c>
      <c r="CJ88" s="56">
        <f>IF(CJ$2=Payroll!$I46,Payroll!$F46,IF(CJ$2&gt;Payroll!$I46,Payroll!$F46*((1+Payroll!$J46)^(ROUNDDOWN(DATEDIF(Payroll!$I46,CJ$2,"M")/Payroll!$K46,0))),0))</f>
        <v>0</v>
      </c>
      <c r="CK88" s="56">
        <f>IF(CK$2=Payroll!$I46,Payroll!$F46,IF(CK$2&gt;Payroll!$I46,Payroll!$F46*((1+Payroll!$J46)^(ROUNDDOWN(DATEDIF(Payroll!$I46,CK$2,"M")/Payroll!$K46,0))),0))</f>
        <v>0</v>
      </c>
      <c r="CL88" s="56">
        <f>IF(CL$2=Payroll!$I46,Payroll!$F46,IF(CL$2&gt;Payroll!$I46,Payroll!$F46*((1+Payroll!$J46)^(ROUNDDOWN(DATEDIF(Payroll!$I46,CL$2,"M")/Payroll!$K46,0))),0))</f>
        <v>0</v>
      </c>
      <c r="CM88" s="56">
        <f>IF(CM$2=Payroll!$I46,Payroll!$F46,IF(CM$2&gt;Payroll!$I46,Payroll!$F46*((1+Payroll!$J46)^(ROUNDDOWN(DATEDIF(Payroll!$I46,CM$2,"M")/Payroll!$K46,0))),0))</f>
        <v>0</v>
      </c>
      <c r="CN88" s="56">
        <f>IF(CN$2=Payroll!$I46,Payroll!$F46,IF(CN$2&gt;Payroll!$I46,Payroll!$F46*((1+Payroll!$J46)^(ROUNDDOWN(DATEDIF(Payroll!$I46,CN$2,"M")/Payroll!$K46,0))),0))</f>
        <v>0</v>
      </c>
      <c r="CO88" s="56">
        <f>IF(CO$2=Payroll!$I46,Payroll!$F46,IF(CO$2&gt;Payroll!$I46,Payroll!$F46*((1+Payroll!$J46)^(ROUNDDOWN(DATEDIF(Payroll!$I46,CO$2,"M")/Payroll!$K46,0))),0))</f>
        <v>0</v>
      </c>
      <c r="CP88" s="56">
        <f>IF(CP$2=Payroll!$I46,Payroll!$F46,IF(CP$2&gt;Payroll!$I46,Payroll!$F46*((1+Payroll!$J46)^(ROUNDDOWN(DATEDIF(Payroll!$I46,CP$2,"M")/Payroll!$K46,0))),0))</f>
        <v>0</v>
      </c>
      <c r="CQ88" s="56">
        <f>IF(CQ$2=Payroll!$I46,Payroll!$F46,IF(CQ$2&gt;Payroll!$I46,Payroll!$F46*((1+Payroll!$J46)^(ROUNDDOWN(DATEDIF(Payroll!$I46,CQ$2,"M")/Payroll!$K46,0))),0))</f>
        <v>0</v>
      </c>
      <c r="CR88" s="56">
        <f>IF(CR$2=Payroll!$I46,Payroll!$F46,IF(CR$2&gt;Payroll!$I46,Payroll!$F46*((1+Payroll!$J46)^(ROUNDDOWN(DATEDIF(Payroll!$I46,CR$2,"M")/Payroll!$K46,0))),0))</f>
        <v>0</v>
      </c>
      <c r="CS88" s="56">
        <f>IF(CS$2=Payroll!$I46,Payroll!$F46,IF(CS$2&gt;Payroll!$I46,Payroll!$F46*((1+Payroll!$J46)^(ROUNDDOWN(DATEDIF(Payroll!$I46,CS$2,"M")/Payroll!$K46,0))),0))</f>
        <v>0</v>
      </c>
      <c r="CT88" s="56">
        <f>IF(CT$2=Payroll!$I46,Payroll!$F46,IF(CT$2&gt;Payroll!$I46,Payroll!$F46*((1+Payroll!$J46)^(ROUNDDOWN(DATEDIF(Payroll!$I46,CT$2,"M")/Payroll!$K46,0))),0))</f>
        <v>0</v>
      </c>
      <c r="CU88" s="56">
        <f>IF(CU$2=Payroll!$I46,Payroll!$F46,IF(CU$2&gt;Payroll!$I46,Payroll!$F46*((1+Payroll!$J46)^(ROUNDDOWN(DATEDIF(Payroll!$I46,CU$2,"M")/Payroll!$K46,0))),0))</f>
        <v>0</v>
      </c>
      <c r="CV88" s="56">
        <f>IF(CV$2=Payroll!$I46,Payroll!$F46,IF(CV$2&gt;Payroll!$I46,Payroll!$F46*((1+Payroll!$J46)^(ROUNDDOWN(DATEDIF(Payroll!$I46,CV$2,"M")/Payroll!$K46,0))),0))</f>
        <v>0</v>
      </c>
      <c r="CW88" s="56">
        <f>IF(CW$2=Payroll!$I46,Payroll!$F46,IF(CW$2&gt;Payroll!$I46,Payroll!$F46*((1+Payroll!$J46)^(ROUNDDOWN(DATEDIF(Payroll!$I46,CW$2,"M")/Payroll!$K46,0))),0))</f>
        <v>0</v>
      </c>
      <c r="CX88" s="56">
        <f>IF(CX$2=Payroll!$I46,Payroll!$F46,IF(CX$2&gt;Payroll!$I46,Payroll!$F46*((1+Payroll!$J46)^(ROUNDDOWN(DATEDIF(Payroll!$I46,CX$2,"M")/Payroll!$K46,0))),0))</f>
        <v>0</v>
      </c>
    </row>
    <row r="89" ht="15.75" customHeight="1">
      <c r="A89" s="134" t="s">
        <v>226</v>
      </c>
      <c r="B89" s="56"/>
      <c r="C89" s="56"/>
      <c r="D89" s="56"/>
      <c r="E89" s="56">
        <f t="shared" ref="E89:CX89" si="19">E88*E87</f>
        <v>0</v>
      </c>
      <c r="F89" s="56">
        <f t="shared" si="19"/>
        <v>0</v>
      </c>
      <c r="G89" s="56">
        <f t="shared" si="19"/>
        <v>0</v>
      </c>
      <c r="H89" s="56">
        <f t="shared" si="19"/>
        <v>0</v>
      </c>
      <c r="I89" s="56">
        <f t="shared" si="19"/>
        <v>0</v>
      </c>
      <c r="J89" s="56">
        <f t="shared" si="19"/>
        <v>0</v>
      </c>
      <c r="K89" s="56">
        <f t="shared" si="19"/>
        <v>0</v>
      </c>
      <c r="L89" s="56">
        <f t="shared" si="19"/>
        <v>0</v>
      </c>
      <c r="M89" s="56">
        <f t="shared" si="19"/>
        <v>0</v>
      </c>
      <c r="N89" s="56">
        <f t="shared" si="19"/>
        <v>0</v>
      </c>
      <c r="O89" s="56">
        <f t="shared" si="19"/>
        <v>0</v>
      </c>
      <c r="P89" s="56">
        <f t="shared" si="19"/>
        <v>0</v>
      </c>
      <c r="Q89" s="56">
        <f t="shared" si="19"/>
        <v>0</v>
      </c>
      <c r="R89" s="56">
        <f t="shared" si="19"/>
        <v>0</v>
      </c>
      <c r="S89" s="56">
        <f t="shared" si="19"/>
        <v>0</v>
      </c>
      <c r="T89" s="56">
        <f t="shared" si="19"/>
        <v>0</v>
      </c>
      <c r="U89" s="56">
        <f t="shared" si="19"/>
        <v>0</v>
      </c>
      <c r="V89" s="56">
        <f t="shared" si="19"/>
        <v>0</v>
      </c>
      <c r="W89" s="56">
        <f t="shared" si="19"/>
        <v>0</v>
      </c>
      <c r="X89" s="56">
        <f t="shared" si="19"/>
        <v>0</v>
      </c>
      <c r="Y89" s="56">
        <f t="shared" si="19"/>
        <v>0</v>
      </c>
      <c r="Z89" s="56">
        <f t="shared" si="19"/>
        <v>0</v>
      </c>
      <c r="AA89" s="56">
        <f t="shared" si="19"/>
        <v>0</v>
      </c>
      <c r="AB89" s="56">
        <f t="shared" si="19"/>
        <v>0</v>
      </c>
      <c r="AC89" s="56">
        <f t="shared" si="19"/>
        <v>0</v>
      </c>
      <c r="AD89" s="56">
        <f t="shared" si="19"/>
        <v>0</v>
      </c>
      <c r="AE89" s="56">
        <f t="shared" si="19"/>
        <v>0</v>
      </c>
      <c r="AF89" s="56">
        <f t="shared" si="19"/>
        <v>0</v>
      </c>
      <c r="AG89" s="56">
        <f t="shared" si="19"/>
        <v>0</v>
      </c>
      <c r="AH89" s="56">
        <f t="shared" si="19"/>
        <v>0</v>
      </c>
      <c r="AI89" s="56">
        <f t="shared" si="19"/>
        <v>0</v>
      </c>
      <c r="AJ89" s="56">
        <f t="shared" si="19"/>
        <v>0</v>
      </c>
      <c r="AK89" s="56">
        <f t="shared" si="19"/>
        <v>0</v>
      </c>
      <c r="AL89" s="56">
        <f t="shared" si="19"/>
        <v>0</v>
      </c>
      <c r="AM89" s="56">
        <f t="shared" si="19"/>
        <v>0</v>
      </c>
      <c r="AN89" s="56">
        <f t="shared" si="19"/>
        <v>0</v>
      </c>
      <c r="AO89" s="56">
        <f t="shared" si="19"/>
        <v>0</v>
      </c>
      <c r="AP89" s="56">
        <f t="shared" si="19"/>
        <v>0</v>
      </c>
      <c r="AQ89" s="56">
        <f t="shared" si="19"/>
        <v>0</v>
      </c>
      <c r="AR89" s="56">
        <f t="shared" si="19"/>
        <v>0</v>
      </c>
      <c r="AS89" s="56">
        <f t="shared" si="19"/>
        <v>0</v>
      </c>
      <c r="AT89" s="56">
        <f t="shared" si="19"/>
        <v>0</v>
      </c>
      <c r="AU89" s="56">
        <f t="shared" si="19"/>
        <v>0</v>
      </c>
      <c r="AV89" s="56">
        <f t="shared" si="19"/>
        <v>0</v>
      </c>
      <c r="AW89" s="56">
        <f t="shared" si="19"/>
        <v>0</v>
      </c>
      <c r="AX89" s="56">
        <f t="shared" si="19"/>
        <v>0</v>
      </c>
      <c r="AY89" s="56">
        <f t="shared" si="19"/>
        <v>0</v>
      </c>
      <c r="AZ89" s="56">
        <f t="shared" si="19"/>
        <v>0</v>
      </c>
      <c r="BA89" s="56">
        <f t="shared" si="19"/>
        <v>0</v>
      </c>
      <c r="BB89" s="56">
        <f t="shared" si="19"/>
        <v>0</v>
      </c>
      <c r="BC89" s="56">
        <f t="shared" si="19"/>
        <v>0</v>
      </c>
      <c r="BD89" s="56">
        <f t="shared" si="19"/>
        <v>0</v>
      </c>
      <c r="BE89" s="56">
        <f t="shared" si="19"/>
        <v>0</v>
      </c>
      <c r="BF89" s="56">
        <f t="shared" si="19"/>
        <v>0</v>
      </c>
      <c r="BG89" s="56">
        <f t="shared" si="19"/>
        <v>0</v>
      </c>
      <c r="BH89" s="56">
        <f t="shared" si="19"/>
        <v>0</v>
      </c>
      <c r="BI89" s="56">
        <f t="shared" si="19"/>
        <v>0</v>
      </c>
      <c r="BJ89" s="56">
        <f t="shared" si="19"/>
        <v>0</v>
      </c>
      <c r="BK89" s="56">
        <f t="shared" si="19"/>
        <v>0</v>
      </c>
      <c r="BL89" s="56">
        <f t="shared" si="19"/>
        <v>0</v>
      </c>
      <c r="BM89" s="56">
        <f t="shared" si="19"/>
        <v>0</v>
      </c>
      <c r="BN89" s="56">
        <f t="shared" si="19"/>
        <v>0</v>
      </c>
      <c r="BO89" s="56">
        <f t="shared" si="19"/>
        <v>0</v>
      </c>
      <c r="BP89" s="56">
        <f t="shared" si="19"/>
        <v>0</v>
      </c>
      <c r="BQ89" s="56">
        <f t="shared" si="19"/>
        <v>0</v>
      </c>
      <c r="BR89" s="56">
        <f t="shared" si="19"/>
        <v>0</v>
      </c>
      <c r="BS89" s="56">
        <f t="shared" si="19"/>
        <v>0</v>
      </c>
      <c r="BT89" s="56">
        <f t="shared" si="19"/>
        <v>0</v>
      </c>
      <c r="BU89" s="56">
        <f t="shared" si="19"/>
        <v>0</v>
      </c>
      <c r="BV89" s="56">
        <f t="shared" si="19"/>
        <v>0</v>
      </c>
      <c r="BW89" s="56">
        <f t="shared" si="19"/>
        <v>0</v>
      </c>
      <c r="BX89" s="56">
        <f t="shared" si="19"/>
        <v>0</v>
      </c>
      <c r="BY89" s="56">
        <f t="shared" si="19"/>
        <v>0</v>
      </c>
      <c r="BZ89" s="56">
        <f t="shared" si="19"/>
        <v>0</v>
      </c>
      <c r="CA89" s="56">
        <f t="shared" si="19"/>
        <v>0</v>
      </c>
      <c r="CB89" s="56">
        <f t="shared" si="19"/>
        <v>0</v>
      </c>
      <c r="CC89" s="56">
        <f t="shared" si="19"/>
        <v>0</v>
      </c>
      <c r="CD89" s="56">
        <f t="shared" si="19"/>
        <v>0</v>
      </c>
      <c r="CE89" s="56">
        <f t="shared" si="19"/>
        <v>0</v>
      </c>
      <c r="CF89" s="56">
        <f t="shared" si="19"/>
        <v>0</v>
      </c>
      <c r="CG89" s="56">
        <f t="shared" si="19"/>
        <v>0</v>
      </c>
      <c r="CH89" s="56">
        <f t="shared" si="19"/>
        <v>0</v>
      </c>
      <c r="CI89" s="56">
        <f t="shared" si="19"/>
        <v>0</v>
      </c>
      <c r="CJ89" s="56">
        <f t="shared" si="19"/>
        <v>0</v>
      </c>
      <c r="CK89" s="56">
        <f t="shared" si="19"/>
        <v>0</v>
      </c>
      <c r="CL89" s="56">
        <f t="shared" si="19"/>
        <v>0</v>
      </c>
      <c r="CM89" s="56">
        <f t="shared" si="19"/>
        <v>0</v>
      </c>
      <c r="CN89" s="56">
        <f t="shared" si="19"/>
        <v>0</v>
      </c>
      <c r="CO89" s="56">
        <f t="shared" si="19"/>
        <v>0</v>
      </c>
      <c r="CP89" s="56">
        <f t="shared" si="19"/>
        <v>0</v>
      </c>
      <c r="CQ89" s="56">
        <f t="shared" si="19"/>
        <v>0</v>
      </c>
      <c r="CR89" s="56">
        <f t="shared" si="19"/>
        <v>0</v>
      </c>
      <c r="CS89" s="56">
        <f t="shared" si="19"/>
        <v>0</v>
      </c>
      <c r="CT89" s="56">
        <f t="shared" si="19"/>
        <v>0</v>
      </c>
      <c r="CU89" s="56">
        <f t="shared" si="19"/>
        <v>0</v>
      </c>
      <c r="CV89" s="56">
        <f t="shared" si="19"/>
        <v>0</v>
      </c>
      <c r="CW89" s="56">
        <f t="shared" si="19"/>
        <v>0</v>
      </c>
      <c r="CX89" s="56">
        <f t="shared" si="19"/>
        <v>0</v>
      </c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</row>
    <row r="91" ht="15.75" customHeight="1">
      <c r="A91" s="146" t="s">
        <v>70</v>
      </c>
      <c r="B91" s="146"/>
      <c r="C91" s="146"/>
      <c r="D91" s="146"/>
      <c r="E91" s="147">
        <f t="shared" ref="E91:CX91" si="20">E92+E104+E115+E127</f>
        <v>0</v>
      </c>
      <c r="F91" s="147">
        <f t="shared" si="20"/>
        <v>0</v>
      </c>
      <c r="G91" s="147">
        <f t="shared" si="20"/>
        <v>0</v>
      </c>
      <c r="H91" s="147">
        <f t="shared" si="20"/>
        <v>0</v>
      </c>
      <c r="I91" s="147">
        <f t="shared" si="20"/>
        <v>0</v>
      </c>
      <c r="J91" s="147">
        <f t="shared" si="20"/>
        <v>0</v>
      </c>
      <c r="K91" s="147">
        <f t="shared" si="20"/>
        <v>0</v>
      </c>
      <c r="L91" s="147">
        <f t="shared" si="20"/>
        <v>0</v>
      </c>
      <c r="M91" s="147">
        <f t="shared" si="20"/>
        <v>0</v>
      </c>
      <c r="N91" s="147">
        <f t="shared" si="20"/>
        <v>0</v>
      </c>
      <c r="O91" s="147">
        <f t="shared" si="20"/>
        <v>0</v>
      </c>
      <c r="P91" s="147">
        <f t="shared" si="20"/>
        <v>0</v>
      </c>
      <c r="Q91" s="147">
        <f t="shared" si="20"/>
        <v>0</v>
      </c>
      <c r="R91" s="147">
        <f t="shared" si="20"/>
        <v>0</v>
      </c>
      <c r="S91" s="147">
        <f t="shared" si="20"/>
        <v>0</v>
      </c>
      <c r="T91" s="147">
        <f t="shared" si="20"/>
        <v>0</v>
      </c>
      <c r="U91" s="147">
        <f t="shared" si="20"/>
        <v>0</v>
      </c>
      <c r="V91" s="147">
        <f t="shared" si="20"/>
        <v>0</v>
      </c>
      <c r="W91" s="147">
        <f t="shared" si="20"/>
        <v>0</v>
      </c>
      <c r="X91" s="147">
        <f t="shared" si="20"/>
        <v>0</v>
      </c>
      <c r="Y91" s="147">
        <f t="shared" si="20"/>
        <v>0</v>
      </c>
      <c r="Z91" s="147">
        <f t="shared" si="20"/>
        <v>0</v>
      </c>
      <c r="AA91" s="147">
        <f t="shared" si="20"/>
        <v>0</v>
      </c>
      <c r="AB91" s="147">
        <f t="shared" si="20"/>
        <v>0</v>
      </c>
      <c r="AC91" s="147">
        <f t="shared" si="20"/>
        <v>0</v>
      </c>
      <c r="AD91" s="147">
        <f t="shared" si="20"/>
        <v>7692.307692</v>
      </c>
      <c r="AE91" s="147">
        <f t="shared" si="20"/>
        <v>7692.307692</v>
      </c>
      <c r="AF91" s="147">
        <f t="shared" si="20"/>
        <v>7692.307692</v>
      </c>
      <c r="AG91" s="147">
        <f t="shared" si="20"/>
        <v>7692.307692</v>
      </c>
      <c r="AH91" s="147">
        <f t="shared" si="20"/>
        <v>7692.307692</v>
      </c>
      <c r="AI91" s="147">
        <f t="shared" si="20"/>
        <v>7692.307692</v>
      </c>
      <c r="AJ91" s="147">
        <f t="shared" si="20"/>
        <v>7692.307692</v>
      </c>
      <c r="AK91" s="147">
        <f t="shared" si="20"/>
        <v>7692.307692</v>
      </c>
      <c r="AL91" s="147">
        <f t="shared" si="20"/>
        <v>20000</v>
      </c>
      <c r="AM91" s="147">
        <f t="shared" si="20"/>
        <v>20000</v>
      </c>
      <c r="AN91" s="147">
        <f t="shared" si="20"/>
        <v>20000</v>
      </c>
      <c r="AO91" s="147">
        <f t="shared" si="20"/>
        <v>20000</v>
      </c>
      <c r="AP91" s="147">
        <f t="shared" si="20"/>
        <v>47846.15385</v>
      </c>
      <c r="AQ91" s="147">
        <f t="shared" si="20"/>
        <v>47846.15385</v>
      </c>
      <c r="AR91" s="147">
        <f t="shared" si="20"/>
        <v>47846.15385</v>
      </c>
      <c r="AS91" s="147">
        <f t="shared" si="20"/>
        <v>47846.15385</v>
      </c>
      <c r="AT91" s="147">
        <f t="shared" si="20"/>
        <v>47846.15385</v>
      </c>
      <c r="AU91" s="147">
        <f t="shared" si="20"/>
        <v>47846.15385</v>
      </c>
      <c r="AV91" s="147">
        <f t="shared" si="20"/>
        <v>47846.15385</v>
      </c>
      <c r="AW91" s="147">
        <f t="shared" si="20"/>
        <v>47846.15385</v>
      </c>
      <c r="AX91" s="147">
        <f t="shared" si="20"/>
        <v>47846.15385</v>
      </c>
      <c r="AY91" s="147">
        <f t="shared" si="20"/>
        <v>47846.15385</v>
      </c>
      <c r="AZ91" s="147">
        <f t="shared" si="20"/>
        <v>47846.15385</v>
      </c>
      <c r="BA91" s="147">
        <f t="shared" si="20"/>
        <v>47846.15385</v>
      </c>
      <c r="BB91" s="147">
        <f t="shared" si="20"/>
        <v>48433.84615</v>
      </c>
      <c r="BC91" s="147">
        <f t="shared" si="20"/>
        <v>48433.84615</v>
      </c>
      <c r="BD91" s="147">
        <f t="shared" si="20"/>
        <v>48433.84615</v>
      </c>
      <c r="BE91" s="147">
        <f t="shared" si="20"/>
        <v>48433.84615</v>
      </c>
      <c r="BF91" s="147">
        <f t="shared" si="20"/>
        <v>48433.84615</v>
      </c>
      <c r="BG91" s="147">
        <f t="shared" si="20"/>
        <v>48433.84615</v>
      </c>
      <c r="BH91" s="147">
        <f t="shared" si="20"/>
        <v>48433.84615</v>
      </c>
      <c r="BI91" s="147">
        <f t="shared" si="20"/>
        <v>48433.84615</v>
      </c>
      <c r="BJ91" s="147">
        <f t="shared" si="20"/>
        <v>48433.84615</v>
      </c>
      <c r="BK91" s="147">
        <f t="shared" si="20"/>
        <v>48433.84615</v>
      </c>
      <c r="BL91" s="147">
        <f t="shared" si="20"/>
        <v>48433.84615</v>
      </c>
      <c r="BM91" s="147">
        <f t="shared" si="20"/>
        <v>48433.84615</v>
      </c>
      <c r="BN91" s="147">
        <f t="shared" si="20"/>
        <v>49041.90769</v>
      </c>
      <c r="BO91" s="147">
        <f t="shared" si="20"/>
        <v>49041.90769</v>
      </c>
      <c r="BP91" s="147">
        <f t="shared" si="20"/>
        <v>49041.90769</v>
      </c>
      <c r="BQ91" s="147">
        <f t="shared" si="20"/>
        <v>49041.90769</v>
      </c>
      <c r="BR91" s="147">
        <f t="shared" si="20"/>
        <v>49041.90769</v>
      </c>
      <c r="BS91" s="147">
        <f t="shared" si="20"/>
        <v>49041.90769</v>
      </c>
      <c r="BT91" s="147">
        <f t="shared" si="20"/>
        <v>49041.90769</v>
      </c>
      <c r="BU91" s="147">
        <f t="shared" si="20"/>
        <v>49041.90769</v>
      </c>
      <c r="BV91" s="147">
        <f t="shared" si="20"/>
        <v>49041.90769</v>
      </c>
      <c r="BW91" s="147">
        <f t="shared" si="20"/>
        <v>49041.90769</v>
      </c>
      <c r="BX91" s="147">
        <f t="shared" si="20"/>
        <v>49041.90769</v>
      </c>
      <c r="BY91" s="147">
        <f t="shared" si="20"/>
        <v>49041.90769</v>
      </c>
      <c r="BZ91" s="147">
        <f t="shared" si="20"/>
        <v>49671.09046</v>
      </c>
      <c r="CA91" s="147">
        <f t="shared" si="20"/>
        <v>49671.09046</v>
      </c>
      <c r="CB91" s="147">
        <f t="shared" si="20"/>
        <v>49671.09046</v>
      </c>
      <c r="CC91" s="147">
        <f t="shared" si="20"/>
        <v>49671.09046</v>
      </c>
      <c r="CD91" s="147">
        <f t="shared" si="20"/>
        <v>49671.09046</v>
      </c>
      <c r="CE91" s="147">
        <f t="shared" si="20"/>
        <v>49671.09046</v>
      </c>
      <c r="CF91" s="147">
        <f t="shared" si="20"/>
        <v>49671.09046</v>
      </c>
      <c r="CG91" s="147">
        <f t="shared" si="20"/>
        <v>49671.09046</v>
      </c>
      <c r="CH91" s="147">
        <f t="shared" si="20"/>
        <v>49671.09046</v>
      </c>
      <c r="CI91" s="147">
        <f t="shared" si="20"/>
        <v>49671.09046</v>
      </c>
      <c r="CJ91" s="147">
        <f t="shared" si="20"/>
        <v>49671.09046</v>
      </c>
      <c r="CK91" s="147">
        <f t="shared" si="20"/>
        <v>49671.09046</v>
      </c>
      <c r="CL91" s="147">
        <f t="shared" si="20"/>
        <v>50322.17529</v>
      </c>
      <c r="CM91" s="147">
        <f t="shared" si="20"/>
        <v>50322.17529</v>
      </c>
      <c r="CN91" s="147">
        <f t="shared" si="20"/>
        <v>50322.17529</v>
      </c>
      <c r="CO91" s="147">
        <f t="shared" si="20"/>
        <v>50322.17529</v>
      </c>
      <c r="CP91" s="147">
        <f t="shared" si="20"/>
        <v>50322.17529</v>
      </c>
      <c r="CQ91" s="147">
        <f t="shared" si="20"/>
        <v>50322.17529</v>
      </c>
      <c r="CR91" s="147">
        <f t="shared" si="20"/>
        <v>50322.17529</v>
      </c>
      <c r="CS91" s="147">
        <f t="shared" si="20"/>
        <v>50322.17529</v>
      </c>
      <c r="CT91" s="147">
        <f t="shared" si="20"/>
        <v>50322.17529</v>
      </c>
      <c r="CU91" s="147">
        <f t="shared" si="20"/>
        <v>50322.17529</v>
      </c>
      <c r="CV91" s="147">
        <f t="shared" si="20"/>
        <v>50322.17529</v>
      </c>
      <c r="CW91" s="147">
        <f t="shared" si="20"/>
        <v>50322.17529</v>
      </c>
      <c r="CX91" s="147">
        <f t="shared" si="20"/>
        <v>50995.97294</v>
      </c>
    </row>
    <row r="92" ht="15.75" customHeight="1" outlineLevel="1">
      <c r="A92" s="60" t="s">
        <v>88</v>
      </c>
      <c r="B92" s="60" t="s">
        <v>229</v>
      </c>
      <c r="C92" s="60"/>
      <c r="D92" s="60"/>
      <c r="E92" s="60">
        <f t="shared" ref="E92:CX92" si="21">SUM(E93:E102)</f>
        <v>0</v>
      </c>
      <c r="F92" s="60">
        <f t="shared" si="21"/>
        <v>0</v>
      </c>
      <c r="G92" s="60">
        <f t="shared" si="21"/>
        <v>0</v>
      </c>
      <c r="H92" s="60">
        <f t="shared" si="21"/>
        <v>0</v>
      </c>
      <c r="I92" s="60">
        <f t="shared" si="21"/>
        <v>0</v>
      </c>
      <c r="J92" s="60">
        <f t="shared" si="21"/>
        <v>0</v>
      </c>
      <c r="K92" s="60">
        <f t="shared" si="21"/>
        <v>0</v>
      </c>
      <c r="L92" s="60">
        <f t="shared" si="21"/>
        <v>0</v>
      </c>
      <c r="M92" s="60">
        <f t="shared" si="21"/>
        <v>0</v>
      </c>
      <c r="N92" s="60">
        <f t="shared" si="21"/>
        <v>0</v>
      </c>
      <c r="O92" s="60">
        <f t="shared" si="21"/>
        <v>0</v>
      </c>
      <c r="P92" s="60">
        <f t="shared" si="21"/>
        <v>0</v>
      </c>
      <c r="Q92" s="60">
        <f t="shared" si="21"/>
        <v>0</v>
      </c>
      <c r="R92" s="60">
        <f t="shared" si="21"/>
        <v>0</v>
      </c>
      <c r="S92" s="60">
        <f t="shared" si="21"/>
        <v>0</v>
      </c>
      <c r="T92" s="60">
        <f t="shared" si="21"/>
        <v>0</v>
      </c>
      <c r="U92" s="60">
        <f t="shared" si="21"/>
        <v>0</v>
      </c>
      <c r="V92" s="60">
        <f t="shared" si="21"/>
        <v>0</v>
      </c>
      <c r="W92" s="60">
        <f t="shared" si="21"/>
        <v>0</v>
      </c>
      <c r="X92" s="60">
        <f t="shared" si="21"/>
        <v>0</v>
      </c>
      <c r="Y92" s="60">
        <f t="shared" si="21"/>
        <v>0</v>
      </c>
      <c r="Z92" s="60">
        <f t="shared" si="21"/>
        <v>0</v>
      </c>
      <c r="AA92" s="60">
        <f t="shared" si="21"/>
        <v>0</v>
      </c>
      <c r="AB92" s="60">
        <f t="shared" si="21"/>
        <v>0</v>
      </c>
      <c r="AC92" s="60">
        <f t="shared" si="21"/>
        <v>0</v>
      </c>
      <c r="AD92" s="60">
        <f t="shared" si="21"/>
        <v>0</v>
      </c>
      <c r="AE92" s="60">
        <f t="shared" si="21"/>
        <v>0</v>
      </c>
      <c r="AF92" s="60">
        <f t="shared" si="21"/>
        <v>0</v>
      </c>
      <c r="AG92" s="60">
        <f t="shared" si="21"/>
        <v>0</v>
      </c>
      <c r="AH92" s="60">
        <f t="shared" si="21"/>
        <v>0</v>
      </c>
      <c r="AI92" s="60">
        <f t="shared" si="21"/>
        <v>0</v>
      </c>
      <c r="AJ92" s="60">
        <f t="shared" si="21"/>
        <v>0</v>
      </c>
      <c r="AK92" s="60">
        <f t="shared" si="21"/>
        <v>0</v>
      </c>
      <c r="AL92" s="60">
        <f t="shared" si="21"/>
        <v>0</v>
      </c>
      <c r="AM92" s="60">
        <f t="shared" si="21"/>
        <v>0</v>
      </c>
      <c r="AN92" s="60">
        <f t="shared" si="21"/>
        <v>0</v>
      </c>
      <c r="AO92" s="60">
        <f t="shared" si="21"/>
        <v>0</v>
      </c>
      <c r="AP92" s="60">
        <f t="shared" si="21"/>
        <v>21538.46154</v>
      </c>
      <c r="AQ92" s="60">
        <f t="shared" si="21"/>
        <v>21538.46154</v>
      </c>
      <c r="AR92" s="60">
        <f t="shared" si="21"/>
        <v>21538.46154</v>
      </c>
      <c r="AS92" s="60">
        <f t="shared" si="21"/>
        <v>21538.46154</v>
      </c>
      <c r="AT92" s="60">
        <f t="shared" si="21"/>
        <v>21538.46154</v>
      </c>
      <c r="AU92" s="60">
        <f t="shared" si="21"/>
        <v>21538.46154</v>
      </c>
      <c r="AV92" s="60">
        <f t="shared" si="21"/>
        <v>21538.46154</v>
      </c>
      <c r="AW92" s="60">
        <f t="shared" si="21"/>
        <v>21538.46154</v>
      </c>
      <c r="AX92" s="60">
        <f t="shared" si="21"/>
        <v>21538.46154</v>
      </c>
      <c r="AY92" s="60">
        <f t="shared" si="21"/>
        <v>21538.46154</v>
      </c>
      <c r="AZ92" s="60">
        <f t="shared" si="21"/>
        <v>21538.46154</v>
      </c>
      <c r="BA92" s="60">
        <f t="shared" si="21"/>
        <v>21538.46154</v>
      </c>
      <c r="BB92" s="60">
        <f t="shared" si="21"/>
        <v>21784.61538</v>
      </c>
      <c r="BC92" s="60">
        <f t="shared" si="21"/>
        <v>21784.61538</v>
      </c>
      <c r="BD92" s="60">
        <f t="shared" si="21"/>
        <v>21784.61538</v>
      </c>
      <c r="BE92" s="60">
        <f t="shared" si="21"/>
        <v>21784.61538</v>
      </c>
      <c r="BF92" s="60">
        <f t="shared" si="21"/>
        <v>21784.61538</v>
      </c>
      <c r="BG92" s="60">
        <f t="shared" si="21"/>
        <v>21784.61538</v>
      </c>
      <c r="BH92" s="60">
        <f t="shared" si="21"/>
        <v>21784.61538</v>
      </c>
      <c r="BI92" s="60">
        <f t="shared" si="21"/>
        <v>21784.61538</v>
      </c>
      <c r="BJ92" s="60">
        <f t="shared" si="21"/>
        <v>21784.61538</v>
      </c>
      <c r="BK92" s="60">
        <f t="shared" si="21"/>
        <v>21784.61538</v>
      </c>
      <c r="BL92" s="60">
        <f t="shared" si="21"/>
        <v>21784.61538</v>
      </c>
      <c r="BM92" s="60">
        <f t="shared" si="21"/>
        <v>21784.61538</v>
      </c>
      <c r="BN92" s="60">
        <f t="shared" si="21"/>
        <v>22040.61538</v>
      </c>
      <c r="BO92" s="60">
        <f t="shared" si="21"/>
        <v>22040.61538</v>
      </c>
      <c r="BP92" s="60">
        <f t="shared" si="21"/>
        <v>22040.61538</v>
      </c>
      <c r="BQ92" s="60">
        <f t="shared" si="21"/>
        <v>22040.61538</v>
      </c>
      <c r="BR92" s="60">
        <f t="shared" si="21"/>
        <v>22040.61538</v>
      </c>
      <c r="BS92" s="60">
        <f t="shared" si="21"/>
        <v>22040.61538</v>
      </c>
      <c r="BT92" s="60">
        <f t="shared" si="21"/>
        <v>22040.61538</v>
      </c>
      <c r="BU92" s="60">
        <f t="shared" si="21"/>
        <v>22040.61538</v>
      </c>
      <c r="BV92" s="60">
        <f t="shared" si="21"/>
        <v>22040.61538</v>
      </c>
      <c r="BW92" s="60">
        <f t="shared" si="21"/>
        <v>22040.61538</v>
      </c>
      <c r="BX92" s="60">
        <f t="shared" si="21"/>
        <v>22040.61538</v>
      </c>
      <c r="BY92" s="60">
        <f t="shared" si="21"/>
        <v>22040.61538</v>
      </c>
      <c r="BZ92" s="60">
        <f t="shared" si="21"/>
        <v>22306.85538</v>
      </c>
      <c r="CA92" s="60">
        <f t="shared" si="21"/>
        <v>22306.85538</v>
      </c>
      <c r="CB92" s="60">
        <f t="shared" si="21"/>
        <v>22306.85538</v>
      </c>
      <c r="CC92" s="60">
        <f t="shared" si="21"/>
        <v>22306.85538</v>
      </c>
      <c r="CD92" s="60">
        <f t="shared" si="21"/>
        <v>22306.85538</v>
      </c>
      <c r="CE92" s="60">
        <f t="shared" si="21"/>
        <v>22306.85538</v>
      </c>
      <c r="CF92" s="60">
        <f t="shared" si="21"/>
        <v>22306.85538</v>
      </c>
      <c r="CG92" s="60">
        <f t="shared" si="21"/>
        <v>22306.85538</v>
      </c>
      <c r="CH92" s="60">
        <f t="shared" si="21"/>
        <v>22306.85538</v>
      </c>
      <c r="CI92" s="60">
        <f t="shared" si="21"/>
        <v>22306.85538</v>
      </c>
      <c r="CJ92" s="60">
        <f t="shared" si="21"/>
        <v>22306.85538</v>
      </c>
      <c r="CK92" s="60">
        <f t="shared" si="21"/>
        <v>22306.85538</v>
      </c>
      <c r="CL92" s="60">
        <f t="shared" si="21"/>
        <v>22583.74498</v>
      </c>
      <c r="CM92" s="60">
        <f t="shared" si="21"/>
        <v>22583.74498</v>
      </c>
      <c r="CN92" s="60">
        <f t="shared" si="21"/>
        <v>22583.74498</v>
      </c>
      <c r="CO92" s="60">
        <f t="shared" si="21"/>
        <v>22583.74498</v>
      </c>
      <c r="CP92" s="60">
        <f t="shared" si="21"/>
        <v>22583.74498</v>
      </c>
      <c r="CQ92" s="60">
        <f t="shared" si="21"/>
        <v>22583.74498</v>
      </c>
      <c r="CR92" s="60">
        <f t="shared" si="21"/>
        <v>22583.74498</v>
      </c>
      <c r="CS92" s="60">
        <f t="shared" si="21"/>
        <v>22583.74498</v>
      </c>
      <c r="CT92" s="60">
        <f t="shared" si="21"/>
        <v>22583.74498</v>
      </c>
      <c r="CU92" s="60">
        <f t="shared" si="21"/>
        <v>22583.74498</v>
      </c>
      <c r="CV92" s="60">
        <f t="shared" si="21"/>
        <v>22583.74498</v>
      </c>
      <c r="CW92" s="60">
        <f t="shared" si="21"/>
        <v>22583.74498</v>
      </c>
      <c r="CX92" s="60">
        <f t="shared" si="21"/>
        <v>22871.71017</v>
      </c>
    </row>
    <row r="93" ht="15.75" customHeight="1" outlineLevel="2">
      <c r="A93" s="56" t="str">
        <f>Payroll!A17</f>
        <v>CTO</v>
      </c>
      <c r="B93" s="56"/>
      <c r="C93" s="56"/>
      <c r="D93" s="56"/>
      <c r="E93" s="56">
        <f>IF(E$2=Payroll!$I17,Payroll!$F17,IF(E$2&gt;Payroll!$I17,Payroll!$F17*((1+Payroll!$J17)^(ROUNDDOWN(DATEDIF(Payroll!$I17,E$2,"M")/Payroll!$K17,0))),0))</f>
        <v>0</v>
      </c>
      <c r="F93" s="56">
        <f>IF(F$2=Payroll!$I17,Payroll!$F17,IF(F$2&gt;Payroll!$I17,Payroll!$F17*((1+Payroll!$J17)^(ROUNDDOWN(DATEDIF(Payroll!$I17,F$2,"M")/Payroll!$K17,0))),0))</f>
        <v>0</v>
      </c>
      <c r="G93" s="56">
        <f>IF(G$2=Payroll!$I17,Payroll!$F17,IF(G$2&gt;Payroll!$I17,Payroll!$F17*((1+Payroll!$J17)^(ROUNDDOWN(DATEDIF(Payroll!$I17,G$2,"M")/Payroll!$K17,0))),0))</f>
        <v>0</v>
      </c>
      <c r="H93" s="56">
        <f>IF(H$2=Payroll!$I17,Payroll!$F17,IF(H$2&gt;Payroll!$I17,Payroll!$F17*((1+Payroll!$J17)^(ROUNDDOWN(DATEDIF(Payroll!$I17,H$2,"M")/Payroll!$K17,0))),0))</f>
        <v>0</v>
      </c>
      <c r="I93" s="56">
        <f>IF(I$2=Payroll!$I17,Payroll!$F17,IF(I$2&gt;Payroll!$I17,Payroll!$F17*((1+Payroll!$J17)^(ROUNDDOWN(DATEDIF(Payroll!$I17,I$2,"M")/Payroll!$K17,0))),0))</f>
        <v>0</v>
      </c>
      <c r="J93" s="56">
        <f>IF(J$2=Payroll!$I17,Payroll!$F17,IF(J$2&gt;Payroll!$I17,Payroll!$F17*((1+Payroll!$J17)^(ROUNDDOWN(DATEDIF(Payroll!$I17,J$2,"M")/Payroll!$K17,0))),0))</f>
        <v>0</v>
      </c>
      <c r="K93" s="56">
        <f>IF(K$2=Payroll!$I17,Payroll!$F17,IF(K$2&gt;Payroll!$I17,Payroll!$F17*((1+Payroll!$J17)^(ROUNDDOWN(DATEDIF(Payroll!$I17,K$2,"M")/Payroll!$K17,0))),0))</f>
        <v>0</v>
      </c>
      <c r="L93" s="56">
        <f>IF(L$2=Payroll!$I17,Payroll!$F17,IF(L$2&gt;Payroll!$I17,Payroll!$F17*((1+Payroll!$J17)^(ROUNDDOWN(DATEDIF(Payroll!$I17,L$2,"M")/Payroll!$K17,0))),0))</f>
        <v>0</v>
      </c>
      <c r="M93" s="56">
        <f>IF(M$2=Payroll!$I17,Payroll!$F17,IF(M$2&gt;Payroll!$I17,Payroll!$F17*((1+Payroll!$J17)^(ROUNDDOWN(DATEDIF(Payroll!$I17,M$2,"M")/Payroll!$K17,0))),0))</f>
        <v>0</v>
      </c>
      <c r="N93" s="56">
        <f>IF(N$2=Payroll!$I17,Payroll!$F17,IF(N$2&gt;Payroll!$I17,Payroll!$F17*((1+Payroll!$J17)^(ROUNDDOWN(DATEDIF(Payroll!$I17,N$2,"M")/Payroll!$K17,0))),0))</f>
        <v>0</v>
      </c>
      <c r="O93" s="56">
        <f>IF(O$2=Payroll!$I17,Payroll!$F17,IF(O$2&gt;Payroll!$I17,Payroll!$F17*((1+Payroll!$J17)^(ROUNDDOWN(DATEDIF(Payroll!$I17,O$2,"M")/Payroll!$K17,0))),0))</f>
        <v>0</v>
      </c>
      <c r="P93" s="56">
        <f>IF(P$2=Payroll!$I17,Payroll!$F17,IF(P$2&gt;Payroll!$I17,Payroll!$F17*((1+Payroll!$J17)^(ROUNDDOWN(DATEDIF(Payroll!$I17,P$2,"M")/Payroll!$K17,0))),0))</f>
        <v>0</v>
      </c>
      <c r="Q93" s="56">
        <f>IF(Q$2=Payroll!$I17,Payroll!$F17,IF(Q$2&gt;Payroll!$I17,Payroll!$F17*((1+Payroll!$J17)^(ROUNDDOWN(DATEDIF(Payroll!$I17,Q$2,"M")/Payroll!$K17,0))),0))</f>
        <v>0</v>
      </c>
      <c r="R93" s="56">
        <f>IF(R$2=Payroll!$I17,Payroll!$F17,IF(R$2&gt;Payroll!$I17,Payroll!$F17*((1+Payroll!$J17)^(ROUNDDOWN(DATEDIF(Payroll!$I17,R$2,"M")/Payroll!$K17,0))),0))</f>
        <v>0</v>
      </c>
      <c r="S93" s="56">
        <f>IF(S$2=Payroll!$I17,Payroll!$F17,IF(S$2&gt;Payroll!$I17,Payroll!$F17*((1+Payroll!$J17)^(ROUNDDOWN(DATEDIF(Payroll!$I17,S$2,"M")/Payroll!$K17,0))),0))</f>
        <v>0</v>
      </c>
      <c r="T93" s="56">
        <f>IF(T$2=Payroll!$I17,Payroll!$F17,IF(T$2&gt;Payroll!$I17,Payroll!$F17*((1+Payroll!$J17)^(ROUNDDOWN(DATEDIF(Payroll!$I17,T$2,"M")/Payroll!$K17,0))),0))</f>
        <v>0</v>
      </c>
      <c r="U93" s="56">
        <f>IF(U$2=Payroll!$I17,Payroll!$F17,IF(U$2&gt;Payroll!$I17,Payroll!$F17*((1+Payroll!$J17)^(ROUNDDOWN(DATEDIF(Payroll!$I17,U$2,"M")/Payroll!$K17,0))),0))</f>
        <v>0</v>
      </c>
      <c r="V93" s="56">
        <f>IF(V$2=Payroll!$I17,Payroll!$F17,IF(V$2&gt;Payroll!$I17,Payroll!$F17*((1+Payroll!$J17)^(ROUNDDOWN(DATEDIF(Payroll!$I17,V$2,"M")/Payroll!$K17,0))),0))</f>
        <v>0</v>
      </c>
      <c r="W93" s="56">
        <f>IF(W$2=Payroll!$I17,Payroll!$F17,IF(W$2&gt;Payroll!$I17,Payroll!$F17*((1+Payroll!$J17)^(ROUNDDOWN(DATEDIF(Payroll!$I17,W$2,"M")/Payroll!$K17,0))),0))</f>
        <v>0</v>
      </c>
      <c r="X93" s="56">
        <f>IF(X$2=Payroll!$I17,Payroll!$F17,IF(X$2&gt;Payroll!$I17,Payroll!$F17*((1+Payroll!$J17)^(ROUNDDOWN(DATEDIF(Payroll!$I17,X$2,"M")/Payroll!$K17,0))),0))</f>
        <v>0</v>
      </c>
      <c r="Y93" s="56">
        <f>IF(Y$2=Payroll!$I17,Payroll!$F17,IF(Y$2&gt;Payroll!$I17,Payroll!$F17*((1+Payroll!$J17)^(ROUNDDOWN(DATEDIF(Payroll!$I17,Y$2,"M")/Payroll!$K17,0))),0))</f>
        <v>0</v>
      </c>
      <c r="Z93" s="56">
        <f>IF(Z$2=Payroll!$I17,Payroll!$F17,IF(Z$2&gt;Payroll!$I17,Payroll!$F17*((1+Payroll!$J17)^(ROUNDDOWN(DATEDIF(Payroll!$I17,Z$2,"M")/Payroll!$K17,0))),0))</f>
        <v>0</v>
      </c>
      <c r="AA93" s="56">
        <f>IF(AA$2=Payroll!$I17,Payroll!$F17,IF(AA$2&gt;Payroll!$I17,Payroll!$F17*((1+Payroll!$J17)^(ROUNDDOWN(DATEDIF(Payroll!$I17,AA$2,"M")/Payroll!$K17,0))),0))</f>
        <v>0</v>
      </c>
      <c r="AB93" s="56">
        <f>IF(AB$2=Payroll!$I17,Payroll!$F17,IF(AB$2&gt;Payroll!$I17,Payroll!$F17*((1+Payroll!$J17)^(ROUNDDOWN(DATEDIF(Payroll!$I17,AB$2,"M")/Payroll!$K17,0))),0))</f>
        <v>0</v>
      </c>
      <c r="AC93" s="56">
        <f>IF(AC$2=Payroll!$I17,Payroll!$F17,IF(AC$2&gt;Payroll!$I17,Payroll!$F17*((1+Payroll!$J17)^(ROUNDDOWN(DATEDIF(Payroll!$I17,AC$2,"M")/Payroll!$K17,0))),0))</f>
        <v>0</v>
      </c>
      <c r="AD93" s="56">
        <f>IF(AD$2=Payroll!$I17,Payroll!$F17,IF(AD$2&gt;Payroll!$I17,Payroll!$F17*((1+Payroll!$J17)^(ROUNDDOWN(DATEDIF(Payroll!$I17,AD$2,"M")/Payroll!$K17,0))),0))</f>
        <v>0</v>
      </c>
      <c r="AE93" s="56">
        <f>IF(AE$2=Payroll!$I17,Payroll!$F17,IF(AE$2&gt;Payroll!$I17,Payroll!$F17*((1+Payroll!$J17)^(ROUNDDOWN(DATEDIF(Payroll!$I17,AE$2,"M")/Payroll!$K17,0))),0))</f>
        <v>0</v>
      </c>
      <c r="AF93" s="56">
        <f>IF(AF$2=Payroll!$I17,Payroll!$F17,IF(AF$2&gt;Payroll!$I17,Payroll!$F17*((1+Payroll!$J17)^(ROUNDDOWN(DATEDIF(Payroll!$I17,AF$2,"M")/Payroll!$K17,0))),0))</f>
        <v>0</v>
      </c>
      <c r="AG93" s="56">
        <f>IF(AG$2=Payroll!$I17,Payroll!$F17,IF(AG$2&gt;Payroll!$I17,Payroll!$F17*((1+Payroll!$J17)^(ROUNDDOWN(DATEDIF(Payroll!$I17,AG$2,"M")/Payroll!$K17,0))),0))</f>
        <v>0</v>
      </c>
      <c r="AH93" s="56">
        <f>IF(AH$2=Payroll!$I17,Payroll!$F17,IF(AH$2&gt;Payroll!$I17,Payroll!$F17*((1+Payroll!$J17)^(ROUNDDOWN(DATEDIF(Payroll!$I17,AH$2,"M")/Payroll!$K17,0))),0))</f>
        <v>0</v>
      </c>
      <c r="AI93" s="56">
        <f>IF(AI$2=Payroll!$I17,Payroll!$F17,IF(AI$2&gt;Payroll!$I17,Payroll!$F17*((1+Payroll!$J17)^(ROUNDDOWN(DATEDIF(Payroll!$I17,AI$2,"M")/Payroll!$K17,0))),0))</f>
        <v>0</v>
      </c>
      <c r="AJ93" s="56">
        <f>IF(AJ$2=Payroll!$I17,Payroll!$F17,IF(AJ$2&gt;Payroll!$I17,Payroll!$F17*((1+Payroll!$J17)^(ROUNDDOWN(DATEDIF(Payroll!$I17,AJ$2,"M")/Payroll!$K17,0))),0))</f>
        <v>0</v>
      </c>
      <c r="AK93" s="56">
        <f>IF(AK$2=Payroll!$I17,Payroll!$F17,IF(AK$2&gt;Payroll!$I17,Payroll!$F17*((1+Payroll!$J17)^(ROUNDDOWN(DATEDIF(Payroll!$I17,AK$2,"M")/Payroll!$K17,0))),0))</f>
        <v>0</v>
      </c>
      <c r="AL93" s="56">
        <f>IF(AL$2=Payroll!$I17,Payroll!$F17,IF(AL$2&gt;Payroll!$I17,Payroll!$F17*((1+Payroll!$J17)^(ROUNDDOWN(DATEDIF(Payroll!$I17,AL$2,"M")/Payroll!$K17,0))),0))</f>
        <v>0</v>
      </c>
      <c r="AM93" s="56">
        <f>IF(AM$2=Payroll!$I17,Payroll!$F17,IF(AM$2&gt;Payroll!$I17,Payroll!$F17*((1+Payroll!$J17)^(ROUNDDOWN(DATEDIF(Payroll!$I17,AM$2,"M")/Payroll!$K17,0))),0))</f>
        <v>0</v>
      </c>
      <c r="AN93" s="56">
        <f>IF(AN$2=Payroll!$I17,Payroll!$F17,IF(AN$2&gt;Payroll!$I17,Payroll!$F17*((1+Payroll!$J17)^(ROUNDDOWN(DATEDIF(Payroll!$I17,AN$2,"M")/Payroll!$K17,0))),0))</f>
        <v>0</v>
      </c>
      <c r="AO93" s="56">
        <f>IF(AO$2=Payroll!$I17,Payroll!$F17,IF(AO$2&gt;Payroll!$I17,Payroll!$F17*((1+Payroll!$J17)^(ROUNDDOWN(DATEDIF(Payroll!$I17,AO$2,"M")/Payroll!$K17,0))),0))</f>
        <v>0</v>
      </c>
      <c r="AP93" s="56">
        <f>IF(AP$2=Payroll!$I17,Payroll!$F17,IF(AP$2&gt;Payroll!$I17,Payroll!$F17*((1+Payroll!$J17)^(ROUNDDOWN(DATEDIF(Payroll!$I17,AP$2,"M")/Payroll!$K17,0))),0))</f>
        <v>15384.61538</v>
      </c>
      <c r="AQ93" s="56">
        <f>IF(AQ$2=Payroll!$I17,Payroll!$F17,IF(AQ$2&gt;Payroll!$I17,Payroll!$F17*((1+Payroll!$J17)^(ROUNDDOWN(DATEDIF(Payroll!$I17,AQ$2,"M")/Payroll!$K17,0))),0))</f>
        <v>15384.61538</v>
      </c>
      <c r="AR93" s="56">
        <f>IF(AR$2=Payroll!$I17,Payroll!$F17,IF(AR$2&gt;Payroll!$I17,Payroll!$F17*((1+Payroll!$J17)^(ROUNDDOWN(DATEDIF(Payroll!$I17,AR$2,"M")/Payroll!$K17,0))),0))</f>
        <v>15384.61538</v>
      </c>
      <c r="AS93" s="56">
        <f>IF(AS$2=Payroll!$I17,Payroll!$F17,IF(AS$2&gt;Payroll!$I17,Payroll!$F17*((1+Payroll!$J17)^(ROUNDDOWN(DATEDIF(Payroll!$I17,AS$2,"M")/Payroll!$K17,0))),0))</f>
        <v>15384.61538</v>
      </c>
      <c r="AT93" s="56">
        <f>IF(AT$2=Payroll!$I17,Payroll!$F17,IF(AT$2&gt;Payroll!$I17,Payroll!$F17*((1+Payroll!$J17)^(ROUNDDOWN(DATEDIF(Payroll!$I17,AT$2,"M")/Payroll!$K17,0))),0))</f>
        <v>15384.61538</v>
      </c>
      <c r="AU93" s="56">
        <f>IF(AU$2=Payroll!$I17,Payroll!$F17,IF(AU$2&gt;Payroll!$I17,Payroll!$F17*((1+Payroll!$J17)^(ROUNDDOWN(DATEDIF(Payroll!$I17,AU$2,"M")/Payroll!$K17,0))),0))</f>
        <v>15384.61538</v>
      </c>
      <c r="AV93" s="56">
        <f>IF(AV$2=Payroll!$I17,Payroll!$F17,IF(AV$2&gt;Payroll!$I17,Payroll!$F17*((1+Payroll!$J17)^(ROUNDDOWN(DATEDIF(Payroll!$I17,AV$2,"M")/Payroll!$K17,0))),0))</f>
        <v>15384.61538</v>
      </c>
      <c r="AW93" s="56">
        <f>IF(AW$2=Payroll!$I17,Payroll!$F17,IF(AW$2&gt;Payroll!$I17,Payroll!$F17*((1+Payroll!$J17)^(ROUNDDOWN(DATEDIF(Payroll!$I17,AW$2,"M")/Payroll!$K17,0))),0))</f>
        <v>15384.61538</v>
      </c>
      <c r="AX93" s="56">
        <f>IF(AX$2=Payroll!$I17,Payroll!$F17,IF(AX$2&gt;Payroll!$I17,Payroll!$F17*((1+Payroll!$J17)^(ROUNDDOWN(DATEDIF(Payroll!$I17,AX$2,"M")/Payroll!$K17,0))),0))</f>
        <v>15384.61538</v>
      </c>
      <c r="AY93" s="56">
        <f>IF(AY$2=Payroll!$I17,Payroll!$F17,IF(AY$2&gt;Payroll!$I17,Payroll!$F17*((1+Payroll!$J17)^(ROUNDDOWN(DATEDIF(Payroll!$I17,AY$2,"M")/Payroll!$K17,0))),0))</f>
        <v>15384.61538</v>
      </c>
      <c r="AZ93" s="56">
        <f>IF(AZ$2=Payroll!$I17,Payroll!$F17,IF(AZ$2&gt;Payroll!$I17,Payroll!$F17*((1+Payroll!$J17)^(ROUNDDOWN(DATEDIF(Payroll!$I17,AZ$2,"M")/Payroll!$K17,0))),0))</f>
        <v>15384.61538</v>
      </c>
      <c r="BA93" s="56">
        <f>IF(BA$2=Payroll!$I17,Payroll!$F17,IF(BA$2&gt;Payroll!$I17,Payroll!$F17*((1+Payroll!$J17)^(ROUNDDOWN(DATEDIF(Payroll!$I17,BA$2,"M")/Payroll!$K17,0))),0))</f>
        <v>15384.61538</v>
      </c>
      <c r="BB93" s="56">
        <f>IF(BB$2=Payroll!$I17,Payroll!$F17,IF(BB$2&gt;Payroll!$I17,Payroll!$F17*((1+Payroll!$J17)^(ROUNDDOWN(DATEDIF(Payroll!$I17,BB$2,"M")/Payroll!$K17,0))),0))</f>
        <v>15384.61538</v>
      </c>
      <c r="BC93" s="56">
        <f>IF(BC$2=Payroll!$I17,Payroll!$F17,IF(BC$2&gt;Payroll!$I17,Payroll!$F17*((1+Payroll!$J17)^(ROUNDDOWN(DATEDIF(Payroll!$I17,BC$2,"M")/Payroll!$K17,0))),0))</f>
        <v>15384.61538</v>
      </c>
      <c r="BD93" s="56">
        <f>IF(BD$2=Payroll!$I17,Payroll!$F17,IF(BD$2&gt;Payroll!$I17,Payroll!$F17*((1+Payroll!$J17)^(ROUNDDOWN(DATEDIF(Payroll!$I17,BD$2,"M")/Payroll!$K17,0))),0))</f>
        <v>15384.61538</v>
      </c>
      <c r="BE93" s="56">
        <f>IF(BE$2=Payroll!$I17,Payroll!$F17,IF(BE$2&gt;Payroll!$I17,Payroll!$F17*((1+Payroll!$J17)^(ROUNDDOWN(DATEDIF(Payroll!$I17,BE$2,"M")/Payroll!$K17,0))),0))</f>
        <v>15384.61538</v>
      </c>
      <c r="BF93" s="56">
        <f>IF(BF$2=Payroll!$I17,Payroll!$F17,IF(BF$2&gt;Payroll!$I17,Payroll!$F17*((1+Payroll!$J17)^(ROUNDDOWN(DATEDIF(Payroll!$I17,BF$2,"M")/Payroll!$K17,0))),0))</f>
        <v>15384.61538</v>
      </c>
      <c r="BG93" s="56">
        <f>IF(BG$2=Payroll!$I17,Payroll!$F17,IF(BG$2&gt;Payroll!$I17,Payroll!$F17*((1+Payroll!$J17)^(ROUNDDOWN(DATEDIF(Payroll!$I17,BG$2,"M")/Payroll!$K17,0))),0))</f>
        <v>15384.61538</v>
      </c>
      <c r="BH93" s="56">
        <f>IF(BH$2=Payroll!$I17,Payroll!$F17,IF(BH$2&gt;Payroll!$I17,Payroll!$F17*((1+Payroll!$J17)^(ROUNDDOWN(DATEDIF(Payroll!$I17,BH$2,"M")/Payroll!$K17,0))),0))</f>
        <v>15384.61538</v>
      </c>
      <c r="BI93" s="56">
        <f>IF(BI$2=Payroll!$I17,Payroll!$F17,IF(BI$2&gt;Payroll!$I17,Payroll!$F17*((1+Payroll!$J17)^(ROUNDDOWN(DATEDIF(Payroll!$I17,BI$2,"M")/Payroll!$K17,0))),0))</f>
        <v>15384.61538</v>
      </c>
      <c r="BJ93" s="56">
        <f>IF(BJ$2=Payroll!$I17,Payroll!$F17,IF(BJ$2&gt;Payroll!$I17,Payroll!$F17*((1+Payroll!$J17)^(ROUNDDOWN(DATEDIF(Payroll!$I17,BJ$2,"M")/Payroll!$K17,0))),0))</f>
        <v>15384.61538</v>
      </c>
      <c r="BK93" s="56">
        <f>IF(BK$2=Payroll!$I17,Payroll!$F17,IF(BK$2&gt;Payroll!$I17,Payroll!$F17*((1+Payroll!$J17)^(ROUNDDOWN(DATEDIF(Payroll!$I17,BK$2,"M")/Payroll!$K17,0))),0))</f>
        <v>15384.61538</v>
      </c>
      <c r="BL93" s="56">
        <f>IF(BL$2=Payroll!$I17,Payroll!$F17,IF(BL$2&gt;Payroll!$I17,Payroll!$F17*((1+Payroll!$J17)^(ROUNDDOWN(DATEDIF(Payroll!$I17,BL$2,"M")/Payroll!$K17,0))),0))</f>
        <v>15384.61538</v>
      </c>
      <c r="BM93" s="56">
        <f>IF(BM$2=Payroll!$I17,Payroll!$F17,IF(BM$2&gt;Payroll!$I17,Payroll!$F17*((1+Payroll!$J17)^(ROUNDDOWN(DATEDIF(Payroll!$I17,BM$2,"M")/Payroll!$K17,0))),0))</f>
        <v>15384.61538</v>
      </c>
      <c r="BN93" s="56">
        <f>IF(BN$2=Payroll!$I17,Payroll!$F17,IF(BN$2&gt;Payroll!$I17,Payroll!$F17*((1+Payroll!$J17)^(ROUNDDOWN(DATEDIF(Payroll!$I17,BN$2,"M")/Payroll!$K17,0))),0))</f>
        <v>15384.61538</v>
      </c>
      <c r="BO93" s="56">
        <f>IF(BO$2=Payroll!$I17,Payroll!$F17,IF(BO$2&gt;Payroll!$I17,Payroll!$F17*((1+Payroll!$J17)^(ROUNDDOWN(DATEDIF(Payroll!$I17,BO$2,"M")/Payroll!$K17,0))),0))</f>
        <v>15384.61538</v>
      </c>
      <c r="BP93" s="56">
        <f>IF(BP$2=Payroll!$I17,Payroll!$F17,IF(BP$2&gt;Payroll!$I17,Payroll!$F17*((1+Payroll!$J17)^(ROUNDDOWN(DATEDIF(Payroll!$I17,BP$2,"M")/Payroll!$K17,0))),0))</f>
        <v>15384.61538</v>
      </c>
      <c r="BQ93" s="56">
        <f>IF(BQ$2=Payroll!$I17,Payroll!$F17,IF(BQ$2&gt;Payroll!$I17,Payroll!$F17*((1+Payroll!$J17)^(ROUNDDOWN(DATEDIF(Payroll!$I17,BQ$2,"M")/Payroll!$K17,0))),0))</f>
        <v>15384.61538</v>
      </c>
      <c r="BR93" s="56">
        <f>IF(BR$2=Payroll!$I17,Payroll!$F17,IF(BR$2&gt;Payroll!$I17,Payroll!$F17*((1+Payroll!$J17)^(ROUNDDOWN(DATEDIF(Payroll!$I17,BR$2,"M")/Payroll!$K17,0))),0))</f>
        <v>15384.61538</v>
      </c>
      <c r="BS93" s="56">
        <f>IF(BS$2=Payroll!$I17,Payroll!$F17,IF(BS$2&gt;Payroll!$I17,Payroll!$F17*((1+Payroll!$J17)^(ROUNDDOWN(DATEDIF(Payroll!$I17,BS$2,"M")/Payroll!$K17,0))),0))</f>
        <v>15384.61538</v>
      </c>
      <c r="BT93" s="56">
        <f>IF(BT$2=Payroll!$I17,Payroll!$F17,IF(BT$2&gt;Payroll!$I17,Payroll!$F17*((1+Payroll!$J17)^(ROUNDDOWN(DATEDIF(Payroll!$I17,BT$2,"M")/Payroll!$K17,0))),0))</f>
        <v>15384.61538</v>
      </c>
      <c r="BU93" s="56">
        <f>IF(BU$2=Payroll!$I17,Payroll!$F17,IF(BU$2&gt;Payroll!$I17,Payroll!$F17*((1+Payroll!$J17)^(ROUNDDOWN(DATEDIF(Payroll!$I17,BU$2,"M")/Payroll!$K17,0))),0))</f>
        <v>15384.61538</v>
      </c>
      <c r="BV93" s="56">
        <f>IF(BV$2=Payroll!$I17,Payroll!$F17,IF(BV$2&gt;Payroll!$I17,Payroll!$F17*((1+Payroll!$J17)^(ROUNDDOWN(DATEDIF(Payroll!$I17,BV$2,"M")/Payroll!$K17,0))),0))</f>
        <v>15384.61538</v>
      </c>
      <c r="BW93" s="56">
        <f>IF(BW$2=Payroll!$I17,Payroll!$F17,IF(BW$2&gt;Payroll!$I17,Payroll!$F17*((1+Payroll!$J17)^(ROUNDDOWN(DATEDIF(Payroll!$I17,BW$2,"M")/Payroll!$K17,0))),0))</f>
        <v>15384.61538</v>
      </c>
      <c r="BX93" s="56">
        <f>IF(BX$2=Payroll!$I17,Payroll!$F17,IF(BX$2&gt;Payroll!$I17,Payroll!$F17*((1+Payroll!$J17)^(ROUNDDOWN(DATEDIF(Payroll!$I17,BX$2,"M")/Payroll!$K17,0))),0))</f>
        <v>15384.61538</v>
      </c>
      <c r="BY93" s="56">
        <f>IF(BY$2=Payroll!$I17,Payroll!$F17,IF(BY$2&gt;Payroll!$I17,Payroll!$F17*((1+Payroll!$J17)^(ROUNDDOWN(DATEDIF(Payroll!$I17,BY$2,"M")/Payroll!$K17,0))),0))</f>
        <v>15384.61538</v>
      </c>
      <c r="BZ93" s="56">
        <f>IF(BZ$2=Payroll!$I17,Payroll!$F17,IF(BZ$2&gt;Payroll!$I17,Payroll!$F17*((1+Payroll!$J17)^(ROUNDDOWN(DATEDIF(Payroll!$I17,BZ$2,"M")/Payroll!$K17,0))),0))</f>
        <v>15384.61538</v>
      </c>
      <c r="CA93" s="56">
        <f>IF(CA$2=Payroll!$I17,Payroll!$F17,IF(CA$2&gt;Payroll!$I17,Payroll!$F17*((1+Payroll!$J17)^(ROUNDDOWN(DATEDIF(Payroll!$I17,CA$2,"M")/Payroll!$K17,0))),0))</f>
        <v>15384.61538</v>
      </c>
      <c r="CB93" s="56">
        <f>IF(CB$2=Payroll!$I17,Payroll!$F17,IF(CB$2&gt;Payroll!$I17,Payroll!$F17*((1+Payroll!$J17)^(ROUNDDOWN(DATEDIF(Payroll!$I17,CB$2,"M")/Payroll!$K17,0))),0))</f>
        <v>15384.61538</v>
      </c>
      <c r="CC93" s="56">
        <f>IF(CC$2=Payroll!$I17,Payroll!$F17,IF(CC$2&gt;Payroll!$I17,Payroll!$F17*((1+Payroll!$J17)^(ROUNDDOWN(DATEDIF(Payroll!$I17,CC$2,"M")/Payroll!$K17,0))),0))</f>
        <v>15384.61538</v>
      </c>
      <c r="CD93" s="56">
        <f>IF(CD$2=Payroll!$I17,Payroll!$F17,IF(CD$2&gt;Payroll!$I17,Payroll!$F17*((1+Payroll!$J17)^(ROUNDDOWN(DATEDIF(Payroll!$I17,CD$2,"M")/Payroll!$K17,0))),0))</f>
        <v>15384.61538</v>
      </c>
      <c r="CE93" s="56">
        <f>IF(CE$2=Payroll!$I17,Payroll!$F17,IF(CE$2&gt;Payroll!$I17,Payroll!$F17*((1+Payroll!$J17)^(ROUNDDOWN(DATEDIF(Payroll!$I17,CE$2,"M")/Payroll!$K17,0))),0))</f>
        <v>15384.61538</v>
      </c>
      <c r="CF93" s="56">
        <f>IF(CF$2=Payroll!$I17,Payroll!$F17,IF(CF$2&gt;Payroll!$I17,Payroll!$F17*((1+Payroll!$J17)^(ROUNDDOWN(DATEDIF(Payroll!$I17,CF$2,"M")/Payroll!$K17,0))),0))</f>
        <v>15384.61538</v>
      </c>
      <c r="CG93" s="56">
        <f>IF(CG$2=Payroll!$I17,Payroll!$F17,IF(CG$2&gt;Payroll!$I17,Payroll!$F17*((1+Payroll!$J17)^(ROUNDDOWN(DATEDIF(Payroll!$I17,CG$2,"M")/Payroll!$K17,0))),0))</f>
        <v>15384.61538</v>
      </c>
      <c r="CH93" s="56">
        <f>IF(CH$2=Payroll!$I17,Payroll!$F17,IF(CH$2&gt;Payroll!$I17,Payroll!$F17*((1+Payroll!$J17)^(ROUNDDOWN(DATEDIF(Payroll!$I17,CH$2,"M")/Payroll!$K17,0))),0))</f>
        <v>15384.61538</v>
      </c>
      <c r="CI93" s="56">
        <f>IF(CI$2=Payroll!$I17,Payroll!$F17,IF(CI$2&gt;Payroll!$I17,Payroll!$F17*((1+Payroll!$J17)^(ROUNDDOWN(DATEDIF(Payroll!$I17,CI$2,"M")/Payroll!$K17,0))),0))</f>
        <v>15384.61538</v>
      </c>
      <c r="CJ93" s="56">
        <f>IF(CJ$2=Payroll!$I17,Payroll!$F17,IF(CJ$2&gt;Payroll!$I17,Payroll!$F17*((1+Payroll!$J17)^(ROUNDDOWN(DATEDIF(Payroll!$I17,CJ$2,"M")/Payroll!$K17,0))),0))</f>
        <v>15384.61538</v>
      </c>
      <c r="CK93" s="56">
        <f>IF(CK$2=Payroll!$I17,Payroll!$F17,IF(CK$2&gt;Payroll!$I17,Payroll!$F17*((1+Payroll!$J17)^(ROUNDDOWN(DATEDIF(Payroll!$I17,CK$2,"M")/Payroll!$K17,0))),0))</f>
        <v>15384.61538</v>
      </c>
      <c r="CL93" s="56">
        <f>IF(CL$2=Payroll!$I17,Payroll!$F17,IF(CL$2&gt;Payroll!$I17,Payroll!$F17*((1+Payroll!$J17)^(ROUNDDOWN(DATEDIF(Payroll!$I17,CL$2,"M")/Payroll!$K17,0))),0))</f>
        <v>15384.61538</v>
      </c>
      <c r="CM93" s="56">
        <f>IF(CM$2=Payroll!$I17,Payroll!$F17,IF(CM$2&gt;Payroll!$I17,Payroll!$F17*((1+Payroll!$J17)^(ROUNDDOWN(DATEDIF(Payroll!$I17,CM$2,"M")/Payroll!$K17,0))),0))</f>
        <v>15384.61538</v>
      </c>
      <c r="CN93" s="56">
        <f>IF(CN$2=Payroll!$I17,Payroll!$F17,IF(CN$2&gt;Payroll!$I17,Payroll!$F17*((1+Payroll!$J17)^(ROUNDDOWN(DATEDIF(Payroll!$I17,CN$2,"M")/Payroll!$K17,0))),0))</f>
        <v>15384.61538</v>
      </c>
      <c r="CO93" s="56">
        <f>IF(CO$2=Payroll!$I17,Payroll!$F17,IF(CO$2&gt;Payroll!$I17,Payroll!$F17*((1+Payroll!$J17)^(ROUNDDOWN(DATEDIF(Payroll!$I17,CO$2,"M")/Payroll!$K17,0))),0))</f>
        <v>15384.61538</v>
      </c>
      <c r="CP93" s="56">
        <f>IF(CP$2=Payroll!$I17,Payroll!$F17,IF(CP$2&gt;Payroll!$I17,Payroll!$F17*((1+Payroll!$J17)^(ROUNDDOWN(DATEDIF(Payroll!$I17,CP$2,"M")/Payroll!$K17,0))),0))</f>
        <v>15384.61538</v>
      </c>
      <c r="CQ93" s="56">
        <f>IF(CQ$2=Payroll!$I17,Payroll!$F17,IF(CQ$2&gt;Payroll!$I17,Payroll!$F17*((1+Payroll!$J17)^(ROUNDDOWN(DATEDIF(Payroll!$I17,CQ$2,"M")/Payroll!$K17,0))),0))</f>
        <v>15384.61538</v>
      </c>
      <c r="CR93" s="56">
        <f>IF(CR$2=Payroll!$I17,Payroll!$F17,IF(CR$2&gt;Payroll!$I17,Payroll!$F17*((1+Payroll!$J17)^(ROUNDDOWN(DATEDIF(Payroll!$I17,CR$2,"M")/Payroll!$K17,0))),0))</f>
        <v>15384.61538</v>
      </c>
      <c r="CS93" s="56">
        <f>IF(CS$2=Payroll!$I17,Payroll!$F17,IF(CS$2&gt;Payroll!$I17,Payroll!$F17*((1+Payroll!$J17)^(ROUNDDOWN(DATEDIF(Payroll!$I17,CS$2,"M")/Payroll!$K17,0))),0))</f>
        <v>15384.61538</v>
      </c>
      <c r="CT93" s="56">
        <f>IF(CT$2=Payroll!$I17,Payroll!$F17,IF(CT$2&gt;Payroll!$I17,Payroll!$F17*((1+Payroll!$J17)^(ROUNDDOWN(DATEDIF(Payroll!$I17,CT$2,"M")/Payroll!$K17,0))),0))</f>
        <v>15384.61538</v>
      </c>
      <c r="CU93" s="56">
        <f>IF(CU$2=Payroll!$I17,Payroll!$F17,IF(CU$2&gt;Payroll!$I17,Payroll!$F17*((1+Payroll!$J17)^(ROUNDDOWN(DATEDIF(Payroll!$I17,CU$2,"M")/Payroll!$K17,0))),0))</f>
        <v>15384.61538</v>
      </c>
      <c r="CV93" s="56">
        <f>IF(CV$2=Payroll!$I17,Payroll!$F17,IF(CV$2&gt;Payroll!$I17,Payroll!$F17*((1+Payroll!$J17)^(ROUNDDOWN(DATEDIF(Payroll!$I17,CV$2,"M")/Payroll!$K17,0))),0))</f>
        <v>15384.61538</v>
      </c>
      <c r="CW93" s="56">
        <f>IF(CW$2=Payroll!$I17,Payroll!$F17,IF(CW$2&gt;Payroll!$I17,Payroll!$F17*((1+Payroll!$J17)^(ROUNDDOWN(DATEDIF(Payroll!$I17,CW$2,"M")/Payroll!$K17,0))),0))</f>
        <v>15384.61538</v>
      </c>
      <c r="CX93" s="56">
        <f>IF(CX$2=Payroll!$I17,Payroll!$F17,IF(CX$2&gt;Payroll!$I17,Payroll!$F17*((1+Payroll!$J17)^(ROUNDDOWN(DATEDIF(Payroll!$I17,CX$2,"M")/Payroll!$K17,0))),0))</f>
        <v>15384.61538</v>
      </c>
    </row>
    <row r="94" ht="15.75" customHeight="1" outlineLevel="2">
      <c r="A94" s="56" t="str">
        <f>Payroll!A18</f>
        <v>Developer frontend</v>
      </c>
      <c r="B94" s="56"/>
      <c r="C94" s="56"/>
      <c r="D94" s="56"/>
      <c r="E94" s="56">
        <f>IF(E$2=Payroll!$I18,Payroll!$F18,IF(E$2&gt;Payroll!$I18,Payroll!$F18*((1+Payroll!$J18)^(ROUNDDOWN(DATEDIF(Payroll!$I18,E$2,"M")/Payroll!$K18,0))),0))</f>
        <v>0</v>
      </c>
      <c r="F94" s="56">
        <f>IF(F$2=Payroll!$I18,Payroll!$F18,IF(F$2&gt;Payroll!$I18,Payroll!$F18*((1+Payroll!$J18)^(ROUNDDOWN(DATEDIF(Payroll!$I18,F$2,"M")/Payroll!$K18,0))),0))</f>
        <v>0</v>
      </c>
      <c r="G94" s="56">
        <f>IF(G$2=Payroll!$I18,Payroll!$F18,IF(G$2&gt;Payroll!$I18,Payroll!$F18*((1+Payroll!$J18)^(ROUNDDOWN(DATEDIF(Payroll!$I18,G$2,"M")/Payroll!$K18,0))),0))</f>
        <v>0</v>
      </c>
      <c r="H94" s="56">
        <f>IF(H$2=Payroll!$I18,Payroll!$F18,IF(H$2&gt;Payroll!$I18,Payroll!$F18*((1+Payroll!$J18)^(ROUNDDOWN(DATEDIF(Payroll!$I18,H$2,"M")/Payroll!$K18,0))),0))</f>
        <v>0</v>
      </c>
      <c r="I94" s="56">
        <f>IF(I$2=Payroll!$I18,Payroll!$F18,IF(I$2&gt;Payroll!$I18,Payroll!$F18*((1+Payroll!$J18)^(ROUNDDOWN(DATEDIF(Payroll!$I18,I$2,"M")/Payroll!$K18,0))),0))</f>
        <v>0</v>
      </c>
      <c r="J94" s="56">
        <f>IF(J$2=Payroll!$I18,Payroll!$F18,IF(J$2&gt;Payroll!$I18,Payroll!$F18*((1+Payroll!$J18)^(ROUNDDOWN(DATEDIF(Payroll!$I18,J$2,"M")/Payroll!$K18,0))),0))</f>
        <v>0</v>
      </c>
      <c r="K94" s="56">
        <f>IF(K$2=Payroll!$I18,Payroll!$F18,IF(K$2&gt;Payroll!$I18,Payroll!$F18*((1+Payroll!$J18)^(ROUNDDOWN(DATEDIF(Payroll!$I18,K$2,"M")/Payroll!$K18,0))),0))</f>
        <v>0</v>
      </c>
      <c r="L94" s="56">
        <f>IF(L$2=Payroll!$I18,Payroll!$F18,IF(L$2&gt;Payroll!$I18,Payroll!$F18*((1+Payroll!$J18)^(ROUNDDOWN(DATEDIF(Payroll!$I18,L$2,"M")/Payroll!$K18,0))),0))</f>
        <v>0</v>
      </c>
      <c r="M94" s="56">
        <f>IF(M$2=Payroll!$I18,Payroll!$F18,IF(M$2&gt;Payroll!$I18,Payroll!$F18*((1+Payroll!$J18)^(ROUNDDOWN(DATEDIF(Payroll!$I18,M$2,"M")/Payroll!$K18,0))),0))</f>
        <v>0</v>
      </c>
      <c r="N94" s="56">
        <f>IF(N$2=Payroll!$I18,Payroll!$F18,IF(N$2&gt;Payroll!$I18,Payroll!$F18*((1+Payroll!$J18)^(ROUNDDOWN(DATEDIF(Payroll!$I18,N$2,"M")/Payroll!$K18,0))),0))</f>
        <v>0</v>
      </c>
      <c r="O94" s="56">
        <f>IF(O$2=Payroll!$I18,Payroll!$F18,IF(O$2&gt;Payroll!$I18,Payroll!$F18*((1+Payroll!$J18)^(ROUNDDOWN(DATEDIF(Payroll!$I18,O$2,"M")/Payroll!$K18,0))),0))</f>
        <v>0</v>
      </c>
      <c r="P94" s="56">
        <f>IF(P$2=Payroll!$I18,Payroll!$F18,IF(P$2&gt;Payroll!$I18,Payroll!$F18*((1+Payroll!$J18)^(ROUNDDOWN(DATEDIF(Payroll!$I18,P$2,"M")/Payroll!$K18,0))),0))</f>
        <v>0</v>
      </c>
      <c r="Q94" s="56">
        <f>IF(Q$2=Payroll!$I18,Payroll!$F18,IF(Q$2&gt;Payroll!$I18,Payroll!$F18*((1+Payroll!$J18)^(ROUNDDOWN(DATEDIF(Payroll!$I18,Q$2,"M")/Payroll!$K18,0))),0))</f>
        <v>0</v>
      </c>
      <c r="R94" s="56">
        <f>IF(R$2=Payroll!$I18,Payroll!$F18,IF(R$2&gt;Payroll!$I18,Payroll!$F18*((1+Payroll!$J18)^(ROUNDDOWN(DATEDIF(Payroll!$I18,R$2,"M")/Payroll!$K18,0))),0))</f>
        <v>0</v>
      </c>
      <c r="S94" s="56">
        <f>IF(S$2=Payroll!$I18,Payroll!$F18,IF(S$2&gt;Payroll!$I18,Payroll!$F18*((1+Payroll!$J18)^(ROUNDDOWN(DATEDIF(Payroll!$I18,S$2,"M")/Payroll!$K18,0))),0))</f>
        <v>0</v>
      </c>
      <c r="T94" s="56">
        <f>IF(T$2=Payroll!$I18,Payroll!$F18,IF(T$2&gt;Payroll!$I18,Payroll!$F18*((1+Payroll!$J18)^(ROUNDDOWN(DATEDIF(Payroll!$I18,T$2,"M")/Payroll!$K18,0))),0))</f>
        <v>0</v>
      </c>
      <c r="U94" s="56">
        <f>IF(U$2=Payroll!$I18,Payroll!$F18,IF(U$2&gt;Payroll!$I18,Payroll!$F18*((1+Payroll!$J18)^(ROUNDDOWN(DATEDIF(Payroll!$I18,U$2,"M")/Payroll!$K18,0))),0))</f>
        <v>0</v>
      </c>
      <c r="V94" s="56">
        <f>IF(V$2=Payroll!$I18,Payroll!$F18,IF(V$2&gt;Payroll!$I18,Payroll!$F18*((1+Payroll!$J18)^(ROUNDDOWN(DATEDIF(Payroll!$I18,V$2,"M")/Payroll!$K18,0))),0))</f>
        <v>0</v>
      </c>
      <c r="W94" s="56">
        <f>IF(W$2=Payroll!$I18,Payroll!$F18,IF(W$2&gt;Payroll!$I18,Payroll!$F18*((1+Payroll!$J18)^(ROUNDDOWN(DATEDIF(Payroll!$I18,W$2,"M")/Payroll!$K18,0))),0))</f>
        <v>0</v>
      </c>
      <c r="X94" s="56">
        <f>IF(X$2=Payroll!$I18,Payroll!$F18,IF(X$2&gt;Payroll!$I18,Payroll!$F18*((1+Payroll!$J18)^(ROUNDDOWN(DATEDIF(Payroll!$I18,X$2,"M")/Payroll!$K18,0))),0))</f>
        <v>0</v>
      </c>
      <c r="Y94" s="56">
        <f>IF(Y$2=Payroll!$I18,Payroll!$F18,IF(Y$2&gt;Payroll!$I18,Payroll!$F18*((1+Payroll!$J18)^(ROUNDDOWN(DATEDIF(Payroll!$I18,Y$2,"M")/Payroll!$K18,0))),0))</f>
        <v>0</v>
      </c>
      <c r="Z94" s="56">
        <f>IF(Z$2=Payroll!$I18,Payroll!$F18,IF(Z$2&gt;Payroll!$I18,Payroll!$F18*((1+Payroll!$J18)^(ROUNDDOWN(DATEDIF(Payroll!$I18,Z$2,"M")/Payroll!$K18,0))),0))</f>
        <v>0</v>
      </c>
      <c r="AA94" s="56">
        <f>IF(AA$2=Payroll!$I18,Payroll!$F18,IF(AA$2&gt;Payroll!$I18,Payroll!$F18*((1+Payroll!$J18)^(ROUNDDOWN(DATEDIF(Payroll!$I18,AA$2,"M")/Payroll!$K18,0))),0))</f>
        <v>0</v>
      </c>
      <c r="AB94" s="56">
        <f>IF(AB$2=Payroll!$I18,Payroll!$F18,IF(AB$2&gt;Payroll!$I18,Payroll!$F18*((1+Payroll!$J18)^(ROUNDDOWN(DATEDIF(Payroll!$I18,AB$2,"M")/Payroll!$K18,0))),0))</f>
        <v>0</v>
      </c>
      <c r="AC94" s="56">
        <f>IF(AC$2=Payroll!$I18,Payroll!$F18,IF(AC$2&gt;Payroll!$I18,Payroll!$F18*((1+Payroll!$J18)^(ROUNDDOWN(DATEDIF(Payroll!$I18,AC$2,"M")/Payroll!$K18,0))),0))</f>
        <v>0</v>
      </c>
      <c r="AD94" s="56">
        <f>IF(AD$2=Payroll!$I18,Payroll!$F18,IF(AD$2&gt;Payroll!$I18,Payroll!$F18*((1+Payroll!$J18)^(ROUNDDOWN(DATEDIF(Payroll!$I18,AD$2,"M")/Payroll!$K18,0))),0))</f>
        <v>0</v>
      </c>
      <c r="AE94" s="56">
        <f>IF(AE$2=Payroll!$I18,Payroll!$F18,IF(AE$2&gt;Payroll!$I18,Payroll!$F18*((1+Payroll!$J18)^(ROUNDDOWN(DATEDIF(Payroll!$I18,AE$2,"M")/Payroll!$K18,0))),0))</f>
        <v>0</v>
      </c>
      <c r="AF94" s="56">
        <f>IF(AF$2=Payroll!$I18,Payroll!$F18,IF(AF$2&gt;Payroll!$I18,Payroll!$F18*((1+Payroll!$J18)^(ROUNDDOWN(DATEDIF(Payroll!$I18,AF$2,"M")/Payroll!$K18,0))),0))</f>
        <v>0</v>
      </c>
      <c r="AG94" s="56">
        <f>IF(AG$2=Payroll!$I18,Payroll!$F18,IF(AG$2&gt;Payroll!$I18,Payroll!$F18*((1+Payroll!$J18)^(ROUNDDOWN(DATEDIF(Payroll!$I18,AG$2,"M")/Payroll!$K18,0))),0))</f>
        <v>0</v>
      </c>
      <c r="AH94" s="56">
        <f>IF(AH$2=Payroll!$I18,Payroll!$F18,IF(AH$2&gt;Payroll!$I18,Payroll!$F18*((1+Payroll!$J18)^(ROUNDDOWN(DATEDIF(Payroll!$I18,AH$2,"M")/Payroll!$K18,0))),0))</f>
        <v>0</v>
      </c>
      <c r="AI94" s="56">
        <f>IF(AI$2=Payroll!$I18,Payroll!$F18,IF(AI$2&gt;Payroll!$I18,Payroll!$F18*((1+Payroll!$J18)^(ROUNDDOWN(DATEDIF(Payroll!$I18,AI$2,"M")/Payroll!$K18,0))),0))</f>
        <v>0</v>
      </c>
      <c r="AJ94" s="56">
        <f>IF(AJ$2=Payroll!$I18,Payroll!$F18,IF(AJ$2&gt;Payroll!$I18,Payroll!$F18*((1+Payroll!$J18)^(ROUNDDOWN(DATEDIF(Payroll!$I18,AJ$2,"M")/Payroll!$K18,0))),0))</f>
        <v>0</v>
      </c>
      <c r="AK94" s="56">
        <f>IF(AK$2=Payroll!$I18,Payroll!$F18,IF(AK$2&gt;Payroll!$I18,Payroll!$F18*((1+Payroll!$J18)^(ROUNDDOWN(DATEDIF(Payroll!$I18,AK$2,"M")/Payroll!$K18,0))),0))</f>
        <v>0</v>
      </c>
      <c r="AL94" s="56">
        <f>IF(AL$2=Payroll!$I18,Payroll!$F18,IF(AL$2&gt;Payroll!$I18,Payroll!$F18*((1+Payroll!$J18)^(ROUNDDOWN(DATEDIF(Payroll!$I18,AL$2,"M")/Payroll!$K18,0))),0))</f>
        <v>0</v>
      </c>
      <c r="AM94" s="56">
        <f>IF(AM$2=Payroll!$I18,Payroll!$F18,IF(AM$2&gt;Payroll!$I18,Payroll!$F18*((1+Payroll!$J18)^(ROUNDDOWN(DATEDIF(Payroll!$I18,AM$2,"M")/Payroll!$K18,0))),0))</f>
        <v>0</v>
      </c>
      <c r="AN94" s="56">
        <f>IF(AN$2=Payroll!$I18,Payroll!$F18,IF(AN$2&gt;Payroll!$I18,Payroll!$F18*((1+Payroll!$J18)^(ROUNDDOWN(DATEDIF(Payroll!$I18,AN$2,"M")/Payroll!$K18,0))),0))</f>
        <v>0</v>
      </c>
      <c r="AO94" s="56">
        <f>IF(AO$2=Payroll!$I18,Payroll!$F18,IF(AO$2&gt;Payroll!$I18,Payroll!$F18*((1+Payroll!$J18)^(ROUNDDOWN(DATEDIF(Payroll!$I18,AO$2,"M")/Payroll!$K18,0))),0))</f>
        <v>0</v>
      </c>
      <c r="AP94" s="56">
        <f>IF(AP$2=Payroll!$I18,Payroll!$F18,IF(AP$2&gt;Payroll!$I18,Payroll!$F18*((1+Payroll!$J18)^(ROUNDDOWN(DATEDIF(Payroll!$I18,AP$2,"M")/Payroll!$K18,0))),0))</f>
        <v>6153.846154</v>
      </c>
      <c r="AQ94" s="56">
        <f>IF(AQ$2=Payroll!$I18,Payroll!$F18,IF(AQ$2&gt;Payroll!$I18,Payroll!$F18*((1+Payroll!$J18)^(ROUNDDOWN(DATEDIF(Payroll!$I18,AQ$2,"M")/Payroll!$K18,0))),0))</f>
        <v>6153.846154</v>
      </c>
      <c r="AR94" s="56">
        <f>IF(AR$2=Payroll!$I18,Payroll!$F18,IF(AR$2&gt;Payroll!$I18,Payroll!$F18*((1+Payroll!$J18)^(ROUNDDOWN(DATEDIF(Payroll!$I18,AR$2,"M")/Payroll!$K18,0))),0))</f>
        <v>6153.846154</v>
      </c>
      <c r="AS94" s="56">
        <f>IF(AS$2=Payroll!$I18,Payroll!$F18,IF(AS$2&gt;Payroll!$I18,Payroll!$F18*((1+Payroll!$J18)^(ROUNDDOWN(DATEDIF(Payroll!$I18,AS$2,"M")/Payroll!$K18,0))),0))</f>
        <v>6153.846154</v>
      </c>
      <c r="AT94" s="56">
        <f>IF(AT$2=Payroll!$I18,Payroll!$F18,IF(AT$2&gt;Payroll!$I18,Payroll!$F18*((1+Payroll!$J18)^(ROUNDDOWN(DATEDIF(Payroll!$I18,AT$2,"M")/Payroll!$K18,0))),0))</f>
        <v>6153.846154</v>
      </c>
      <c r="AU94" s="56">
        <f>IF(AU$2=Payroll!$I18,Payroll!$F18,IF(AU$2&gt;Payroll!$I18,Payroll!$F18*((1+Payroll!$J18)^(ROUNDDOWN(DATEDIF(Payroll!$I18,AU$2,"M")/Payroll!$K18,0))),0))</f>
        <v>6153.846154</v>
      </c>
      <c r="AV94" s="56">
        <f>IF(AV$2=Payroll!$I18,Payroll!$F18,IF(AV$2&gt;Payroll!$I18,Payroll!$F18*((1+Payroll!$J18)^(ROUNDDOWN(DATEDIF(Payroll!$I18,AV$2,"M")/Payroll!$K18,0))),0))</f>
        <v>6153.846154</v>
      </c>
      <c r="AW94" s="56">
        <f>IF(AW$2=Payroll!$I18,Payroll!$F18,IF(AW$2&gt;Payroll!$I18,Payroll!$F18*((1+Payroll!$J18)^(ROUNDDOWN(DATEDIF(Payroll!$I18,AW$2,"M")/Payroll!$K18,0))),0))</f>
        <v>6153.846154</v>
      </c>
      <c r="AX94" s="56">
        <f>IF(AX$2=Payroll!$I18,Payroll!$F18,IF(AX$2&gt;Payroll!$I18,Payroll!$F18*((1+Payroll!$J18)^(ROUNDDOWN(DATEDIF(Payroll!$I18,AX$2,"M")/Payroll!$K18,0))),0))</f>
        <v>6153.846154</v>
      </c>
      <c r="AY94" s="56">
        <f>IF(AY$2=Payroll!$I18,Payroll!$F18,IF(AY$2&gt;Payroll!$I18,Payroll!$F18*((1+Payroll!$J18)^(ROUNDDOWN(DATEDIF(Payroll!$I18,AY$2,"M")/Payroll!$K18,0))),0))</f>
        <v>6153.846154</v>
      </c>
      <c r="AZ94" s="56">
        <f>IF(AZ$2=Payroll!$I18,Payroll!$F18,IF(AZ$2&gt;Payroll!$I18,Payroll!$F18*((1+Payroll!$J18)^(ROUNDDOWN(DATEDIF(Payroll!$I18,AZ$2,"M")/Payroll!$K18,0))),0))</f>
        <v>6153.846154</v>
      </c>
      <c r="BA94" s="56">
        <f>IF(BA$2=Payroll!$I18,Payroll!$F18,IF(BA$2&gt;Payroll!$I18,Payroll!$F18*((1+Payroll!$J18)^(ROUNDDOWN(DATEDIF(Payroll!$I18,BA$2,"M")/Payroll!$K18,0))),0))</f>
        <v>6153.846154</v>
      </c>
      <c r="BB94" s="56">
        <f>IF(BB$2=Payroll!$I18,Payroll!$F18,IF(BB$2&gt;Payroll!$I18,Payroll!$F18*((1+Payroll!$J18)^(ROUNDDOWN(DATEDIF(Payroll!$I18,BB$2,"M")/Payroll!$K18,0))),0))</f>
        <v>6400</v>
      </c>
      <c r="BC94" s="56">
        <f>IF(BC$2=Payroll!$I18,Payroll!$F18,IF(BC$2&gt;Payroll!$I18,Payroll!$F18*((1+Payroll!$J18)^(ROUNDDOWN(DATEDIF(Payroll!$I18,BC$2,"M")/Payroll!$K18,0))),0))</f>
        <v>6400</v>
      </c>
      <c r="BD94" s="56">
        <f>IF(BD$2=Payroll!$I18,Payroll!$F18,IF(BD$2&gt;Payroll!$I18,Payroll!$F18*((1+Payroll!$J18)^(ROUNDDOWN(DATEDIF(Payroll!$I18,BD$2,"M")/Payroll!$K18,0))),0))</f>
        <v>6400</v>
      </c>
      <c r="BE94" s="56">
        <f>IF(BE$2=Payroll!$I18,Payroll!$F18,IF(BE$2&gt;Payroll!$I18,Payroll!$F18*((1+Payroll!$J18)^(ROUNDDOWN(DATEDIF(Payroll!$I18,BE$2,"M")/Payroll!$K18,0))),0))</f>
        <v>6400</v>
      </c>
      <c r="BF94" s="56">
        <f>IF(BF$2=Payroll!$I18,Payroll!$F18,IF(BF$2&gt;Payroll!$I18,Payroll!$F18*((1+Payroll!$J18)^(ROUNDDOWN(DATEDIF(Payroll!$I18,BF$2,"M")/Payroll!$K18,0))),0))</f>
        <v>6400</v>
      </c>
      <c r="BG94" s="56">
        <f>IF(BG$2=Payroll!$I18,Payroll!$F18,IF(BG$2&gt;Payroll!$I18,Payroll!$F18*((1+Payroll!$J18)^(ROUNDDOWN(DATEDIF(Payroll!$I18,BG$2,"M")/Payroll!$K18,0))),0))</f>
        <v>6400</v>
      </c>
      <c r="BH94" s="56">
        <f>IF(BH$2=Payroll!$I18,Payroll!$F18,IF(BH$2&gt;Payroll!$I18,Payroll!$F18*((1+Payroll!$J18)^(ROUNDDOWN(DATEDIF(Payroll!$I18,BH$2,"M")/Payroll!$K18,0))),0))</f>
        <v>6400</v>
      </c>
      <c r="BI94" s="56">
        <f>IF(BI$2=Payroll!$I18,Payroll!$F18,IF(BI$2&gt;Payroll!$I18,Payroll!$F18*((1+Payroll!$J18)^(ROUNDDOWN(DATEDIF(Payroll!$I18,BI$2,"M")/Payroll!$K18,0))),0))</f>
        <v>6400</v>
      </c>
      <c r="BJ94" s="56">
        <f>IF(BJ$2=Payroll!$I18,Payroll!$F18,IF(BJ$2&gt;Payroll!$I18,Payroll!$F18*((1+Payroll!$J18)^(ROUNDDOWN(DATEDIF(Payroll!$I18,BJ$2,"M")/Payroll!$K18,0))),0))</f>
        <v>6400</v>
      </c>
      <c r="BK94" s="56">
        <f>IF(BK$2=Payroll!$I18,Payroll!$F18,IF(BK$2&gt;Payroll!$I18,Payroll!$F18*((1+Payroll!$J18)^(ROUNDDOWN(DATEDIF(Payroll!$I18,BK$2,"M")/Payroll!$K18,0))),0))</f>
        <v>6400</v>
      </c>
      <c r="BL94" s="56">
        <f>IF(BL$2=Payroll!$I18,Payroll!$F18,IF(BL$2&gt;Payroll!$I18,Payroll!$F18*((1+Payroll!$J18)^(ROUNDDOWN(DATEDIF(Payroll!$I18,BL$2,"M")/Payroll!$K18,0))),0))</f>
        <v>6400</v>
      </c>
      <c r="BM94" s="56">
        <f>IF(BM$2=Payroll!$I18,Payroll!$F18,IF(BM$2&gt;Payroll!$I18,Payroll!$F18*((1+Payroll!$J18)^(ROUNDDOWN(DATEDIF(Payroll!$I18,BM$2,"M")/Payroll!$K18,0))),0))</f>
        <v>6400</v>
      </c>
      <c r="BN94" s="56">
        <f>IF(BN$2=Payroll!$I18,Payroll!$F18,IF(BN$2&gt;Payroll!$I18,Payroll!$F18*((1+Payroll!$J18)^(ROUNDDOWN(DATEDIF(Payroll!$I18,BN$2,"M")/Payroll!$K18,0))),0))</f>
        <v>6656</v>
      </c>
      <c r="BO94" s="56">
        <f>IF(BO$2=Payroll!$I18,Payroll!$F18,IF(BO$2&gt;Payroll!$I18,Payroll!$F18*((1+Payroll!$J18)^(ROUNDDOWN(DATEDIF(Payroll!$I18,BO$2,"M")/Payroll!$K18,0))),0))</f>
        <v>6656</v>
      </c>
      <c r="BP94" s="56">
        <f>IF(BP$2=Payroll!$I18,Payroll!$F18,IF(BP$2&gt;Payroll!$I18,Payroll!$F18*((1+Payroll!$J18)^(ROUNDDOWN(DATEDIF(Payroll!$I18,BP$2,"M")/Payroll!$K18,0))),0))</f>
        <v>6656</v>
      </c>
      <c r="BQ94" s="56">
        <f>IF(BQ$2=Payroll!$I18,Payroll!$F18,IF(BQ$2&gt;Payroll!$I18,Payroll!$F18*((1+Payroll!$J18)^(ROUNDDOWN(DATEDIF(Payroll!$I18,BQ$2,"M")/Payroll!$K18,0))),0))</f>
        <v>6656</v>
      </c>
      <c r="BR94" s="56">
        <f>IF(BR$2=Payroll!$I18,Payroll!$F18,IF(BR$2&gt;Payroll!$I18,Payroll!$F18*((1+Payroll!$J18)^(ROUNDDOWN(DATEDIF(Payroll!$I18,BR$2,"M")/Payroll!$K18,0))),0))</f>
        <v>6656</v>
      </c>
      <c r="BS94" s="56">
        <f>IF(BS$2=Payroll!$I18,Payroll!$F18,IF(BS$2&gt;Payroll!$I18,Payroll!$F18*((1+Payroll!$J18)^(ROUNDDOWN(DATEDIF(Payroll!$I18,BS$2,"M")/Payroll!$K18,0))),0))</f>
        <v>6656</v>
      </c>
      <c r="BT94" s="56">
        <f>IF(BT$2=Payroll!$I18,Payroll!$F18,IF(BT$2&gt;Payroll!$I18,Payroll!$F18*((1+Payroll!$J18)^(ROUNDDOWN(DATEDIF(Payroll!$I18,BT$2,"M")/Payroll!$K18,0))),0))</f>
        <v>6656</v>
      </c>
      <c r="BU94" s="56">
        <f>IF(BU$2=Payroll!$I18,Payroll!$F18,IF(BU$2&gt;Payroll!$I18,Payroll!$F18*((1+Payroll!$J18)^(ROUNDDOWN(DATEDIF(Payroll!$I18,BU$2,"M")/Payroll!$K18,0))),0))</f>
        <v>6656</v>
      </c>
      <c r="BV94" s="56">
        <f>IF(BV$2=Payroll!$I18,Payroll!$F18,IF(BV$2&gt;Payroll!$I18,Payroll!$F18*((1+Payroll!$J18)^(ROUNDDOWN(DATEDIF(Payroll!$I18,BV$2,"M")/Payroll!$K18,0))),0))</f>
        <v>6656</v>
      </c>
      <c r="BW94" s="56">
        <f>IF(BW$2=Payroll!$I18,Payroll!$F18,IF(BW$2&gt;Payroll!$I18,Payroll!$F18*((1+Payroll!$J18)^(ROUNDDOWN(DATEDIF(Payroll!$I18,BW$2,"M")/Payroll!$K18,0))),0))</f>
        <v>6656</v>
      </c>
      <c r="BX94" s="56">
        <f>IF(BX$2=Payroll!$I18,Payroll!$F18,IF(BX$2&gt;Payroll!$I18,Payroll!$F18*((1+Payroll!$J18)^(ROUNDDOWN(DATEDIF(Payroll!$I18,BX$2,"M")/Payroll!$K18,0))),0))</f>
        <v>6656</v>
      </c>
      <c r="BY94" s="56">
        <f>IF(BY$2=Payroll!$I18,Payroll!$F18,IF(BY$2&gt;Payroll!$I18,Payroll!$F18*((1+Payroll!$J18)^(ROUNDDOWN(DATEDIF(Payroll!$I18,BY$2,"M")/Payroll!$K18,0))),0))</f>
        <v>6656</v>
      </c>
      <c r="BZ94" s="56">
        <f>IF(BZ$2=Payroll!$I18,Payroll!$F18,IF(BZ$2&gt;Payroll!$I18,Payroll!$F18*((1+Payroll!$J18)^(ROUNDDOWN(DATEDIF(Payroll!$I18,BZ$2,"M")/Payroll!$K18,0))),0))</f>
        <v>6922.24</v>
      </c>
      <c r="CA94" s="56">
        <f>IF(CA$2=Payroll!$I18,Payroll!$F18,IF(CA$2&gt;Payroll!$I18,Payroll!$F18*((1+Payroll!$J18)^(ROUNDDOWN(DATEDIF(Payroll!$I18,CA$2,"M")/Payroll!$K18,0))),0))</f>
        <v>6922.24</v>
      </c>
      <c r="CB94" s="56">
        <f>IF(CB$2=Payroll!$I18,Payroll!$F18,IF(CB$2&gt;Payroll!$I18,Payroll!$F18*((1+Payroll!$J18)^(ROUNDDOWN(DATEDIF(Payroll!$I18,CB$2,"M")/Payroll!$K18,0))),0))</f>
        <v>6922.24</v>
      </c>
      <c r="CC94" s="56">
        <f>IF(CC$2=Payroll!$I18,Payroll!$F18,IF(CC$2&gt;Payroll!$I18,Payroll!$F18*((1+Payroll!$J18)^(ROUNDDOWN(DATEDIF(Payroll!$I18,CC$2,"M")/Payroll!$K18,0))),0))</f>
        <v>6922.24</v>
      </c>
      <c r="CD94" s="56">
        <f>IF(CD$2=Payroll!$I18,Payroll!$F18,IF(CD$2&gt;Payroll!$I18,Payroll!$F18*((1+Payroll!$J18)^(ROUNDDOWN(DATEDIF(Payroll!$I18,CD$2,"M")/Payroll!$K18,0))),0))</f>
        <v>6922.24</v>
      </c>
      <c r="CE94" s="56">
        <f>IF(CE$2=Payroll!$I18,Payroll!$F18,IF(CE$2&gt;Payroll!$I18,Payroll!$F18*((1+Payroll!$J18)^(ROUNDDOWN(DATEDIF(Payroll!$I18,CE$2,"M")/Payroll!$K18,0))),0))</f>
        <v>6922.24</v>
      </c>
      <c r="CF94" s="56">
        <f>IF(CF$2=Payroll!$I18,Payroll!$F18,IF(CF$2&gt;Payroll!$I18,Payroll!$F18*((1+Payroll!$J18)^(ROUNDDOWN(DATEDIF(Payroll!$I18,CF$2,"M")/Payroll!$K18,0))),0))</f>
        <v>6922.24</v>
      </c>
      <c r="CG94" s="56">
        <f>IF(CG$2=Payroll!$I18,Payroll!$F18,IF(CG$2&gt;Payroll!$I18,Payroll!$F18*((1+Payroll!$J18)^(ROUNDDOWN(DATEDIF(Payroll!$I18,CG$2,"M")/Payroll!$K18,0))),0))</f>
        <v>6922.24</v>
      </c>
      <c r="CH94" s="56">
        <f>IF(CH$2=Payroll!$I18,Payroll!$F18,IF(CH$2&gt;Payroll!$I18,Payroll!$F18*((1+Payroll!$J18)^(ROUNDDOWN(DATEDIF(Payroll!$I18,CH$2,"M")/Payroll!$K18,0))),0))</f>
        <v>6922.24</v>
      </c>
      <c r="CI94" s="56">
        <f>IF(CI$2=Payroll!$I18,Payroll!$F18,IF(CI$2&gt;Payroll!$I18,Payroll!$F18*((1+Payroll!$J18)^(ROUNDDOWN(DATEDIF(Payroll!$I18,CI$2,"M")/Payroll!$K18,0))),0))</f>
        <v>6922.24</v>
      </c>
      <c r="CJ94" s="56">
        <f>IF(CJ$2=Payroll!$I18,Payroll!$F18,IF(CJ$2&gt;Payroll!$I18,Payroll!$F18*((1+Payroll!$J18)^(ROUNDDOWN(DATEDIF(Payroll!$I18,CJ$2,"M")/Payroll!$K18,0))),0))</f>
        <v>6922.24</v>
      </c>
      <c r="CK94" s="56">
        <f>IF(CK$2=Payroll!$I18,Payroll!$F18,IF(CK$2&gt;Payroll!$I18,Payroll!$F18*((1+Payroll!$J18)^(ROUNDDOWN(DATEDIF(Payroll!$I18,CK$2,"M")/Payroll!$K18,0))),0))</f>
        <v>6922.24</v>
      </c>
      <c r="CL94" s="56">
        <f>IF(CL$2=Payroll!$I18,Payroll!$F18,IF(CL$2&gt;Payroll!$I18,Payroll!$F18*((1+Payroll!$J18)^(ROUNDDOWN(DATEDIF(Payroll!$I18,CL$2,"M")/Payroll!$K18,0))),0))</f>
        <v>7199.1296</v>
      </c>
      <c r="CM94" s="56">
        <f>IF(CM$2=Payroll!$I18,Payroll!$F18,IF(CM$2&gt;Payroll!$I18,Payroll!$F18*((1+Payroll!$J18)^(ROUNDDOWN(DATEDIF(Payroll!$I18,CM$2,"M")/Payroll!$K18,0))),0))</f>
        <v>7199.1296</v>
      </c>
      <c r="CN94" s="56">
        <f>IF(CN$2=Payroll!$I18,Payroll!$F18,IF(CN$2&gt;Payroll!$I18,Payroll!$F18*((1+Payroll!$J18)^(ROUNDDOWN(DATEDIF(Payroll!$I18,CN$2,"M")/Payroll!$K18,0))),0))</f>
        <v>7199.1296</v>
      </c>
      <c r="CO94" s="56">
        <f>IF(CO$2=Payroll!$I18,Payroll!$F18,IF(CO$2&gt;Payroll!$I18,Payroll!$F18*((1+Payroll!$J18)^(ROUNDDOWN(DATEDIF(Payroll!$I18,CO$2,"M")/Payroll!$K18,0))),0))</f>
        <v>7199.1296</v>
      </c>
      <c r="CP94" s="56">
        <f>IF(CP$2=Payroll!$I18,Payroll!$F18,IF(CP$2&gt;Payroll!$I18,Payroll!$F18*((1+Payroll!$J18)^(ROUNDDOWN(DATEDIF(Payroll!$I18,CP$2,"M")/Payroll!$K18,0))),0))</f>
        <v>7199.1296</v>
      </c>
      <c r="CQ94" s="56">
        <f>IF(CQ$2=Payroll!$I18,Payroll!$F18,IF(CQ$2&gt;Payroll!$I18,Payroll!$F18*((1+Payroll!$J18)^(ROUNDDOWN(DATEDIF(Payroll!$I18,CQ$2,"M")/Payroll!$K18,0))),0))</f>
        <v>7199.1296</v>
      </c>
      <c r="CR94" s="56">
        <f>IF(CR$2=Payroll!$I18,Payroll!$F18,IF(CR$2&gt;Payroll!$I18,Payroll!$F18*((1+Payroll!$J18)^(ROUNDDOWN(DATEDIF(Payroll!$I18,CR$2,"M")/Payroll!$K18,0))),0))</f>
        <v>7199.1296</v>
      </c>
      <c r="CS94" s="56">
        <f>IF(CS$2=Payroll!$I18,Payroll!$F18,IF(CS$2&gt;Payroll!$I18,Payroll!$F18*((1+Payroll!$J18)^(ROUNDDOWN(DATEDIF(Payroll!$I18,CS$2,"M")/Payroll!$K18,0))),0))</f>
        <v>7199.1296</v>
      </c>
      <c r="CT94" s="56">
        <f>IF(CT$2=Payroll!$I18,Payroll!$F18,IF(CT$2&gt;Payroll!$I18,Payroll!$F18*((1+Payroll!$J18)^(ROUNDDOWN(DATEDIF(Payroll!$I18,CT$2,"M")/Payroll!$K18,0))),0))</f>
        <v>7199.1296</v>
      </c>
      <c r="CU94" s="56">
        <f>IF(CU$2=Payroll!$I18,Payroll!$F18,IF(CU$2&gt;Payroll!$I18,Payroll!$F18*((1+Payroll!$J18)^(ROUNDDOWN(DATEDIF(Payroll!$I18,CU$2,"M")/Payroll!$K18,0))),0))</f>
        <v>7199.1296</v>
      </c>
      <c r="CV94" s="56">
        <f>IF(CV$2=Payroll!$I18,Payroll!$F18,IF(CV$2&gt;Payroll!$I18,Payroll!$F18*((1+Payroll!$J18)^(ROUNDDOWN(DATEDIF(Payroll!$I18,CV$2,"M")/Payroll!$K18,0))),0))</f>
        <v>7199.1296</v>
      </c>
      <c r="CW94" s="56">
        <f>IF(CW$2=Payroll!$I18,Payroll!$F18,IF(CW$2&gt;Payroll!$I18,Payroll!$F18*((1+Payroll!$J18)^(ROUNDDOWN(DATEDIF(Payroll!$I18,CW$2,"M")/Payroll!$K18,0))),0))</f>
        <v>7199.1296</v>
      </c>
      <c r="CX94" s="56">
        <f>IF(CX$2=Payroll!$I18,Payroll!$F18,IF(CX$2&gt;Payroll!$I18,Payroll!$F18*((1+Payroll!$J18)^(ROUNDDOWN(DATEDIF(Payroll!$I18,CX$2,"M")/Payroll!$K18,0))),0))</f>
        <v>7487.094784</v>
      </c>
    </row>
    <row r="95" ht="15.75" customHeight="1" outlineLevel="2">
      <c r="A95" s="56" t="str">
        <f>Payroll!A19</f>
        <v>Developer backend</v>
      </c>
      <c r="B95" s="56"/>
      <c r="C95" s="56"/>
      <c r="D95" s="56"/>
      <c r="E95" s="56">
        <f>IF(E$2=Payroll!$I19,Payroll!$F19,IF(E$2&gt;Payroll!$I19,Payroll!$F19*((1+Payroll!$J19)^(ROUNDDOWN(DATEDIF(Payroll!$I19,E$2,"M")/Payroll!$K19,0))),0))</f>
        <v>0</v>
      </c>
      <c r="F95" s="56">
        <f>IF(F$2=Payroll!$I19,Payroll!$F19,IF(F$2&gt;Payroll!$I19,Payroll!$F19*((1+Payroll!$J19)^(ROUNDDOWN(DATEDIF(Payroll!$I19,F$2,"M")/Payroll!$K19,0))),0))</f>
        <v>0</v>
      </c>
      <c r="G95" s="56">
        <f>IF(G$2=Payroll!$I19,Payroll!$F19,IF(G$2&gt;Payroll!$I19,Payroll!$F19*((1+Payroll!$J19)^(ROUNDDOWN(DATEDIF(Payroll!$I19,G$2,"M")/Payroll!$K19,0))),0))</f>
        <v>0</v>
      </c>
      <c r="H95" s="56">
        <f>IF(H$2=Payroll!$I19,Payroll!$F19,IF(H$2&gt;Payroll!$I19,Payroll!$F19*((1+Payroll!$J19)^(ROUNDDOWN(DATEDIF(Payroll!$I19,H$2,"M")/Payroll!$K19,0))),0))</f>
        <v>0</v>
      </c>
      <c r="I95" s="56">
        <f>IF(I$2=Payroll!$I19,Payroll!$F19,IF(I$2&gt;Payroll!$I19,Payroll!$F19*((1+Payroll!$J19)^(ROUNDDOWN(DATEDIF(Payroll!$I19,I$2,"M")/Payroll!$K19,0))),0))</f>
        <v>0</v>
      </c>
      <c r="J95" s="56">
        <f>IF(J$2=Payroll!$I19,Payroll!$F19,IF(J$2&gt;Payroll!$I19,Payroll!$F19*((1+Payroll!$J19)^(ROUNDDOWN(DATEDIF(Payroll!$I19,J$2,"M")/Payroll!$K19,0))),0))</f>
        <v>0</v>
      </c>
      <c r="K95" s="56">
        <f>IF(K$2=Payroll!$I19,Payroll!$F19,IF(K$2&gt;Payroll!$I19,Payroll!$F19*((1+Payroll!$J19)^(ROUNDDOWN(DATEDIF(Payroll!$I19,K$2,"M")/Payroll!$K19,0))),0))</f>
        <v>0</v>
      </c>
      <c r="L95" s="56">
        <f>IF(L$2=Payroll!$I19,Payroll!$F19,IF(L$2&gt;Payroll!$I19,Payroll!$F19*((1+Payroll!$J19)^(ROUNDDOWN(DATEDIF(Payroll!$I19,L$2,"M")/Payroll!$K19,0))),0))</f>
        <v>0</v>
      </c>
      <c r="M95" s="56">
        <f>IF(M$2=Payroll!$I19,Payroll!$F19,IF(M$2&gt;Payroll!$I19,Payroll!$F19*((1+Payroll!$J19)^(ROUNDDOWN(DATEDIF(Payroll!$I19,M$2,"M")/Payroll!$K19,0))),0))</f>
        <v>0</v>
      </c>
      <c r="N95" s="56">
        <f>IF(N$2=Payroll!$I19,Payroll!$F19,IF(N$2&gt;Payroll!$I19,Payroll!$F19*((1+Payroll!$J19)^(ROUNDDOWN(DATEDIF(Payroll!$I19,N$2,"M")/Payroll!$K19,0))),0))</f>
        <v>0</v>
      </c>
      <c r="O95" s="56">
        <f>IF(O$2=Payroll!$I19,Payroll!$F19,IF(O$2&gt;Payroll!$I19,Payroll!$F19*((1+Payroll!$J19)^(ROUNDDOWN(DATEDIF(Payroll!$I19,O$2,"M")/Payroll!$K19,0))),0))</f>
        <v>0</v>
      </c>
      <c r="P95" s="56">
        <f>IF(P$2=Payroll!$I19,Payroll!$F19,IF(P$2&gt;Payroll!$I19,Payroll!$F19*((1+Payroll!$J19)^(ROUNDDOWN(DATEDIF(Payroll!$I19,P$2,"M")/Payroll!$K19,0))),0))</f>
        <v>0</v>
      </c>
      <c r="Q95" s="56">
        <f>IF(Q$2=Payroll!$I19,Payroll!$F19,IF(Q$2&gt;Payroll!$I19,Payroll!$F19*((1+Payroll!$J19)^(ROUNDDOWN(DATEDIF(Payroll!$I19,Q$2,"M")/Payroll!$K19,0))),0))</f>
        <v>0</v>
      </c>
      <c r="R95" s="56">
        <f>IF(R$2=Payroll!$I19,Payroll!$F19,IF(R$2&gt;Payroll!$I19,Payroll!$F19*((1+Payroll!$J19)^(ROUNDDOWN(DATEDIF(Payroll!$I19,R$2,"M")/Payroll!$K19,0))),0))</f>
        <v>0</v>
      </c>
      <c r="S95" s="56">
        <f>IF(S$2=Payroll!$I19,Payroll!$F19,IF(S$2&gt;Payroll!$I19,Payroll!$F19*((1+Payroll!$J19)^(ROUNDDOWN(DATEDIF(Payroll!$I19,S$2,"M")/Payroll!$K19,0))),0))</f>
        <v>0</v>
      </c>
      <c r="T95" s="56">
        <f>IF(T$2=Payroll!$I19,Payroll!$F19,IF(T$2&gt;Payroll!$I19,Payroll!$F19*((1+Payroll!$J19)^(ROUNDDOWN(DATEDIF(Payroll!$I19,T$2,"M")/Payroll!$K19,0))),0))</f>
        <v>0</v>
      </c>
      <c r="U95" s="56">
        <f>IF(U$2=Payroll!$I19,Payroll!$F19,IF(U$2&gt;Payroll!$I19,Payroll!$F19*((1+Payroll!$J19)^(ROUNDDOWN(DATEDIF(Payroll!$I19,U$2,"M")/Payroll!$K19,0))),0))</f>
        <v>0</v>
      </c>
      <c r="V95" s="56">
        <f>IF(V$2=Payroll!$I19,Payroll!$F19,IF(V$2&gt;Payroll!$I19,Payroll!$F19*((1+Payroll!$J19)^(ROUNDDOWN(DATEDIF(Payroll!$I19,V$2,"M")/Payroll!$K19,0))),0))</f>
        <v>0</v>
      </c>
      <c r="W95" s="56">
        <f>IF(W$2=Payroll!$I19,Payroll!$F19,IF(W$2&gt;Payroll!$I19,Payroll!$F19*((1+Payroll!$J19)^(ROUNDDOWN(DATEDIF(Payroll!$I19,W$2,"M")/Payroll!$K19,0))),0))</f>
        <v>0</v>
      </c>
      <c r="X95" s="56">
        <f>IF(X$2=Payroll!$I19,Payroll!$F19,IF(X$2&gt;Payroll!$I19,Payroll!$F19*((1+Payroll!$J19)^(ROUNDDOWN(DATEDIF(Payroll!$I19,X$2,"M")/Payroll!$K19,0))),0))</f>
        <v>0</v>
      </c>
      <c r="Y95" s="56">
        <f>IF(Y$2=Payroll!$I19,Payroll!$F19,IF(Y$2&gt;Payroll!$I19,Payroll!$F19*((1+Payroll!$J19)^(ROUNDDOWN(DATEDIF(Payroll!$I19,Y$2,"M")/Payroll!$K19,0))),0))</f>
        <v>0</v>
      </c>
      <c r="Z95" s="56">
        <f>IF(Z$2=Payroll!$I19,Payroll!$F19,IF(Z$2&gt;Payroll!$I19,Payroll!$F19*((1+Payroll!$J19)^(ROUNDDOWN(DATEDIF(Payroll!$I19,Z$2,"M")/Payroll!$K19,0))),0))</f>
        <v>0</v>
      </c>
      <c r="AA95" s="56">
        <f>IF(AA$2=Payroll!$I19,Payroll!$F19,IF(AA$2&gt;Payroll!$I19,Payroll!$F19*((1+Payroll!$J19)^(ROUNDDOWN(DATEDIF(Payroll!$I19,AA$2,"M")/Payroll!$K19,0))),0))</f>
        <v>0</v>
      </c>
      <c r="AB95" s="56">
        <f>IF(AB$2=Payroll!$I19,Payroll!$F19,IF(AB$2&gt;Payroll!$I19,Payroll!$F19*((1+Payroll!$J19)^(ROUNDDOWN(DATEDIF(Payroll!$I19,AB$2,"M")/Payroll!$K19,0))),0))</f>
        <v>0</v>
      </c>
      <c r="AC95" s="56">
        <f>IF(AC$2=Payroll!$I19,Payroll!$F19,IF(AC$2&gt;Payroll!$I19,Payroll!$F19*((1+Payroll!$J19)^(ROUNDDOWN(DATEDIF(Payroll!$I19,AC$2,"M")/Payroll!$K19,0))),0))</f>
        <v>0</v>
      </c>
      <c r="AD95" s="56">
        <f>IF(AD$2=Payroll!$I19,Payroll!$F19,IF(AD$2&gt;Payroll!$I19,Payroll!$F19*((1+Payroll!$J19)^(ROUNDDOWN(DATEDIF(Payroll!$I19,AD$2,"M")/Payroll!$K19,0))),0))</f>
        <v>0</v>
      </c>
      <c r="AE95" s="56">
        <f>IF(AE$2=Payroll!$I19,Payroll!$F19,IF(AE$2&gt;Payroll!$I19,Payroll!$F19*((1+Payroll!$J19)^(ROUNDDOWN(DATEDIF(Payroll!$I19,AE$2,"M")/Payroll!$K19,0))),0))</f>
        <v>0</v>
      </c>
      <c r="AF95" s="56">
        <f>IF(AF$2=Payroll!$I19,Payroll!$F19,IF(AF$2&gt;Payroll!$I19,Payroll!$F19*((1+Payroll!$J19)^(ROUNDDOWN(DATEDIF(Payroll!$I19,AF$2,"M")/Payroll!$K19,0))),0))</f>
        <v>0</v>
      </c>
      <c r="AG95" s="56">
        <f>IF(AG$2=Payroll!$I19,Payroll!$F19,IF(AG$2&gt;Payroll!$I19,Payroll!$F19*((1+Payroll!$J19)^(ROUNDDOWN(DATEDIF(Payroll!$I19,AG$2,"M")/Payroll!$K19,0))),0))</f>
        <v>0</v>
      </c>
      <c r="AH95" s="56">
        <f>IF(AH$2=Payroll!$I19,Payroll!$F19,IF(AH$2&gt;Payroll!$I19,Payroll!$F19*((1+Payroll!$J19)^(ROUNDDOWN(DATEDIF(Payroll!$I19,AH$2,"M")/Payroll!$K19,0))),0))</f>
        <v>0</v>
      </c>
      <c r="AI95" s="56">
        <f>IF(AI$2=Payroll!$I19,Payroll!$F19,IF(AI$2&gt;Payroll!$I19,Payroll!$F19*((1+Payroll!$J19)^(ROUNDDOWN(DATEDIF(Payroll!$I19,AI$2,"M")/Payroll!$K19,0))),0))</f>
        <v>0</v>
      </c>
      <c r="AJ95" s="56">
        <f>IF(AJ$2=Payroll!$I19,Payroll!$F19,IF(AJ$2&gt;Payroll!$I19,Payroll!$F19*((1+Payroll!$J19)^(ROUNDDOWN(DATEDIF(Payroll!$I19,AJ$2,"M")/Payroll!$K19,0))),0))</f>
        <v>0</v>
      </c>
      <c r="AK95" s="56">
        <f>IF(AK$2=Payroll!$I19,Payroll!$F19,IF(AK$2&gt;Payroll!$I19,Payroll!$F19*((1+Payroll!$J19)^(ROUNDDOWN(DATEDIF(Payroll!$I19,AK$2,"M")/Payroll!$K19,0))),0))</f>
        <v>0</v>
      </c>
      <c r="AL95" s="56">
        <f>IF(AL$2=Payroll!$I19,Payroll!$F19,IF(AL$2&gt;Payroll!$I19,Payroll!$F19*((1+Payroll!$J19)^(ROUNDDOWN(DATEDIF(Payroll!$I19,AL$2,"M")/Payroll!$K19,0))),0))</f>
        <v>0</v>
      </c>
      <c r="AM95" s="56">
        <f>IF(AM$2=Payroll!$I19,Payroll!$F19,IF(AM$2&gt;Payroll!$I19,Payroll!$F19*((1+Payroll!$J19)^(ROUNDDOWN(DATEDIF(Payroll!$I19,AM$2,"M")/Payroll!$K19,0))),0))</f>
        <v>0</v>
      </c>
      <c r="AN95" s="56">
        <f>IF(AN$2=Payroll!$I19,Payroll!$F19,IF(AN$2&gt;Payroll!$I19,Payroll!$F19*((1+Payroll!$J19)^(ROUNDDOWN(DATEDIF(Payroll!$I19,AN$2,"M")/Payroll!$K19,0))),0))</f>
        <v>0</v>
      </c>
      <c r="AO95" s="56">
        <f>IF(AO$2=Payroll!$I19,Payroll!$F19,IF(AO$2&gt;Payroll!$I19,Payroll!$F19*((1+Payroll!$J19)^(ROUNDDOWN(DATEDIF(Payroll!$I19,AO$2,"M")/Payroll!$K19,0))),0))</f>
        <v>0</v>
      </c>
      <c r="AP95" s="56">
        <f>IF(AP$2=Payroll!$I19,Payroll!$F19,IF(AP$2&gt;Payroll!$I19,Payroll!$F19*((1+Payroll!$J19)^(ROUNDDOWN(DATEDIF(Payroll!$I19,AP$2,"M")/Payroll!$K19,0))),0))</f>
        <v>0</v>
      </c>
      <c r="AQ95" s="56">
        <f>IF(AQ$2=Payroll!$I19,Payroll!$F19,IF(AQ$2&gt;Payroll!$I19,Payroll!$F19*((1+Payroll!$J19)^(ROUNDDOWN(DATEDIF(Payroll!$I19,AQ$2,"M")/Payroll!$K19,0))),0))</f>
        <v>0</v>
      </c>
      <c r="AR95" s="56">
        <f>IF(AR$2=Payroll!$I19,Payroll!$F19,IF(AR$2&gt;Payroll!$I19,Payroll!$F19*((1+Payroll!$J19)^(ROUNDDOWN(DATEDIF(Payroll!$I19,AR$2,"M")/Payroll!$K19,0))),0))</f>
        <v>0</v>
      </c>
      <c r="AS95" s="56">
        <f>IF(AS$2=Payroll!$I19,Payroll!$F19,IF(AS$2&gt;Payroll!$I19,Payroll!$F19*((1+Payroll!$J19)^(ROUNDDOWN(DATEDIF(Payroll!$I19,AS$2,"M")/Payroll!$K19,0))),0))</f>
        <v>0</v>
      </c>
      <c r="AT95" s="56">
        <f>IF(AT$2=Payroll!$I19,Payroll!$F19,IF(AT$2&gt;Payroll!$I19,Payroll!$F19*((1+Payroll!$J19)^(ROUNDDOWN(DATEDIF(Payroll!$I19,AT$2,"M")/Payroll!$K19,0))),0))</f>
        <v>0</v>
      </c>
      <c r="AU95" s="56">
        <f>IF(AU$2=Payroll!$I19,Payroll!$F19,IF(AU$2&gt;Payroll!$I19,Payroll!$F19*((1+Payroll!$J19)^(ROUNDDOWN(DATEDIF(Payroll!$I19,AU$2,"M")/Payroll!$K19,0))),0))</f>
        <v>0</v>
      </c>
      <c r="AV95" s="56">
        <f>IF(AV$2=Payroll!$I19,Payroll!$F19,IF(AV$2&gt;Payroll!$I19,Payroll!$F19*((1+Payroll!$J19)^(ROUNDDOWN(DATEDIF(Payroll!$I19,AV$2,"M")/Payroll!$K19,0))),0))</f>
        <v>0</v>
      </c>
      <c r="AW95" s="56">
        <f>IF(AW$2=Payroll!$I19,Payroll!$F19,IF(AW$2&gt;Payroll!$I19,Payroll!$F19*((1+Payroll!$J19)^(ROUNDDOWN(DATEDIF(Payroll!$I19,AW$2,"M")/Payroll!$K19,0))),0))</f>
        <v>0</v>
      </c>
      <c r="AX95" s="56">
        <f>IF(AX$2=Payroll!$I19,Payroll!$F19,IF(AX$2&gt;Payroll!$I19,Payroll!$F19*((1+Payroll!$J19)^(ROUNDDOWN(DATEDIF(Payroll!$I19,AX$2,"M")/Payroll!$K19,0))),0))</f>
        <v>0</v>
      </c>
      <c r="AY95" s="56">
        <f>IF(AY$2=Payroll!$I19,Payroll!$F19,IF(AY$2&gt;Payroll!$I19,Payroll!$F19*((1+Payroll!$J19)^(ROUNDDOWN(DATEDIF(Payroll!$I19,AY$2,"M")/Payroll!$K19,0))),0))</f>
        <v>0</v>
      </c>
      <c r="AZ95" s="56">
        <f>IF(AZ$2=Payroll!$I19,Payroll!$F19,IF(AZ$2&gt;Payroll!$I19,Payroll!$F19*((1+Payroll!$J19)^(ROUNDDOWN(DATEDIF(Payroll!$I19,AZ$2,"M")/Payroll!$K19,0))),0))</f>
        <v>0</v>
      </c>
      <c r="BA95" s="56">
        <f>IF(BA$2=Payroll!$I19,Payroll!$F19,IF(BA$2&gt;Payroll!$I19,Payroll!$F19*((1+Payroll!$J19)^(ROUNDDOWN(DATEDIF(Payroll!$I19,BA$2,"M")/Payroll!$K19,0))),0))</f>
        <v>0</v>
      </c>
      <c r="BB95" s="56">
        <f>IF(BB$2=Payroll!$I19,Payroll!$F19,IF(BB$2&gt;Payroll!$I19,Payroll!$F19*((1+Payroll!$J19)^(ROUNDDOWN(DATEDIF(Payroll!$I19,BB$2,"M")/Payroll!$K19,0))),0))</f>
        <v>0</v>
      </c>
      <c r="BC95" s="56">
        <f>IF(BC$2=Payroll!$I19,Payroll!$F19,IF(BC$2&gt;Payroll!$I19,Payroll!$F19*((1+Payroll!$J19)^(ROUNDDOWN(DATEDIF(Payroll!$I19,BC$2,"M")/Payroll!$K19,0))),0))</f>
        <v>0</v>
      </c>
      <c r="BD95" s="56">
        <f>IF(BD$2=Payroll!$I19,Payroll!$F19,IF(BD$2&gt;Payroll!$I19,Payroll!$F19*((1+Payroll!$J19)^(ROUNDDOWN(DATEDIF(Payroll!$I19,BD$2,"M")/Payroll!$K19,0))),0))</f>
        <v>0</v>
      </c>
      <c r="BE95" s="56">
        <f>IF(BE$2=Payroll!$I19,Payroll!$F19,IF(BE$2&gt;Payroll!$I19,Payroll!$F19*((1+Payroll!$J19)^(ROUNDDOWN(DATEDIF(Payroll!$I19,BE$2,"M")/Payroll!$K19,0))),0))</f>
        <v>0</v>
      </c>
      <c r="BF95" s="56">
        <f>IF(BF$2=Payroll!$I19,Payroll!$F19,IF(BF$2&gt;Payroll!$I19,Payroll!$F19*((1+Payroll!$J19)^(ROUNDDOWN(DATEDIF(Payroll!$I19,BF$2,"M")/Payroll!$K19,0))),0))</f>
        <v>0</v>
      </c>
      <c r="BG95" s="56">
        <f>IF(BG$2=Payroll!$I19,Payroll!$F19,IF(BG$2&gt;Payroll!$I19,Payroll!$F19*((1+Payroll!$J19)^(ROUNDDOWN(DATEDIF(Payroll!$I19,BG$2,"M")/Payroll!$K19,0))),0))</f>
        <v>0</v>
      </c>
      <c r="BH95" s="56">
        <f>IF(BH$2=Payroll!$I19,Payroll!$F19,IF(BH$2&gt;Payroll!$I19,Payroll!$F19*((1+Payroll!$J19)^(ROUNDDOWN(DATEDIF(Payroll!$I19,BH$2,"M")/Payroll!$K19,0))),0))</f>
        <v>0</v>
      </c>
      <c r="BI95" s="56">
        <f>IF(BI$2=Payroll!$I19,Payroll!$F19,IF(BI$2&gt;Payroll!$I19,Payroll!$F19*((1+Payroll!$J19)^(ROUNDDOWN(DATEDIF(Payroll!$I19,BI$2,"M")/Payroll!$K19,0))),0))</f>
        <v>0</v>
      </c>
      <c r="BJ95" s="56">
        <f>IF(BJ$2=Payroll!$I19,Payroll!$F19,IF(BJ$2&gt;Payroll!$I19,Payroll!$F19*((1+Payroll!$J19)^(ROUNDDOWN(DATEDIF(Payroll!$I19,BJ$2,"M")/Payroll!$K19,0))),0))</f>
        <v>0</v>
      </c>
      <c r="BK95" s="56">
        <f>IF(BK$2=Payroll!$I19,Payroll!$F19,IF(BK$2&gt;Payroll!$I19,Payroll!$F19*((1+Payroll!$J19)^(ROUNDDOWN(DATEDIF(Payroll!$I19,BK$2,"M")/Payroll!$K19,0))),0))</f>
        <v>0</v>
      </c>
      <c r="BL95" s="56">
        <f>IF(BL$2=Payroll!$I19,Payroll!$F19,IF(BL$2&gt;Payroll!$I19,Payroll!$F19*((1+Payroll!$J19)^(ROUNDDOWN(DATEDIF(Payroll!$I19,BL$2,"M")/Payroll!$K19,0))),0))</f>
        <v>0</v>
      </c>
      <c r="BM95" s="56">
        <f>IF(BM$2=Payroll!$I19,Payroll!$F19,IF(BM$2&gt;Payroll!$I19,Payroll!$F19*((1+Payroll!$J19)^(ROUNDDOWN(DATEDIF(Payroll!$I19,BM$2,"M")/Payroll!$K19,0))),0))</f>
        <v>0</v>
      </c>
      <c r="BN95" s="56">
        <f>IF(BN$2=Payroll!$I19,Payroll!$F19,IF(BN$2&gt;Payroll!$I19,Payroll!$F19*((1+Payroll!$J19)^(ROUNDDOWN(DATEDIF(Payroll!$I19,BN$2,"M")/Payroll!$K19,0))),0))</f>
        <v>0</v>
      </c>
      <c r="BO95" s="56">
        <f>IF(BO$2=Payroll!$I19,Payroll!$F19,IF(BO$2&gt;Payroll!$I19,Payroll!$F19*((1+Payroll!$J19)^(ROUNDDOWN(DATEDIF(Payroll!$I19,BO$2,"M")/Payroll!$K19,0))),0))</f>
        <v>0</v>
      </c>
      <c r="BP95" s="56">
        <f>IF(BP$2=Payroll!$I19,Payroll!$F19,IF(BP$2&gt;Payroll!$I19,Payroll!$F19*((1+Payroll!$J19)^(ROUNDDOWN(DATEDIF(Payroll!$I19,BP$2,"M")/Payroll!$K19,0))),0))</f>
        <v>0</v>
      </c>
      <c r="BQ95" s="56">
        <f>IF(BQ$2=Payroll!$I19,Payroll!$F19,IF(BQ$2&gt;Payroll!$I19,Payroll!$F19*((1+Payroll!$J19)^(ROUNDDOWN(DATEDIF(Payroll!$I19,BQ$2,"M")/Payroll!$K19,0))),0))</f>
        <v>0</v>
      </c>
      <c r="BR95" s="56">
        <f>IF(BR$2=Payroll!$I19,Payroll!$F19,IF(BR$2&gt;Payroll!$I19,Payroll!$F19*((1+Payroll!$J19)^(ROUNDDOWN(DATEDIF(Payroll!$I19,BR$2,"M")/Payroll!$K19,0))),0))</f>
        <v>0</v>
      </c>
      <c r="BS95" s="56">
        <f>IF(BS$2=Payroll!$I19,Payroll!$F19,IF(BS$2&gt;Payroll!$I19,Payroll!$F19*((1+Payroll!$J19)^(ROUNDDOWN(DATEDIF(Payroll!$I19,BS$2,"M")/Payroll!$K19,0))),0))</f>
        <v>0</v>
      </c>
      <c r="BT95" s="56">
        <f>IF(BT$2=Payroll!$I19,Payroll!$F19,IF(BT$2&gt;Payroll!$I19,Payroll!$F19*((1+Payroll!$J19)^(ROUNDDOWN(DATEDIF(Payroll!$I19,BT$2,"M")/Payroll!$K19,0))),0))</f>
        <v>0</v>
      </c>
      <c r="BU95" s="56">
        <f>IF(BU$2=Payroll!$I19,Payroll!$F19,IF(BU$2&gt;Payroll!$I19,Payroll!$F19*((1+Payroll!$J19)^(ROUNDDOWN(DATEDIF(Payroll!$I19,BU$2,"M")/Payroll!$K19,0))),0))</f>
        <v>0</v>
      </c>
      <c r="BV95" s="56">
        <f>IF(BV$2=Payroll!$I19,Payroll!$F19,IF(BV$2&gt;Payroll!$I19,Payroll!$F19*((1+Payroll!$J19)^(ROUNDDOWN(DATEDIF(Payroll!$I19,BV$2,"M")/Payroll!$K19,0))),0))</f>
        <v>0</v>
      </c>
      <c r="BW95" s="56">
        <f>IF(BW$2=Payroll!$I19,Payroll!$F19,IF(BW$2&gt;Payroll!$I19,Payroll!$F19*((1+Payroll!$J19)^(ROUNDDOWN(DATEDIF(Payroll!$I19,BW$2,"M")/Payroll!$K19,0))),0))</f>
        <v>0</v>
      </c>
      <c r="BX95" s="56">
        <f>IF(BX$2=Payroll!$I19,Payroll!$F19,IF(BX$2&gt;Payroll!$I19,Payroll!$F19*((1+Payroll!$J19)^(ROUNDDOWN(DATEDIF(Payroll!$I19,BX$2,"M")/Payroll!$K19,0))),0))</f>
        <v>0</v>
      </c>
      <c r="BY95" s="56">
        <f>IF(BY$2=Payroll!$I19,Payroll!$F19,IF(BY$2&gt;Payroll!$I19,Payroll!$F19*((1+Payroll!$J19)^(ROUNDDOWN(DATEDIF(Payroll!$I19,BY$2,"M")/Payroll!$K19,0))),0))</f>
        <v>0</v>
      </c>
      <c r="BZ95" s="56">
        <f>IF(BZ$2=Payroll!$I19,Payroll!$F19,IF(BZ$2&gt;Payroll!$I19,Payroll!$F19*((1+Payroll!$J19)^(ROUNDDOWN(DATEDIF(Payroll!$I19,BZ$2,"M")/Payroll!$K19,0))),0))</f>
        <v>0</v>
      </c>
      <c r="CA95" s="56">
        <f>IF(CA$2=Payroll!$I19,Payroll!$F19,IF(CA$2&gt;Payroll!$I19,Payroll!$F19*((1+Payroll!$J19)^(ROUNDDOWN(DATEDIF(Payroll!$I19,CA$2,"M")/Payroll!$K19,0))),0))</f>
        <v>0</v>
      </c>
      <c r="CB95" s="56">
        <f>IF(CB$2=Payroll!$I19,Payroll!$F19,IF(CB$2&gt;Payroll!$I19,Payroll!$F19*((1+Payroll!$J19)^(ROUNDDOWN(DATEDIF(Payroll!$I19,CB$2,"M")/Payroll!$K19,0))),0))</f>
        <v>0</v>
      </c>
      <c r="CC95" s="56">
        <f>IF(CC$2=Payroll!$I19,Payroll!$F19,IF(CC$2&gt;Payroll!$I19,Payroll!$F19*((1+Payroll!$J19)^(ROUNDDOWN(DATEDIF(Payroll!$I19,CC$2,"M")/Payroll!$K19,0))),0))</f>
        <v>0</v>
      </c>
      <c r="CD95" s="56">
        <f>IF(CD$2=Payroll!$I19,Payroll!$F19,IF(CD$2&gt;Payroll!$I19,Payroll!$F19*((1+Payroll!$J19)^(ROUNDDOWN(DATEDIF(Payroll!$I19,CD$2,"M")/Payroll!$K19,0))),0))</f>
        <v>0</v>
      </c>
      <c r="CE95" s="56">
        <f>IF(CE$2=Payroll!$I19,Payroll!$F19,IF(CE$2&gt;Payroll!$I19,Payroll!$F19*((1+Payroll!$J19)^(ROUNDDOWN(DATEDIF(Payroll!$I19,CE$2,"M")/Payroll!$K19,0))),0))</f>
        <v>0</v>
      </c>
      <c r="CF95" s="56">
        <f>IF(CF$2=Payroll!$I19,Payroll!$F19,IF(CF$2&gt;Payroll!$I19,Payroll!$F19*((1+Payroll!$J19)^(ROUNDDOWN(DATEDIF(Payroll!$I19,CF$2,"M")/Payroll!$K19,0))),0))</f>
        <v>0</v>
      </c>
      <c r="CG95" s="56">
        <f>IF(CG$2=Payroll!$I19,Payroll!$F19,IF(CG$2&gt;Payroll!$I19,Payroll!$F19*((1+Payroll!$J19)^(ROUNDDOWN(DATEDIF(Payroll!$I19,CG$2,"M")/Payroll!$K19,0))),0))</f>
        <v>0</v>
      </c>
      <c r="CH95" s="56">
        <f>IF(CH$2=Payroll!$I19,Payroll!$F19,IF(CH$2&gt;Payroll!$I19,Payroll!$F19*((1+Payroll!$J19)^(ROUNDDOWN(DATEDIF(Payroll!$I19,CH$2,"M")/Payroll!$K19,0))),0))</f>
        <v>0</v>
      </c>
      <c r="CI95" s="56">
        <f>IF(CI$2=Payroll!$I19,Payroll!$F19,IF(CI$2&gt;Payroll!$I19,Payroll!$F19*((1+Payroll!$J19)^(ROUNDDOWN(DATEDIF(Payroll!$I19,CI$2,"M")/Payroll!$K19,0))),0))</f>
        <v>0</v>
      </c>
      <c r="CJ95" s="56">
        <f>IF(CJ$2=Payroll!$I19,Payroll!$F19,IF(CJ$2&gt;Payroll!$I19,Payroll!$F19*((1+Payroll!$J19)^(ROUNDDOWN(DATEDIF(Payroll!$I19,CJ$2,"M")/Payroll!$K19,0))),0))</f>
        <v>0</v>
      </c>
      <c r="CK95" s="56">
        <f>IF(CK$2=Payroll!$I19,Payroll!$F19,IF(CK$2&gt;Payroll!$I19,Payroll!$F19*((1+Payroll!$J19)^(ROUNDDOWN(DATEDIF(Payroll!$I19,CK$2,"M")/Payroll!$K19,0))),0))</f>
        <v>0</v>
      </c>
      <c r="CL95" s="56">
        <f>IF(CL$2=Payroll!$I19,Payroll!$F19,IF(CL$2&gt;Payroll!$I19,Payroll!$F19*((1+Payroll!$J19)^(ROUNDDOWN(DATEDIF(Payroll!$I19,CL$2,"M")/Payroll!$K19,0))),0))</f>
        <v>0</v>
      </c>
      <c r="CM95" s="56">
        <f>IF(CM$2=Payroll!$I19,Payroll!$F19,IF(CM$2&gt;Payroll!$I19,Payroll!$F19*((1+Payroll!$J19)^(ROUNDDOWN(DATEDIF(Payroll!$I19,CM$2,"M")/Payroll!$K19,0))),0))</f>
        <v>0</v>
      </c>
      <c r="CN95" s="56">
        <f>IF(CN$2=Payroll!$I19,Payroll!$F19,IF(CN$2&gt;Payroll!$I19,Payroll!$F19*((1+Payroll!$J19)^(ROUNDDOWN(DATEDIF(Payroll!$I19,CN$2,"M")/Payroll!$K19,0))),0))</f>
        <v>0</v>
      </c>
      <c r="CO95" s="56">
        <f>IF(CO$2=Payroll!$I19,Payroll!$F19,IF(CO$2&gt;Payroll!$I19,Payroll!$F19*((1+Payroll!$J19)^(ROUNDDOWN(DATEDIF(Payroll!$I19,CO$2,"M")/Payroll!$K19,0))),0))</f>
        <v>0</v>
      </c>
      <c r="CP95" s="56">
        <f>IF(CP$2=Payroll!$I19,Payroll!$F19,IF(CP$2&gt;Payroll!$I19,Payroll!$F19*((1+Payroll!$J19)^(ROUNDDOWN(DATEDIF(Payroll!$I19,CP$2,"M")/Payroll!$K19,0))),0))</f>
        <v>0</v>
      </c>
      <c r="CQ95" s="56">
        <f>IF(CQ$2=Payroll!$I19,Payroll!$F19,IF(CQ$2&gt;Payroll!$I19,Payroll!$F19*((1+Payroll!$J19)^(ROUNDDOWN(DATEDIF(Payroll!$I19,CQ$2,"M")/Payroll!$K19,0))),0))</f>
        <v>0</v>
      </c>
      <c r="CR95" s="56">
        <f>IF(CR$2=Payroll!$I19,Payroll!$F19,IF(CR$2&gt;Payroll!$I19,Payroll!$F19*((1+Payroll!$J19)^(ROUNDDOWN(DATEDIF(Payroll!$I19,CR$2,"M")/Payroll!$K19,0))),0))</f>
        <v>0</v>
      </c>
      <c r="CS95" s="56">
        <f>IF(CS$2=Payroll!$I19,Payroll!$F19,IF(CS$2&gt;Payroll!$I19,Payroll!$F19*((1+Payroll!$J19)^(ROUNDDOWN(DATEDIF(Payroll!$I19,CS$2,"M")/Payroll!$K19,0))),0))</f>
        <v>0</v>
      </c>
      <c r="CT95" s="56">
        <f>IF(CT$2=Payroll!$I19,Payroll!$F19,IF(CT$2&gt;Payroll!$I19,Payroll!$F19*((1+Payroll!$J19)^(ROUNDDOWN(DATEDIF(Payroll!$I19,CT$2,"M")/Payroll!$K19,0))),0))</f>
        <v>0</v>
      </c>
      <c r="CU95" s="56">
        <f>IF(CU$2=Payroll!$I19,Payroll!$F19,IF(CU$2&gt;Payroll!$I19,Payroll!$F19*((1+Payroll!$J19)^(ROUNDDOWN(DATEDIF(Payroll!$I19,CU$2,"M")/Payroll!$K19,0))),0))</f>
        <v>0</v>
      </c>
      <c r="CV95" s="56">
        <f>IF(CV$2=Payroll!$I19,Payroll!$F19,IF(CV$2&gt;Payroll!$I19,Payroll!$F19*((1+Payroll!$J19)^(ROUNDDOWN(DATEDIF(Payroll!$I19,CV$2,"M")/Payroll!$K19,0))),0))</f>
        <v>0</v>
      </c>
      <c r="CW95" s="56">
        <f>IF(CW$2=Payroll!$I19,Payroll!$F19,IF(CW$2&gt;Payroll!$I19,Payroll!$F19*((1+Payroll!$J19)^(ROUNDDOWN(DATEDIF(Payroll!$I19,CW$2,"M")/Payroll!$K19,0))),0))</f>
        <v>0</v>
      </c>
      <c r="CX95" s="56">
        <f>IF(CX$2=Payroll!$I19,Payroll!$F19,IF(CX$2&gt;Payroll!$I19,Payroll!$F19*((1+Payroll!$J19)^(ROUNDDOWN(DATEDIF(Payroll!$I19,CX$2,"M")/Payroll!$K19,0))),0))</f>
        <v>0</v>
      </c>
    </row>
    <row r="96" ht="15.75" customHeight="1" outlineLevel="2">
      <c r="A96" s="56" t="str">
        <f>Payroll!A20</f>
        <v>Developer fullstack</v>
      </c>
      <c r="B96" s="56"/>
      <c r="C96" s="56"/>
      <c r="D96" s="56"/>
      <c r="E96" s="56">
        <f>IF(E$2=Payroll!$I20,Payroll!$F20,IF(E$2&gt;Payroll!$I20,Payroll!$F20*((1+Payroll!$J20)^(ROUNDDOWN(DATEDIF(Payroll!$I20,E$2,"M")/Payroll!$K20,0))),0))</f>
        <v>0</v>
      </c>
      <c r="F96" s="56">
        <f>IF(F$2=Payroll!$I20,Payroll!$F20,IF(F$2&gt;Payroll!$I20,Payroll!$F20*((1+Payroll!$J20)^(ROUNDDOWN(DATEDIF(Payroll!$I20,F$2,"M")/Payroll!$K20,0))),0))</f>
        <v>0</v>
      </c>
      <c r="G96" s="56">
        <f>IF(G$2=Payroll!$I20,Payroll!$F20,IF(G$2&gt;Payroll!$I20,Payroll!$F20*((1+Payroll!$J20)^(ROUNDDOWN(DATEDIF(Payroll!$I20,G$2,"M")/Payroll!$K20,0))),0))</f>
        <v>0</v>
      </c>
      <c r="H96" s="56">
        <f>IF(H$2=Payroll!$I20,Payroll!$F20,IF(H$2&gt;Payroll!$I20,Payroll!$F20*((1+Payroll!$J20)^(ROUNDDOWN(DATEDIF(Payroll!$I20,H$2,"M")/Payroll!$K20,0))),0))</f>
        <v>0</v>
      </c>
      <c r="I96" s="56">
        <f>IF(I$2=Payroll!$I20,Payroll!$F20,IF(I$2&gt;Payroll!$I20,Payroll!$F20*((1+Payroll!$J20)^(ROUNDDOWN(DATEDIF(Payroll!$I20,I$2,"M")/Payroll!$K20,0))),0))</f>
        <v>0</v>
      </c>
      <c r="J96" s="56">
        <f>IF(J$2=Payroll!$I20,Payroll!$F20,IF(J$2&gt;Payroll!$I20,Payroll!$F20*((1+Payroll!$J20)^(ROUNDDOWN(DATEDIF(Payroll!$I20,J$2,"M")/Payroll!$K20,0))),0))</f>
        <v>0</v>
      </c>
      <c r="K96" s="56">
        <f>IF(K$2=Payroll!$I20,Payroll!$F20,IF(K$2&gt;Payroll!$I20,Payroll!$F20*((1+Payroll!$J20)^(ROUNDDOWN(DATEDIF(Payroll!$I20,K$2,"M")/Payroll!$K20,0))),0))</f>
        <v>0</v>
      </c>
      <c r="L96" s="56">
        <f>IF(L$2=Payroll!$I20,Payroll!$F20,IF(L$2&gt;Payroll!$I20,Payroll!$F20*((1+Payroll!$J20)^(ROUNDDOWN(DATEDIF(Payroll!$I20,L$2,"M")/Payroll!$K20,0))),0))</f>
        <v>0</v>
      </c>
      <c r="M96" s="56">
        <f>IF(M$2=Payroll!$I20,Payroll!$F20,IF(M$2&gt;Payroll!$I20,Payroll!$F20*((1+Payroll!$J20)^(ROUNDDOWN(DATEDIF(Payroll!$I20,M$2,"M")/Payroll!$K20,0))),0))</f>
        <v>0</v>
      </c>
      <c r="N96" s="56">
        <f>IF(N$2=Payroll!$I20,Payroll!$F20,IF(N$2&gt;Payroll!$I20,Payroll!$F20*((1+Payroll!$J20)^(ROUNDDOWN(DATEDIF(Payroll!$I20,N$2,"M")/Payroll!$K20,0))),0))</f>
        <v>0</v>
      </c>
      <c r="O96" s="56">
        <f>IF(O$2=Payroll!$I20,Payroll!$F20,IF(O$2&gt;Payroll!$I20,Payroll!$F20*((1+Payroll!$J20)^(ROUNDDOWN(DATEDIF(Payroll!$I20,O$2,"M")/Payroll!$K20,0))),0))</f>
        <v>0</v>
      </c>
      <c r="P96" s="56">
        <f>IF(P$2=Payroll!$I20,Payroll!$F20,IF(P$2&gt;Payroll!$I20,Payroll!$F20*((1+Payroll!$J20)^(ROUNDDOWN(DATEDIF(Payroll!$I20,P$2,"M")/Payroll!$K20,0))),0))</f>
        <v>0</v>
      </c>
      <c r="Q96" s="56">
        <f>IF(Q$2=Payroll!$I20,Payroll!$F20,IF(Q$2&gt;Payroll!$I20,Payroll!$F20*((1+Payroll!$J20)^(ROUNDDOWN(DATEDIF(Payroll!$I20,Q$2,"M")/Payroll!$K20,0))),0))</f>
        <v>0</v>
      </c>
      <c r="R96" s="56">
        <f>IF(R$2=Payroll!$I20,Payroll!$F20,IF(R$2&gt;Payroll!$I20,Payroll!$F20*((1+Payroll!$J20)^(ROUNDDOWN(DATEDIF(Payroll!$I20,R$2,"M")/Payroll!$K20,0))),0))</f>
        <v>0</v>
      </c>
      <c r="S96" s="56">
        <f>IF(S$2=Payroll!$I20,Payroll!$F20,IF(S$2&gt;Payroll!$I20,Payroll!$F20*((1+Payroll!$J20)^(ROUNDDOWN(DATEDIF(Payroll!$I20,S$2,"M")/Payroll!$K20,0))),0))</f>
        <v>0</v>
      </c>
      <c r="T96" s="56">
        <f>IF(T$2=Payroll!$I20,Payroll!$F20,IF(T$2&gt;Payroll!$I20,Payroll!$F20*((1+Payroll!$J20)^(ROUNDDOWN(DATEDIF(Payroll!$I20,T$2,"M")/Payroll!$K20,0))),0))</f>
        <v>0</v>
      </c>
      <c r="U96" s="56">
        <f>IF(U$2=Payroll!$I20,Payroll!$F20,IF(U$2&gt;Payroll!$I20,Payroll!$F20*((1+Payroll!$J20)^(ROUNDDOWN(DATEDIF(Payroll!$I20,U$2,"M")/Payroll!$K20,0))),0))</f>
        <v>0</v>
      </c>
      <c r="V96" s="56">
        <f>IF(V$2=Payroll!$I20,Payroll!$F20,IF(V$2&gt;Payroll!$I20,Payroll!$F20*((1+Payroll!$J20)^(ROUNDDOWN(DATEDIF(Payroll!$I20,V$2,"M")/Payroll!$K20,0))),0))</f>
        <v>0</v>
      </c>
      <c r="W96" s="56">
        <f>IF(W$2=Payroll!$I20,Payroll!$F20,IF(W$2&gt;Payroll!$I20,Payroll!$F20*((1+Payroll!$J20)^(ROUNDDOWN(DATEDIF(Payroll!$I20,W$2,"M")/Payroll!$K20,0))),0))</f>
        <v>0</v>
      </c>
      <c r="X96" s="56">
        <f>IF(X$2=Payroll!$I20,Payroll!$F20,IF(X$2&gt;Payroll!$I20,Payroll!$F20*((1+Payroll!$J20)^(ROUNDDOWN(DATEDIF(Payroll!$I20,X$2,"M")/Payroll!$K20,0))),0))</f>
        <v>0</v>
      </c>
      <c r="Y96" s="56">
        <f>IF(Y$2=Payroll!$I20,Payroll!$F20,IF(Y$2&gt;Payroll!$I20,Payroll!$F20*((1+Payroll!$J20)^(ROUNDDOWN(DATEDIF(Payroll!$I20,Y$2,"M")/Payroll!$K20,0))),0))</f>
        <v>0</v>
      </c>
      <c r="Z96" s="56">
        <f>IF(Z$2=Payroll!$I20,Payroll!$F20,IF(Z$2&gt;Payroll!$I20,Payroll!$F20*((1+Payroll!$J20)^(ROUNDDOWN(DATEDIF(Payroll!$I20,Z$2,"M")/Payroll!$K20,0))),0))</f>
        <v>0</v>
      </c>
      <c r="AA96" s="56">
        <f>IF(AA$2=Payroll!$I20,Payroll!$F20,IF(AA$2&gt;Payroll!$I20,Payroll!$F20*((1+Payroll!$J20)^(ROUNDDOWN(DATEDIF(Payroll!$I20,AA$2,"M")/Payroll!$K20,0))),0))</f>
        <v>0</v>
      </c>
      <c r="AB96" s="56">
        <f>IF(AB$2=Payroll!$I20,Payroll!$F20,IF(AB$2&gt;Payroll!$I20,Payroll!$F20*((1+Payroll!$J20)^(ROUNDDOWN(DATEDIF(Payroll!$I20,AB$2,"M")/Payroll!$K20,0))),0))</f>
        <v>0</v>
      </c>
      <c r="AC96" s="56">
        <f>IF(AC$2=Payroll!$I20,Payroll!$F20,IF(AC$2&gt;Payroll!$I20,Payroll!$F20*((1+Payroll!$J20)^(ROUNDDOWN(DATEDIF(Payroll!$I20,AC$2,"M")/Payroll!$K20,0))),0))</f>
        <v>0</v>
      </c>
      <c r="AD96" s="56">
        <f>IF(AD$2=Payroll!$I20,Payroll!$F20,IF(AD$2&gt;Payroll!$I20,Payroll!$F20*((1+Payroll!$J20)^(ROUNDDOWN(DATEDIF(Payroll!$I20,AD$2,"M")/Payroll!$K20,0))),0))</f>
        <v>0</v>
      </c>
      <c r="AE96" s="56">
        <f>IF(AE$2=Payroll!$I20,Payroll!$F20,IF(AE$2&gt;Payroll!$I20,Payroll!$F20*((1+Payroll!$J20)^(ROUNDDOWN(DATEDIF(Payroll!$I20,AE$2,"M")/Payroll!$K20,0))),0))</f>
        <v>0</v>
      </c>
      <c r="AF96" s="56">
        <f>IF(AF$2=Payroll!$I20,Payroll!$F20,IF(AF$2&gt;Payroll!$I20,Payroll!$F20*((1+Payroll!$J20)^(ROUNDDOWN(DATEDIF(Payroll!$I20,AF$2,"M")/Payroll!$K20,0))),0))</f>
        <v>0</v>
      </c>
      <c r="AG96" s="56">
        <f>IF(AG$2=Payroll!$I20,Payroll!$F20,IF(AG$2&gt;Payroll!$I20,Payroll!$F20*((1+Payroll!$J20)^(ROUNDDOWN(DATEDIF(Payroll!$I20,AG$2,"M")/Payroll!$K20,0))),0))</f>
        <v>0</v>
      </c>
      <c r="AH96" s="56">
        <f>IF(AH$2=Payroll!$I20,Payroll!$F20,IF(AH$2&gt;Payroll!$I20,Payroll!$F20*((1+Payroll!$J20)^(ROUNDDOWN(DATEDIF(Payroll!$I20,AH$2,"M")/Payroll!$K20,0))),0))</f>
        <v>0</v>
      </c>
      <c r="AI96" s="56">
        <f>IF(AI$2=Payroll!$I20,Payroll!$F20,IF(AI$2&gt;Payroll!$I20,Payroll!$F20*((1+Payroll!$J20)^(ROUNDDOWN(DATEDIF(Payroll!$I20,AI$2,"M")/Payroll!$K20,0))),0))</f>
        <v>0</v>
      </c>
      <c r="AJ96" s="56">
        <f>IF(AJ$2=Payroll!$I20,Payroll!$F20,IF(AJ$2&gt;Payroll!$I20,Payroll!$F20*((1+Payroll!$J20)^(ROUNDDOWN(DATEDIF(Payroll!$I20,AJ$2,"M")/Payroll!$K20,0))),0))</f>
        <v>0</v>
      </c>
      <c r="AK96" s="56">
        <f>IF(AK$2=Payroll!$I20,Payroll!$F20,IF(AK$2&gt;Payroll!$I20,Payroll!$F20*((1+Payroll!$J20)^(ROUNDDOWN(DATEDIF(Payroll!$I20,AK$2,"M")/Payroll!$K20,0))),0))</f>
        <v>0</v>
      </c>
      <c r="AL96" s="56">
        <f>IF(AL$2=Payroll!$I20,Payroll!$F20,IF(AL$2&gt;Payroll!$I20,Payroll!$F20*((1+Payroll!$J20)^(ROUNDDOWN(DATEDIF(Payroll!$I20,AL$2,"M")/Payroll!$K20,0))),0))</f>
        <v>0</v>
      </c>
      <c r="AM96" s="56">
        <f>IF(AM$2=Payroll!$I20,Payroll!$F20,IF(AM$2&gt;Payroll!$I20,Payroll!$F20*((1+Payroll!$J20)^(ROUNDDOWN(DATEDIF(Payroll!$I20,AM$2,"M")/Payroll!$K20,0))),0))</f>
        <v>0</v>
      </c>
      <c r="AN96" s="56">
        <f>IF(AN$2=Payroll!$I20,Payroll!$F20,IF(AN$2&gt;Payroll!$I20,Payroll!$F20*((1+Payroll!$J20)^(ROUNDDOWN(DATEDIF(Payroll!$I20,AN$2,"M")/Payroll!$K20,0))),0))</f>
        <v>0</v>
      </c>
      <c r="AO96" s="56">
        <f>IF(AO$2=Payroll!$I20,Payroll!$F20,IF(AO$2&gt;Payroll!$I20,Payroll!$F20*((1+Payroll!$J20)^(ROUNDDOWN(DATEDIF(Payroll!$I20,AO$2,"M")/Payroll!$K20,0))),0))</f>
        <v>0</v>
      </c>
      <c r="AP96" s="56">
        <f>IF(AP$2=Payroll!$I20,Payroll!$F20,IF(AP$2&gt;Payroll!$I20,Payroll!$F20*((1+Payroll!$J20)^(ROUNDDOWN(DATEDIF(Payroll!$I20,AP$2,"M")/Payroll!$K20,0))),0))</f>
        <v>0</v>
      </c>
      <c r="AQ96" s="56">
        <f>IF(AQ$2=Payroll!$I20,Payroll!$F20,IF(AQ$2&gt;Payroll!$I20,Payroll!$F20*((1+Payroll!$J20)^(ROUNDDOWN(DATEDIF(Payroll!$I20,AQ$2,"M")/Payroll!$K20,0))),0))</f>
        <v>0</v>
      </c>
      <c r="AR96" s="56">
        <f>IF(AR$2=Payroll!$I20,Payroll!$F20,IF(AR$2&gt;Payroll!$I20,Payroll!$F20*((1+Payroll!$J20)^(ROUNDDOWN(DATEDIF(Payroll!$I20,AR$2,"M")/Payroll!$K20,0))),0))</f>
        <v>0</v>
      </c>
      <c r="AS96" s="56">
        <f>IF(AS$2=Payroll!$I20,Payroll!$F20,IF(AS$2&gt;Payroll!$I20,Payroll!$F20*((1+Payroll!$J20)^(ROUNDDOWN(DATEDIF(Payroll!$I20,AS$2,"M")/Payroll!$K20,0))),0))</f>
        <v>0</v>
      </c>
      <c r="AT96" s="56">
        <f>IF(AT$2=Payroll!$I20,Payroll!$F20,IF(AT$2&gt;Payroll!$I20,Payroll!$F20*((1+Payroll!$J20)^(ROUNDDOWN(DATEDIF(Payroll!$I20,AT$2,"M")/Payroll!$K20,0))),0))</f>
        <v>0</v>
      </c>
      <c r="AU96" s="56">
        <f>IF(AU$2=Payroll!$I20,Payroll!$F20,IF(AU$2&gt;Payroll!$I20,Payroll!$F20*((1+Payroll!$J20)^(ROUNDDOWN(DATEDIF(Payroll!$I20,AU$2,"M")/Payroll!$K20,0))),0))</f>
        <v>0</v>
      </c>
      <c r="AV96" s="56">
        <f>IF(AV$2=Payroll!$I20,Payroll!$F20,IF(AV$2&gt;Payroll!$I20,Payroll!$F20*((1+Payroll!$J20)^(ROUNDDOWN(DATEDIF(Payroll!$I20,AV$2,"M")/Payroll!$K20,0))),0))</f>
        <v>0</v>
      </c>
      <c r="AW96" s="56">
        <f>IF(AW$2=Payroll!$I20,Payroll!$F20,IF(AW$2&gt;Payroll!$I20,Payroll!$F20*((1+Payroll!$J20)^(ROUNDDOWN(DATEDIF(Payroll!$I20,AW$2,"M")/Payroll!$K20,0))),0))</f>
        <v>0</v>
      </c>
      <c r="AX96" s="56">
        <f>IF(AX$2=Payroll!$I20,Payroll!$F20,IF(AX$2&gt;Payroll!$I20,Payroll!$F20*((1+Payroll!$J20)^(ROUNDDOWN(DATEDIF(Payroll!$I20,AX$2,"M")/Payroll!$K20,0))),0))</f>
        <v>0</v>
      </c>
      <c r="AY96" s="56">
        <f>IF(AY$2=Payroll!$I20,Payroll!$F20,IF(AY$2&gt;Payroll!$I20,Payroll!$F20*((1+Payroll!$J20)^(ROUNDDOWN(DATEDIF(Payroll!$I20,AY$2,"M")/Payroll!$K20,0))),0))</f>
        <v>0</v>
      </c>
      <c r="AZ96" s="56">
        <f>IF(AZ$2=Payroll!$I20,Payroll!$F20,IF(AZ$2&gt;Payroll!$I20,Payroll!$F20*((1+Payroll!$J20)^(ROUNDDOWN(DATEDIF(Payroll!$I20,AZ$2,"M")/Payroll!$K20,0))),0))</f>
        <v>0</v>
      </c>
      <c r="BA96" s="56">
        <f>IF(BA$2=Payroll!$I20,Payroll!$F20,IF(BA$2&gt;Payroll!$I20,Payroll!$F20*((1+Payroll!$J20)^(ROUNDDOWN(DATEDIF(Payroll!$I20,BA$2,"M")/Payroll!$K20,0))),0))</f>
        <v>0</v>
      </c>
      <c r="BB96" s="56">
        <f>IF(BB$2=Payroll!$I20,Payroll!$F20,IF(BB$2&gt;Payroll!$I20,Payroll!$F20*((1+Payroll!$J20)^(ROUNDDOWN(DATEDIF(Payroll!$I20,BB$2,"M")/Payroll!$K20,0))),0))</f>
        <v>0</v>
      </c>
      <c r="BC96" s="56">
        <f>IF(BC$2=Payroll!$I20,Payroll!$F20,IF(BC$2&gt;Payroll!$I20,Payroll!$F20*((1+Payroll!$J20)^(ROUNDDOWN(DATEDIF(Payroll!$I20,BC$2,"M")/Payroll!$K20,0))),0))</f>
        <v>0</v>
      </c>
      <c r="BD96" s="56">
        <f>IF(BD$2=Payroll!$I20,Payroll!$F20,IF(BD$2&gt;Payroll!$I20,Payroll!$F20*((1+Payroll!$J20)^(ROUNDDOWN(DATEDIF(Payroll!$I20,BD$2,"M")/Payroll!$K20,0))),0))</f>
        <v>0</v>
      </c>
      <c r="BE96" s="56">
        <f>IF(BE$2=Payroll!$I20,Payroll!$F20,IF(BE$2&gt;Payroll!$I20,Payroll!$F20*((1+Payroll!$J20)^(ROUNDDOWN(DATEDIF(Payroll!$I20,BE$2,"M")/Payroll!$K20,0))),0))</f>
        <v>0</v>
      </c>
      <c r="BF96" s="56">
        <f>IF(BF$2=Payroll!$I20,Payroll!$F20,IF(BF$2&gt;Payroll!$I20,Payroll!$F20*((1+Payroll!$J20)^(ROUNDDOWN(DATEDIF(Payroll!$I20,BF$2,"M")/Payroll!$K20,0))),0))</f>
        <v>0</v>
      </c>
      <c r="BG96" s="56">
        <f>IF(BG$2=Payroll!$I20,Payroll!$F20,IF(BG$2&gt;Payroll!$I20,Payroll!$F20*((1+Payroll!$J20)^(ROUNDDOWN(DATEDIF(Payroll!$I20,BG$2,"M")/Payroll!$K20,0))),0))</f>
        <v>0</v>
      </c>
      <c r="BH96" s="56">
        <f>IF(BH$2=Payroll!$I20,Payroll!$F20,IF(BH$2&gt;Payroll!$I20,Payroll!$F20*((1+Payroll!$J20)^(ROUNDDOWN(DATEDIF(Payroll!$I20,BH$2,"M")/Payroll!$K20,0))),0))</f>
        <v>0</v>
      </c>
      <c r="BI96" s="56">
        <f>IF(BI$2=Payroll!$I20,Payroll!$F20,IF(BI$2&gt;Payroll!$I20,Payroll!$F20*((1+Payroll!$J20)^(ROUNDDOWN(DATEDIF(Payroll!$I20,BI$2,"M")/Payroll!$K20,0))),0))</f>
        <v>0</v>
      </c>
      <c r="BJ96" s="56">
        <f>IF(BJ$2=Payroll!$I20,Payroll!$F20,IF(BJ$2&gt;Payroll!$I20,Payroll!$F20*((1+Payroll!$J20)^(ROUNDDOWN(DATEDIF(Payroll!$I20,BJ$2,"M")/Payroll!$K20,0))),0))</f>
        <v>0</v>
      </c>
      <c r="BK96" s="56">
        <f>IF(BK$2=Payroll!$I20,Payroll!$F20,IF(BK$2&gt;Payroll!$I20,Payroll!$F20*((1+Payroll!$J20)^(ROUNDDOWN(DATEDIF(Payroll!$I20,BK$2,"M")/Payroll!$K20,0))),0))</f>
        <v>0</v>
      </c>
      <c r="BL96" s="56">
        <f>IF(BL$2=Payroll!$I20,Payroll!$F20,IF(BL$2&gt;Payroll!$I20,Payroll!$F20*((1+Payroll!$J20)^(ROUNDDOWN(DATEDIF(Payroll!$I20,BL$2,"M")/Payroll!$K20,0))),0))</f>
        <v>0</v>
      </c>
      <c r="BM96" s="56">
        <f>IF(BM$2=Payroll!$I20,Payroll!$F20,IF(BM$2&gt;Payroll!$I20,Payroll!$F20*((1+Payroll!$J20)^(ROUNDDOWN(DATEDIF(Payroll!$I20,BM$2,"M")/Payroll!$K20,0))),0))</f>
        <v>0</v>
      </c>
      <c r="BN96" s="56">
        <f>IF(BN$2=Payroll!$I20,Payroll!$F20,IF(BN$2&gt;Payroll!$I20,Payroll!$F20*((1+Payroll!$J20)^(ROUNDDOWN(DATEDIF(Payroll!$I20,BN$2,"M")/Payroll!$K20,0))),0))</f>
        <v>0</v>
      </c>
      <c r="BO96" s="56">
        <f>IF(BO$2=Payroll!$I20,Payroll!$F20,IF(BO$2&gt;Payroll!$I20,Payroll!$F20*((1+Payroll!$J20)^(ROUNDDOWN(DATEDIF(Payroll!$I20,BO$2,"M")/Payroll!$K20,0))),0))</f>
        <v>0</v>
      </c>
      <c r="BP96" s="56">
        <f>IF(BP$2=Payroll!$I20,Payroll!$F20,IF(BP$2&gt;Payroll!$I20,Payroll!$F20*((1+Payroll!$J20)^(ROUNDDOWN(DATEDIF(Payroll!$I20,BP$2,"M")/Payroll!$K20,0))),0))</f>
        <v>0</v>
      </c>
      <c r="BQ96" s="56">
        <f>IF(BQ$2=Payroll!$I20,Payroll!$F20,IF(BQ$2&gt;Payroll!$I20,Payroll!$F20*((1+Payroll!$J20)^(ROUNDDOWN(DATEDIF(Payroll!$I20,BQ$2,"M")/Payroll!$K20,0))),0))</f>
        <v>0</v>
      </c>
      <c r="BR96" s="56">
        <f>IF(BR$2=Payroll!$I20,Payroll!$F20,IF(BR$2&gt;Payroll!$I20,Payroll!$F20*((1+Payroll!$J20)^(ROUNDDOWN(DATEDIF(Payroll!$I20,BR$2,"M")/Payroll!$K20,0))),0))</f>
        <v>0</v>
      </c>
      <c r="BS96" s="56">
        <f>IF(BS$2=Payroll!$I20,Payroll!$F20,IF(BS$2&gt;Payroll!$I20,Payroll!$F20*((1+Payroll!$J20)^(ROUNDDOWN(DATEDIF(Payroll!$I20,BS$2,"M")/Payroll!$K20,0))),0))</f>
        <v>0</v>
      </c>
      <c r="BT96" s="56">
        <f>IF(BT$2=Payroll!$I20,Payroll!$F20,IF(BT$2&gt;Payroll!$I20,Payroll!$F20*((1+Payroll!$J20)^(ROUNDDOWN(DATEDIF(Payroll!$I20,BT$2,"M")/Payroll!$K20,0))),0))</f>
        <v>0</v>
      </c>
      <c r="BU96" s="56">
        <f>IF(BU$2=Payroll!$I20,Payroll!$F20,IF(BU$2&gt;Payroll!$I20,Payroll!$F20*((1+Payroll!$J20)^(ROUNDDOWN(DATEDIF(Payroll!$I20,BU$2,"M")/Payroll!$K20,0))),0))</f>
        <v>0</v>
      </c>
      <c r="BV96" s="56">
        <f>IF(BV$2=Payroll!$I20,Payroll!$F20,IF(BV$2&gt;Payroll!$I20,Payroll!$F20*((1+Payroll!$J20)^(ROUNDDOWN(DATEDIF(Payroll!$I20,BV$2,"M")/Payroll!$K20,0))),0))</f>
        <v>0</v>
      </c>
      <c r="BW96" s="56">
        <f>IF(BW$2=Payroll!$I20,Payroll!$F20,IF(BW$2&gt;Payroll!$I20,Payroll!$F20*((1+Payroll!$J20)^(ROUNDDOWN(DATEDIF(Payroll!$I20,BW$2,"M")/Payroll!$K20,0))),0))</f>
        <v>0</v>
      </c>
      <c r="BX96" s="56">
        <f>IF(BX$2=Payroll!$I20,Payroll!$F20,IF(BX$2&gt;Payroll!$I20,Payroll!$F20*((1+Payroll!$J20)^(ROUNDDOWN(DATEDIF(Payroll!$I20,BX$2,"M")/Payroll!$K20,0))),0))</f>
        <v>0</v>
      </c>
      <c r="BY96" s="56">
        <f>IF(BY$2=Payroll!$I20,Payroll!$F20,IF(BY$2&gt;Payroll!$I20,Payroll!$F20*((1+Payroll!$J20)^(ROUNDDOWN(DATEDIF(Payroll!$I20,BY$2,"M")/Payroll!$K20,0))),0))</f>
        <v>0</v>
      </c>
      <c r="BZ96" s="56">
        <f>IF(BZ$2=Payroll!$I20,Payroll!$F20,IF(BZ$2&gt;Payroll!$I20,Payroll!$F20*((1+Payroll!$J20)^(ROUNDDOWN(DATEDIF(Payroll!$I20,BZ$2,"M")/Payroll!$K20,0))),0))</f>
        <v>0</v>
      </c>
      <c r="CA96" s="56">
        <f>IF(CA$2=Payroll!$I20,Payroll!$F20,IF(CA$2&gt;Payroll!$I20,Payroll!$F20*((1+Payroll!$J20)^(ROUNDDOWN(DATEDIF(Payroll!$I20,CA$2,"M")/Payroll!$K20,0))),0))</f>
        <v>0</v>
      </c>
      <c r="CB96" s="56">
        <f>IF(CB$2=Payroll!$I20,Payroll!$F20,IF(CB$2&gt;Payroll!$I20,Payroll!$F20*((1+Payroll!$J20)^(ROUNDDOWN(DATEDIF(Payroll!$I20,CB$2,"M")/Payroll!$K20,0))),0))</f>
        <v>0</v>
      </c>
      <c r="CC96" s="56">
        <f>IF(CC$2=Payroll!$I20,Payroll!$F20,IF(CC$2&gt;Payroll!$I20,Payroll!$F20*((1+Payroll!$J20)^(ROUNDDOWN(DATEDIF(Payroll!$I20,CC$2,"M")/Payroll!$K20,0))),0))</f>
        <v>0</v>
      </c>
      <c r="CD96" s="56">
        <f>IF(CD$2=Payroll!$I20,Payroll!$F20,IF(CD$2&gt;Payroll!$I20,Payroll!$F20*((1+Payroll!$J20)^(ROUNDDOWN(DATEDIF(Payroll!$I20,CD$2,"M")/Payroll!$K20,0))),0))</f>
        <v>0</v>
      </c>
      <c r="CE96" s="56">
        <f>IF(CE$2=Payroll!$I20,Payroll!$F20,IF(CE$2&gt;Payroll!$I20,Payroll!$F20*((1+Payroll!$J20)^(ROUNDDOWN(DATEDIF(Payroll!$I20,CE$2,"M")/Payroll!$K20,0))),0))</f>
        <v>0</v>
      </c>
      <c r="CF96" s="56">
        <f>IF(CF$2=Payroll!$I20,Payroll!$F20,IF(CF$2&gt;Payroll!$I20,Payroll!$F20*((1+Payroll!$J20)^(ROUNDDOWN(DATEDIF(Payroll!$I20,CF$2,"M")/Payroll!$K20,0))),0))</f>
        <v>0</v>
      </c>
      <c r="CG96" s="56">
        <f>IF(CG$2=Payroll!$I20,Payroll!$F20,IF(CG$2&gt;Payroll!$I20,Payroll!$F20*((1+Payroll!$J20)^(ROUNDDOWN(DATEDIF(Payroll!$I20,CG$2,"M")/Payroll!$K20,0))),0))</f>
        <v>0</v>
      </c>
      <c r="CH96" s="56">
        <f>IF(CH$2=Payroll!$I20,Payroll!$F20,IF(CH$2&gt;Payroll!$I20,Payroll!$F20*((1+Payroll!$J20)^(ROUNDDOWN(DATEDIF(Payroll!$I20,CH$2,"M")/Payroll!$K20,0))),0))</f>
        <v>0</v>
      </c>
      <c r="CI96" s="56">
        <f>IF(CI$2=Payroll!$I20,Payroll!$F20,IF(CI$2&gt;Payroll!$I20,Payroll!$F20*((1+Payroll!$J20)^(ROUNDDOWN(DATEDIF(Payroll!$I20,CI$2,"M")/Payroll!$K20,0))),0))</f>
        <v>0</v>
      </c>
      <c r="CJ96" s="56">
        <f>IF(CJ$2=Payroll!$I20,Payroll!$F20,IF(CJ$2&gt;Payroll!$I20,Payroll!$F20*((1+Payroll!$J20)^(ROUNDDOWN(DATEDIF(Payroll!$I20,CJ$2,"M")/Payroll!$K20,0))),0))</f>
        <v>0</v>
      </c>
      <c r="CK96" s="56">
        <f>IF(CK$2=Payroll!$I20,Payroll!$F20,IF(CK$2&gt;Payroll!$I20,Payroll!$F20*((1+Payroll!$J20)^(ROUNDDOWN(DATEDIF(Payroll!$I20,CK$2,"M")/Payroll!$K20,0))),0))</f>
        <v>0</v>
      </c>
      <c r="CL96" s="56">
        <f>IF(CL$2=Payroll!$I20,Payroll!$F20,IF(CL$2&gt;Payroll!$I20,Payroll!$F20*((1+Payroll!$J20)^(ROUNDDOWN(DATEDIF(Payroll!$I20,CL$2,"M")/Payroll!$K20,0))),0))</f>
        <v>0</v>
      </c>
      <c r="CM96" s="56">
        <f>IF(CM$2=Payroll!$I20,Payroll!$F20,IF(CM$2&gt;Payroll!$I20,Payroll!$F20*((1+Payroll!$J20)^(ROUNDDOWN(DATEDIF(Payroll!$I20,CM$2,"M")/Payroll!$K20,0))),0))</f>
        <v>0</v>
      </c>
      <c r="CN96" s="56">
        <f>IF(CN$2=Payroll!$I20,Payroll!$F20,IF(CN$2&gt;Payroll!$I20,Payroll!$F20*((1+Payroll!$J20)^(ROUNDDOWN(DATEDIF(Payroll!$I20,CN$2,"M")/Payroll!$K20,0))),0))</f>
        <v>0</v>
      </c>
      <c r="CO96" s="56">
        <f>IF(CO$2=Payroll!$I20,Payroll!$F20,IF(CO$2&gt;Payroll!$I20,Payroll!$F20*((1+Payroll!$J20)^(ROUNDDOWN(DATEDIF(Payroll!$I20,CO$2,"M")/Payroll!$K20,0))),0))</f>
        <v>0</v>
      </c>
      <c r="CP96" s="56">
        <f>IF(CP$2=Payroll!$I20,Payroll!$F20,IF(CP$2&gt;Payroll!$I20,Payroll!$F20*((1+Payroll!$J20)^(ROUNDDOWN(DATEDIF(Payroll!$I20,CP$2,"M")/Payroll!$K20,0))),0))</f>
        <v>0</v>
      </c>
      <c r="CQ96" s="56">
        <f>IF(CQ$2=Payroll!$I20,Payroll!$F20,IF(CQ$2&gt;Payroll!$I20,Payroll!$F20*((1+Payroll!$J20)^(ROUNDDOWN(DATEDIF(Payroll!$I20,CQ$2,"M")/Payroll!$K20,0))),0))</f>
        <v>0</v>
      </c>
      <c r="CR96" s="56">
        <f>IF(CR$2=Payroll!$I20,Payroll!$F20,IF(CR$2&gt;Payroll!$I20,Payroll!$F20*((1+Payroll!$J20)^(ROUNDDOWN(DATEDIF(Payroll!$I20,CR$2,"M")/Payroll!$K20,0))),0))</f>
        <v>0</v>
      </c>
      <c r="CS96" s="56">
        <f>IF(CS$2=Payroll!$I20,Payroll!$F20,IF(CS$2&gt;Payroll!$I20,Payroll!$F20*((1+Payroll!$J20)^(ROUNDDOWN(DATEDIF(Payroll!$I20,CS$2,"M")/Payroll!$K20,0))),0))</f>
        <v>0</v>
      </c>
      <c r="CT96" s="56">
        <f>IF(CT$2=Payroll!$I20,Payroll!$F20,IF(CT$2&gt;Payroll!$I20,Payroll!$F20*((1+Payroll!$J20)^(ROUNDDOWN(DATEDIF(Payroll!$I20,CT$2,"M")/Payroll!$K20,0))),0))</f>
        <v>0</v>
      </c>
      <c r="CU96" s="56">
        <f>IF(CU$2=Payroll!$I20,Payroll!$F20,IF(CU$2&gt;Payroll!$I20,Payroll!$F20*((1+Payroll!$J20)^(ROUNDDOWN(DATEDIF(Payroll!$I20,CU$2,"M")/Payroll!$K20,0))),0))</f>
        <v>0</v>
      </c>
      <c r="CV96" s="56">
        <f>IF(CV$2=Payroll!$I20,Payroll!$F20,IF(CV$2&gt;Payroll!$I20,Payroll!$F20*((1+Payroll!$J20)^(ROUNDDOWN(DATEDIF(Payroll!$I20,CV$2,"M")/Payroll!$K20,0))),0))</f>
        <v>0</v>
      </c>
      <c r="CW96" s="56">
        <f>IF(CW$2=Payroll!$I20,Payroll!$F20,IF(CW$2&gt;Payroll!$I20,Payroll!$F20*((1+Payroll!$J20)^(ROUNDDOWN(DATEDIF(Payroll!$I20,CW$2,"M")/Payroll!$K20,0))),0))</f>
        <v>0</v>
      </c>
      <c r="CX96" s="56">
        <f>IF(CX$2=Payroll!$I20,Payroll!$F20,IF(CX$2&gt;Payroll!$I20,Payroll!$F20*((1+Payroll!$J20)^(ROUNDDOWN(DATEDIF(Payroll!$I20,CX$2,"M")/Payroll!$K20,0))),0))</f>
        <v>0</v>
      </c>
    </row>
    <row r="97" ht="15.75" customHeight="1" outlineLevel="2">
      <c r="A97" s="56" t="str">
        <f>Payroll!A21</f>
        <v>UX designer</v>
      </c>
      <c r="B97" s="56"/>
      <c r="C97" s="56"/>
      <c r="D97" s="56"/>
      <c r="E97" s="56">
        <f>IF(E$2=Payroll!$I21,Payroll!$F21,IF(E$2&gt;Payroll!$I21,Payroll!$F21*((1+Payroll!$J21)^(ROUNDDOWN(DATEDIF(Payroll!$I21,E$2,"M")/Payroll!$K21,0))),0))</f>
        <v>0</v>
      </c>
      <c r="F97" s="56">
        <f>IF(F$2=Payroll!$I21,Payroll!$F21,IF(F$2&gt;Payroll!$I21,Payroll!$F21*((1+Payroll!$J21)^(ROUNDDOWN(DATEDIF(Payroll!$I21,F$2,"M")/Payroll!$K21,0))),0))</f>
        <v>0</v>
      </c>
      <c r="G97" s="56">
        <f>IF(G$2=Payroll!$I21,Payroll!$F21,IF(G$2&gt;Payroll!$I21,Payroll!$F21*((1+Payroll!$J21)^(ROUNDDOWN(DATEDIF(Payroll!$I21,G$2,"M")/Payroll!$K21,0))),0))</f>
        <v>0</v>
      </c>
      <c r="H97" s="56">
        <f>IF(H$2=Payroll!$I21,Payroll!$F21,IF(H$2&gt;Payroll!$I21,Payroll!$F21*((1+Payroll!$J21)^(ROUNDDOWN(DATEDIF(Payroll!$I21,H$2,"M")/Payroll!$K21,0))),0))</f>
        <v>0</v>
      </c>
      <c r="I97" s="56">
        <f>IF(I$2=Payroll!$I21,Payroll!$F21,IF(I$2&gt;Payroll!$I21,Payroll!$F21*((1+Payroll!$J21)^(ROUNDDOWN(DATEDIF(Payroll!$I21,I$2,"M")/Payroll!$K21,0))),0))</f>
        <v>0</v>
      </c>
      <c r="J97" s="56">
        <f>IF(J$2=Payroll!$I21,Payroll!$F21,IF(J$2&gt;Payroll!$I21,Payroll!$F21*((1+Payroll!$J21)^(ROUNDDOWN(DATEDIF(Payroll!$I21,J$2,"M")/Payroll!$K21,0))),0))</f>
        <v>0</v>
      </c>
      <c r="K97" s="56">
        <f>IF(K$2=Payroll!$I21,Payroll!$F21,IF(K$2&gt;Payroll!$I21,Payroll!$F21*((1+Payroll!$J21)^(ROUNDDOWN(DATEDIF(Payroll!$I21,K$2,"M")/Payroll!$K21,0))),0))</f>
        <v>0</v>
      </c>
      <c r="L97" s="56">
        <f>IF(L$2=Payroll!$I21,Payroll!$F21,IF(L$2&gt;Payroll!$I21,Payroll!$F21*((1+Payroll!$J21)^(ROUNDDOWN(DATEDIF(Payroll!$I21,L$2,"M")/Payroll!$K21,0))),0))</f>
        <v>0</v>
      </c>
      <c r="M97" s="56">
        <f>IF(M$2=Payroll!$I21,Payroll!$F21,IF(M$2&gt;Payroll!$I21,Payroll!$F21*((1+Payroll!$J21)^(ROUNDDOWN(DATEDIF(Payroll!$I21,M$2,"M")/Payroll!$K21,0))),0))</f>
        <v>0</v>
      </c>
      <c r="N97" s="56">
        <f>IF(N$2=Payroll!$I21,Payroll!$F21,IF(N$2&gt;Payroll!$I21,Payroll!$F21*((1+Payroll!$J21)^(ROUNDDOWN(DATEDIF(Payroll!$I21,N$2,"M")/Payroll!$K21,0))),0))</f>
        <v>0</v>
      </c>
      <c r="O97" s="56">
        <f>IF(O$2=Payroll!$I21,Payroll!$F21,IF(O$2&gt;Payroll!$I21,Payroll!$F21*((1+Payroll!$J21)^(ROUNDDOWN(DATEDIF(Payroll!$I21,O$2,"M")/Payroll!$K21,0))),0))</f>
        <v>0</v>
      </c>
      <c r="P97" s="56">
        <f>IF(P$2=Payroll!$I21,Payroll!$F21,IF(P$2&gt;Payroll!$I21,Payroll!$F21*((1+Payroll!$J21)^(ROUNDDOWN(DATEDIF(Payroll!$I21,P$2,"M")/Payroll!$K21,0))),0))</f>
        <v>0</v>
      </c>
      <c r="Q97" s="56">
        <f>IF(Q$2=Payroll!$I21,Payroll!$F21,IF(Q$2&gt;Payroll!$I21,Payroll!$F21*((1+Payroll!$J21)^(ROUNDDOWN(DATEDIF(Payroll!$I21,Q$2,"M")/Payroll!$K21,0))),0))</f>
        <v>0</v>
      </c>
      <c r="R97" s="56">
        <f>IF(R$2=Payroll!$I21,Payroll!$F21,IF(R$2&gt;Payroll!$I21,Payroll!$F21*((1+Payroll!$J21)^(ROUNDDOWN(DATEDIF(Payroll!$I21,R$2,"M")/Payroll!$K21,0))),0))</f>
        <v>0</v>
      </c>
      <c r="S97" s="56">
        <f>IF(S$2=Payroll!$I21,Payroll!$F21,IF(S$2&gt;Payroll!$I21,Payroll!$F21*((1+Payroll!$J21)^(ROUNDDOWN(DATEDIF(Payroll!$I21,S$2,"M")/Payroll!$K21,0))),0))</f>
        <v>0</v>
      </c>
      <c r="T97" s="56">
        <f>IF(T$2=Payroll!$I21,Payroll!$F21,IF(T$2&gt;Payroll!$I21,Payroll!$F21*((1+Payroll!$J21)^(ROUNDDOWN(DATEDIF(Payroll!$I21,T$2,"M")/Payroll!$K21,0))),0))</f>
        <v>0</v>
      </c>
      <c r="U97" s="56">
        <f>IF(U$2=Payroll!$I21,Payroll!$F21,IF(U$2&gt;Payroll!$I21,Payroll!$F21*((1+Payroll!$J21)^(ROUNDDOWN(DATEDIF(Payroll!$I21,U$2,"M")/Payroll!$K21,0))),0))</f>
        <v>0</v>
      </c>
      <c r="V97" s="56">
        <f>IF(V$2=Payroll!$I21,Payroll!$F21,IF(V$2&gt;Payroll!$I21,Payroll!$F21*((1+Payroll!$J21)^(ROUNDDOWN(DATEDIF(Payroll!$I21,V$2,"M")/Payroll!$K21,0))),0))</f>
        <v>0</v>
      </c>
      <c r="W97" s="56">
        <f>IF(W$2=Payroll!$I21,Payroll!$F21,IF(W$2&gt;Payroll!$I21,Payroll!$F21*((1+Payroll!$J21)^(ROUNDDOWN(DATEDIF(Payroll!$I21,W$2,"M")/Payroll!$K21,0))),0))</f>
        <v>0</v>
      </c>
      <c r="X97" s="56">
        <f>IF(X$2=Payroll!$I21,Payroll!$F21,IF(X$2&gt;Payroll!$I21,Payroll!$F21*((1+Payroll!$J21)^(ROUNDDOWN(DATEDIF(Payroll!$I21,X$2,"M")/Payroll!$K21,0))),0))</f>
        <v>0</v>
      </c>
      <c r="Y97" s="56">
        <f>IF(Y$2=Payroll!$I21,Payroll!$F21,IF(Y$2&gt;Payroll!$I21,Payroll!$F21*((1+Payroll!$J21)^(ROUNDDOWN(DATEDIF(Payroll!$I21,Y$2,"M")/Payroll!$K21,0))),0))</f>
        <v>0</v>
      </c>
      <c r="Z97" s="56">
        <f>IF(Z$2=Payroll!$I21,Payroll!$F21,IF(Z$2&gt;Payroll!$I21,Payroll!$F21*((1+Payroll!$J21)^(ROUNDDOWN(DATEDIF(Payroll!$I21,Z$2,"M")/Payroll!$K21,0))),0))</f>
        <v>0</v>
      </c>
      <c r="AA97" s="56">
        <f>IF(AA$2=Payroll!$I21,Payroll!$F21,IF(AA$2&gt;Payroll!$I21,Payroll!$F21*((1+Payroll!$J21)^(ROUNDDOWN(DATEDIF(Payroll!$I21,AA$2,"M")/Payroll!$K21,0))),0))</f>
        <v>0</v>
      </c>
      <c r="AB97" s="56">
        <f>IF(AB$2=Payroll!$I21,Payroll!$F21,IF(AB$2&gt;Payroll!$I21,Payroll!$F21*((1+Payroll!$J21)^(ROUNDDOWN(DATEDIF(Payroll!$I21,AB$2,"M")/Payroll!$K21,0))),0))</f>
        <v>0</v>
      </c>
      <c r="AC97" s="56">
        <f>IF(AC$2=Payroll!$I21,Payroll!$F21,IF(AC$2&gt;Payroll!$I21,Payroll!$F21*((1+Payroll!$J21)^(ROUNDDOWN(DATEDIF(Payroll!$I21,AC$2,"M")/Payroll!$K21,0))),0))</f>
        <v>0</v>
      </c>
      <c r="AD97" s="56">
        <f>IF(AD$2=Payroll!$I21,Payroll!$F21,IF(AD$2&gt;Payroll!$I21,Payroll!$F21*((1+Payroll!$J21)^(ROUNDDOWN(DATEDIF(Payroll!$I21,AD$2,"M")/Payroll!$K21,0))),0))</f>
        <v>0</v>
      </c>
      <c r="AE97" s="56">
        <f>IF(AE$2=Payroll!$I21,Payroll!$F21,IF(AE$2&gt;Payroll!$I21,Payroll!$F21*((1+Payroll!$J21)^(ROUNDDOWN(DATEDIF(Payroll!$I21,AE$2,"M")/Payroll!$K21,0))),0))</f>
        <v>0</v>
      </c>
      <c r="AF97" s="56">
        <f>IF(AF$2=Payroll!$I21,Payroll!$F21,IF(AF$2&gt;Payroll!$I21,Payroll!$F21*((1+Payroll!$J21)^(ROUNDDOWN(DATEDIF(Payroll!$I21,AF$2,"M")/Payroll!$K21,0))),0))</f>
        <v>0</v>
      </c>
      <c r="AG97" s="56">
        <f>IF(AG$2=Payroll!$I21,Payroll!$F21,IF(AG$2&gt;Payroll!$I21,Payroll!$F21*((1+Payroll!$J21)^(ROUNDDOWN(DATEDIF(Payroll!$I21,AG$2,"M")/Payroll!$K21,0))),0))</f>
        <v>0</v>
      </c>
      <c r="AH97" s="56">
        <f>IF(AH$2=Payroll!$I21,Payroll!$F21,IF(AH$2&gt;Payroll!$I21,Payroll!$F21*((1+Payroll!$J21)^(ROUNDDOWN(DATEDIF(Payroll!$I21,AH$2,"M")/Payroll!$K21,0))),0))</f>
        <v>0</v>
      </c>
      <c r="AI97" s="56">
        <f>IF(AI$2=Payroll!$I21,Payroll!$F21,IF(AI$2&gt;Payroll!$I21,Payroll!$F21*((1+Payroll!$J21)^(ROUNDDOWN(DATEDIF(Payroll!$I21,AI$2,"M")/Payroll!$K21,0))),0))</f>
        <v>0</v>
      </c>
      <c r="AJ97" s="56">
        <f>IF(AJ$2=Payroll!$I21,Payroll!$F21,IF(AJ$2&gt;Payroll!$I21,Payroll!$F21*((1+Payroll!$J21)^(ROUNDDOWN(DATEDIF(Payroll!$I21,AJ$2,"M")/Payroll!$K21,0))),0))</f>
        <v>0</v>
      </c>
      <c r="AK97" s="56">
        <f>IF(AK$2=Payroll!$I21,Payroll!$F21,IF(AK$2&gt;Payroll!$I21,Payroll!$F21*((1+Payroll!$J21)^(ROUNDDOWN(DATEDIF(Payroll!$I21,AK$2,"M")/Payroll!$K21,0))),0))</f>
        <v>0</v>
      </c>
      <c r="AL97" s="56">
        <f>IF(AL$2=Payroll!$I21,Payroll!$F21,IF(AL$2&gt;Payroll!$I21,Payroll!$F21*((1+Payroll!$J21)^(ROUNDDOWN(DATEDIF(Payroll!$I21,AL$2,"M")/Payroll!$K21,0))),0))</f>
        <v>0</v>
      </c>
      <c r="AM97" s="56">
        <f>IF(AM$2=Payroll!$I21,Payroll!$F21,IF(AM$2&gt;Payroll!$I21,Payroll!$F21*((1+Payroll!$J21)^(ROUNDDOWN(DATEDIF(Payroll!$I21,AM$2,"M")/Payroll!$K21,0))),0))</f>
        <v>0</v>
      </c>
      <c r="AN97" s="56">
        <f>IF(AN$2=Payroll!$I21,Payroll!$F21,IF(AN$2&gt;Payroll!$I21,Payroll!$F21*((1+Payroll!$J21)^(ROUNDDOWN(DATEDIF(Payroll!$I21,AN$2,"M")/Payroll!$K21,0))),0))</f>
        <v>0</v>
      </c>
      <c r="AO97" s="56">
        <f>IF(AO$2=Payroll!$I21,Payroll!$F21,IF(AO$2&gt;Payroll!$I21,Payroll!$F21*((1+Payroll!$J21)^(ROUNDDOWN(DATEDIF(Payroll!$I21,AO$2,"M")/Payroll!$K21,0))),0))</f>
        <v>0</v>
      </c>
      <c r="AP97" s="56">
        <f>IF(AP$2=Payroll!$I21,Payroll!$F21,IF(AP$2&gt;Payroll!$I21,Payroll!$F21*((1+Payroll!$J21)^(ROUNDDOWN(DATEDIF(Payroll!$I21,AP$2,"M")/Payroll!$K21,0))),0))</f>
        <v>0</v>
      </c>
      <c r="AQ97" s="56">
        <f>IF(AQ$2=Payroll!$I21,Payroll!$F21,IF(AQ$2&gt;Payroll!$I21,Payroll!$F21*((1+Payroll!$J21)^(ROUNDDOWN(DATEDIF(Payroll!$I21,AQ$2,"M")/Payroll!$K21,0))),0))</f>
        <v>0</v>
      </c>
      <c r="AR97" s="56">
        <f>IF(AR$2=Payroll!$I21,Payroll!$F21,IF(AR$2&gt;Payroll!$I21,Payroll!$F21*((1+Payroll!$J21)^(ROUNDDOWN(DATEDIF(Payroll!$I21,AR$2,"M")/Payroll!$K21,0))),0))</f>
        <v>0</v>
      </c>
      <c r="AS97" s="56">
        <f>IF(AS$2=Payroll!$I21,Payroll!$F21,IF(AS$2&gt;Payroll!$I21,Payroll!$F21*((1+Payroll!$J21)^(ROUNDDOWN(DATEDIF(Payroll!$I21,AS$2,"M")/Payroll!$K21,0))),0))</f>
        <v>0</v>
      </c>
      <c r="AT97" s="56">
        <f>IF(AT$2=Payroll!$I21,Payroll!$F21,IF(AT$2&gt;Payroll!$I21,Payroll!$F21*((1+Payroll!$J21)^(ROUNDDOWN(DATEDIF(Payroll!$I21,AT$2,"M")/Payroll!$K21,0))),0))</f>
        <v>0</v>
      </c>
      <c r="AU97" s="56">
        <f>IF(AU$2=Payroll!$I21,Payroll!$F21,IF(AU$2&gt;Payroll!$I21,Payroll!$F21*((1+Payroll!$J21)^(ROUNDDOWN(DATEDIF(Payroll!$I21,AU$2,"M")/Payroll!$K21,0))),0))</f>
        <v>0</v>
      </c>
      <c r="AV97" s="56">
        <f>IF(AV$2=Payroll!$I21,Payroll!$F21,IF(AV$2&gt;Payroll!$I21,Payroll!$F21*((1+Payroll!$J21)^(ROUNDDOWN(DATEDIF(Payroll!$I21,AV$2,"M")/Payroll!$K21,0))),0))</f>
        <v>0</v>
      </c>
      <c r="AW97" s="56">
        <f>IF(AW$2=Payroll!$I21,Payroll!$F21,IF(AW$2&gt;Payroll!$I21,Payroll!$F21*((1+Payroll!$J21)^(ROUNDDOWN(DATEDIF(Payroll!$I21,AW$2,"M")/Payroll!$K21,0))),0))</f>
        <v>0</v>
      </c>
      <c r="AX97" s="56">
        <f>IF(AX$2=Payroll!$I21,Payroll!$F21,IF(AX$2&gt;Payroll!$I21,Payroll!$F21*((1+Payroll!$J21)^(ROUNDDOWN(DATEDIF(Payroll!$I21,AX$2,"M")/Payroll!$K21,0))),0))</f>
        <v>0</v>
      </c>
      <c r="AY97" s="56">
        <f>IF(AY$2=Payroll!$I21,Payroll!$F21,IF(AY$2&gt;Payroll!$I21,Payroll!$F21*((1+Payroll!$J21)^(ROUNDDOWN(DATEDIF(Payroll!$I21,AY$2,"M")/Payroll!$K21,0))),0))</f>
        <v>0</v>
      </c>
      <c r="AZ97" s="56">
        <f>IF(AZ$2=Payroll!$I21,Payroll!$F21,IF(AZ$2&gt;Payroll!$I21,Payroll!$F21*((1+Payroll!$J21)^(ROUNDDOWN(DATEDIF(Payroll!$I21,AZ$2,"M")/Payroll!$K21,0))),0))</f>
        <v>0</v>
      </c>
      <c r="BA97" s="56">
        <f>IF(BA$2=Payroll!$I21,Payroll!$F21,IF(BA$2&gt;Payroll!$I21,Payroll!$F21*((1+Payroll!$J21)^(ROUNDDOWN(DATEDIF(Payroll!$I21,BA$2,"M")/Payroll!$K21,0))),0))</f>
        <v>0</v>
      </c>
      <c r="BB97" s="56">
        <f>IF(BB$2=Payroll!$I21,Payroll!$F21,IF(BB$2&gt;Payroll!$I21,Payroll!$F21*((1+Payroll!$J21)^(ROUNDDOWN(DATEDIF(Payroll!$I21,BB$2,"M")/Payroll!$K21,0))),0))</f>
        <v>0</v>
      </c>
      <c r="BC97" s="56">
        <f>IF(BC$2=Payroll!$I21,Payroll!$F21,IF(BC$2&gt;Payroll!$I21,Payroll!$F21*((1+Payroll!$J21)^(ROUNDDOWN(DATEDIF(Payroll!$I21,BC$2,"M")/Payroll!$K21,0))),0))</f>
        <v>0</v>
      </c>
      <c r="BD97" s="56">
        <f>IF(BD$2=Payroll!$I21,Payroll!$F21,IF(BD$2&gt;Payroll!$I21,Payroll!$F21*((1+Payroll!$J21)^(ROUNDDOWN(DATEDIF(Payroll!$I21,BD$2,"M")/Payroll!$K21,0))),0))</f>
        <v>0</v>
      </c>
      <c r="BE97" s="56">
        <f>IF(BE$2=Payroll!$I21,Payroll!$F21,IF(BE$2&gt;Payroll!$I21,Payroll!$F21*((1+Payroll!$J21)^(ROUNDDOWN(DATEDIF(Payroll!$I21,BE$2,"M")/Payroll!$K21,0))),0))</f>
        <v>0</v>
      </c>
      <c r="BF97" s="56">
        <f>IF(BF$2=Payroll!$I21,Payroll!$F21,IF(BF$2&gt;Payroll!$I21,Payroll!$F21*((1+Payroll!$J21)^(ROUNDDOWN(DATEDIF(Payroll!$I21,BF$2,"M")/Payroll!$K21,0))),0))</f>
        <v>0</v>
      </c>
      <c r="BG97" s="56">
        <f>IF(BG$2=Payroll!$I21,Payroll!$F21,IF(BG$2&gt;Payroll!$I21,Payroll!$F21*((1+Payroll!$J21)^(ROUNDDOWN(DATEDIF(Payroll!$I21,BG$2,"M")/Payroll!$K21,0))),0))</f>
        <v>0</v>
      </c>
      <c r="BH97" s="56">
        <f>IF(BH$2=Payroll!$I21,Payroll!$F21,IF(BH$2&gt;Payroll!$I21,Payroll!$F21*((1+Payroll!$J21)^(ROUNDDOWN(DATEDIF(Payroll!$I21,BH$2,"M")/Payroll!$K21,0))),0))</f>
        <v>0</v>
      </c>
      <c r="BI97" s="56">
        <f>IF(BI$2=Payroll!$I21,Payroll!$F21,IF(BI$2&gt;Payroll!$I21,Payroll!$F21*((1+Payroll!$J21)^(ROUNDDOWN(DATEDIF(Payroll!$I21,BI$2,"M")/Payroll!$K21,0))),0))</f>
        <v>0</v>
      </c>
      <c r="BJ97" s="56">
        <f>IF(BJ$2=Payroll!$I21,Payroll!$F21,IF(BJ$2&gt;Payroll!$I21,Payroll!$F21*((1+Payroll!$J21)^(ROUNDDOWN(DATEDIF(Payroll!$I21,BJ$2,"M")/Payroll!$K21,0))),0))</f>
        <v>0</v>
      </c>
      <c r="BK97" s="56">
        <f>IF(BK$2=Payroll!$I21,Payroll!$F21,IF(BK$2&gt;Payroll!$I21,Payroll!$F21*((1+Payroll!$J21)^(ROUNDDOWN(DATEDIF(Payroll!$I21,BK$2,"M")/Payroll!$K21,0))),0))</f>
        <v>0</v>
      </c>
      <c r="BL97" s="56">
        <f>IF(BL$2=Payroll!$I21,Payroll!$F21,IF(BL$2&gt;Payroll!$I21,Payroll!$F21*((1+Payroll!$J21)^(ROUNDDOWN(DATEDIF(Payroll!$I21,BL$2,"M")/Payroll!$K21,0))),0))</f>
        <v>0</v>
      </c>
      <c r="BM97" s="56">
        <f>IF(BM$2=Payroll!$I21,Payroll!$F21,IF(BM$2&gt;Payroll!$I21,Payroll!$F21*((1+Payroll!$J21)^(ROUNDDOWN(DATEDIF(Payroll!$I21,BM$2,"M")/Payroll!$K21,0))),0))</f>
        <v>0</v>
      </c>
      <c r="BN97" s="56">
        <f>IF(BN$2=Payroll!$I21,Payroll!$F21,IF(BN$2&gt;Payroll!$I21,Payroll!$F21*((1+Payroll!$J21)^(ROUNDDOWN(DATEDIF(Payroll!$I21,BN$2,"M")/Payroll!$K21,0))),0))</f>
        <v>0</v>
      </c>
      <c r="BO97" s="56">
        <f>IF(BO$2=Payroll!$I21,Payroll!$F21,IF(BO$2&gt;Payroll!$I21,Payroll!$F21*((1+Payroll!$J21)^(ROUNDDOWN(DATEDIF(Payroll!$I21,BO$2,"M")/Payroll!$K21,0))),0))</f>
        <v>0</v>
      </c>
      <c r="BP97" s="56">
        <f>IF(BP$2=Payroll!$I21,Payroll!$F21,IF(BP$2&gt;Payroll!$I21,Payroll!$F21*((1+Payroll!$J21)^(ROUNDDOWN(DATEDIF(Payroll!$I21,BP$2,"M")/Payroll!$K21,0))),0))</f>
        <v>0</v>
      </c>
      <c r="BQ97" s="56">
        <f>IF(BQ$2=Payroll!$I21,Payroll!$F21,IF(BQ$2&gt;Payroll!$I21,Payroll!$F21*((1+Payroll!$J21)^(ROUNDDOWN(DATEDIF(Payroll!$I21,BQ$2,"M")/Payroll!$K21,0))),0))</f>
        <v>0</v>
      </c>
      <c r="BR97" s="56">
        <f>IF(BR$2=Payroll!$I21,Payroll!$F21,IF(BR$2&gt;Payroll!$I21,Payroll!$F21*((1+Payroll!$J21)^(ROUNDDOWN(DATEDIF(Payroll!$I21,BR$2,"M")/Payroll!$K21,0))),0))</f>
        <v>0</v>
      </c>
      <c r="BS97" s="56">
        <f>IF(BS$2=Payroll!$I21,Payroll!$F21,IF(BS$2&gt;Payroll!$I21,Payroll!$F21*((1+Payroll!$J21)^(ROUNDDOWN(DATEDIF(Payroll!$I21,BS$2,"M")/Payroll!$K21,0))),0))</f>
        <v>0</v>
      </c>
      <c r="BT97" s="56">
        <f>IF(BT$2=Payroll!$I21,Payroll!$F21,IF(BT$2&gt;Payroll!$I21,Payroll!$F21*((1+Payroll!$J21)^(ROUNDDOWN(DATEDIF(Payroll!$I21,BT$2,"M")/Payroll!$K21,0))),0))</f>
        <v>0</v>
      </c>
      <c r="BU97" s="56">
        <f>IF(BU$2=Payroll!$I21,Payroll!$F21,IF(BU$2&gt;Payroll!$I21,Payroll!$F21*((1+Payroll!$J21)^(ROUNDDOWN(DATEDIF(Payroll!$I21,BU$2,"M")/Payroll!$K21,0))),0))</f>
        <v>0</v>
      </c>
      <c r="BV97" s="56">
        <f>IF(BV$2=Payroll!$I21,Payroll!$F21,IF(BV$2&gt;Payroll!$I21,Payroll!$F21*((1+Payroll!$J21)^(ROUNDDOWN(DATEDIF(Payroll!$I21,BV$2,"M")/Payroll!$K21,0))),0))</f>
        <v>0</v>
      </c>
      <c r="BW97" s="56">
        <f>IF(BW$2=Payroll!$I21,Payroll!$F21,IF(BW$2&gt;Payroll!$I21,Payroll!$F21*((1+Payroll!$J21)^(ROUNDDOWN(DATEDIF(Payroll!$I21,BW$2,"M")/Payroll!$K21,0))),0))</f>
        <v>0</v>
      </c>
      <c r="BX97" s="56">
        <f>IF(BX$2=Payroll!$I21,Payroll!$F21,IF(BX$2&gt;Payroll!$I21,Payroll!$F21*((1+Payroll!$J21)^(ROUNDDOWN(DATEDIF(Payroll!$I21,BX$2,"M")/Payroll!$K21,0))),0))</f>
        <v>0</v>
      </c>
      <c r="BY97" s="56">
        <f>IF(BY$2=Payroll!$I21,Payroll!$F21,IF(BY$2&gt;Payroll!$I21,Payroll!$F21*((1+Payroll!$J21)^(ROUNDDOWN(DATEDIF(Payroll!$I21,BY$2,"M")/Payroll!$K21,0))),0))</f>
        <v>0</v>
      </c>
      <c r="BZ97" s="56">
        <f>IF(BZ$2=Payroll!$I21,Payroll!$F21,IF(BZ$2&gt;Payroll!$I21,Payroll!$F21*((1+Payroll!$J21)^(ROUNDDOWN(DATEDIF(Payroll!$I21,BZ$2,"M")/Payroll!$K21,0))),0))</f>
        <v>0</v>
      </c>
      <c r="CA97" s="56">
        <f>IF(CA$2=Payroll!$I21,Payroll!$F21,IF(CA$2&gt;Payroll!$I21,Payroll!$F21*((1+Payroll!$J21)^(ROUNDDOWN(DATEDIF(Payroll!$I21,CA$2,"M")/Payroll!$K21,0))),0))</f>
        <v>0</v>
      </c>
      <c r="CB97" s="56">
        <f>IF(CB$2=Payroll!$I21,Payroll!$F21,IF(CB$2&gt;Payroll!$I21,Payroll!$F21*((1+Payroll!$J21)^(ROUNDDOWN(DATEDIF(Payroll!$I21,CB$2,"M")/Payroll!$K21,0))),0))</f>
        <v>0</v>
      </c>
      <c r="CC97" s="56">
        <f>IF(CC$2=Payroll!$I21,Payroll!$F21,IF(CC$2&gt;Payroll!$I21,Payroll!$F21*((1+Payroll!$J21)^(ROUNDDOWN(DATEDIF(Payroll!$I21,CC$2,"M")/Payroll!$K21,0))),0))</f>
        <v>0</v>
      </c>
      <c r="CD97" s="56">
        <f>IF(CD$2=Payroll!$I21,Payroll!$F21,IF(CD$2&gt;Payroll!$I21,Payroll!$F21*((1+Payroll!$J21)^(ROUNDDOWN(DATEDIF(Payroll!$I21,CD$2,"M")/Payroll!$K21,0))),0))</f>
        <v>0</v>
      </c>
      <c r="CE97" s="56">
        <f>IF(CE$2=Payroll!$I21,Payroll!$F21,IF(CE$2&gt;Payroll!$I21,Payroll!$F21*((1+Payroll!$J21)^(ROUNDDOWN(DATEDIF(Payroll!$I21,CE$2,"M")/Payroll!$K21,0))),0))</f>
        <v>0</v>
      </c>
      <c r="CF97" s="56">
        <f>IF(CF$2=Payroll!$I21,Payroll!$F21,IF(CF$2&gt;Payroll!$I21,Payroll!$F21*((1+Payroll!$J21)^(ROUNDDOWN(DATEDIF(Payroll!$I21,CF$2,"M")/Payroll!$K21,0))),0))</f>
        <v>0</v>
      </c>
      <c r="CG97" s="56">
        <f>IF(CG$2=Payroll!$I21,Payroll!$F21,IF(CG$2&gt;Payroll!$I21,Payroll!$F21*((1+Payroll!$J21)^(ROUNDDOWN(DATEDIF(Payroll!$I21,CG$2,"M")/Payroll!$K21,0))),0))</f>
        <v>0</v>
      </c>
      <c r="CH97" s="56">
        <f>IF(CH$2=Payroll!$I21,Payroll!$F21,IF(CH$2&gt;Payroll!$I21,Payroll!$F21*((1+Payroll!$J21)^(ROUNDDOWN(DATEDIF(Payroll!$I21,CH$2,"M")/Payroll!$K21,0))),0))</f>
        <v>0</v>
      </c>
      <c r="CI97" s="56">
        <f>IF(CI$2=Payroll!$I21,Payroll!$F21,IF(CI$2&gt;Payroll!$I21,Payroll!$F21*((1+Payroll!$J21)^(ROUNDDOWN(DATEDIF(Payroll!$I21,CI$2,"M")/Payroll!$K21,0))),0))</f>
        <v>0</v>
      </c>
      <c r="CJ97" s="56">
        <f>IF(CJ$2=Payroll!$I21,Payroll!$F21,IF(CJ$2&gt;Payroll!$I21,Payroll!$F21*((1+Payroll!$J21)^(ROUNDDOWN(DATEDIF(Payroll!$I21,CJ$2,"M")/Payroll!$K21,0))),0))</f>
        <v>0</v>
      </c>
      <c r="CK97" s="56">
        <f>IF(CK$2=Payroll!$I21,Payroll!$F21,IF(CK$2&gt;Payroll!$I21,Payroll!$F21*((1+Payroll!$J21)^(ROUNDDOWN(DATEDIF(Payroll!$I21,CK$2,"M")/Payroll!$K21,0))),0))</f>
        <v>0</v>
      </c>
      <c r="CL97" s="56">
        <f>IF(CL$2=Payroll!$I21,Payroll!$F21,IF(CL$2&gt;Payroll!$I21,Payroll!$F21*((1+Payroll!$J21)^(ROUNDDOWN(DATEDIF(Payroll!$I21,CL$2,"M")/Payroll!$K21,0))),0))</f>
        <v>0</v>
      </c>
      <c r="CM97" s="56">
        <f>IF(CM$2=Payroll!$I21,Payroll!$F21,IF(CM$2&gt;Payroll!$I21,Payroll!$F21*((1+Payroll!$J21)^(ROUNDDOWN(DATEDIF(Payroll!$I21,CM$2,"M")/Payroll!$K21,0))),0))</f>
        <v>0</v>
      </c>
      <c r="CN97" s="56">
        <f>IF(CN$2=Payroll!$I21,Payroll!$F21,IF(CN$2&gt;Payroll!$I21,Payroll!$F21*((1+Payroll!$J21)^(ROUNDDOWN(DATEDIF(Payroll!$I21,CN$2,"M")/Payroll!$K21,0))),0))</f>
        <v>0</v>
      </c>
      <c r="CO97" s="56">
        <f>IF(CO$2=Payroll!$I21,Payroll!$F21,IF(CO$2&gt;Payroll!$I21,Payroll!$F21*((1+Payroll!$J21)^(ROUNDDOWN(DATEDIF(Payroll!$I21,CO$2,"M")/Payroll!$K21,0))),0))</f>
        <v>0</v>
      </c>
      <c r="CP97" s="56">
        <f>IF(CP$2=Payroll!$I21,Payroll!$F21,IF(CP$2&gt;Payroll!$I21,Payroll!$F21*((1+Payroll!$J21)^(ROUNDDOWN(DATEDIF(Payroll!$I21,CP$2,"M")/Payroll!$K21,0))),0))</f>
        <v>0</v>
      </c>
      <c r="CQ97" s="56">
        <f>IF(CQ$2=Payroll!$I21,Payroll!$F21,IF(CQ$2&gt;Payroll!$I21,Payroll!$F21*((1+Payroll!$J21)^(ROUNDDOWN(DATEDIF(Payroll!$I21,CQ$2,"M")/Payroll!$K21,0))),0))</f>
        <v>0</v>
      </c>
      <c r="CR97" s="56">
        <f>IF(CR$2=Payroll!$I21,Payroll!$F21,IF(CR$2&gt;Payroll!$I21,Payroll!$F21*((1+Payroll!$J21)^(ROUNDDOWN(DATEDIF(Payroll!$I21,CR$2,"M")/Payroll!$K21,0))),0))</f>
        <v>0</v>
      </c>
      <c r="CS97" s="56">
        <f>IF(CS$2=Payroll!$I21,Payroll!$F21,IF(CS$2&gt;Payroll!$I21,Payroll!$F21*((1+Payroll!$J21)^(ROUNDDOWN(DATEDIF(Payroll!$I21,CS$2,"M")/Payroll!$K21,0))),0))</f>
        <v>0</v>
      </c>
      <c r="CT97" s="56">
        <f>IF(CT$2=Payroll!$I21,Payroll!$F21,IF(CT$2&gt;Payroll!$I21,Payroll!$F21*((1+Payroll!$J21)^(ROUNDDOWN(DATEDIF(Payroll!$I21,CT$2,"M")/Payroll!$K21,0))),0))</f>
        <v>0</v>
      </c>
      <c r="CU97" s="56">
        <f>IF(CU$2=Payroll!$I21,Payroll!$F21,IF(CU$2&gt;Payroll!$I21,Payroll!$F21*((1+Payroll!$J21)^(ROUNDDOWN(DATEDIF(Payroll!$I21,CU$2,"M")/Payroll!$K21,0))),0))</f>
        <v>0</v>
      </c>
      <c r="CV97" s="56">
        <f>IF(CV$2=Payroll!$I21,Payroll!$F21,IF(CV$2&gt;Payroll!$I21,Payroll!$F21*((1+Payroll!$J21)^(ROUNDDOWN(DATEDIF(Payroll!$I21,CV$2,"M")/Payroll!$K21,0))),0))</f>
        <v>0</v>
      </c>
      <c r="CW97" s="56">
        <f>IF(CW$2=Payroll!$I21,Payroll!$F21,IF(CW$2&gt;Payroll!$I21,Payroll!$F21*((1+Payroll!$J21)^(ROUNDDOWN(DATEDIF(Payroll!$I21,CW$2,"M")/Payroll!$K21,0))),0))</f>
        <v>0</v>
      </c>
      <c r="CX97" s="56">
        <f>IF(CX$2=Payroll!$I21,Payroll!$F21,IF(CX$2&gt;Payroll!$I21,Payroll!$F21*((1+Payroll!$J21)^(ROUNDDOWN(DATEDIF(Payroll!$I21,CX$2,"M")/Payroll!$K21,0))),0))</f>
        <v>0</v>
      </c>
    </row>
    <row r="98" ht="15.75" customHeight="1" outlineLevel="2">
      <c r="A98" s="56" t="str">
        <f>Payroll!A22</f>
        <v>Product manager</v>
      </c>
      <c r="B98" s="56"/>
      <c r="C98" s="56"/>
      <c r="D98" s="56"/>
      <c r="E98" s="56">
        <f>IF(E$2=Payroll!$I22,Payroll!$F22,IF(E$2&gt;Payroll!$I22,Payroll!$F22*((1+Payroll!$J22)^(ROUNDDOWN(DATEDIF(Payroll!$I22,E$2,"M")/Payroll!$K22,0))),0))</f>
        <v>0</v>
      </c>
      <c r="F98" s="56">
        <f>IF(F$2=Payroll!$I22,Payroll!$F22,IF(F$2&gt;Payroll!$I22,Payroll!$F22*((1+Payroll!$J22)^(ROUNDDOWN(DATEDIF(Payroll!$I22,F$2,"M")/Payroll!$K22,0))),0))</f>
        <v>0</v>
      </c>
      <c r="G98" s="56">
        <f>IF(G$2=Payroll!$I22,Payroll!$F22,IF(G$2&gt;Payroll!$I22,Payroll!$F22*((1+Payroll!$J22)^(ROUNDDOWN(DATEDIF(Payroll!$I22,G$2,"M")/Payroll!$K22,0))),0))</f>
        <v>0</v>
      </c>
      <c r="H98" s="56">
        <f>IF(H$2=Payroll!$I22,Payroll!$F22,IF(H$2&gt;Payroll!$I22,Payroll!$F22*((1+Payroll!$J22)^(ROUNDDOWN(DATEDIF(Payroll!$I22,H$2,"M")/Payroll!$K22,0))),0))</f>
        <v>0</v>
      </c>
      <c r="I98" s="56">
        <f>IF(I$2=Payroll!$I22,Payroll!$F22,IF(I$2&gt;Payroll!$I22,Payroll!$F22*((1+Payroll!$J22)^(ROUNDDOWN(DATEDIF(Payroll!$I22,I$2,"M")/Payroll!$K22,0))),0))</f>
        <v>0</v>
      </c>
      <c r="J98" s="56">
        <f>IF(J$2=Payroll!$I22,Payroll!$F22,IF(J$2&gt;Payroll!$I22,Payroll!$F22*((1+Payroll!$J22)^(ROUNDDOWN(DATEDIF(Payroll!$I22,J$2,"M")/Payroll!$K22,0))),0))</f>
        <v>0</v>
      </c>
      <c r="K98" s="56">
        <f>IF(K$2=Payroll!$I22,Payroll!$F22,IF(K$2&gt;Payroll!$I22,Payroll!$F22*((1+Payroll!$J22)^(ROUNDDOWN(DATEDIF(Payroll!$I22,K$2,"M")/Payroll!$K22,0))),0))</f>
        <v>0</v>
      </c>
      <c r="L98" s="56">
        <f>IF(L$2=Payroll!$I22,Payroll!$F22,IF(L$2&gt;Payroll!$I22,Payroll!$F22*((1+Payroll!$J22)^(ROUNDDOWN(DATEDIF(Payroll!$I22,L$2,"M")/Payroll!$K22,0))),0))</f>
        <v>0</v>
      </c>
      <c r="M98" s="56">
        <f>IF(M$2=Payroll!$I22,Payroll!$F22,IF(M$2&gt;Payroll!$I22,Payroll!$F22*((1+Payroll!$J22)^(ROUNDDOWN(DATEDIF(Payroll!$I22,M$2,"M")/Payroll!$K22,0))),0))</f>
        <v>0</v>
      </c>
      <c r="N98" s="56">
        <f>IF(N$2=Payroll!$I22,Payroll!$F22,IF(N$2&gt;Payroll!$I22,Payroll!$F22*((1+Payroll!$J22)^(ROUNDDOWN(DATEDIF(Payroll!$I22,N$2,"M")/Payroll!$K22,0))),0))</f>
        <v>0</v>
      </c>
      <c r="O98" s="56">
        <f>IF(O$2=Payroll!$I22,Payroll!$F22,IF(O$2&gt;Payroll!$I22,Payroll!$F22*((1+Payroll!$J22)^(ROUNDDOWN(DATEDIF(Payroll!$I22,O$2,"M")/Payroll!$K22,0))),0))</f>
        <v>0</v>
      </c>
      <c r="P98" s="56">
        <f>IF(P$2=Payroll!$I22,Payroll!$F22,IF(P$2&gt;Payroll!$I22,Payroll!$F22*((1+Payroll!$J22)^(ROUNDDOWN(DATEDIF(Payroll!$I22,P$2,"M")/Payroll!$K22,0))),0))</f>
        <v>0</v>
      </c>
      <c r="Q98" s="56">
        <f>IF(Q$2=Payroll!$I22,Payroll!$F22,IF(Q$2&gt;Payroll!$I22,Payroll!$F22*((1+Payroll!$J22)^(ROUNDDOWN(DATEDIF(Payroll!$I22,Q$2,"M")/Payroll!$K22,0))),0))</f>
        <v>0</v>
      </c>
      <c r="R98" s="56">
        <f>IF(R$2=Payroll!$I22,Payroll!$F22,IF(R$2&gt;Payroll!$I22,Payroll!$F22*((1+Payroll!$J22)^(ROUNDDOWN(DATEDIF(Payroll!$I22,R$2,"M")/Payroll!$K22,0))),0))</f>
        <v>0</v>
      </c>
      <c r="S98" s="56">
        <f>IF(S$2=Payroll!$I22,Payroll!$F22,IF(S$2&gt;Payroll!$I22,Payroll!$F22*((1+Payroll!$J22)^(ROUNDDOWN(DATEDIF(Payroll!$I22,S$2,"M")/Payroll!$K22,0))),0))</f>
        <v>0</v>
      </c>
      <c r="T98" s="56">
        <f>IF(T$2=Payroll!$I22,Payroll!$F22,IF(T$2&gt;Payroll!$I22,Payroll!$F22*((1+Payroll!$J22)^(ROUNDDOWN(DATEDIF(Payroll!$I22,T$2,"M")/Payroll!$K22,0))),0))</f>
        <v>0</v>
      </c>
      <c r="U98" s="56">
        <f>IF(U$2=Payroll!$I22,Payroll!$F22,IF(U$2&gt;Payroll!$I22,Payroll!$F22*((1+Payroll!$J22)^(ROUNDDOWN(DATEDIF(Payroll!$I22,U$2,"M")/Payroll!$K22,0))),0))</f>
        <v>0</v>
      </c>
      <c r="V98" s="56">
        <f>IF(V$2=Payroll!$I22,Payroll!$F22,IF(V$2&gt;Payroll!$I22,Payroll!$F22*((1+Payroll!$J22)^(ROUNDDOWN(DATEDIF(Payroll!$I22,V$2,"M")/Payroll!$K22,0))),0))</f>
        <v>0</v>
      </c>
      <c r="W98" s="56">
        <f>IF(W$2=Payroll!$I22,Payroll!$F22,IF(W$2&gt;Payroll!$I22,Payroll!$F22*((1+Payroll!$J22)^(ROUNDDOWN(DATEDIF(Payroll!$I22,W$2,"M")/Payroll!$K22,0))),0))</f>
        <v>0</v>
      </c>
      <c r="X98" s="56">
        <f>IF(X$2=Payroll!$I22,Payroll!$F22,IF(X$2&gt;Payroll!$I22,Payroll!$F22*((1+Payroll!$J22)^(ROUNDDOWN(DATEDIF(Payroll!$I22,X$2,"M")/Payroll!$K22,0))),0))</f>
        <v>0</v>
      </c>
      <c r="Y98" s="56">
        <f>IF(Y$2=Payroll!$I22,Payroll!$F22,IF(Y$2&gt;Payroll!$I22,Payroll!$F22*((1+Payroll!$J22)^(ROUNDDOWN(DATEDIF(Payroll!$I22,Y$2,"M")/Payroll!$K22,0))),0))</f>
        <v>0</v>
      </c>
      <c r="Z98" s="56">
        <f>IF(Z$2=Payroll!$I22,Payroll!$F22,IF(Z$2&gt;Payroll!$I22,Payroll!$F22*((1+Payroll!$J22)^(ROUNDDOWN(DATEDIF(Payroll!$I22,Z$2,"M")/Payroll!$K22,0))),0))</f>
        <v>0</v>
      </c>
      <c r="AA98" s="56">
        <f>IF(AA$2=Payroll!$I22,Payroll!$F22,IF(AA$2&gt;Payroll!$I22,Payroll!$F22*((1+Payroll!$J22)^(ROUNDDOWN(DATEDIF(Payroll!$I22,AA$2,"M")/Payroll!$K22,0))),0))</f>
        <v>0</v>
      </c>
      <c r="AB98" s="56">
        <f>IF(AB$2=Payroll!$I22,Payroll!$F22,IF(AB$2&gt;Payroll!$I22,Payroll!$F22*((1+Payroll!$J22)^(ROUNDDOWN(DATEDIF(Payroll!$I22,AB$2,"M")/Payroll!$K22,0))),0))</f>
        <v>0</v>
      </c>
      <c r="AC98" s="56">
        <f>IF(AC$2=Payroll!$I22,Payroll!$F22,IF(AC$2&gt;Payroll!$I22,Payroll!$F22*((1+Payroll!$J22)^(ROUNDDOWN(DATEDIF(Payroll!$I22,AC$2,"M")/Payroll!$K22,0))),0))</f>
        <v>0</v>
      </c>
      <c r="AD98" s="56">
        <f>IF(AD$2=Payroll!$I22,Payroll!$F22,IF(AD$2&gt;Payroll!$I22,Payroll!$F22*((1+Payroll!$J22)^(ROUNDDOWN(DATEDIF(Payroll!$I22,AD$2,"M")/Payroll!$K22,0))),0))</f>
        <v>0</v>
      </c>
      <c r="AE98" s="56">
        <f>IF(AE$2=Payroll!$I22,Payroll!$F22,IF(AE$2&gt;Payroll!$I22,Payroll!$F22*((1+Payroll!$J22)^(ROUNDDOWN(DATEDIF(Payroll!$I22,AE$2,"M")/Payroll!$K22,0))),0))</f>
        <v>0</v>
      </c>
      <c r="AF98" s="56">
        <f>IF(AF$2=Payroll!$I22,Payroll!$F22,IF(AF$2&gt;Payroll!$I22,Payroll!$F22*((1+Payroll!$J22)^(ROUNDDOWN(DATEDIF(Payroll!$I22,AF$2,"M")/Payroll!$K22,0))),0))</f>
        <v>0</v>
      </c>
      <c r="AG98" s="56">
        <f>IF(AG$2=Payroll!$I22,Payroll!$F22,IF(AG$2&gt;Payroll!$I22,Payroll!$F22*((1+Payroll!$J22)^(ROUNDDOWN(DATEDIF(Payroll!$I22,AG$2,"M")/Payroll!$K22,0))),0))</f>
        <v>0</v>
      </c>
      <c r="AH98" s="56">
        <f>IF(AH$2=Payroll!$I22,Payroll!$F22,IF(AH$2&gt;Payroll!$I22,Payroll!$F22*((1+Payroll!$J22)^(ROUNDDOWN(DATEDIF(Payroll!$I22,AH$2,"M")/Payroll!$K22,0))),0))</f>
        <v>0</v>
      </c>
      <c r="AI98" s="56">
        <f>IF(AI$2=Payroll!$I22,Payroll!$F22,IF(AI$2&gt;Payroll!$I22,Payroll!$F22*((1+Payroll!$J22)^(ROUNDDOWN(DATEDIF(Payroll!$I22,AI$2,"M")/Payroll!$K22,0))),0))</f>
        <v>0</v>
      </c>
      <c r="AJ98" s="56">
        <f>IF(AJ$2=Payroll!$I22,Payroll!$F22,IF(AJ$2&gt;Payroll!$I22,Payroll!$F22*((1+Payroll!$J22)^(ROUNDDOWN(DATEDIF(Payroll!$I22,AJ$2,"M")/Payroll!$K22,0))),0))</f>
        <v>0</v>
      </c>
      <c r="AK98" s="56">
        <f>IF(AK$2=Payroll!$I22,Payroll!$F22,IF(AK$2&gt;Payroll!$I22,Payroll!$F22*((1+Payroll!$J22)^(ROUNDDOWN(DATEDIF(Payroll!$I22,AK$2,"M")/Payroll!$K22,0))),0))</f>
        <v>0</v>
      </c>
      <c r="AL98" s="56">
        <f>IF(AL$2=Payroll!$I22,Payroll!$F22,IF(AL$2&gt;Payroll!$I22,Payroll!$F22*((1+Payroll!$J22)^(ROUNDDOWN(DATEDIF(Payroll!$I22,AL$2,"M")/Payroll!$K22,0))),0))</f>
        <v>0</v>
      </c>
      <c r="AM98" s="56">
        <f>IF(AM$2=Payroll!$I22,Payroll!$F22,IF(AM$2&gt;Payroll!$I22,Payroll!$F22*((1+Payroll!$J22)^(ROUNDDOWN(DATEDIF(Payroll!$I22,AM$2,"M")/Payroll!$K22,0))),0))</f>
        <v>0</v>
      </c>
      <c r="AN98" s="56">
        <f>IF(AN$2=Payroll!$I22,Payroll!$F22,IF(AN$2&gt;Payroll!$I22,Payroll!$F22*((1+Payroll!$J22)^(ROUNDDOWN(DATEDIF(Payroll!$I22,AN$2,"M")/Payroll!$K22,0))),0))</f>
        <v>0</v>
      </c>
      <c r="AO98" s="56">
        <f>IF(AO$2=Payroll!$I22,Payroll!$F22,IF(AO$2&gt;Payroll!$I22,Payroll!$F22*((1+Payroll!$J22)^(ROUNDDOWN(DATEDIF(Payroll!$I22,AO$2,"M")/Payroll!$K22,0))),0))</f>
        <v>0</v>
      </c>
      <c r="AP98" s="56">
        <f>IF(AP$2=Payroll!$I22,Payroll!$F22,IF(AP$2&gt;Payroll!$I22,Payroll!$F22*((1+Payroll!$J22)^(ROUNDDOWN(DATEDIF(Payroll!$I22,AP$2,"M")/Payroll!$K22,0))),0))</f>
        <v>0</v>
      </c>
      <c r="AQ98" s="56">
        <f>IF(AQ$2=Payroll!$I22,Payroll!$F22,IF(AQ$2&gt;Payroll!$I22,Payroll!$F22*((1+Payroll!$J22)^(ROUNDDOWN(DATEDIF(Payroll!$I22,AQ$2,"M")/Payroll!$K22,0))),0))</f>
        <v>0</v>
      </c>
      <c r="AR98" s="56">
        <f>IF(AR$2=Payroll!$I22,Payroll!$F22,IF(AR$2&gt;Payroll!$I22,Payroll!$F22*((1+Payroll!$J22)^(ROUNDDOWN(DATEDIF(Payroll!$I22,AR$2,"M")/Payroll!$K22,0))),0))</f>
        <v>0</v>
      </c>
      <c r="AS98" s="56">
        <f>IF(AS$2=Payroll!$I22,Payroll!$F22,IF(AS$2&gt;Payroll!$I22,Payroll!$F22*((1+Payroll!$J22)^(ROUNDDOWN(DATEDIF(Payroll!$I22,AS$2,"M")/Payroll!$K22,0))),0))</f>
        <v>0</v>
      </c>
      <c r="AT98" s="56">
        <f>IF(AT$2=Payroll!$I22,Payroll!$F22,IF(AT$2&gt;Payroll!$I22,Payroll!$F22*((1+Payroll!$J22)^(ROUNDDOWN(DATEDIF(Payroll!$I22,AT$2,"M")/Payroll!$K22,0))),0))</f>
        <v>0</v>
      </c>
      <c r="AU98" s="56">
        <f>IF(AU$2=Payroll!$I22,Payroll!$F22,IF(AU$2&gt;Payroll!$I22,Payroll!$F22*((1+Payroll!$J22)^(ROUNDDOWN(DATEDIF(Payroll!$I22,AU$2,"M")/Payroll!$K22,0))),0))</f>
        <v>0</v>
      </c>
      <c r="AV98" s="56">
        <f>IF(AV$2=Payroll!$I22,Payroll!$F22,IF(AV$2&gt;Payroll!$I22,Payroll!$F22*((1+Payroll!$J22)^(ROUNDDOWN(DATEDIF(Payroll!$I22,AV$2,"M")/Payroll!$K22,0))),0))</f>
        <v>0</v>
      </c>
      <c r="AW98" s="56">
        <f>IF(AW$2=Payroll!$I22,Payroll!$F22,IF(AW$2&gt;Payroll!$I22,Payroll!$F22*((1+Payroll!$J22)^(ROUNDDOWN(DATEDIF(Payroll!$I22,AW$2,"M")/Payroll!$K22,0))),0))</f>
        <v>0</v>
      </c>
      <c r="AX98" s="56">
        <f>IF(AX$2=Payroll!$I22,Payroll!$F22,IF(AX$2&gt;Payroll!$I22,Payroll!$F22*((1+Payroll!$J22)^(ROUNDDOWN(DATEDIF(Payroll!$I22,AX$2,"M")/Payroll!$K22,0))),0))</f>
        <v>0</v>
      </c>
      <c r="AY98" s="56">
        <f>IF(AY$2=Payroll!$I22,Payroll!$F22,IF(AY$2&gt;Payroll!$I22,Payroll!$F22*((1+Payroll!$J22)^(ROUNDDOWN(DATEDIF(Payroll!$I22,AY$2,"M")/Payroll!$K22,0))),0))</f>
        <v>0</v>
      </c>
      <c r="AZ98" s="56">
        <f>IF(AZ$2=Payroll!$I22,Payroll!$F22,IF(AZ$2&gt;Payroll!$I22,Payroll!$F22*((1+Payroll!$J22)^(ROUNDDOWN(DATEDIF(Payroll!$I22,AZ$2,"M")/Payroll!$K22,0))),0))</f>
        <v>0</v>
      </c>
      <c r="BA98" s="56">
        <f>IF(BA$2=Payroll!$I22,Payroll!$F22,IF(BA$2&gt;Payroll!$I22,Payroll!$F22*((1+Payroll!$J22)^(ROUNDDOWN(DATEDIF(Payroll!$I22,BA$2,"M")/Payroll!$K22,0))),0))</f>
        <v>0</v>
      </c>
      <c r="BB98" s="56">
        <f>IF(BB$2=Payroll!$I22,Payroll!$F22,IF(BB$2&gt;Payroll!$I22,Payroll!$F22*((1+Payroll!$J22)^(ROUNDDOWN(DATEDIF(Payroll!$I22,BB$2,"M")/Payroll!$K22,0))),0))</f>
        <v>0</v>
      </c>
      <c r="BC98" s="56">
        <f>IF(BC$2=Payroll!$I22,Payroll!$F22,IF(BC$2&gt;Payroll!$I22,Payroll!$F22*((1+Payroll!$J22)^(ROUNDDOWN(DATEDIF(Payroll!$I22,BC$2,"M")/Payroll!$K22,0))),0))</f>
        <v>0</v>
      </c>
      <c r="BD98" s="56">
        <f>IF(BD$2=Payroll!$I22,Payroll!$F22,IF(BD$2&gt;Payroll!$I22,Payroll!$F22*((1+Payroll!$J22)^(ROUNDDOWN(DATEDIF(Payroll!$I22,BD$2,"M")/Payroll!$K22,0))),0))</f>
        <v>0</v>
      </c>
      <c r="BE98" s="56">
        <f>IF(BE$2=Payroll!$I22,Payroll!$F22,IF(BE$2&gt;Payroll!$I22,Payroll!$F22*((1+Payroll!$J22)^(ROUNDDOWN(DATEDIF(Payroll!$I22,BE$2,"M")/Payroll!$K22,0))),0))</f>
        <v>0</v>
      </c>
      <c r="BF98" s="56">
        <f>IF(BF$2=Payroll!$I22,Payroll!$F22,IF(BF$2&gt;Payroll!$I22,Payroll!$F22*((1+Payroll!$J22)^(ROUNDDOWN(DATEDIF(Payroll!$I22,BF$2,"M")/Payroll!$K22,0))),0))</f>
        <v>0</v>
      </c>
      <c r="BG98" s="56">
        <f>IF(BG$2=Payroll!$I22,Payroll!$F22,IF(BG$2&gt;Payroll!$I22,Payroll!$F22*((1+Payroll!$J22)^(ROUNDDOWN(DATEDIF(Payroll!$I22,BG$2,"M")/Payroll!$K22,0))),0))</f>
        <v>0</v>
      </c>
      <c r="BH98" s="56">
        <f>IF(BH$2=Payroll!$I22,Payroll!$F22,IF(BH$2&gt;Payroll!$I22,Payroll!$F22*((1+Payroll!$J22)^(ROUNDDOWN(DATEDIF(Payroll!$I22,BH$2,"M")/Payroll!$K22,0))),0))</f>
        <v>0</v>
      </c>
      <c r="BI98" s="56">
        <f>IF(BI$2=Payroll!$I22,Payroll!$F22,IF(BI$2&gt;Payroll!$I22,Payroll!$F22*((1+Payroll!$J22)^(ROUNDDOWN(DATEDIF(Payroll!$I22,BI$2,"M")/Payroll!$K22,0))),0))</f>
        <v>0</v>
      </c>
      <c r="BJ98" s="56">
        <f>IF(BJ$2=Payroll!$I22,Payroll!$F22,IF(BJ$2&gt;Payroll!$I22,Payroll!$F22*((1+Payroll!$J22)^(ROUNDDOWN(DATEDIF(Payroll!$I22,BJ$2,"M")/Payroll!$K22,0))),0))</f>
        <v>0</v>
      </c>
      <c r="BK98" s="56">
        <f>IF(BK$2=Payroll!$I22,Payroll!$F22,IF(BK$2&gt;Payroll!$I22,Payroll!$F22*((1+Payroll!$J22)^(ROUNDDOWN(DATEDIF(Payroll!$I22,BK$2,"M")/Payroll!$K22,0))),0))</f>
        <v>0</v>
      </c>
      <c r="BL98" s="56">
        <f>IF(BL$2=Payroll!$I22,Payroll!$F22,IF(BL$2&gt;Payroll!$I22,Payroll!$F22*((1+Payroll!$J22)^(ROUNDDOWN(DATEDIF(Payroll!$I22,BL$2,"M")/Payroll!$K22,0))),0))</f>
        <v>0</v>
      </c>
      <c r="BM98" s="56">
        <f>IF(BM$2=Payroll!$I22,Payroll!$F22,IF(BM$2&gt;Payroll!$I22,Payroll!$F22*((1+Payroll!$J22)^(ROUNDDOWN(DATEDIF(Payroll!$I22,BM$2,"M")/Payroll!$K22,0))),0))</f>
        <v>0</v>
      </c>
      <c r="BN98" s="56">
        <f>IF(BN$2=Payroll!$I22,Payroll!$F22,IF(BN$2&gt;Payroll!$I22,Payroll!$F22*((1+Payroll!$J22)^(ROUNDDOWN(DATEDIF(Payroll!$I22,BN$2,"M")/Payroll!$K22,0))),0))</f>
        <v>0</v>
      </c>
      <c r="BO98" s="56">
        <f>IF(BO$2=Payroll!$I22,Payroll!$F22,IF(BO$2&gt;Payroll!$I22,Payroll!$F22*((1+Payroll!$J22)^(ROUNDDOWN(DATEDIF(Payroll!$I22,BO$2,"M")/Payroll!$K22,0))),0))</f>
        <v>0</v>
      </c>
      <c r="BP98" s="56">
        <f>IF(BP$2=Payroll!$I22,Payroll!$F22,IF(BP$2&gt;Payroll!$I22,Payroll!$F22*((1+Payroll!$J22)^(ROUNDDOWN(DATEDIF(Payroll!$I22,BP$2,"M")/Payroll!$K22,0))),0))</f>
        <v>0</v>
      </c>
      <c r="BQ98" s="56">
        <f>IF(BQ$2=Payroll!$I22,Payroll!$F22,IF(BQ$2&gt;Payroll!$I22,Payroll!$F22*((1+Payroll!$J22)^(ROUNDDOWN(DATEDIF(Payroll!$I22,BQ$2,"M")/Payroll!$K22,0))),0))</f>
        <v>0</v>
      </c>
      <c r="BR98" s="56">
        <f>IF(BR$2=Payroll!$I22,Payroll!$F22,IF(BR$2&gt;Payroll!$I22,Payroll!$F22*((1+Payroll!$J22)^(ROUNDDOWN(DATEDIF(Payroll!$I22,BR$2,"M")/Payroll!$K22,0))),0))</f>
        <v>0</v>
      </c>
      <c r="BS98" s="56">
        <f>IF(BS$2=Payroll!$I22,Payroll!$F22,IF(BS$2&gt;Payroll!$I22,Payroll!$F22*((1+Payroll!$J22)^(ROUNDDOWN(DATEDIF(Payroll!$I22,BS$2,"M")/Payroll!$K22,0))),0))</f>
        <v>0</v>
      </c>
      <c r="BT98" s="56">
        <f>IF(BT$2=Payroll!$I22,Payroll!$F22,IF(BT$2&gt;Payroll!$I22,Payroll!$F22*((1+Payroll!$J22)^(ROUNDDOWN(DATEDIF(Payroll!$I22,BT$2,"M")/Payroll!$K22,0))),0))</f>
        <v>0</v>
      </c>
      <c r="BU98" s="56">
        <f>IF(BU$2=Payroll!$I22,Payroll!$F22,IF(BU$2&gt;Payroll!$I22,Payroll!$F22*((1+Payroll!$J22)^(ROUNDDOWN(DATEDIF(Payroll!$I22,BU$2,"M")/Payroll!$K22,0))),0))</f>
        <v>0</v>
      </c>
      <c r="BV98" s="56">
        <f>IF(BV$2=Payroll!$I22,Payroll!$F22,IF(BV$2&gt;Payroll!$I22,Payroll!$F22*((1+Payroll!$J22)^(ROUNDDOWN(DATEDIF(Payroll!$I22,BV$2,"M")/Payroll!$K22,0))),0))</f>
        <v>0</v>
      </c>
      <c r="BW98" s="56">
        <f>IF(BW$2=Payroll!$I22,Payroll!$F22,IF(BW$2&gt;Payroll!$I22,Payroll!$F22*((1+Payroll!$J22)^(ROUNDDOWN(DATEDIF(Payroll!$I22,BW$2,"M")/Payroll!$K22,0))),0))</f>
        <v>0</v>
      </c>
      <c r="BX98" s="56">
        <f>IF(BX$2=Payroll!$I22,Payroll!$F22,IF(BX$2&gt;Payroll!$I22,Payroll!$F22*((1+Payroll!$J22)^(ROUNDDOWN(DATEDIF(Payroll!$I22,BX$2,"M")/Payroll!$K22,0))),0))</f>
        <v>0</v>
      </c>
      <c r="BY98" s="56">
        <f>IF(BY$2=Payroll!$I22,Payroll!$F22,IF(BY$2&gt;Payroll!$I22,Payroll!$F22*((1+Payroll!$J22)^(ROUNDDOWN(DATEDIF(Payroll!$I22,BY$2,"M")/Payroll!$K22,0))),0))</f>
        <v>0</v>
      </c>
      <c r="BZ98" s="56">
        <f>IF(BZ$2=Payroll!$I22,Payroll!$F22,IF(BZ$2&gt;Payroll!$I22,Payroll!$F22*((1+Payroll!$J22)^(ROUNDDOWN(DATEDIF(Payroll!$I22,BZ$2,"M")/Payroll!$K22,0))),0))</f>
        <v>0</v>
      </c>
      <c r="CA98" s="56">
        <f>IF(CA$2=Payroll!$I22,Payroll!$F22,IF(CA$2&gt;Payroll!$I22,Payroll!$F22*((1+Payroll!$J22)^(ROUNDDOWN(DATEDIF(Payroll!$I22,CA$2,"M")/Payroll!$K22,0))),0))</f>
        <v>0</v>
      </c>
      <c r="CB98" s="56">
        <f>IF(CB$2=Payroll!$I22,Payroll!$F22,IF(CB$2&gt;Payroll!$I22,Payroll!$F22*((1+Payroll!$J22)^(ROUNDDOWN(DATEDIF(Payroll!$I22,CB$2,"M")/Payroll!$K22,0))),0))</f>
        <v>0</v>
      </c>
      <c r="CC98" s="56">
        <f>IF(CC$2=Payroll!$I22,Payroll!$F22,IF(CC$2&gt;Payroll!$I22,Payroll!$F22*((1+Payroll!$J22)^(ROUNDDOWN(DATEDIF(Payroll!$I22,CC$2,"M")/Payroll!$K22,0))),0))</f>
        <v>0</v>
      </c>
      <c r="CD98" s="56">
        <f>IF(CD$2=Payroll!$I22,Payroll!$F22,IF(CD$2&gt;Payroll!$I22,Payroll!$F22*((1+Payroll!$J22)^(ROUNDDOWN(DATEDIF(Payroll!$I22,CD$2,"M")/Payroll!$K22,0))),0))</f>
        <v>0</v>
      </c>
      <c r="CE98" s="56">
        <f>IF(CE$2=Payroll!$I22,Payroll!$F22,IF(CE$2&gt;Payroll!$I22,Payroll!$F22*((1+Payroll!$J22)^(ROUNDDOWN(DATEDIF(Payroll!$I22,CE$2,"M")/Payroll!$K22,0))),0))</f>
        <v>0</v>
      </c>
      <c r="CF98" s="56">
        <f>IF(CF$2=Payroll!$I22,Payroll!$F22,IF(CF$2&gt;Payroll!$I22,Payroll!$F22*((1+Payroll!$J22)^(ROUNDDOWN(DATEDIF(Payroll!$I22,CF$2,"M")/Payroll!$K22,0))),0))</f>
        <v>0</v>
      </c>
      <c r="CG98" s="56">
        <f>IF(CG$2=Payroll!$I22,Payroll!$F22,IF(CG$2&gt;Payroll!$I22,Payroll!$F22*((1+Payroll!$J22)^(ROUNDDOWN(DATEDIF(Payroll!$I22,CG$2,"M")/Payroll!$K22,0))),0))</f>
        <v>0</v>
      </c>
      <c r="CH98" s="56">
        <f>IF(CH$2=Payroll!$I22,Payroll!$F22,IF(CH$2&gt;Payroll!$I22,Payroll!$F22*((1+Payroll!$J22)^(ROUNDDOWN(DATEDIF(Payroll!$I22,CH$2,"M")/Payroll!$K22,0))),0))</f>
        <v>0</v>
      </c>
      <c r="CI98" s="56">
        <f>IF(CI$2=Payroll!$I22,Payroll!$F22,IF(CI$2&gt;Payroll!$I22,Payroll!$F22*((1+Payroll!$J22)^(ROUNDDOWN(DATEDIF(Payroll!$I22,CI$2,"M")/Payroll!$K22,0))),0))</f>
        <v>0</v>
      </c>
      <c r="CJ98" s="56">
        <f>IF(CJ$2=Payroll!$I22,Payroll!$F22,IF(CJ$2&gt;Payroll!$I22,Payroll!$F22*((1+Payroll!$J22)^(ROUNDDOWN(DATEDIF(Payroll!$I22,CJ$2,"M")/Payroll!$K22,0))),0))</f>
        <v>0</v>
      </c>
      <c r="CK98" s="56">
        <f>IF(CK$2=Payroll!$I22,Payroll!$F22,IF(CK$2&gt;Payroll!$I22,Payroll!$F22*((1+Payroll!$J22)^(ROUNDDOWN(DATEDIF(Payroll!$I22,CK$2,"M")/Payroll!$K22,0))),0))</f>
        <v>0</v>
      </c>
      <c r="CL98" s="56">
        <f>IF(CL$2=Payroll!$I22,Payroll!$F22,IF(CL$2&gt;Payroll!$I22,Payroll!$F22*((1+Payroll!$J22)^(ROUNDDOWN(DATEDIF(Payroll!$I22,CL$2,"M")/Payroll!$K22,0))),0))</f>
        <v>0</v>
      </c>
      <c r="CM98" s="56">
        <f>IF(CM$2=Payroll!$I22,Payroll!$F22,IF(CM$2&gt;Payroll!$I22,Payroll!$F22*((1+Payroll!$J22)^(ROUNDDOWN(DATEDIF(Payroll!$I22,CM$2,"M")/Payroll!$K22,0))),0))</f>
        <v>0</v>
      </c>
      <c r="CN98" s="56">
        <f>IF(CN$2=Payroll!$I22,Payroll!$F22,IF(CN$2&gt;Payroll!$I22,Payroll!$F22*((1+Payroll!$J22)^(ROUNDDOWN(DATEDIF(Payroll!$I22,CN$2,"M")/Payroll!$K22,0))),0))</f>
        <v>0</v>
      </c>
      <c r="CO98" s="56">
        <f>IF(CO$2=Payroll!$I22,Payroll!$F22,IF(CO$2&gt;Payroll!$I22,Payroll!$F22*((1+Payroll!$J22)^(ROUNDDOWN(DATEDIF(Payroll!$I22,CO$2,"M")/Payroll!$K22,0))),0))</f>
        <v>0</v>
      </c>
      <c r="CP98" s="56">
        <f>IF(CP$2=Payroll!$I22,Payroll!$F22,IF(CP$2&gt;Payroll!$I22,Payroll!$F22*((1+Payroll!$J22)^(ROUNDDOWN(DATEDIF(Payroll!$I22,CP$2,"M")/Payroll!$K22,0))),0))</f>
        <v>0</v>
      </c>
      <c r="CQ98" s="56">
        <f>IF(CQ$2=Payroll!$I22,Payroll!$F22,IF(CQ$2&gt;Payroll!$I22,Payroll!$F22*((1+Payroll!$J22)^(ROUNDDOWN(DATEDIF(Payroll!$I22,CQ$2,"M")/Payroll!$K22,0))),0))</f>
        <v>0</v>
      </c>
      <c r="CR98" s="56">
        <f>IF(CR$2=Payroll!$I22,Payroll!$F22,IF(CR$2&gt;Payroll!$I22,Payroll!$F22*((1+Payroll!$J22)^(ROUNDDOWN(DATEDIF(Payroll!$I22,CR$2,"M")/Payroll!$K22,0))),0))</f>
        <v>0</v>
      </c>
      <c r="CS98" s="56">
        <f>IF(CS$2=Payroll!$I22,Payroll!$F22,IF(CS$2&gt;Payroll!$I22,Payroll!$F22*((1+Payroll!$J22)^(ROUNDDOWN(DATEDIF(Payroll!$I22,CS$2,"M")/Payroll!$K22,0))),0))</f>
        <v>0</v>
      </c>
      <c r="CT98" s="56">
        <f>IF(CT$2=Payroll!$I22,Payroll!$F22,IF(CT$2&gt;Payroll!$I22,Payroll!$F22*((1+Payroll!$J22)^(ROUNDDOWN(DATEDIF(Payroll!$I22,CT$2,"M")/Payroll!$K22,0))),0))</f>
        <v>0</v>
      </c>
      <c r="CU98" s="56">
        <f>IF(CU$2=Payroll!$I22,Payroll!$F22,IF(CU$2&gt;Payroll!$I22,Payroll!$F22*((1+Payroll!$J22)^(ROUNDDOWN(DATEDIF(Payroll!$I22,CU$2,"M")/Payroll!$K22,0))),0))</f>
        <v>0</v>
      </c>
      <c r="CV98" s="56">
        <f>IF(CV$2=Payroll!$I22,Payroll!$F22,IF(CV$2&gt;Payroll!$I22,Payroll!$F22*((1+Payroll!$J22)^(ROUNDDOWN(DATEDIF(Payroll!$I22,CV$2,"M")/Payroll!$K22,0))),0))</f>
        <v>0</v>
      </c>
      <c r="CW98" s="56">
        <f>IF(CW$2=Payroll!$I22,Payroll!$F22,IF(CW$2&gt;Payroll!$I22,Payroll!$F22*((1+Payroll!$J22)^(ROUNDDOWN(DATEDIF(Payroll!$I22,CW$2,"M")/Payroll!$K22,0))),0))</f>
        <v>0</v>
      </c>
      <c r="CX98" s="56">
        <f>IF(CX$2=Payroll!$I22,Payroll!$F22,IF(CX$2&gt;Payroll!$I22,Payroll!$F22*((1+Payroll!$J22)^(ROUNDDOWN(DATEDIF(Payroll!$I22,CX$2,"M")/Payroll!$K22,0))),0))</f>
        <v>0</v>
      </c>
    </row>
    <row r="99" ht="15.75" customHeight="1" outlineLevel="2">
      <c r="A99" s="56" t="str">
        <f>Payroll!A23</f>
        <v>DevOps</v>
      </c>
      <c r="B99" s="56"/>
      <c r="C99" s="56"/>
      <c r="D99" s="56"/>
      <c r="E99" s="56">
        <f>IF(E$2=Payroll!$I23,Payroll!$F23,IF(E$2&gt;Payroll!$I23,Payroll!$F23*((1+Payroll!$J23)^(ROUNDDOWN(DATEDIF(Payroll!$I23,E$2,"M")/Payroll!$K23,0))),0))</f>
        <v>0</v>
      </c>
      <c r="F99" s="56">
        <f>IF(F$2=Payroll!$I23,Payroll!$F23,IF(F$2&gt;Payroll!$I23,Payroll!$F23*((1+Payroll!$J23)^(ROUNDDOWN(DATEDIF(Payroll!$I23,F$2,"M")/Payroll!$K23,0))),0))</f>
        <v>0</v>
      </c>
      <c r="G99" s="56">
        <f>IF(G$2=Payroll!$I23,Payroll!$F23,IF(G$2&gt;Payroll!$I23,Payroll!$F23*((1+Payroll!$J23)^(ROUNDDOWN(DATEDIF(Payroll!$I23,G$2,"M")/Payroll!$K23,0))),0))</f>
        <v>0</v>
      </c>
      <c r="H99" s="56">
        <f>IF(H$2=Payroll!$I23,Payroll!$F23,IF(H$2&gt;Payroll!$I23,Payroll!$F23*((1+Payroll!$J23)^(ROUNDDOWN(DATEDIF(Payroll!$I23,H$2,"M")/Payroll!$K23,0))),0))</f>
        <v>0</v>
      </c>
      <c r="I99" s="56">
        <f>IF(I$2=Payroll!$I23,Payroll!$F23,IF(I$2&gt;Payroll!$I23,Payroll!$F23*((1+Payroll!$J23)^(ROUNDDOWN(DATEDIF(Payroll!$I23,I$2,"M")/Payroll!$K23,0))),0))</f>
        <v>0</v>
      </c>
      <c r="J99" s="56">
        <f>IF(J$2=Payroll!$I23,Payroll!$F23,IF(J$2&gt;Payroll!$I23,Payroll!$F23*((1+Payroll!$J23)^(ROUNDDOWN(DATEDIF(Payroll!$I23,J$2,"M")/Payroll!$K23,0))),0))</f>
        <v>0</v>
      </c>
      <c r="K99" s="56">
        <f>IF(K$2=Payroll!$I23,Payroll!$F23,IF(K$2&gt;Payroll!$I23,Payroll!$F23*((1+Payroll!$J23)^(ROUNDDOWN(DATEDIF(Payroll!$I23,K$2,"M")/Payroll!$K23,0))),0))</f>
        <v>0</v>
      </c>
      <c r="L99" s="56">
        <f>IF(L$2=Payroll!$I23,Payroll!$F23,IF(L$2&gt;Payroll!$I23,Payroll!$F23*((1+Payroll!$J23)^(ROUNDDOWN(DATEDIF(Payroll!$I23,L$2,"M")/Payroll!$K23,0))),0))</f>
        <v>0</v>
      </c>
      <c r="M99" s="56">
        <f>IF(M$2=Payroll!$I23,Payroll!$F23,IF(M$2&gt;Payroll!$I23,Payroll!$F23*((1+Payroll!$J23)^(ROUNDDOWN(DATEDIF(Payroll!$I23,M$2,"M")/Payroll!$K23,0))),0))</f>
        <v>0</v>
      </c>
      <c r="N99" s="56">
        <f>IF(N$2=Payroll!$I23,Payroll!$F23,IF(N$2&gt;Payroll!$I23,Payroll!$F23*((1+Payroll!$J23)^(ROUNDDOWN(DATEDIF(Payroll!$I23,N$2,"M")/Payroll!$K23,0))),0))</f>
        <v>0</v>
      </c>
      <c r="O99" s="56">
        <f>IF(O$2=Payroll!$I23,Payroll!$F23,IF(O$2&gt;Payroll!$I23,Payroll!$F23*((1+Payroll!$J23)^(ROUNDDOWN(DATEDIF(Payroll!$I23,O$2,"M")/Payroll!$K23,0))),0))</f>
        <v>0</v>
      </c>
      <c r="P99" s="56">
        <f>IF(P$2=Payroll!$I23,Payroll!$F23,IF(P$2&gt;Payroll!$I23,Payroll!$F23*((1+Payroll!$J23)^(ROUNDDOWN(DATEDIF(Payroll!$I23,P$2,"M")/Payroll!$K23,0))),0))</f>
        <v>0</v>
      </c>
      <c r="Q99" s="56">
        <f>IF(Q$2=Payroll!$I23,Payroll!$F23,IF(Q$2&gt;Payroll!$I23,Payroll!$F23*((1+Payroll!$J23)^(ROUNDDOWN(DATEDIF(Payroll!$I23,Q$2,"M")/Payroll!$K23,0))),0))</f>
        <v>0</v>
      </c>
      <c r="R99" s="56">
        <f>IF(R$2=Payroll!$I23,Payroll!$F23,IF(R$2&gt;Payroll!$I23,Payroll!$F23*((1+Payroll!$J23)^(ROUNDDOWN(DATEDIF(Payroll!$I23,R$2,"M")/Payroll!$K23,0))),0))</f>
        <v>0</v>
      </c>
      <c r="S99" s="56">
        <f>IF(S$2=Payroll!$I23,Payroll!$F23,IF(S$2&gt;Payroll!$I23,Payroll!$F23*((1+Payroll!$J23)^(ROUNDDOWN(DATEDIF(Payroll!$I23,S$2,"M")/Payroll!$K23,0))),0))</f>
        <v>0</v>
      </c>
      <c r="T99" s="56">
        <f>IF(T$2=Payroll!$I23,Payroll!$F23,IF(T$2&gt;Payroll!$I23,Payroll!$F23*((1+Payroll!$J23)^(ROUNDDOWN(DATEDIF(Payroll!$I23,T$2,"M")/Payroll!$K23,0))),0))</f>
        <v>0</v>
      </c>
      <c r="U99" s="56">
        <f>IF(U$2=Payroll!$I23,Payroll!$F23,IF(U$2&gt;Payroll!$I23,Payroll!$F23*((1+Payroll!$J23)^(ROUNDDOWN(DATEDIF(Payroll!$I23,U$2,"M")/Payroll!$K23,0))),0))</f>
        <v>0</v>
      </c>
      <c r="V99" s="56">
        <f>IF(V$2=Payroll!$I23,Payroll!$F23,IF(V$2&gt;Payroll!$I23,Payroll!$F23*((1+Payroll!$J23)^(ROUNDDOWN(DATEDIF(Payroll!$I23,V$2,"M")/Payroll!$K23,0))),0))</f>
        <v>0</v>
      </c>
      <c r="W99" s="56">
        <f>IF(W$2=Payroll!$I23,Payroll!$F23,IF(W$2&gt;Payroll!$I23,Payroll!$F23*((1+Payroll!$J23)^(ROUNDDOWN(DATEDIF(Payroll!$I23,W$2,"M")/Payroll!$K23,0))),0))</f>
        <v>0</v>
      </c>
      <c r="X99" s="56">
        <f>IF(X$2=Payroll!$I23,Payroll!$F23,IF(X$2&gt;Payroll!$I23,Payroll!$F23*((1+Payroll!$J23)^(ROUNDDOWN(DATEDIF(Payroll!$I23,X$2,"M")/Payroll!$K23,0))),0))</f>
        <v>0</v>
      </c>
      <c r="Y99" s="56">
        <f>IF(Y$2=Payroll!$I23,Payroll!$F23,IF(Y$2&gt;Payroll!$I23,Payroll!$F23*((1+Payroll!$J23)^(ROUNDDOWN(DATEDIF(Payroll!$I23,Y$2,"M")/Payroll!$K23,0))),0))</f>
        <v>0</v>
      </c>
      <c r="Z99" s="56">
        <f>IF(Z$2=Payroll!$I23,Payroll!$F23,IF(Z$2&gt;Payroll!$I23,Payroll!$F23*((1+Payroll!$J23)^(ROUNDDOWN(DATEDIF(Payroll!$I23,Z$2,"M")/Payroll!$K23,0))),0))</f>
        <v>0</v>
      </c>
      <c r="AA99" s="56">
        <f>IF(AA$2=Payroll!$I23,Payroll!$F23,IF(AA$2&gt;Payroll!$I23,Payroll!$F23*((1+Payroll!$J23)^(ROUNDDOWN(DATEDIF(Payroll!$I23,AA$2,"M")/Payroll!$K23,0))),0))</f>
        <v>0</v>
      </c>
      <c r="AB99" s="56">
        <f>IF(AB$2=Payroll!$I23,Payroll!$F23,IF(AB$2&gt;Payroll!$I23,Payroll!$F23*((1+Payroll!$J23)^(ROUNDDOWN(DATEDIF(Payroll!$I23,AB$2,"M")/Payroll!$K23,0))),0))</f>
        <v>0</v>
      </c>
      <c r="AC99" s="56">
        <f>IF(AC$2=Payroll!$I23,Payroll!$F23,IF(AC$2&gt;Payroll!$I23,Payroll!$F23*((1+Payroll!$J23)^(ROUNDDOWN(DATEDIF(Payroll!$I23,AC$2,"M")/Payroll!$K23,0))),0))</f>
        <v>0</v>
      </c>
      <c r="AD99" s="56">
        <f>IF(AD$2=Payroll!$I23,Payroll!$F23,IF(AD$2&gt;Payroll!$I23,Payroll!$F23*((1+Payroll!$J23)^(ROUNDDOWN(DATEDIF(Payroll!$I23,AD$2,"M")/Payroll!$K23,0))),0))</f>
        <v>0</v>
      </c>
      <c r="AE99" s="56">
        <f>IF(AE$2=Payroll!$I23,Payroll!$F23,IF(AE$2&gt;Payroll!$I23,Payroll!$F23*((1+Payroll!$J23)^(ROUNDDOWN(DATEDIF(Payroll!$I23,AE$2,"M")/Payroll!$K23,0))),0))</f>
        <v>0</v>
      </c>
      <c r="AF99" s="56">
        <f>IF(AF$2=Payroll!$I23,Payroll!$F23,IF(AF$2&gt;Payroll!$I23,Payroll!$F23*((1+Payroll!$J23)^(ROUNDDOWN(DATEDIF(Payroll!$I23,AF$2,"M")/Payroll!$K23,0))),0))</f>
        <v>0</v>
      </c>
      <c r="AG99" s="56">
        <f>IF(AG$2=Payroll!$I23,Payroll!$F23,IF(AG$2&gt;Payroll!$I23,Payroll!$F23*((1+Payroll!$J23)^(ROUNDDOWN(DATEDIF(Payroll!$I23,AG$2,"M")/Payroll!$K23,0))),0))</f>
        <v>0</v>
      </c>
      <c r="AH99" s="56">
        <f>IF(AH$2=Payroll!$I23,Payroll!$F23,IF(AH$2&gt;Payroll!$I23,Payroll!$F23*((1+Payroll!$J23)^(ROUNDDOWN(DATEDIF(Payroll!$I23,AH$2,"M")/Payroll!$K23,0))),0))</f>
        <v>0</v>
      </c>
      <c r="AI99" s="56">
        <f>IF(AI$2=Payroll!$I23,Payroll!$F23,IF(AI$2&gt;Payroll!$I23,Payroll!$F23*((1+Payroll!$J23)^(ROUNDDOWN(DATEDIF(Payroll!$I23,AI$2,"M")/Payroll!$K23,0))),0))</f>
        <v>0</v>
      </c>
      <c r="AJ99" s="56">
        <f>IF(AJ$2=Payroll!$I23,Payroll!$F23,IF(AJ$2&gt;Payroll!$I23,Payroll!$F23*((1+Payroll!$J23)^(ROUNDDOWN(DATEDIF(Payroll!$I23,AJ$2,"M")/Payroll!$K23,0))),0))</f>
        <v>0</v>
      </c>
      <c r="AK99" s="56">
        <f>IF(AK$2=Payroll!$I23,Payroll!$F23,IF(AK$2&gt;Payroll!$I23,Payroll!$F23*((1+Payroll!$J23)^(ROUNDDOWN(DATEDIF(Payroll!$I23,AK$2,"M")/Payroll!$K23,0))),0))</f>
        <v>0</v>
      </c>
      <c r="AL99" s="56">
        <f>IF(AL$2=Payroll!$I23,Payroll!$F23,IF(AL$2&gt;Payroll!$I23,Payroll!$F23*((1+Payroll!$J23)^(ROUNDDOWN(DATEDIF(Payroll!$I23,AL$2,"M")/Payroll!$K23,0))),0))</f>
        <v>0</v>
      </c>
      <c r="AM99" s="56">
        <f>IF(AM$2=Payroll!$I23,Payroll!$F23,IF(AM$2&gt;Payroll!$I23,Payroll!$F23*((1+Payroll!$J23)^(ROUNDDOWN(DATEDIF(Payroll!$I23,AM$2,"M")/Payroll!$K23,0))),0))</f>
        <v>0</v>
      </c>
      <c r="AN99" s="56">
        <f>IF(AN$2=Payroll!$I23,Payroll!$F23,IF(AN$2&gt;Payroll!$I23,Payroll!$F23*((1+Payroll!$J23)^(ROUNDDOWN(DATEDIF(Payroll!$I23,AN$2,"M")/Payroll!$K23,0))),0))</f>
        <v>0</v>
      </c>
      <c r="AO99" s="56">
        <f>IF(AO$2=Payroll!$I23,Payroll!$F23,IF(AO$2&gt;Payroll!$I23,Payroll!$F23*((1+Payroll!$J23)^(ROUNDDOWN(DATEDIF(Payroll!$I23,AO$2,"M")/Payroll!$K23,0))),0))</f>
        <v>0</v>
      </c>
      <c r="AP99" s="56">
        <f>IF(AP$2=Payroll!$I23,Payroll!$F23,IF(AP$2&gt;Payroll!$I23,Payroll!$F23*((1+Payroll!$J23)^(ROUNDDOWN(DATEDIF(Payroll!$I23,AP$2,"M")/Payroll!$K23,0))),0))</f>
        <v>0</v>
      </c>
      <c r="AQ99" s="56">
        <f>IF(AQ$2=Payroll!$I23,Payroll!$F23,IF(AQ$2&gt;Payroll!$I23,Payroll!$F23*((1+Payroll!$J23)^(ROUNDDOWN(DATEDIF(Payroll!$I23,AQ$2,"M")/Payroll!$K23,0))),0))</f>
        <v>0</v>
      </c>
      <c r="AR99" s="56">
        <f>IF(AR$2=Payroll!$I23,Payroll!$F23,IF(AR$2&gt;Payroll!$I23,Payroll!$F23*((1+Payroll!$J23)^(ROUNDDOWN(DATEDIF(Payroll!$I23,AR$2,"M")/Payroll!$K23,0))),0))</f>
        <v>0</v>
      </c>
      <c r="AS99" s="56">
        <f>IF(AS$2=Payroll!$I23,Payroll!$F23,IF(AS$2&gt;Payroll!$I23,Payroll!$F23*((1+Payroll!$J23)^(ROUNDDOWN(DATEDIF(Payroll!$I23,AS$2,"M")/Payroll!$K23,0))),0))</f>
        <v>0</v>
      </c>
      <c r="AT99" s="56">
        <f>IF(AT$2=Payroll!$I23,Payroll!$F23,IF(AT$2&gt;Payroll!$I23,Payroll!$F23*((1+Payroll!$J23)^(ROUNDDOWN(DATEDIF(Payroll!$I23,AT$2,"M")/Payroll!$K23,0))),0))</f>
        <v>0</v>
      </c>
      <c r="AU99" s="56">
        <f>IF(AU$2=Payroll!$I23,Payroll!$F23,IF(AU$2&gt;Payroll!$I23,Payroll!$F23*((1+Payroll!$J23)^(ROUNDDOWN(DATEDIF(Payroll!$I23,AU$2,"M")/Payroll!$K23,0))),0))</f>
        <v>0</v>
      </c>
      <c r="AV99" s="56">
        <f>IF(AV$2=Payroll!$I23,Payroll!$F23,IF(AV$2&gt;Payroll!$I23,Payroll!$F23*((1+Payroll!$J23)^(ROUNDDOWN(DATEDIF(Payroll!$I23,AV$2,"M")/Payroll!$K23,0))),0))</f>
        <v>0</v>
      </c>
      <c r="AW99" s="56">
        <f>IF(AW$2=Payroll!$I23,Payroll!$F23,IF(AW$2&gt;Payroll!$I23,Payroll!$F23*((1+Payroll!$J23)^(ROUNDDOWN(DATEDIF(Payroll!$I23,AW$2,"M")/Payroll!$K23,0))),0))</f>
        <v>0</v>
      </c>
      <c r="AX99" s="56">
        <f>IF(AX$2=Payroll!$I23,Payroll!$F23,IF(AX$2&gt;Payroll!$I23,Payroll!$F23*((1+Payroll!$J23)^(ROUNDDOWN(DATEDIF(Payroll!$I23,AX$2,"M")/Payroll!$K23,0))),0))</f>
        <v>0</v>
      </c>
      <c r="AY99" s="56">
        <f>IF(AY$2=Payroll!$I23,Payroll!$F23,IF(AY$2&gt;Payroll!$I23,Payroll!$F23*((1+Payroll!$J23)^(ROUNDDOWN(DATEDIF(Payroll!$I23,AY$2,"M")/Payroll!$K23,0))),0))</f>
        <v>0</v>
      </c>
      <c r="AZ99" s="56">
        <f>IF(AZ$2=Payroll!$I23,Payroll!$F23,IF(AZ$2&gt;Payroll!$I23,Payroll!$F23*((1+Payroll!$J23)^(ROUNDDOWN(DATEDIF(Payroll!$I23,AZ$2,"M")/Payroll!$K23,0))),0))</f>
        <v>0</v>
      </c>
      <c r="BA99" s="56">
        <f>IF(BA$2=Payroll!$I23,Payroll!$F23,IF(BA$2&gt;Payroll!$I23,Payroll!$F23*((1+Payroll!$J23)^(ROUNDDOWN(DATEDIF(Payroll!$I23,BA$2,"M")/Payroll!$K23,0))),0))</f>
        <v>0</v>
      </c>
      <c r="BB99" s="56">
        <f>IF(BB$2=Payroll!$I23,Payroll!$F23,IF(BB$2&gt;Payroll!$I23,Payroll!$F23*((1+Payroll!$J23)^(ROUNDDOWN(DATEDIF(Payroll!$I23,BB$2,"M")/Payroll!$K23,0))),0))</f>
        <v>0</v>
      </c>
      <c r="BC99" s="56">
        <f>IF(BC$2=Payroll!$I23,Payroll!$F23,IF(BC$2&gt;Payroll!$I23,Payroll!$F23*((1+Payroll!$J23)^(ROUNDDOWN(DATEDIF(Payroll!$I23,BC$2,"M")/Payroll!$K23,0))),0))</f>
        <v>0</v>
      </c>
      <c r="BD99" s="56">
        <f>IF(BD$2=Payroll!$I23,Payroll!$F23,IF(BD$2&gt;Payroll!$I23,Payroll!$F23*((1+Payroll!$J23)^(ROUNDDOWN(DATEDIF(Payroll!$I23,BD$2,"M")/Payroll!$K23,0))),0))</f>
        <v>0</v>
      </c>
      <c r="BE99" s="56">
        <f>IF(BE$2=Payroll!$I23,Payroll!$F23,IF(BE$2&gt;Payroll!$I23,Payroll!$F23*((1+Payroll!$J23)^(ROUNDDOWN(DATEDIF(Payroll!$I23,BE$2,"M")/Payroll!$K23,0))),0))</f>
        <v>0</v>
      </c>
      <c r="BF99" s="56">
        <f>IF(BF$2=Payroll!$I23,Payroll!$F23,IF(BF$2&gt;Payroll!$I23,Payroll!$F23*((1+Payroll!$J23)^(ROUNDDOWN(DATEDIF(Payroll!$I23,BF$2,"M")/Payroll!$K23,0))),0))</f>
        <v>0</v>
      </c>
      <c r="BG99" s="56">
        <f>IF(BG$2=Payroll!$I23,Payroll!$F23,IF(BG$2&gt;Payroll!$I23,Payroll!$F23*((1+Payroll!$J23)^(ROUNDDOWN(DATEDIF(Payroll!$I23,BG$2,"M")/Payroll!$K23,0))),0))</f>
        <v>0</v>
      </c>
      <c r="BH99" s="56">
        <f>IF(BH$2=Payroll!$I23,Payroll!$F23,IF(BH$2&gt;Payroll!$I23,Payroll!$F23*((1+Payroll!$J23)^(ROUNDDOWN(DATEDIF(Payroll!$I23,BH$2,"M")/Payroll!$K23,0))),0))</f>
        <v>0</v>
      </c>
      <c r="BI99" s="56">
        <f>IF(BI$2=Payroll!$I23,Payroll!$F23,IF(BI$2&gt;Payroll!$I23,Payroll!$F23*((1+Payroll!$J23)^(ROUNDDOWN(DATEDIF(Payroll!$I23,BI$2,"M")/Payroll!$K23,0))),0))</f>
        <v>0</v>
      </c>
      <c r="BJ99" s="56">
        <f>IF(BJ$2=Payroll!$I23,Payroll!$F23,IF(BJ$2&gt;Payroll!$I23,Payroll!$F23*((1+Payroll!$J23)^(ROUNDDOWN(DATEDIF(Payroll!$I23,BJ$2,"M")/Payroll!$K23,0))),0))</f>
        <v>0</v>
      </c>
      <c r="BK99" s="56">
        <f>IF(BK$2=Payroll!$I23,Payroll!$F23,IF(BK$2&gt;Payroll!$I23,Payroll!$F23*((1+Payroll!$J23)^(ROUNDDOWN(DATEDIF(Payroll!$I23,BK$2,"M")/Payroll!$K23,0))),0))</f>
        <v>0</v>
      </c>
      <c r="BL99" s="56">
        <f>IF(BL$2=Payroll!$I23,Payroll!$F23,IF(BL$2&gt;Payroll!$I23,Payroll!$F23*((1+Payroll!$J23)^(ROUNDDOWN(DATEDIF(Payroll!$I23,BL$2,"M")/Payroll!$K23,0))),0))</f>
        <v>0</v>
      </c>
      <c r="BM99" s="56">
        <f>IF(BM$2=Payroll!$I23,Payroll!$F23,IF(BM$2&gt;Payroll!$I23,Payroll!$F23*((1+Payroll!$J23)^(ROUNDDOWN(DATEDIF(Payroll!$I23,BM$2,"M")/Payroll!$K23,0))),0))</f>
        <v>0</v>
      </c>
      <c r="BN99" s="56">
        <f>IF(BN$2=Payroll!$I23,Payroll!$F23,IF(BN$2&gt;Payroll!$I23,Payroll!$F23*((1+Payroll!$J23)^(ROUNDDOWN(DATEDIF(Payroll!$I23,BN$2,"M")/Payroll!$K23,0))),0))</f>
        <v>0</v>
      </c>
      <c r="BO99" s="56">
        <f>IF(BO$2=Payroll!$I23,Payroll!$F23,IF(BO$2&gt;Payroll!$I23,Payroll!$F23*((1+Payroll!$J23)^(ROUNDDOWN(DATEDIF(Payroll!$I23,BO$2,"M")/Payroll!$K23,0))),0))</f>
        <v>0</v>
      </c>
      <c r="BP99" s="56">
        <f>IF(BP$2=Payroll!$I23,Payroll!$F23,IF(BP$2&gt;Payroll!$I23,Payroll!$F23*((1+Payroll!$J23)^(ROUNDDOWN(DATEDIF(Payroll!$I23,BP$2,"M")/Payroll!$K23,0))),0))</f>
        <v>0</v>
      </c>
      <c r="BQ99" s="56">
        <f>IF(BQ$2=Payroll!$I23,Payroll!$F23,IF(BQ$2&gt;Payroll!$I23,Payroll!$F23*((1+Payroll!$J23)^(ROUNDDOWN(DATEDIF(Payroll!$I23,BQ$2,"M")/Payroll!$K23,0))),0))</f>
        <v>0</v>
      </c>
      <c r="BR99" s="56">
        <f>IF(BR$2=Payroll!$I23,Payroll!$F23,IF(BR$2&gt;Payroll!$I23,Payroll!$F23*((1+Payroll!$J23)^(ROUNDDOWN(DATEDIF(Payroll!$I23,BR$2,"M")/Payroll!$K23,0))),0))</f>
        <v>0</v>
      </c>
      <c r="BS99" s="56">
        <f>IF(BS$2=Payroll!$I23,Payroll!$F23,IF(BS$2&gt;Payroll!$I23,Payroll!$F23*((1+Payroll!$J23)^(ROUNDDOWN(DATEDIF(Payroll!$I23,BS$2,"M")/Payroll!$K23,0))),0))</f>
        <v>0</v>
      </c>
      <c r="BT99" s="56">
        <f>IF(BT$2=Payroll!$I23,Payroll!$F23,IF(BT$2&gt;Payroll!$I23,Payroll!$F23*((1+Payroll!$J23)^(ROUNDDOWN(DATEDIF(Payroll!$I23,BT$2,"M")/Payroll!$K23,0))),0))</f>
        <v>0</v>
      </c>
      <c r="BU99" s="56">
        <f>IF(BU$2=Payroll!$I23,Payroll!$F23,IF(BU$2&gt;Payroll!$I23,Payroll!$F23*((1+Payroll!$J23)^(ROUNDDOWN(DATEDIF(Payroll!$I23,BU$2,"M")/Payroll!$K23,0))),0))</f>
        <v>0</v>
      </c>
      <c r="BV99" s="56">
        <f>IF(BV$2=Payroll!$I23,Payroll!$F23,IF(BV$2&gt;Payroll!$I23,Payroll!$F23*((1+Payroll!$J23)^(ROUNDDOWN(DATEDIF(Payroll!$I23,BV$2,"M")/Payroll!$K23,0))),0))</f>
        <v>0</v>
      </c>
      <c r="BW99" s="56">
        <f>IF(BW$2=Payroll!$I23,Payroll!$F23,IF(BW$2&gt;Payroll!$I23,Payroll!$F23*((1+Payroll!$J23)^(ROUNDDOWN(DATEDIF(Payroll!$I23,BW$2,"M")/Payroll!$K23,0))),0))</f>
        <v>0</v>
      </c>
      <c r="BX99" s="56">
        <f>IF(BX$2=Payroll!$I23,Payroll!$F23,IF(BX$2&gt;Payroll!$I23,Payroll!$F23*((1+Payroll!$J23)^(ROUNDDOWN(DATEDIF(Payroll!$I23,BX$2,"M")/Payroll!$K23,0))),0))</f>
        <v>0</v>
      </c>
      <c r="BY99" s="56">
        <f>IF(BY$2=Payroll!$I23,Payroll!$F23,IF(BY$2&gt;Payroll!$I23,Payroll!$F23*((1+Payroll!$J23)^(ROUNDDOWN(DATEDIF(Payroll!$I23,BY$2,"M")/Payroll!$K23,0))),0))</f>
        <v>0</v>
      </c>
      <c r="BZ99" s="56">
        <f>IF(BZ$2=Payroll!$I23,Payroll!$F23,IF(BZ$2&gt;Payroll!$I23,Payroll!$F23*((1+Payroll!$J23)^(ROUNDDOWN(DATEDIF(Payroll!$I23,BZ$2,"M")/Payroll!$K23,0))),0))</f>
        <v>0</v>
      </c>
      <c r="CA99" s="56">
        <f>IF(CA$2=Payroll!$I23,Payroll!$F23,IF(CA$2&gt;Payroll!$I23,Payroll!$F23*((1+Payroll!$J23)^(ROUNDDOWN(DATEDIF(Payroll!$I23,CA$2,"M")/Payroll!$K23,0))),0))</f>
        <v>0</v>
      </c>
      <c r="CB99" s="56">
        <f>IF(CB$2=Payroll!$I23,Payroll!$F23,IF(CB$2&gt;Payroll!$I23,Payroll!$F23*((1+Payroll!$J23)^(ROUNDDOWN(DATEDIF(Payroll!$I23,CB$2,"M")/Payroll!$K23,0))),0))</f>
        <v>0</v>
      </c>
      <c r="CC99" s="56">
        <f>IF(CC$2=Payroll!$I23,Payroll!$F23,IF(CC$2&gt;Payroll!$I23,Payroll!$F23*((1+Payroll!$J23)^(ROUNDDOWN(DATEDIF(Payroll!$I23,CC$2,"M")/Payroll!$K23,0))),0))</f>
        <v>0</v>
      </c>
      <c r="CD99" s="56">
        <f>IF(CD$2=Payroll!$I23,Payroll!$F23,IF(CD$2&gt;Payroll!$I23,Payroll!$F23*((1+Payroll!$J23)^(ROUNDDOWN(DATEDIF(Payroll!$I23,CD$2,"M")/Payroll!$K23,0))),0))</f>
        <v>0</v>
      </c>
      <c r="CE99" s="56">
        <f>IF(CE$2=Payroll!$I23,Payroll!$F23,IF(CE$2&gt;Payroll!$I23,Payroll!$F23*((1+Payroll!$J23)^(ROUNDDOWN(DATEDIF(Payroll!$I23,CE$2,"M")/Payroll!$K23,0))),0))</f>
        <v>0</v>
      </c>
      <c r="CF99" s="56">
        <f>IF(CF$2=Payroll!$I23,Payroll!$F23,IF(CF$2&gt;Payroll!$I23,Payroll!$F23*((1+Payroll!$J23)^(ROUNDDOWN(DATEDIF(Payroll!$I23,CF$2,"M")/Payroll!$K23,0))),0))</f>
        <v>0</v>
      </c>
      <c r="CG99" s="56">
        <f>IF(CG$2=Payroll!$I23,Payroll!$F23,IF(CG$2&gt;Payroll!$I23,Payroll!$F23*((1+Payroll!$J23)^(ROUNDDOWN(DATEDIF(Payroll!$I23,CG$2,"M")/Payroll!$K23,0))),0))</f>
        <v>0</v>
      </c>
      <c r="CH99" s="56">
        <f>IF(CH$2=Payroll!$I23,Payroll!$F23,IF(CH$2&gt;Payroll!$I23,Payroll!$F23*((1+Payroll!$J23)^(ROUNDDOWN(DATEDIF(Payroll!$I23,CH$2,"M")/Payroll!$K23,0))),0))</f>
        <v>0</v>
      </c>
      <c r="CI99" s="56">
        <f>IF(CI$2=Payroll!$I23,Payroll!$F23,IF(CI$2&gt;Payroll!$I23,Payroll!$F23*((1+Payroll!$J23)^(ROUNDDOWN(DATEDIF(Payroll!$I23,CI$2,"M")/Payroll!$K23,0))),0))</f>
        <v>0</v>
      </c>
      <c r="CJ99" s="56">
        <f>IF(CJ$2=Payroll!$I23,Payroll!$F23,IF(CJ$2&gt;Payroll!$I23,Payroll!$F23*((1+Payroll!$J23)^(ROUNDDOWN(DATEDIF(Payroll!$I23,CJ$2,"M")/Payroll!$K23,0))),0))</f>
        <v>0</v>
      </c>
      <c r="CK99" s="56">
        <f>IF(CK$2=Payroll!$I23,Payroll!$F23,IF(CK$2&gt;Payroll!$I23,Payroll!$F23*((1+Payroll!$J23)^(ROUNDDOWN(DATEDIF(Payroll!$I23,CK$2,"M")/Payroll!$K23,0))),0))</f>
        <v>0</v>
      </c>
      <c r="CL99" s="56">
        <f>IF(CL$2=Payroll!$I23,Payroll!$F23,IF(CL$2&gt;Payroll!$I23,Payroll!$F23*((1+Payroll!$J23)^(ROUNDDOWN(DATEDIF(Payroll!$I23,CL$2,"M")/Payroll!$K23,0))),0))</f>
        <v>0</v>
      </c>
      <c r="CM99" s="56">
        <f>IF(CM$2=Payroll!$I23,Payroll!$F23,IF(CM$2&gt;Payroll!$I23,Payroll!$F23*((1+Payroll!$J23)^(ROUNDDOWN(DATEDIF(Payroll!$I23,CM$2,"M")/Payroll!$K23,0))),0))</f>
        <v>0</v>
      </c>
      <c r="CN99" s="56">
        <f>IF(CN$2=Payroll!$I23,Payroll!$F23,IF(CN$2&gt;Payroll!$I23,Payroll!$F23*((1+Payroll!$J23)^(ROUNDDOWN(DATEDIF(Payroll!$I23,CN$2,"M")/Payroll!$K23,0))),0))</f>
        <v>0</v>
      </c>
      <c r="CO99" s="56">
        <f>IF(CO$2=Payroll!$I23,Payroll!$F23,IF(CO$2&gt;Payroll!$I23,Payroll!$F23*((1+Payroll!$J23)^(ROUNDDOWN(DATEDIF(Payroll!$I23,CO$2,"M")/Payroll!$K23,0))),0))</f>
        <v>0</v>
      </c>
      <c r="CP99" s="56">
        <f>IF(CP$2=Payroll!$I23,Payroll!$F23,IF(CP$2&gt;Payroll!$I23,Payroll!$F23*((1+Payroll!$J23)^(ROUNDDOWN(DATEDIF(Payroll!$I23,CP$2,"M")/Payroll!$K23,0))),0))</f>
        <v>0</v>
      </c>
      <c r="CQ99" s="56">
        <f>IF(CQ$2=Payroll!$I23,Payroll!$F23,IF(CQ$2&gt;Payroll!$I23,Payroll!$F23*((1+Payroll!$J23)^(ROUNDDOWN(DATEDIF(Payroll!$I23,CQ$2,"M")/Payroll!$K23,0))),0))</f>
        <v>0</v>
      </c>
      <c r="CR99" s="56">
        <f>IF(CR$2=Payroll!$I23,Payroll!$F23,IF(CR$2&gt;Payroll!$I23,Payroll!$F23*((1+Payroll!$J23)^(ROUNDDOWN(DATEDIF(Payroll!$I23,CR$2,"M")/Payroll!$K23,0))),0))</f>
        <v>0</v>
      </c>
      <c r="CS99" s="56">
        <f>IF(CS$2=Payroll!$I23,Payroll!$F23,IF(CS$2&gt;Payroll!$I23,Payroll!$F23*((1+Payroll!$J23)^(ROUNDDOWN(DATEDIF(Payroll!$I23,CS$2,"M")/Payroll!$K23,0))),0))</f>
        <v>0</v>
      </c>
      <c r="CT99" s="56">
        <f>IF(CT$2=Payroll!$I23,Payroll!$F23,IF(CT$2&gt;Payroll!$I23,Payroll!$F23*((1+Payroll!$J23)^(ROUNDDOWN(DATEDIF(Payroll!$I23,CT$2,"M")/Payroll!$K23,0))),0))</f>
        <v>0</v>
      </c>
      <c r="CU99" s="56">
        <f>IF(CU$2=Payroll!$I23,Payroll!$F23,IF(CU$2&gt;Payroll!$I23,Payroll!$F23*((1+Payroll!$J23)^(ROUNDDOWN(DATEDIF(Payroll!$I23,CU$2,"M")/Payroll!$K23,0))),0))</f>
        <v>0</v>
      </c>
      <c r="CV99" s="56">
        <f>IF(CV$2=Payroll!$I23,Payroll!$F23,IF(CV$2&gt;Payroll!$I23,Payroll!$F23*((1+Payroll!$J23)^(ROUNDDOWN(DATEDIF(Payroll!$I23,CV$2,"M")/Payroll!$K23,0))),0))</f>
        <v>0</v>
      </c>
      <c r="CW99" s="56">
        <f>IF(CW$2=Payroll!$I23,Payroll!$F23,IF(CW$2&gt;Payroll!$I23,Payroll!$F23*((1+Payroll!$J23)^(ROUNDDOWN(DATEDIF(Payroll!$I23,CW$2,"M")/Payroll!$K23,0))),0))</f>
        <v>0</v>
      </c>
      <c r="CX99" s="56">
        <f>IF(CX$2=Payroll!$I23,Payroll!$F23,IF(CX$2&gt;Payroll!$I23,Payroll!$F23*((1+Payroll!$J23)^(ROUNDDOWN(DATEDIF(Payroll!$I23,CX$2,"M")/Payroll!$K23,0))),0))</f>
        <v>0</v>
      </c>
    </row>
    <row r="100" ht="15.75" customHeight="1" outlineLevel="2">
      <c r="A100" s="56" t="str">
        <f>Payroll!A24</f>
        <v>Project Manager</v>
      </c>
      <c r="B100" s="56"/>
      <c r="C100" s="56"/>
      <c r="D100" s="56"/>
      <c r="E100" s="56">
        <f>IF(E$2=Payroll!$I24,Payroll!$F24,IF(E$2&gt;Payroll!$I24,Payroll!$F24*((1+Payroll!$J24)^(ROUNDDOWN(DATEDIF(Payroll!$I24,E$2,"M")/Payroll!$K24,0))),0))</f>
        <v>0</v>
      </c>
      <c r="F100" s="56">
        <f>IF(F$2=Payroll!$I24,Payroll!$F24,IF(F$2&gt;Payroll!$I24,Payroll!$F24*((1+Payroll!$J24)^(ROUNDDOWN(DATEDIF(Payroll!$I24,F$2,"M")/Payroll!$K24,0))),0))</f>
        <v>0</v>
      </c>
      <c r="G100" s="56">
        <f>IF(G$2=Payroll!$I24,Payroll!$F24,IF(G$2&gt;Payroll!$I24,Payroll!$F24*((1+Payroll!$J24)^(ROUNDDOWN(DATEDIF(Payroll!$I24,G$2,"M")/Payroll!$K24,0))),0))</f>
        <v>0</v>
      </c>
      <c r="H100" s="56">
        <f>IF(H$2=Payroll!$I24,Payroll!$F24,IF(H$2&gt;Payroll!$I24,Payroll!$F24*((1+Payroll!$J24)^(ROUNDDOWN(DATEDIF(Payroll!$I24,H$2,"M")/Payroll!$K24,0))),0))</f>
        <v>0</v>
      </c>
      <c r="I100" s="56">
        <f>IF(I$2=Payroll!$I24,Payroll!$F24,IF(I$2&gt;Payroll!$I24,Payroll!$F24*((1+Payroll!$J24)^(ROUNDDOWN(DATEDIF(Payroll!$I24,I$2,"M")/Payroll!$K24,0))),0))</f>
        <v>0</v>
      </c>
      <c r="J100" s="56">
        <f>IF(J$2=Payroll!$I24,Payroll!$F24,IF(J$2&gt;Payroll!$I24,Payroll!$F24*((1+Payroll!$J24)^(ROUNDDOWN(DATEDIF(Payroll!$I24,J$2,"M")/Payroll!$K24,0))),0))</f>
        <v>0</v>
      </c>
      <c r="K100" s="56">
        <f>IF(K$2=Payroll!$I24,Payroll!$F24,IF(K$2&gt;Payroll!$I24,Payroll!$F24*((1+Payroll!$J24)^(ROUNDDOWN(DATEDIF(Payroll!$I24,K$2,"M")/Payroll!$K24,0))),0))</f>
        <v>0</v>
      </c>
      <c r="L100" s="56">
        <f>IF(L$2=Payroll!$I24,Payroll!$F24,IF(L$2&gt;Payroll!$I24,Payroll!$F24*((1+Payroll!$J24)^(ROUNDDOWN(DATEDIF(Payroll!$I24,L$2,"M")/Payroll!$K24,0))),0))</f>
        <v>0</v>
      </c>
      <c r="M100" s="56">
        <f>IF(M$2=Payroll!$I24,Payroll!$F24,IF(M$2&gt;Payroll!$I24,Payroll!$F24*((1+Payroll!$J24)^(ROUNDDOWN(DATEDIF(Payroll!$I24,M$2,"M")/Payroll!$K24,0))),0))</f>
        <v>0</v>
      </c>
      <c r="N100" s="56">
        <f>IF(N$2=Payroll!$I24,Payroll!$F24,IF(N$2&gt;Payroll!$I24,Payroll!$F24*((1+Payroll!$J24)^(ROUNDDOWN(DATEDIF(Payroll!$I24,N$2,"M")/Payroll!$K24,0))),0))</f>
        <v>0</v>
      </c>
      <c r="O100" s="56">
        <f>IF(O$2=Payroll!$I24,Payroll!$F24,IF(O$2&gt;Payroll!$I24,Payroll!$F24*((1+Payroll!$J24)^(ROUNDDOWN(DATEDIF(Payroll!$I24,O$2,"M")/Payroll!$K24,0))),0))</f>
        <v>0</v>
      </c>
      <c r="P100" s="56">
        <f>IF(P$2=Payroll!$I24,Payroll!$F24,IF(P$2&gt;Payroll!$I24,Payroll!$F24*((1+Payroll!$J24)^(ROUNDDOWN(DATEDIF(Payroll!$I24,P$2,"M")/Payroll!$K24,0))),0))</f>
        <v>0</v>
      </c>
      <c r="Q100" s="56">
        <f>IF(Q$2=Payroll!$I24,Payroll!$F24,IF(Q$2&gt;Payroll!$I24,Payroll!$F24*((1+Payroll!$J24)^(ROUNDDOWN(DATEDIF(Payroll!$I24,Q$2,"M")/Payroll!$K24,0))),0))</f>
        <v>0</v>
      </c>
      <c r="R100" s="56">
        <f>IF(R$2=Payroll!$I24,Payroll!$F24,IF(R$2&gt;Payroll!$I24,Payroll!$F24*((1+Payroll!$J24)^(ROUNDDOWN(DATEDIF(Payroll!$I24,R$2,"M")/Payroll!$K24,0))),0))</f>
        <v>0</v>
      </c>
      <c r="S100" s="56">
        <f>IF(S$2=Payroll!$I24,Payroll!$F24,IF(S$2&gt;Payroll!$I24,Payroll!$F24*((1+Payroll!$J24)^(ROUNDDOWN(DATEDIF(Payroll!$I24,S$2,"M")/Payroll!$K24,0))),0))</f>
        <v>0</v>
      </c>
      <c r="T100" s="56">
        <f>IF(T$2=Payroll!$I24,Payroll!$F24,IF(T$2&gt;Payroll!$I24,Payroll!$F24*((1+Payroll!$J24)^(ROUNDDOWN(DATEDIF(Payroll!$I24,T$2,"M")/Payroll!$K24,0))),0))</f>
        <v>0</v>
      </c>
      <c r="U100" s="56">
        <f>IF(U$2=Payroll!$I24,Payroll!$F24,IF(U$2&gt;Payroll!$I24,Payroll!$F24*((1+Payroll!$J24)^(ROUNDDOWN(DATEDIF(Payroll!$I24,U$2,"M")/Payroll!$K24,0))),0))</f>
        <v>0</v>
      </c>
      <c r="V100" s="56">
        <f>IF(V$2=Payroll!$I24,Payroll!$F24,IF(V$2&gt;Payroll!$I24,Payroll!$F24*((1+Payroll!$J24)^(ROUNDDOWN(DATEDIF(Payroll!$I24,V$2,"M")/Payroll!$K24,0))),0))</f>
        <v>0</v>
      </c>
      <c r="W100" s="56">
        <f>IF(W$2=Payroll!$I24,Payroll!$F24,IF(W$2&gt;Payroll!$I24,Payroll!$F24*((1+Payroll!$J24)^(ROUNDDOWN(DATEDIF(Payroll!$I24,W$2,"M")/Payroll!$K24,0))),0))</f>
        <v>0</v>
      </c>
      <c r="X100" s="56">
        <f>IF(X$2=Payroll!$I24,Payroll!$F24,IF(X$2&gt;Payroll!$I24,Payroll!$F24*((1+Payroll!$J24)^(ROUNDDOWN(DATEDIF(Payroll!$I24,X$2,"M")/Payroll!$K24,0))),0))</f>
        <v>0</v>
      </c>
      <c r="Y100" s="56">
        <f>IF(Y$2=Payroll!$I24,Payroll!$F24,IF(Y$2&gt;Payroll!$I24,Payroll!$F24*((1+Payroll!$J24)^(ROUNDDOWN(DATEDIF(Payroll!$I24,Y$2,"M")/Payroll!$K24,0))),0))</f>
        <v>0</v>
      </c>
      <c r="Z100" s="56">
        <f>IF(Z$2=Payroll!$I24,Payroll!$F24,IF(Z$2&gt;Payroll!$I24,Payroll!$F24*((1+Payroll!$J24)^(ROUNDDOWN(DATEDIF(Payroll!$I24,Z$2,"M")/Payroll!$K24,0))),0))</f>
        <v>0</v>
      </c>
      <c r="AA100" s="56">
        <f>IF(AA$2=Payroll!$I24,Payroll!$F24,IF(AA$2&gt;Payroll!$I24,Payroll!$F24*((1+Payroll!$J24)^(ROUNDDOWN(DATEDIF(Payroll!$I24,AA$2,"M")/Payroll!$K24,0))),0))</f>
        <v>0</v>
      </c>
      <c r="AB100" s="56">
        <f>IF(AB$2=Payroll!$I24,Payroll!$F24,IF(AB$2&gt;Payroll!$I24,Payroll!$F24*((1+Payroll!$J24)^(ROUNDDOWN(DATEDIF(Payroll!$I24,AB$2,"M")/Payroll!$K24,0))),0))</f>
        <v>0</v>
      </c>
      <c r="AC100" s="56">
        <f>IF(AC$2=Payroll!$I24,Payroll!$F24,IF(AC$2&gt;Payroll!$I24,Payroll!$F24*((1+Payroll!$J24)^(ROUNDDOWN(DATEDIF(Payroll!$I24,AC$2,"M")/Payroll!$K24,0))),0))</f>
        <v>0</v>
      </c>
      <c r="AD100" s="56">
        <f>IF(AD$2=Payroll!$I24,Payroll!$F24,IF(AD$2&gt;Payroll!$I24,Payroll!$F24*((1+Payroll!$J24)^(ROUNDDOWN(DATEDIF(Payroll!$I24,AD$2,"M")/Payroll!$K24,0))),0))</f>
        <v>0</v>
      </c>
      <c r="AE100" s="56">
        <f>IF(AE$2=Payroll!$I24,Payroll!$F24,IF(AE$2&gt;Payroll!$I24,Payroll!$F24*((1+Payroll!$J24)^(ROUNDDOWN(DATEDIF(Payroll!$I24,AE$2,"M")/Payroll!$K24,0))),0))</f>
        <v>0</v>
      </c>
      <c r="AF100" s="56">
        <f>IF(AF$2=Payroll!$I24,Payroll!$F24,IF(AF$2&gt;Payroll!$I24,Payroll!$F24*((1+Payroll!$J24)^(ROUNDDOWN(DATEDIF(Payroll!$I24,AF$2,"M")/Payroll!$K24,0))),0))</f>
        <v>0</v>
      </c>
      <c r="AG100" s="56">
        <f>IF(AG$2=Payroll!$I24,Payroll!$F24,IF(AG$2&gt;Payroll!$I24,Payroll!$F24*((1+Payroll!$J24)^(ROUNDDOWN(DATEDIF(Payroll!$I24,AG$2,"M")/Payroll!$K24,0))),0))</f>
        <v>0</v>
      </c>
      <c r="AH100" s="56">
        <f>IF(AH$2=Payroll!$I24,Payroll!$F24,IF(AH$2&gt;Payroll!$I24,Payroll!$F24*((1+Payroll!$J24)^(ROUNDDOWN(DATEDIF(Payroll!$I24,AH$2,"M")/Payroll!$K24,0))),0))</f>
        <v>0</v>
      </c>
      <c r="AI100" s="56">
        <f>IF(AI$2=Payroll!$I24,Payroll!$F24,IF(AI$2&gt;Payroll!$I24,Payroll!$F24*((1+Payroll!$J24)^(ROUNDDOWN(DATEDIF(Payroll!$I24,AI$2,"M")/Payroll!$K24,0))),0))</f>
        <v>0</v>
      </c>
      <c r="AJ100" s="56">
        <f>IF(AJ$2=Payroll!$I24,Payroll!$F24,IF(AJ$2&gt;Payroll!$I24,Payroll!$F24*((1+Payroll!$J24)^(ROUNDDOWN(DATEDIF(Payroll!$I24,AJ$2,"M")/Payroll!$K24,0))),0))</f>
        <v>0</v>
      </c>
      <c r="AK100" s="56">
        <f>IF(AK$2=Payroll!$I24,Payroll!$F24,IF(AK$2&gt;Payroll!$I24,Payroll!$F24*((1+Payroll!$J24)^(ROUNDDOWN(DATEDIF(Payroll!$I24,AK$2,"M")/Payroll!$K24,0))),0))</f>
        <v>0</v>
      </c>
      <c r="AL100" s="56">
        <f>IF(AL$2=Payroll!$I24,Payroll!$F24,IF(AL$2&gt;Payroll!$I24,Payroll!$F24*((1+Payroll!$J24)^(ROUNDDOWN(DATEDIF(Payroll!$I24,AL$2,"M")/Payroll!$K24,0))),0))</f>
        <v>0</v>
      </c>
      <c r="AM100" s="56">
        <f>IF(AM$2=Payroll!$I24,Payroll!$F24,IF(AM$2&gt;Payroll!$I24,Payroll!$F24*((1+Payroll!$J24)^(ROUNDDOWN(DATEDIF(Payroll!$I24,AM$2,"M")/Payroll!$K24,0))),0))</f>
        <v>0</v>
      </c>
      <c r="AN100" s="56">
        <f>IF(AN$2=Payroll!$I24,Payroll!$F24,IF(AN$2&gt;Payroll!$I24,Payroll!$F24*((1+Payroll!$J24)^(ROUNDDOWN(DATEDIF(Payroll!$I24,AN$2,"M")/Payroll!$K24,0))),0))</f>
        <v>0</v>
      </c>
      <c r="AO100" s="56">
        <f>IF(AO$2=Payroll!$I24,Payroll!$F24,IF(AO$2&gt;Payroll!$I24,Payroll!$F24*((1+Payroll!$J24)^(ROUNDDOWN(DATEDIF(Payroll!$I24,AO$2,"M")/Payroll!$K24,0))),0))</f>
        <v>0</v>
      </c>
      <c r="AP100" s="56">
        <f>IF(AP$2=Payroll!$I24,Payroll!$F24,IF(AP$2&gt;Payroll!$I24,Payroll!$F24*((1+Payroll!$J24)^(ROUNDDOWN(DATEDIF(Payroll!$I24,AP$2,"M")/Payroll!$K24,0))),0))</f>
        <v>0</v>
      </c>
      <c r="AQ100" s="56">
        <f>IF(AQ$2=Payroll!$I24,Payroll!$F24,IF(AQ$2&gt;Payroll!$I24,Payroll!$F24*((1+Payroll!$J24)^(ROUNDDOWN(DATEDIF(Payroll!$I24,AQ$2,"M")/Payroll!$K24,0))),0))</f>
        <v>0</v>
      </c>
      <c r="AR100" s="56">
        <f>IF(AR$2=Payroll!$I24,Payroll!$F24,IF(AR$2&gt;Payroll!$I24,Payroll!$F24*((1+Payroll!$J24)^(ROUNDDOWN(DATEDIF(Payroll!$I24,AR$2,"M")/Payroll!$K24,0))),0))</f>
        <v>0</v>
      </c>
      <c r="AS100" s="56">
        <f>IF(AS$2=Payroll!$I24,Payroll!$F24,IF(AS$2&gt;Payroll!$I24,Payroll!$F24*((1+Payroll!$J24)^(ROUNDDOWN(DATEDIF(Payroll!$I24,AS$2,"M")/Payroll!$K24,0))),0))</f>
        <v>0</v>
      </c>
      <c r="AT100" s="56">
        <f>IF(AT$2=Payroll!$I24,Payroll!$F24,IF(AT$2&gt;Payroll!$I24,Payroll!$F24*((1+Payroll!$J24)^(ROUNDDOWN(DATEDIF(Payroll!$I24,AT$2,"M")/Payroll!$K24,0))),0))</f>
        <v>0</v>
      </c>
      <c r="AU100" s="56">
        <f>IF(AU$2=Payroll!$I24,Payroll!$F24,IF(AU$2&gt;Payroll!$I24,Payroll!$F24*((1+Payroll!$J24)^(ROUNDDOWN(DATEDIF(Payroll!$I24,AU$2,"M")/Payroll!$K24,0))),0))</f>
        <v>0</v>
      </c>
      <c r="AV100" s="56">
        <f>IF(AV$2=Payroll!$I24,Payroll!$F24,IF(AV$2&gt;Payroll!$I24,Payroll!$F24*((1+Payroll!$J24)^(ROUNDDOWN(DATEDIF(Payroll!$I24,AV$2,"M")/Payroll!$K24,0))),0))</f>
        <v>0</v>
      </c>
      <c r="AW100" s="56">
        <f>IF(AW$2=Payroll!$I24,Payroll!$F24,IF(AW$2&gt;Payroll!$I24,Payroll!$F24*((1+Payroll!$J24)^(ROUNDDOWN(DATEDIF(Payroll!$I24,AW$2,"M")/Payroll!$K24,0))),0))</f>
        <v>0</v>
      </c>
      <c r="AX100" s="56">
        <f>IF(AX$2=Payroll!$I24,Payroll!$F24,IF(AX$2&gt;Payroll!$I24,Payroll!$F24*((1+Payroll!$J24)^(ROUNDDOWN(DATEDIF(Payroll!$I24,AX$2,"M")/Payroll!$K24,0))),0))</f>
        <v>0</v>
      </c>
      <c r="AY100" s="56">
        <f>IF(AY$2=Payroll!$I24,Payroll!$F24,IF(AY$2&gt;Payroll!$I24,Payroll!$F24*((1+Payroll!$J24)^(ROUNDDOWN(DATEDIF(Payroll!$I24,AY$2,"M")/Payroll!$K24,0))),0))</f>
        <v>0</v>
      </c>
      <c r="AZ100" s="56">
        <f>IF(AZ$2=Payroll!$I24,Payroll!$F24,IF(AZ$2&gt;Payroll!$I24,Payroll!$F24*((1+Payroll!$J24)^(ROUNDDOWN(DATEDIF(Payroll!$I24,AZ$2,"M")/Payroll!$K24,0))),0))</f>
        <v>0</v>
      </c>
      <c r="BA100" s="56">
        <f>IF(BA$2=Payroll!$I24,Payroll!$F24,IF(BA$2&gt;Payroll!$I24,Payroll!$F24*((1+Payroll!$J24)^(ROUNDDOWN(DATEDIF(Payroll!$I24,BA$2,"M")/Payroll!$K24,0))),0))</f>
        <v>0</v>
      </c>
      <c r="BB100" s="56">
        <f>IF(BB$2=Payroll!$I24,Payroll!$F24,IF(BB$2&gt;Payroll!$I24,Payroll!$F24*((1+Payroll!$J24)^(ROUNDDOWN(DATEDIF(Payroll!$I24,BB$2,"M")/Payroll!$K24,0))),0))</f>
        <v>0</v>
      </c>
      <c r="BC100" s="56">
        <f>IF(BC$2=Payroll!$I24,Payroll!$F24,IF(BC$2&gt;Payroll!$I24,Payroll!$F24*((1+Payroll!$J24)^(ROUNDDOWN(DATEDIF(Payroll!$I24,BC$2,"M")/Payroll!$K24,0))),0))</f>
        <v>0</v>
      </c>
      <c r="BD100" s="56">
        <f>IF(BD$2=Payroll!$I24,Payroll!$F24,IF(BD$2&gt;Payroll!$I24,Payroll!$F24*((1+Payroll!$J24)^(ROUNDDOWN(DATEDIF(Payroll!$I24,BD$2,"M")/Payroll!$K24,0))),0))</f>
        <v>0</v>
      </c>
      <c r="BE100" s="56">
        <f>IF(BE$2=Payroll!$I24,Payroll!$F24,IF(BE$2&gt;Payroll!$I24,Payroll!$F24*((1+Payroll!$J24)^(ROUNDDOWN(DATEDIF(Payroll!$I24,BE$2,"M")/Payroll!$K24,0))),0))</f>
        <v>0</v>
      </c>
      <c r="BF100" s="56">
        <f>IF(BF$2=Payroll!$I24,Payroll!$F24,IF(BF$2&gt;Payroll!$I24,Payroll!$F24*((1+Payroll!$J24)^(ROUNDDOWN(DATEDIF(Payroll!$I24,BF$2,"M")/Payroll!$K24,0))),0))</f>
        <v>0</v>
      </c>
      <c r="BG100" s="56">
        <f>IF(BG$2=Payroll!$I24,Payroll!$F24,IF(BG$2&gt;Payroll!$I24,Payroll!$F24*((1+Payroll!$J24)^(ROUNDDOWN(DATEDIF(Payroll!$I24,BG$2,"M")/Payroll!$K24,0))),0))</f>
        <v>0</v>
      </c>
      <c r="BH100" s="56">
        <f>IF(BH$2=Payroll!$I24,Payroll!$F24,IF(BH$2&gt;Payroll!$I24,Payroll!$F24*((1+Payroll!$J24)^(ROUNDDOWN(DATEDIF(Payroll!$I24,BH$2,"M")/Payroll!$K24,0))),0))</f>
        <v>0</v>
      </c>
      <c r="BI100" s="56">
        <f>IF(BI$2=Payroll!$I24,Payroll!$F24,IF(BI$2&gt;Payroll!$I24,Payroll!$F24*((1+Payroll!$J24)^(ROUNDDOWN(DATEDIF(Payroll!$I24,BI$2,"M")/Payroll!$K24,0))),0))</f>
        <v>0</v>
      </c>
      <c r="BJ100" s="56">
        <f>IF(BJ$2=Payroll!$I24,Payroll!$F24,IF(BJ$2&gt;Payroll!$I24,Payroll!$F24*((1+Payroll!$J24)^(ROUNDDOWN(DATEDIF(Payroll!$I24,BJ$2,"M")/Payroll!$K24,0))),0))</f>
        <v>0</v>
      </c>
      <c r="BK100" s="56">
        <f>IF(BK$2=Payroll!$I24,Payroll!$F24,IF(BK$2&gt;Payroll!$I24,Payroll!$F24*((1+Payroll!$J24)^(ROUNDDOWN(DATEDIF(Payroll!$I24,BK$2,"M")/Payroll!$K24,0))),0))</f>
        <v>0</v>
      </c>
      <c r="BL100" s="56">
        <f>IF(BL$2=Payroll!$I24,Payroll!$F24,IF(BL$2&gt;Payroll!$I24,Payroll!$F24*((1+Payroll!$J24)^(ROUNDDOWN(DATEDIF(Payroll!$I24,BL$2,"M")/Payroll!$K24,0))),0))</f>
        <v>0</v>
      </c>
      <c r="BM100" s="56">
        <f>IF(BM$2=Payroll!$I24,Payroll!$F24,IF(BM$2&gt;Payroll!$I24,Payroll!$F24*((1+Payroll!$J24)^(ROUNDDOWN(DATEDIF(Payroll!$I24,BM$2,"M")/Payroll!$K24,0))),0))</f>
        <v>0</v>
      </c>
      <c r="BN100" s="56">
        <f>IF(BN$2=Payroll!$I24,Payroll!$F24,IF(BN$2&gt;Payroll!$I24,Payroll!$F24*((1+Payroll!$J24)^(ROUNDDOWN(DATEDIF(Payroll!$I24,BN$2,"M")/Payroll!$K24,0))),0))</f>
        <v>0</v>
      </c>
      <c r="BO100" s="56">
        <f>IF(BO$2=Payroll!$I24,Payroll!$F24,IF(BO$2&gt;Payroll!$I24,Payroll!$F24*((1+Payroll!$J24)^(ROUNDDOWN(DATEDIF(Payroll!$I24,BO$2,"M")/Payroll!$K24,0))),0))</f>
        <v>0</v>
      </c>
      <c r="BP100" s="56">
        <f>IF(BP$2=Payroll!$I24,Payroll!$F24,IF(BP$2&gt;Payroll!$I24,Payroll!$F24*((1+Payroll!$J24)^(ROUNDDOWN(DATEDIF(Payroll!$I24,BP$2,"M")/Payroll!$K24,0))),0))</f>
        <v>0</v>
      </c>
      <c r="BQ100" s="56">
        <f>IF(BQ$2=Payroll!$I24,Payroll!$F24,IF(BQ$2&gt;Payroll!$I24,Payroll!$F24*((1+Payroll!$J24)^(ROUNDDOWN(DATEDIF(Payroll!$I24,BQ$2,"M")/Payroll!$K24,0))),0))</f>
        <v>0</v>
      </c>
      <c r="BR100" s="56">
        <f>IF(BR$2=Payroll!$I24,Payroll!$F24,IF(BR$2&gt;Payroll!$I24,Payroll!$F24*((1+Payroll!$J24)^(ROUNDDOWN(DATEDIF(Payroll!$I24,BR$2,"M")/Payroll!$K24,0))),0))</f>
        <v>0</v>
      </c>
      <c r="BS100" s="56">
        <f>IF(BS$2=Payroll!$I24,Payroll!$F24,IF(BS$2&gt;Payroll!$I24,Payroll!$F24*((1+Payroll!$J24)^(ROUNDDOWN(DATEDIF(Payroll!$I24,BS$2,"M")/Payroll!$K24,0))),0))</f>
        <v>0</v>
      </c>
      <c r="BT100" s="56">
        <f>IF(BT$2=Payroll!$I24,Payroll!$F24,IF(BT$2&gt;Payroll!$I24,Payroll!$F24*((1+Payroll!$J24)^(ROUNDDOWN(DATEDIF(Payroll!$I24,BT$2,"M")/Payroll!$K24,0))),0))</f>
        <v>0</v>
      </c>
      <c r="BU100" s="56">
        <f>IF(BU$2=Payroll!$I24,Payroll!$F24,IF(BU$2&gt;Payroll!$I24,Payroll!$F24*((1+Payroll!$J24)^(ROUNDDOWN(DATEDIF(Payroll!$I24,BU$2,"M")/Payroll!$K24,0))),0))</f>
        <v>0</v>
      </c>
      <c r="BV100" s="56">
        <f>IF(BV$2=Payroll!$I24,Payroll!$F24,IF(BV$2&gt;Payroll!$I24,Payroll!$F24*((1+Payroll!$J24)^(ROUNDDOWN(DATEDIF(Payroll!$I24,BV$2,"M")/Payroll!$K24,0))),0))</f>
        <v>0</v>
      </c>
      <c r="BW100" s="56">
        <f>IF(BW$2=Payroll!$I24,Payroll!$F24,IF(BW$2&gt;Payroll!$I24,Payroll!$F24*((1+Payroll!$J24)^(ROUNDDOWN(DATEDIF(Payroll!$I24,BW$2,"M")/Payroll!$K24,0))),0))</f>
        <v>0</v>
      </c>
      <c r="BX100" s="56">
        <f>IF(BX$2=Payroll!$I24,Payroll!$F24,IF(BX$2&gt;Payroll!$I24,Payroll!$F24*((1+Payroll!$J24)^(ROUNDDOWN(DATEDIF(Payroll!$I24,BX$2,"M")/Payroll!$K24,0))),0))</f>
        <v>0</v>
      </c>
      <c r="BY100" s="56">
        <f>IF(BY$2=Payroll!$I24,Payroll!$F24,IF(BY$2&gt;Payroll!$I24,Payroll!$F24*((1+Payroll!$J24)^(ROUNDDOWN(DATEDIF(Payroll!$I24,BY$2,"M")/Payroll!$K24,0))),0))</f>
        <v>0</v>
      </c>
      <c r="BZ100" s="56">
        <f>IF(BZ$2=Payroll!$I24,Payroll!$F24,IF(BZ$2&gt;Payroll!$I24,Payroll!$F24*((1+Payroll!$J24)^(ROUNDDOWN(DATEDIF(Payroll!$I24,BZ$2,"M")/Payroll!$K24,0))),0))</f>
        <v>0</v>
      </c>
      <c r="CA100" s="56">
        <f>IF(CA$2=Payroll!$I24,Payroll!$F24,IF(CA$2&gt;Payroll!$I24,Payroll!$F24*((1+Payroll!$J24)^(ROUNDDOWN(DATEDIF(Payroll!$I24,CA$2,"M")/Payroll!$K24,0))),0))</f>
        <v>0</v>
      </c>
      <c r="CB100" s="56">
        <f>IF(CB$2=Payroll!$I24,Payroll!$F24,IF(CB$2&gt;Payroll!$I24,Payroll!$F24*((1+Payroll!$J24)^(ROUNDDOWN(DATEDIF(Payroll!$I24,CB$2,"M")/Payroll!$K24,0))),0))</f>
        <v>0</v>
      </c>
      <c r="CC100" s="56">
        <f>IF(CC$2=Payroll!$I24,Payroll!$F24,IF(CC$2&gt;Payroll!$I24,Payroll!$F24*((1+Payroll!$J24)^(ROUNDDOWN(DATEDIF(Payroll!$I24,CC$2,"M")/Payroll!$K24,0))),0))</f>
        <v>0</v>
      </c>
      <c r="CD100" s="56">
        <f>IF(CD$2=Payroll!$I24,Payroll!$F24,IF(CD$2&gt;Payroll!$I24,Payroll!$F24*((1+Payroll!$J24)^(ROUNDDOWN(DATEDIF(Payroll!$I24,CD$2,"M")/Payroll!$K24,0))),0))</f>
        <v>0</v>
      </c>
      <c r="CE100" s="56">
        <f>IF(CE$2=Payroll!$I24,Payroll!$F24,IF(CE$2&gt;Payroll!$I24,Payroll!$F24*((1+Payroll!$J24)^(ROUNDDOWN(DATEDIF(Payroll!$I24,CE$2,"M")/Payroll!$K24,0))),0))</f>
        <v>0</v>
      </c>
      <c r="CF100" s="56">
        <f>IF(CF$2=Payroll!$I24,Payroll!$F24,IF(CF$2&gt;Payroll!$I24,Payroll!$F24*((1+Payroll!$J24)^(ROUNDDOWN(DATEDIF(Payroll!$I24,CF$2,"M")/Payroll!$K24,0))),0))</f>
        <v>0</v>
      </c>
      <c r="CG100" s="56">
        <f>IF(CG$2=Payroll!$I24,Payroll!$F24,IF(CG$2&gt;Payroll!$I24,Payroll!$F24*((1+Payroll!$J24)^(ROUNDDOWN(DATEDIF(Payroll!$I24,CG$2,"M")/Payroll!$K24,0))),0))</f>
        <v>0</v>
      </c>
      <c r="CH100" s="56">
        <f>IF(CH$2=Payroll!$I24,Payroll!$F24,IF(CH$2&gt;Payroll!$I24,Payroll!$F24*((1+Payroll!$J24)^(ROUNDDOWN(DATEDIF(Payroll!$I24,CH$2,"M")/Payroll!$K24,0))),0))</f>
        <v>0</v>
      </c>
      <c r="CI100" s="56">
        <f>IF(CI$2=Payroll!$I24,Payroll!$F24,IF(CI$2&gt;Payroll!$I24,Payroll!$F24*((1+Payroll!$J24)^(ROUNDDOWN(DATEDIF(Payroll!$I24,CI$2,"M")/Payroll!$K24,0))),0))</f>
        <v>0</v>
      </c>
      <c r="CJ100" s="56">
        <f>IF(CJ$2=Payroll!$I24,Payroll!$F24,IF(CJ$2&gt;Payroll!$I24,Payroll!$F24*((1+Payroll!$J24)^(ROUNDDOWN(DATEDIF(Payroll!$I24,CJ$2,"M")/Payroll!$K24,0))),0))</f>
        <v>0</v>
      </c>
      <c r="CK100" s="56">
        <f>IF(CK$2=Payroll!$I24,Payroll!$F24,IF(CK$2&gt;Payroll!$I24,Payroll!$F24*((1+Payroll!$J24)^(ROUNDDOWN(DATEDIF(Payroll!$I24,CK$2,"M")/Payroll!$K24,0))),0))</f>
        <v>0</v>
      </c>
      <c r="CL100" s="56">
        <f>IF(CL$2=Payroll!$I24,Payroll!$F24,IF(CL$2&gt;Payroll!$I24,Payroll!$F24*((1+Payroll!$J24)^(ROUNDDOWN(DATEDIF(Payroll!$I24,CL$2,"M")/Payroll!$K24,0))),0))</f>
        <v>0</v>
      </c>
      <c r="CM100" s="56">
        <f>IF(CM$2=Payroll!$I24,Payroll!$F24,IF(CM$2&gt;Payroll!$I24,Payroll!$F24*((1+Payroll!$J24)^(ROUNDDOWN(DATEDIF(Payroll!$I24,CM$2,"M")/Payroll!$K24,0))),0))</f>
        <v>0</v>
      </c>
      <c r="CN100" s="56">
        <f>IF(CN$2=Payroll!$I24,Payroll!$F24,IF(CN$2&gt;Payroll!$I24,Payroll!$F24*((1+Payroll!$J24)^(ROUNDDOWN(DATEDIF(Payroll!$I24,CN$2,"M")/Payroll!$K24,0))),0))</f>
        <v>0</v>
      </c>
      <c r="CO100" s="56">
        <f>IF(CO$2=Payroll!$I24,Payroll!$F24,IF(CO$2&gt;Payroll!$I24,Payroll!$F24*((1+Payroll!$J24)^(ROUNDDOWN(DATEDIF(Payroll!$I24,CO$2,"M")/Payroll!$K24,0))),0))</f>
        <v>0</v>
      </c>
      <c r="CP100" s="56">
        <f>IF(CP$2=Payroll!$I24,Payroll!$F24,IF(CP$2&gt;Payroll!$I24,Payroll!$F24*((1+Payroll!$J24)^(ROUNDDOWN(DATEDIF(Payroll!$I24,CP$2,"M")/Payroll!$K24,0))),0))</f>
        <v>0</v>
      </c>
      <c r="CQ100" s="56">
        <f>IF(CQ$2=Payroll!$I24,Payroll!$F24,IF(CQ$2&gt;Payroll!$I24,Payroll!$F24*((1+Payroll!$J24)^(ROUNDDOWN(DATEDIF(Payroll!$I24,CQ$2,"M")/Payroll!$K24,0))),0))</f>
        <v>0</v>
      </c>
      <c r="CR100" s="56">
        <f>IF(CR$2=Payroll!$I24,Payroll!$F24,IF(CR$2&gt;Payroll!$I24,Payroll!$F24*((1+Payroll!$J24)^(ROUNDDOWN(DATEDIF(Payroll!$I24,CR$2,"M")/Payroll!$K24,0))),0))</f>
        <v>0</v>
      </c>
      <c r="CS100" s="56">
        <f>IF(CS$2=Payroll!$I24,Payroll!$F24,IF(CS$2&gt;Payroll!$I24,Payroll!$F24*((1+Payroll!$J24)^(ROUNDDOWN(DATEDIF(Payroll!$I24,CS$2,"M")/Payroll!$K24,0))),0))</f>
        <v>0</v>
      </c>
      <c r="CT100" s="56">
        <f>IF(CT$2=Payroll!$I24,Payroll!$F24,IF(CT$2&gt;Payroll!$I24,Payroll!$F24*((1+Payroll!$J24)^(ROUNDDOWN(DATEDIF(Payroll!$I24,CT$2,"M")/Payroll!$K24,0))),0))</f>
        <v>0</v>
      </c>
      <c r="CU100" s="56">
        <f>IF(CU$2=Payroll!$I24,Payroll!$F24,IF(CU$2&gt;Payroll!$I24,Payroll!$F24*((1+Payroll!$J24)^(ROUNDDOWN(DATEDIF(Payroll!$I24,CU$2,"M")/Payroll!$K24,0))),0))</f>
        <v>0</v>
      </c>
      <c r="CV100" s="56">
        <f>IF(CV$2=Payroll!$I24,Payroll!$F24,IF(CV$2&gt;Payroll!$I24,Payroll!$F24*((1+Payroll!$J24)^(ROUNDDOWN(DATEDIF(Payroll!$I24,CV$2,"M")/Payroll!$K24,0))),0))</f>
        <v>0</v>
      </c>
      <c r="CW100" s="56">
        <f>IF(CW$2=Payroll!$I24,Payroll!$F24,IF(CW$2&gt;Payroll!$I24,Payroll!$F24*((1+Payroll!$J24)^(ROUNDDOWN(DATEDIF(Payroll!$I24,CW$2,"M")/Payroll!$K24,0))),0))</f>
        <v>0</v>
      </c>
      <c r="CX100" s="56">
        <f>IF(CX$2=Payroll!$I24,Payroll!$F24,IF(CX$2&gt;Payroll!$I24,Payroll!$F24*((1+Payroll!$J24)^(ROUNDDOWN(DATEDIF(Payroll!$I24,CX$2,"M")/Payroll!$K24,0))),0))</f>
        <v>0</v>
      </c>
    </row>
    <row r="101" ht="15.75" customHeight="1" outlineLevel="2">
      <c r="A101" s="56" t="str">
        <f>Payroll!A25</f>
        <v>Developer cross-platform</v>
      </c>
      <c r="B101" s="56"/>
      <c r="C101" s="56"/>
      <c r="D101" s="56"/>
      <c r="E101" s="56">
        <f>IF(E$2=Payroll!$I25,Payroll!$F25,IF(E$2&gt;Payroll!$I25,Payroll!$F25*((1+Payroll!$J25)^(ROUNDDOWN(DATEDIF(Payroll!$I25,E$2,"M")/Payroll!$K25,0))),0))</f>
        <v>0</v>
      </c>
      <c r="F101" s="56">
        <f>IF(F$2=Payroll!$I25,Payroll!$F25,IF(F$2&gt;Payroll!$I25,Payroll!$F25*((1+Payroll!$J25)^(ROUNDDOWN(DATEDIF(Payroll!$I25,F$2,"M")/Payroll!$K25,0))),0))</f>
        <v>0</v>
      </c>
      <c r="G101" s="56">
        <f>IF(G$2=Payroll!$I25,Payroll!$F25,IF(G$2&gt;Payroll!$I25,Payroll!$F25*((1+Payroll!$J25)^(ROUNDDOWN(DATEDIF(Payroll!$I25,G$2,"M")/Payroll!$K25,0))),0))</f>
        <v>0</v>
      </c>
      <c r="H101" s="56">
        <f>IF(H$2=Payroll!$I25,Payroll!$F25,IF(H$2&gt;Payroll!$I25,Payroll!$F25*((1+Payroll!$J25)^(ROUNDDOWN(DATEDIF(Payroll!$I25,H$2,"M")/Payroll!$K25,0))),0))</f>
        <v>0</v>
      </c>
      <c r="I101" s="56">
        <f>IF(I$2=Payroll!$I25,Payroll!$F25,IF(I$2&gt;Payroll!$I25,Payroll!$F25*((1+Payroll!$J25)^(ROUNDDOWN(DATEDIF(Payroll!$I25,I$2,"M")/Payroll!$K25,0))),0))</f>
        <v>0</v>
      </c>
      <c r="J101" s="56">
        <f>IF(J$2=Payroll!$I25,Payroll!$F25,IF(J$2&gt;Payroll!$I25,Payroll!$F25*((1+Payroll!$J25)^(ROUNDDOWN(DATEDIF(Payroll!$I25,J$2,"M")/Payroll!$K25,0))),0))</f>
        <v>0</v>
      </c>
      <c r="K101" s="56">
        <f>IF(K$2=Payroll!$I25,Payroll!$F25,IF(K$2&gt;Payroll!$I25,Payroll!$F25*((1+Payroll!$J25)^(ROUNDDOWN(DATEDIF(Payroll!$I25,K$2,"M")/Payroll!$K25,0))),0))</f>
        <v>0</v>
      </c>
      <c r="L101" s="56">
        <f>IF(L$2=Payroll!$I25,Payroll!$F25,IF(L$2&gt;Payroll!$I25,Payroll!$F25*((1+Payroll!$J25)^(ROUNDDOWN(DATEDIF(Payroll!$I25,L$2,"M")/Payroll!$K25,0))),0))</f>
        <v>0</v>
      </c>
      <c r="M101" s="56">
        <f>IF(M$2=Payroll!$I25,Payroll!$F25,IF(M$2&gt;Payroll!$I25,Payroll!$F25*((1+Payroll!$J25)^(ROUNDDOWN(DATEDIF(Payroll!$I25,M$2,"M")/Payroll!$K25,0))),0))</f>
        <v>0</v>
      </c>
      <c r="N101" s="56">
        <f>IF(N$2=Payroll!$I25,Payroll!$F25,IF(N$2&gt;Payroll!$I25,Payroll!$F25*((1+Payroll!$J25)^(ROUNDDOWN(DATEDIF(Payroll!$I25,N$2,"M")/Payroll!$K25,0))),0))</f>
        <v>0</v>
      </c>
      <c r="O101" s="56">
        <f>IF(O$2=Payroll!$I25,Payroll!$F25,IF(O$2&gt;Payroll!$I25,Payroll!$F25*((1+Payroll!$J25)^(ROUNDDOWN(DATEDIF(Payroll!$I25,O$2,"M")/Payroll!$K25,0))),0))</f>
        <v>0</v>
      </c>
      <c r="P101" s="56">
        <f>IF(P$2=Payroll!$I25,Payroll!$F25,IF(P$2&gt;Payroll!$I25,Payroll!$F25*((1+Payroll!$J25)^(ROUNDDOWN(DATEDIF(Payroll!$I25,P$2,"M")/Payroll!$K25,0))),0))</f>
        <v>0</v>
      </c>
      <c r="Q101" s="56">
        <f>IF(Q$2=Payroll!$I25,Payroll!$F25,IF(Q$2&gt;Payroll!$I25,Payroll!$F25*((1+Payroll!$J25)^(ROUNDDOWN(DATEDIF(Payroll!$I25,Q$2,"M")/Payroll!$K25,0))),0))</f>
        <v>0</v>
      </c>
      <c r="R101" s="56">
        <f>IF(R$2=Payroll!$I25,Payroll!$F25,IF(R$2&gt;Payroll!$I25,Payroll!$F25*((1+Payroll!$J25)^(ROUNDDOWN(DATEDIF(Payroll!$I25,R$2,"M")/Payroll!$K25,0))),0))</f>
        <v>0</v>
      </c>
      <c r="S101" s="56">
        <f>IF(S$2=Payroll!$I25,Payroll!$F25,IF(S$2&gt;Payroll!$I25,Payroll!$F25*((1+Payroll!$J25)^(ROUNDDOWN(DATEDIF(Payroll!$I25,S$2,"M")/Payroll!$K25,0))),0))</f>
        <v>0</v>
      </c>
      <c r="T101" s="56">
        <f>IF(T$2=Payroll!$I25,Payroll!$F25,IF(T$2&gt;Payroll!$I25,Payroll!$F25*((1+Payroll!$J25)^(ROUNDDOWN(DATEDIF(Payroll!$I25,T$2,"M")/Payroll!$K25,0))),0))</f>
        <v>0</v>
      </c>
      <c r="U101" s="56">
        <f>IF(U$2=Payroll!$I25,Payroll!$F25,IF(U$2&gt;Payroll!$I25,Payroll!$F25*((1+Payroll!$J25)^(ROUNDDOWN(DATEDIF(Payroll!$I25,U$2,"M")/Payroll!$K25,0))),0))</f>
        <v>0</v>
      </c>
      <c r="V101" s="56">
        <f>IF(V$2=Payroll!$I25,Payroll!$F25,IF(V$2&gt;Payroll!$I25,Payroll!$F25*((1+Payroll!$J25)^(ROUNDDOWN(DATEDIF(Payroll!$I25,V$2,"M")/Payroll!$K25,0))),0))</f>
        <v>0</v>
      </c>
      <c r="W101" s="56">
        <f>IF(W$2=Payroll!$I25,Payroll!$F25,IF(W$2&gt;Payroll!$I25,Payroll!$F25*((1+Payroll!$J25)^(ROUNDDOWN(DATEDIF(Payroll!$I25,W$2,"M")/Payroll!$K25,0))),0))</f>
        <v>0</v>
      </c>
      <c r="X101" s="56">
        <f>IF(X$2=Payroll!$I25,Payroll!$F25,IF(X$2&gt;Payroll!$I25,Payroll!$F25*((1+Payroll!$J25)^(ROUNDDOWN(DATEDIF(Payroll!$I25,X$2,"M")/Payroll!$K25,0))),0))</f>
        <v>0</v>
      </c>
      <c r="Y101" s="56">
        <f>IF(Y$2=Payroll!$I25,Payroll!$F25,IF(Y$2&gt;Payroll!$I25,Payroll!$F25*((1+Payroll!$J25)^(ROUNDDOWN(DATEDIF(Payroll!$I25,Y$2,"M")/Payroll!$K25,0))),0))</f>
        <v>0</v>
      </c>
      <c r="Z101" s="56">
        <f>IF(Z$2=Payroll!$I25,Payroll!$F25,IF(Z$2&gt;Payroll!$I25,Payroll!$F25*((1+Payroll!$J25)^(ROUNDDOWN(DATEDIF(Payroll!$I25,Z$2,"M")/Payroll!$K25,0))),0))</f>
        <v>0</v>
      </c>
      <c r="AA101" s="56">
        <f>IF(AA$2=Payroll!$I25,Payroll!$F25,IF(AA$2&gt;Payroll!$I25,Payroll!$F25*((1+Payroll!$J25)^(ROUNDDOWN(DATEDIF(Payroll!$I25,AA$2,"M")/Payroll!$K25,0))),0))</f>
        <v>0</v>
      </c>
      <c r="AB101" s="56">
        <f>IF(AB$2=Payroll!$I25,Payroll!$F25,IF(AB$2&gt;Payroll!$I25,Payroll!$F25*((1+Payroll!$J25)^(ROUNDDOWN(DATEDIF(Payroll!$I25,AB$2,"M")/Payroll!$K25,0))),0))</f>
        <v>0</v>
      </c>
      <c r="AC101" s="56">
        <f>IF(AC$2=Payroll!$I25,Payroll!$F25,IF(AC$2&gt;Payroll!$I25,Payroll!$F25*((1+Payroll!$J25)^(ROUNDDOWN(DATEDIF(Payroll!$I25,AC$2,"M")/Payroll!$K25,0))),0))</f>
        <v>0</v>
      </c>
      <c r="AD101" s="56">
        <f>IF(AD$2=Payroll!$I25,Payroll!$F25,IF(AD$2&gt;Payroll!$I25,Payroll!$F25*((1+Payroll!$J25)^(ROUNDDOWN(DATEDIF(Payroll!$I25,AD$2,"M")/Payroll!$K25,0))),0))</f>
        <v>0</v>
      </c>
      <c r="AE101" s="56">
        <f>IF(AE$2=Payroll!$I25,Payroll!$F25,IF(AE$2&gt;Payroll!$I25,Payroll!$F25*((1+Payroll!$J25)^(ROUNDDOWN(DATEDIF(Payroll!$I25,AE$2,"M")/Payroll!$K25,0))),0))</f>
        <v>0</v>
      </c>
      <c r="AF101" s="56">
        <f>IF(AF$2=Payroll!$I25,Payroll!$F25,IF(AF$2&gt;Payroll!$I25,Payroll!$F25*((1+Payroll!$J25)^(ROUNDDOWN(DATEDIF(Payroll!$I25,AF$2,"M")/Payroll!$K25,0))),0))</f>
        <v>0</v>
      </c>
      <c r="AG101" s="56">
        <f>IF(AG$2=Payroll!$I25,Payroll!$F25,IF(AG$2&gt;Payroll!$I25,Payroll!$F25*((1+Payroll!$J25)^(ROUNDDOWN(DATEDIF(Payroll!$I25,AG$2,"M")/Payroll!$K25,0))),0))</f>
        <v>0</v>
      </c>
      <c r="AH101" s="56">
        <f>IF(AH$2=Payroll!$I25,Payroll!$F25,IF(AH$2&gt;Payroll!$I25,Payroll!$F25*((1+Payroll!$J25)^(ROUNDDOWN(DATEDIF(Payroll!$I25,AH$2,"M")/Payroll!$K25,0))),0))</f>
        <v>0</v>
      </c>
      <c r="AI101" s="56">
        <f>IF(AI$2=Payroll!$I25,Payroll!$F25,IF(AI$2&gt;Payroll!$I25,Payroll!$F25*((1+Payroll!$J25)^(ROUNDDOWN(DATEDIF(Payroll!$I25,AI$2,"M")/Payroll!$K25,0))),0))</f>
        <v>0</v>
      </c>
      <c r="AJ101" s="56">
        <f>IF(AJ$2=Payroll!$I25,Payroll!$F25,IF(AJ$2&gt;Payroll!$I25,Payroll!$F25*((1+Payroll!$J25)^(ROUNDDOWN(DATEDIF(Payroll!$I25,AJ$2,"M")/Payroll!$K25,0))),0))</f>
        <v>0</v>
      </c>
      <c r="AK101" s="56">
        <f>IF(AK$2=Payroll!$I25,Payroll!$F25,IF(AK$2&gt;Payroll!$I25,Payroll!$F25*((1+Payroll!$J25)^(ROUNDDOWN(DATEDIF(Payroll!$I25,AK$2,"M")/Payroll!$K25,0))),0))</f>
        <v>0</v>
      </c>
      <c r="AL101" s="56">
        <f>IF(AL$2=Payroll!$I25,Payroll!$F25,IF(AL$2&gt;Payroll!$I25,Payroll!$F25*((1+Payroll!$J25)^(ROUNDDOWN(DATEDIF(Payroll!$I25,AL$2,"M")/Payroll!$K25,0))),0))</f>
        <v>0</v>
      </c>
      <c r="AM101" s="56">
        <f>IF(AM$2=Payroll!$I25,Payroll!$F25,IF(AM$2&gt;Payroll!$I25,Payroll!$F25*((1+Payroll!$J25)^(ROUNDDOWN(DATEDIF(Payroll!$I25,AM$2,"M")/Payroll!$K25,0))),0))</f>
        <v>0</v>
      </c>
      <c r="AN101" s="56">
        <f>IF(AN$2=Payroll!$I25,Payroll!$F25,IF(AN$2&gt;Payroll!$I25,Payroll!$F25*((1+Payroll!$J25)^(ROUNDDOWN(DATEDIF(Payroll!$I25,AN$2,"M")/Payroll!$K25,0))),0))</f>
        <v>0</v>
      </c>
      <c r="AO101" s="56">
        <f>IF(AO$2=Payroll!$I25,Payroll!$F25,IF(AO$2&gt;Payroll!$I25,Payroll!$F25*((1+Payroll!$J25)^(ROUNDDOWN(DATEDIF(Payroll!$I25,AO$2,"M")/Payroll!$K25,0))),0))</f>
        <v>0</v>
      </c>
      <c r="AP101" s="56">
        <f>IF(AP$2=Payroll!$I25,Payroll!$F25,IF(AP$2&gt;Payroll!$I25,Payroll!$F25*((1+Payroll!$J25)^(ROUNDDOWN(DATEDIF(Payroll!$I25,AP$2,"M")/Payroll!$K25,0))),0))</f>
        <v>0</v>
      </c>
      <c r="AQ101" s="56">
        <f>IF(AQ$2=Payroll!$I25,Payroll!$F25,IF(AQ$2&gt;Payroll!$I25,Payroll!$F25*((1+Payroll!$J25)^(ROUNDDOWN(DATEDIF(Payroll!$I25,AQ$2,"M")/Payroll!$K25,0))),0))</f>
        <v>0</v>
      </c>
      <c r="AR101" s="56">
        <f>IF(AR$2=Payroll!$I25,Payroll!$F25,IF(AR$2&gt;Payroll!$I25,Payroll!$F25*((1+Payroll!$J25)^(ROUNDDOWN(DATEDIF(Payroll!$I25,AR$2,"M")/Payroll!$K25,0))),0))</f>
        <v>0</v>
      </c>
      <c r="AS101" s="56">
        <f>IF(AS$2=Payroll!$I25,Payroll!$F25,IF(AS$2&gt;Payroll!$I25,Payroll!$F25*((1+Payroll!$J25)^(ROUNDDOWN(DATEDIF(Payroll!$I25,AS$2,"M")/Payroll!$K25,0))),0))</f>
        <v>0</v>
      </c>
      <c r="AT101" s="56">
        <f>IF(AT$2=Payroll!$I25,Payroll!$F25,IF(AT$2&gt;Payroll!$I25,Payroll!$F25*((1+Payroll!$J25)^(ROUNDDOWN(DATEDIF(Payroll!$I25,AT$2,"M")/Payroll!$K25,0))),0))</f>
        <v>0</v>
      </c>
      <c r="AU101" s="56">
        <f>IF(AU$2=Payroll!$I25,Payroll!$F25,IF(AU$2&gt;Payroll!$I25,Payroll!$F25*((1+Payroll!$J25)^(ROUNDDOWN(DATEDIF(Payroll!$I25,AU$2,"M")/Payroll!$K25,0))),0))</f>
        <v>0</v>
      </c>
      <c r="AV101" s="56">
        <f>IF(AV$2=Payroll!$I25,Payroll!$F25,IF(AV$2&gt;Payroll!$I25,Payroll!$F25*((1+Payroll!$J25)^(ROUNDDOWN(DATEDIF(Payroll!$I25,AV$2,"M")/Payroll!$K25,0))),0))</f>
        <v>0</v>
      </c>
      <c r="AW101" s="56">
        <f>IF(AW$2=Payroll!$I25,Payroll!$F25,IF(AW$2&gt;Payroll!$I25,Payroll!$F25*((1+Payroll!$J25)^(ROUNDDOWN(DATEDIF(Payroll!$I25,AW$2,"M")/Payroll!$K25,0))),0))</f>
        <v>0</v>
      </c>
      <c r="AX101" s="56">
        <f>IF(AX$2=Payroll!$I25,Payroll!$F25,IF(AX$2&gt;Payroll!$I25,Payroll!$F25*((1+Payroll!$J25)^(ROUNDDOWN(DATEDIF(Payroll!$I25,AX$2,"M")/Payroll!$K25,0))),0))</f>
        <v>0</v>
      </c>
      <c r="AY101" s="56">
        <f>IF(AY$2=Payroll!$I25,Payroll!$F25,IF(AY$2&gt;Payroll!$I25,Payroll!$F25*((1+Payroll!$J25)^(ROUNDDOWN(DATEDIF(Payroll!$I25,AY$2,"M")/Payroll!$K25,0))),0))</f>
        <v>0</v>
      </c>
      <c r="AZ101" s="56">
        <f>IF(AZ$2=Payroll!$I25,Payroll!$F25,IF(AZ$2&gt;Payroll!$I25,Payroll!$F25*((1+Payroll!$J25)^(ROUNDDOWN(DATEDIF(Payroll!$I25,AZ$2,"M")/Payroll!$K25,0))),0))</f>
        <v>0</v>
      </c>
      <c r="BA101" s="56">
        <f>IF(BA$2=Payroll!$I25,Payroll!$F25,IF(BA$2&gt;Payroll!$I25,Payroll!$F25*((1+Payroll!$J25)^(ROUNDDOWN(DATEDIF(Payroll!$I25,BA$2,"M")/Payroll!$K25,0))),0))</f>
        <v>0</v>
      </c>
      <c r="BB101" s="56">
        <f>IF(BB$2=Payroll!$I25,Payroll!$F25,IF(BB$2&gt;Payroll!$I25,Payroll!$F25*((1+Payroll!$J25)^(ROUNDDOWN(DATEDIF(Payroll!$I25,BB$2,"M")/Payroll!$K25,0))),0))</f>
        <v>0</v>
      </c>
      <c r="BC101" s="56">
        <f>IF(BC$2=Payroll!$I25,Payroll!$F25,IF(BC$2&gt;Payroll!$I25,Payroll!$F25*((1+Payroll!$J25)^(ROUNDDOWN(DATEDIF(Payroll!$I25,BC$2,"M")/Payroll!$K25,0))),0))</f>
        <v>0</v>
      </c>
      <c r="BD101" s="56">
        <f>IF(BD$2=Payroll!$I25,Payroll!$F25,IF(BD$2&gt;Payroll!$I25,Payroll!$F25*((1+Payroll!$J25)^(ROUNDDOWN(DATEDIF(Payroll!$I25,BD$2,"M")/Payroll!$K25,0))),0))</f>
        <v>0</v>
      </c>
      <c r="BE101" s="56">
        <f>IF(BE$2=Payroll!$I25,Payroll!$F25,IF(BE$2&gt;Payroll!$I25,Payroll!$F25*((1+Payroll!$J25)^(ROUNDDOWN(DATEDIF(Payroll!$I25,BE$2,"M")/Payroll!$K25,0))),0))</f>
        <v>0</v>
      </c>
      <c r="BF101" s="56">
        <f>IF(BF$2=Payroll!$I25,Payroll!$F25,IF(BF$2&gt;Payroll!$I25,Payroll!$F25*((1+Payroll!$J25)^(ROUNDDOWN(DATEDIF(Payroll!$I25,BF$2,"M")/Payroll!$K25,0))),0))</f>
        <v>0</v>
      </c>
      <c r="BG101" s="56">
        <f>IF(BG$2=Payroll!$I25,Payroll!$F25,IF(BG$2&gt;Payroll!$I25,Payroll!$F25*((1+Payroll!$J25)^(ROUNDDOWN(DATEDIF(Payroll!$I25,BG$2,"M")/Payroll!$K25,0))),0))</f>
        <v>0</v>
      </c>
      <c r="BH101" s="56">
        <f>IF(BH$2=Payroll!$I25,Payroll!$F25,IF(BH$2&gt;Payroll!$I25,Payroll!$F25*((1+Payroll!$J25)^(ROUNDDOWN(DATEDIF(Payroll!$I25,BH$2,"M")/Payroll!$K25,0))),0))</f>
        <v>0</v>
      </c>
      <c r="BI101" s="56">
        <f>IF(BI$2=Payroll!$I25,Payroll!$F25,IF(BI$2&gt;Payroll!$I25,Payroll!$F25*((1+Payroll!$J25)^(ROUNDDOWN(DATEDIF(Payroll!$I25,BI$2,"M")/Payroll!$K25,0))),0))</f>
        <v>0</v>
      </c>
      <c r="BJ101" s="56">
        <f>IF(BJ$2=Payroll!$I25,Payroll!$F25,IF(BJ$2&gt;Payroll!$I25,Payroll!$F25*((1+Payroll!$J25)^(ROUNDDOWN(DATEDIF(Payroll!$I25,BJ$2,"M")/Payroll!$K25,0))),0))</f>
        <v>0</v>
      </c>
      <c r="BK101" s="56">
        <f>IF(BK$2=Payroll!$I25,Payroll!$F25,IF(BK$2&gt;Payroll!$I25,Payroll!$F25*((1+Payroll!$J25)^(ROUNDDOWN(DATEDIF(Payroll!$I25,BK$2,"M")/Payroll!$K25,0))),0))</f>
        <v>0</v>
      </c>
      <c r="BL101" s="56">
        <f>IF(BL$2=Payroll!$I25,Payroll!$F25,IF(BL$2&gt;Payroll!$I25,Payroll!$F25*((1+Payroll!$J25)^(ROUNDDOWN(DATEDIF(Payroll!$I25,BL$2,"M")/Payroll!$K25,0))),0))</f>
        <v>0</v>
      </c>
      <c r="BM101" s="56">
        <f>IF(BM$2=Payroll!$I25,Payroll!$F25,IF(BM$2&gt;Payroll!$I25,Payroll!$F25*((1+Payroll!$J25)^(ROUNDDOWN(DATEDIF(Payroll!$I25,BM$2,"M")/Payroll!$K25,0))),0))</f>
        <v>0</v>
      </c>
      <c r="BN101" s="56">
        <f>IF(BN$2=Payroll!$I25,Payroll!$F25,IF(BN$2&gt;Payroll!$I25,Payroll!$F25*((1+Payroll!$J25)^(ROUNDDOWN(DATEDIF(Payroll!$I25,BN$2,"M")/Payroll!$K25,0))),0))</f>
        <v>0</v>
      </c>
      <c r="BO101" s="56">
        <f>IF(BO$2=Payroll!$I25,Payroll!$F25,IF(BO$2&gt;Payroll!$I25,Payroll!$F25*((1+Payroll!$J25)^(ROUNDDOWN(DATEDIF(Payroll!$I25,BO$2,"M")/Payroll!$K25,0))),0))</f>
        <v>0</v>
      </c>
      <c r="BP101" s="56">
        <f>IF(BP$2=Payroll!$I25,Payroll!$F25,IF(BP$2&gt;Payroll!$I25,Payroll!$F25*((1+Payroll!$J25)^(ROUNDDOWN(DATEDIF(Payroll!$I25,BP$2,"M")/Payroll!$K25,0))),0))</f>
        <v>0</v>
      </c>
      <c r="BQ101" s="56">
        <f>IF(BQ$2=Payroll!$I25,Payroll!$F25,IF(BQ$2&gt;Payroll!$I25,Payroll!$F25*((1+Payroll!$J25)^(ROUNDDOWN(DATEDIF(Payroll!$I25,BQ$2,"M")/Payroll!$K25,0))),0))</f>
        <v>0</v>
      </c>
      <c r="BR101" s="56">
        <f>IF(BR$2=Payroll!$I25,Payroll!$F25,IF(BR$2&gt;Payroll!$I25,Payroll!$F25*((1+Payroll!$J25)^(ROUNDDOWN(DATEDIF(Payroll!$I25,BR$2,"M")/Payroll!$K25,0))),0))</f>
        <v>0</v>
      </c>
      <c r="BS101" s="56">
        <f>IF(BS$2=Payroll!$I25,Payroll!$F25,IF(BS$2&gt;Payroll!$I25,Payroll!$F25*((1+Payroll!$J25)^(ROUNDDOWN(DATEDIF(Payroll!$I25,BS$2,"M")/Payroll!$K25,0))),0))</f>
        <v>0</v>
      </c>
      <c r="BT101" s="56">
        <f>IF(BT$2=Payroll!$I25,Payroll!$F25,IF(BT$2&gt;Payroll!$I25,Payroll!$F25*((1+Payroll!$J25)^(ROUNDDOWN(DATEDIF(Payroll!$I25,BT$2,"M")/Payroll!$K25,0))),0))</f>
        <v>0</v>
      </c>
      <c r="BU101" s="56">
        <f>IF(BU$2=Payroll!$I25,Payroll!$F25,IF(BU$2&gt;Payroll!$I25,Payroll!$F25*((1+Payroll!$J25)^(ROUNDDOWN(DATEDIF(Payroll!$I25,BU$2,"M")/Payroll!$K25,0))),0))</f>
        <v>0</v>
      </c>
      <c r="BV101" s="56">
        <f>IF(BV$2=Payroll!$I25,Payroll!$F25,IF(BV$2&gt;Payroll!$I25,Payroll!$F25*((1+Payroll!$J25)^(ROUNDDOWN(DATEDIF(Payroll!$I25,BV$2,"M")/Payroll!$K25,0))),0))</f>
        <v>0</v>
      </c>
      <c r="BW101" s="56">
        <f>IF(BW$2=Payroll!$I25,Payroll!$F25,IF(BW$2&gt;Payroll!$I25,Payroll!$F25*((1+Payroll!$J25)^(ROUNDDOWN(DATEDIF(Payroll!$I25,BW$2,"M")/Payroll!$K25,0))),0))</f>
        <v>0</v>
      </c>
      <c r="BX101" s="56">
        <f>IF(BX$2=Payroll!$I25,Payroll!$F25,IF(BX$2&gt;Payroll!$I25,Payroll!$F25*((1+Payroll!$J25)^(ROUNDDOWN(DATEDIF(Payroll!$I25,BX$2,"M")/Payroll!$K25,0))),0))</f>
        <v>0</v>
      </c>
      <c r="BY101" s="56">
        <f>IF(BY$2=Payroll!$I25,Payroll!$F25,IF(BY$2&gt;Payroll!$I25,Payroll!$F25*((1+Payroll!$J25)^(ROUNDDOWN(DATEDIF(Payroll!$I25,BY$2,"M")/Payroll!$K25,0))),0))</f>
        <v>0</v>
      </c>
      <c r="BZ101" s="56">
        <f>IF(BZ$2=Payroll!$I25,Payroll!$F25,IF(BZ$2&gt;Payroll!$I25,Payroll!$F25*((1+Payroll!$J25)^(ROUNDDOWN(DATEDIF(Payroll!$I25,BZ$2,"M")/Payroll!$K25,0))),0))</f>
        <v>0</v>
      </c>
      <c r="CA101" s="56">
        <f>IF(CA$2=Payroll!$I25,Payroll!$F25,IF(CA$2&gt;Payroll!$I25,Payroll!$F25*((1+Payroll!$J25)^(ROUNDDOWN(DATEDIF(Payroll!$I25,CA$2,"M")/Payroll!$K25,0))),0))</f>
        <v>0</v>
      </c>
      <c r="CB101" s="56">
        <f>IF(CB$2=Payroll!$I25,Payroll!$F25,IF(CB$2&gt;Payroll!$I25,Payroll!$F25*((1+Payroll!$J25)^(ROUNDDOWN(DATEDIF(Payroll!$I25,CB$2,"M")/Payroll!$K25,0))),0))</f>
        <v>0</v>
      </c>
      <c r="CC101" s="56">
        <f>IF(CC$2=Payroll!$I25,Payroll!$F25,IF(CC$2&gt;Payroll!$I25,Payroll!$F25*((1+Payroll!$J25)^(ROUNDDOWN(DATEDIF(Payroll!$I25,CC$2,"M")/Payroll!$K25,0))),0))</f>
        <v>0</v>
      </c>
      <c r="CD101" s="56">
        <f>IF(CD$2=Payroll!$I25,Payroll!$F25,IF(CD$2&gt;Payroll!$I25,Payroll!$F25*((1+Payroll!$J25)^(ROUNDDOWN(DATEDIF(Payroll!$I25,CD$2,"M")/Payroll!$K25,0))),0))</f>
        <v>0</v>
      </c>
      <c r="CE101" s="56">
        <f>IF(CE$2=Payroll!$I25,Payroll!$F25,IF(CE$2&gt;Payroll!$I25,Payroll!$F25*((1+Payroll!$J25)^(ROUNDDOWN(DATEDIF(Payroll!$I25,CE$2,"M")/Payroll!$K25,0))),0))</f>
        <v>0</v>
      </c>
      <c r="CF101" s="56">
        <f>IF(CF$2=Payroll!$I25,Payroll!$F25,IF(CF$2&gt;Payroll!$I25,Payroll!$F25*((1+Payroll!$J25)^(ROUNDDOWN(DATEDIF(Payroll!$I25,CF$2,"M")/Payroll!$K25,0))),0))</f>
        <v>0</v>
      </c>
      <c r="CG101" s="56">
        <f>IF(CG$2=Payroll!$I25,Payroll!$F25,IF(CG$2&gt;Payroll!$I25,Payroll!$F25*((1+Payroll!$J25)^(ROUNDDOWN(DATEDIF(Payroll!$I25,CG$2,"M")/Payroll!$K25,0))),0))</f>
        <v>0</v>
      </c>
      <c r="CH101" s="56">
        <f>IF(CH$2=Payroll!$I25,Payroll!$F25,IF(CH$2&gt;Payroll!$I25,Payroll!$F25*((1+Payroll!$J25)^(ROUNDDOWN(DATEDIF(Payroll!$I25,CH$2,"M")/Payroll!$K25,0))),0))</f>
        <v>0</v>
      </c>
      <c r="CI101" s="56">
        <f>IF(CI$2=Payroll!$I25,Payroll!$F25,IF(CI$2&gt;Payroll!$I25,Payroll!$F25*((1+Payroll!$J25)^(ROUNDDOWN(DATEDIF(Payroll!$I25,CI$2,"M")/Payroll!$K25,0))),0))</f>
        <v>0</v>
      </c>
      <c r="CJ101" s="56">
        <f>IF(CJ$2=Payroll!$I25,Payroll!$F25,IF(CJ$2&gt;Payroll!$I25,Payroll!$F25*((1+Payroll!$J25)^(ROUNDDOWN(DATEDIF(Payroll!$I25,CJ$2,"M")/Payroll!$K25,0))),0))</f>
        <v>0</v>
      </c>
      <c r="CK101" s="56">
        <f>IF(CK$2=Payroll!$I25,Payroll!$F25,IF(CK$2&gt;Payroll!$I25,Payroll!$F25*((1+Payroll!$J25)^(ROUNDDOWN(DATEDIF(Payroll!$I25,CK$2,"M")/Payroll!$K25,0))),0))</f>
        <v>0</v>
      </c>
      <c r="CL101" s="56">
        <f>IF(CL$2=Payroll!$I25,Payroll!$F25,IF(CL$2&gt;Payroll!$I25,Payroll!$F25*((1+Payroll!$J25)^(ROUNDDOWN(DATEDIF(Payroll!$I25,CL$2,"M")/Payroll!$K25,0))),0))</f>
        <v>0</v>
      </c>
      <c r="CM101" s="56">
        <f>IF(CM$2=Payroll!$I25,Payroll!$F25,IF(CM$2&gt;Payroll!$I25,Payroll!$F25*((1+Payroll!$J25)^(ROUNDDOWN(DATEDIF(Payroll!$I25,CM$2,"M")/Payroll!$K25,0))),0))</f>
        <v>0</v>
      </c>
      <c r="CN101" s="56">
        <f>IF(CN$2=Payroll!$I25,Payroll!$F25,IF(CN$2&gt;Payroll!$I25,Payroll!$F25*((1+Payroll!$J25)^(ROUNDDOWN(DATEDIF(Payroll!$I25,CN$2,"M")/Payroll!$K25,0))),0))</f>
        <v>0</v>
      </c>
      <c r="CO101" s="56">
        <f>IF(CO$2=Payroll!$I25,Payroll!$F25,IF(CO$2&gt;Payroll!$I25,Payroll!$F25*((1+Payroll!$J25)^(ROUNDDOWN(DATEDIF(Payroll!$I25,CO$2,"M")/Payroll!$K25,0))),0))</f>
        <v>0</v>
      </c>
      <c r="CP101" s="56">
        <f>IF(CP$2=Payroll!$I25,Payroll!$F25,IF(CP$2&gt;Payroll!$I25,Payroll!$F25*((1+Payroll!$J25)^(ROUNDDOWN(DATEDIF(Payroll!$I25,CP$2,"M")/Payroll!$K25,0))),0))</f>
        <v>0</v>
      </c>
      <c r="CQ101" s="56">
        <f>IF(CQ$2=Payroll!$I25,Payroll!$F25,IF(CQ$2&gt;Payroll!$I25,Payroll!$F25*((1+Payroll!$J25)^(ROUNDDOWN(DATEDIF(Payroll!$I25,CQ$2,"M")/Payroll!$K25,0))),0))</f>
        <v>0</v>
      </c>
      <c r="CR101" s="56">
        <f>IF(CR$2=Payroll!$I25,Payroll!$F25,IF(CR$2&gt;Payroll!$I25,Payroll!$F25*((1+Payroll!$J25)^(ROUNDDOWN(DATEDIF(Payroll!$I25,CR$2,"M")/Payroll!$K25,0))),0))</f>
        <v>0</v>
      </c>
      <c r="CS101" s="56">
        <f>IF(CS$2=Payroll!$I25,Payroll!$F25,IF(CS$2&gt;Payroll!$I25,Payroll!$F25*((1+Payroll!$J25)^(ROUNDDOWN(DATEDIF(Payroll!$I25,CS$2,"M")/Payroll!$K25,0))),0))</f>
        <v>0</v>
      </c>
      <c r="CT101" s="56">
        <f>IF(CT$2=Payroll!$I25,Payroll!$F25,IF(CT$2&gt;Payroll!$I25,Payroll!$F25*((1+Payroll!$J25)^(ROUNDDOWN(DATEDIF(Payroll!$I25,CT$2,"M")/Payroll!$K25,0))),0))</f>
        <v>0</v>
      </c>
      <c r="CU101" s="56">
        <f>IF(CU$2=Payroll!$I25,Payroll!$F25,IF(CU$2&gt;Payroll!$I25,Payroll!$F25*((1+Payroll!$J25)^(ROUNDDOWN(DATEDIF(Payroll!$I25,CU$2,"M")/Payroll!$K25,0))),0))</f>
        <v>0</v>
      </c>
      <c r="CV101" s="56">
        <f>IF(CV$2=Payroll!$I25,Payroll!$F25,IF(CV$2&gt;Payroll!$I25,Payroll!$F25*((1+Payroll!$J25)^(ROUNDDOWN(DATEDIF(Payroll!$I25,CV$2,"M")/Payroll!$K25,0))),0))</f>
        <v>0</v>
      </c>
      <c r="CW101" s="56">
        <f>IF(CW$2=Payroll!$I25,Payroll!$F25,IF(CW$2&gt;Payroll!$I25,Payroll!$F25*((1+Payroll!$J25)^(ROUNDDOWN(DATEDIF(Payroll!$I25,CW$2,"M")/Payroll!$K25,0))),0))</f>
        <v>0</v>
      </c>
      <c r="CX101" s="56">
        <f>IF(CX$2=Payroll!$I25,Payroll!$F25,IF(CX$2&gt;Payroll!$I25,Payroll!$F25*((1+Payroll!$J25)^(ROUNDDOWN(DATEDIF(Payroll!$I25,CX$2,"M")/Payroll!$K25,0))),0))</f>
        <v>0</v>
      </c>
    </row>
    <row r="102" ht="15.75" customHeight="1" outlineLevel="2">
      <c r="A102" s="56" t="str">
        <f>Payroll!A28</f>
        <v>Employee 4</v>
      </c>
      <c r="B102" s="56"/>
      <c r="C102" s="56"/>
      <c r="D102" s="56"/>
      <c r="E102" s="56">
        <f>IF(E$2=Payroll!$I28,Payroll!$F28,IF(E$2&gt;Payroll!$I28,Payroll!$F28*((1+Payroll!$J28)^(ROUNDDOWN(DATEDIF(Payroll!$I28,E$2,"M")/Payroll!$K28,0))),0))</f>
        <v>0</v>
      </c>
      <c r="F102" s="56">
        <f>IF(F$2=Payroll!$I28,Payroll!$F28,IF(F$2&gt;Payroll!$I28,Payroll!$F28*((1+Payroll!$J28)^(ROUNDDOWN(DATEDIF(Payroll!$I28,F$2,"M")/Payroll!$K28,0))),0))</f>
        <v>0</v>
      </c>
      <c r="G102" s="56">
        <f>IF(G$2=Payroll!$I28,Payroll!$F28,IF(G$2&gt;Payroll!$I28,Payroll!$F28*((1+Payroll!$J28)^(ROUNDDOWN(DATEDIF(Payroll!$I28,G$2,"M")/Payroll!$K28,0))),0))</f>
        <v>0</v>
      </c>
      <c r="H102" s="56">
        <f>IF(H$2=Payroll!$I28,Payroll!$F28,IF(H$2&gt;Payroll!$I28,Payroll!$F28*((1+Payroll!$J28)^(ROUNDDOWN(DATEDIF(Payroll!$I28,H$2,"M")/Payroll!$K28,0))),0))</f>
        <v>0</v>
      </c>
      <c r="I102" s="56">
        <f>IF(I$2=Payroll!$I28,Payroll!$F28,IF(I$2&gt;Payroll!$I28,Payroll!$F28*((1+Payroll!$J28)^(ROUNDDOWN(DATEDIF(Payroll!$I28,I$2,"M")/Payroll!$K28,0))),0))</f>
        <v>0</v>
      </c>
      <c r="J102" s="56">
        <f>IF(J$2=Payroll!$I28,Payroll!$F28,IF(J$2&gt;Payroll!$I28,Payroll!$F28*((1+Payroll!$J28)^(ROUNDDOWN(DATEDIF(Payroll!$I28,J$2,"M")/Payroll!$K28,0))),0))</f>
        <v>0</v>
      </c>
      <c r="K102" s="56">
        <f>IF(K$2=Payroll!$I28,Payroll!$F28,IF(K$2&gt;Payroll!$I28,Payroll!$F28*((1+Payroll!$J28)^(ROUNDDOWN(DATEDIF(Payroll!$I28,K$2,"M")/Payroll!$K28,0))),0))</f>
        <v>0</v>
      </c>
      <c r="L102" s="56">
        <f>IF(L$2=Payroll!$I28,Payroll!$F28,IF(L$2&gt;Payroll!$I28,Payroll!$F28*((1+Payroll!$J28)^(ROUNDDOWN(DATEDIF(Payroll!$I28,L$2,"M")/Payroll!$K28,0))),0))</f>
        <v>0</v>
      </c>
      <c r="M102" s="56">
        <f>IF(M$2=Payroll!$I28,Payroll!$F28,IF(M$2&gt;Payroll!$I28,Payroll!$F28*((1+Payroll!$J28)^(ROUNDDOWN(DATEDIF(Payroll!$I28,M$2,"M")/Payroll!$K28,0))),0))</f>
        <v>0</v>
      </c>
      <c r="N102" s="56">
        <f>IF(N$2=Payroll!$I28,Payroll!$F28,IF(N$2&gt;Payroll!$I28,Payroll!$F28*((1+Payroll!$J28)^(ROUNDDOWN(DATEDIF(Payroll!$I28,N$2,"M")/Payroll!$K28,0))),0))</f>
        <v>0</v>
      </c>
      <c r="O102" s="56">
        <f>IF(O$2=Payroll!$I28,Payroll!$F28,IF(O$2&gt;Payroll!$I28,Payroll!$F28*((1+Payroll!$J28)^(ROUNDDOWN(DATEDIF(Payroll!$I28,O$2,"M")/Payroll!$K28,0))),0))</f>
        <v>0</v>
      </c>
      <c r="P102" s="56">
        <f>IF(P$2=Payroll!$I28,Payroll!$F28,IF(P$2&gt;Payroll!$I28,Payroll!$F28*((1+Payroll!$J28)^(ROUNDDOWN(DATEDIF(Payroll!$I28,P$2,"M")/Payroll!$K28,0))),0))</f>
        <v>0</v>
      </c>
      <c r="Q102" s="56">
        <f>IF(Q$2=Payroll!$I28,Payroll!$F28,IF(Q$2&gt;Payroll!$I28,Payroll!$F28*((1+Payroll!$J28)^(ROUNDDOWN(DATEDIF(Payroll!$I28,Q$2,"M")/Payroll!$K28,0))),0))</f>
        <v>0</v>
      </c>
      <c r="R102" s="56">
        <f>IF(R$2=Payroll!$I28,Payroll!$F28,IF(R$2&gt;Payroll!$I28,Payroll!$F28*((1+Payroll!$J28)^(ROUNDDOWN(DATEDIF(Payroll!$I28,R$2,"M")/Payroll!$K28,0))),0))</f>
        <v>0</v>
      </c>
      <c r="S102" s="56">
        <f>IF(S$2=Payroll!$I28,Payroll!$F28,IF(S$2&gt;Payroll!$I28,Payroll!$F28*((1+Payroll!$J28)^(ROUNDDOWN(DATEDIF(Payroll!$I28,S$2,"M")/Payroll!$K28,0))),0))</f>
        <v>0</v>
      </c>
      <c r="T102" s="56">
        <f>IF(T$2=Payroll!$I28,Payroll!$F28,IF(T$2&gt;Payroll!$I28,Payroll!$F28*((1+Payroll!$J28)^(ROUNDDOWN(DATEDIF(Payroll!$I28,T$2,"M")/Payroll!$K28,0))),0))</f>
        <v>0</v>
      </c>
      <c r="U102" s="56">
        <f>IF(U$2=Payroll!$I28,Payroll!$F28,IF(U$2&gt;Payroll!$I28,Payroll!$F28*((1+Payroll!$J28)^(ROUNDDOWN(DATEDIF(Payroll!$I28,U$2,"M")/Payroll!$K28,0))),0))</f>
        <v>0</v>
      </c>
      <c r="V102" s="56">
        <f>IF(V$2=Payroll!$I28,Payroll!$F28,IF(V$2&gt;Payroll!$I28,Payroll!$F28*((1+Payroll!$J28)^(ROUNDDOWN(DATEDIF(Payroll!$I28,V$2,"M")/Payroll!$K28,0))),0))</f>
        <v>0</v>
      </c>
      <c r="W102" s="56">
        <f>IF(W$2=Payroll!$I28,Payroll!$F28,IF(W$2&gt;Payroll!$I28,Payroll!$F28*((1+Payroll!$J28)^(ROUNDDOWN(DATEDIF(Payroll!$I28,W$2,"M")/Payroll!$K28,0))),0))</f>
        <v>0</v>
      </c>
      <c r="X102" s="56">
        <f>IF(X$2=Payroll!$I28,Payroll!$F28,IF(X$2&gt;Payroll!$I28,Payroll!$F28*((1+Payroll!$J28)^(ROUNDDOWN(DATEDIF(Payroll!$I28,X$2,"M")/Payroll!$K28,0))),0))</f>
        <v>0</v>
      </c>
      <c r="Y102" s="56">
        <f>IF(Y$2=Payroll!$I28,Payroll!$F28,IF(Y$2&gt;Payroll!$I28,Payroll!$F28*((1+Payroll!$J28)^(ROUNDDOWN(DATEDIF(Payroll!$I28,Y$2,"M")/Payroll!$K28,0))),0))</f>
        <v>0</v>
      </c>
      <c r="Z102" s="56">
        <f>IF(Z$2=Payroll!$I28,Payroll!$F28,IF(Z$2&gt;Payroll!$I28,Payroll!$F28*((1+Payroll!$J28)^(ROUNDDOWN(DATEDIF(Payroll!$I28,Z$2,"M")/Payroll!$K28,0))),0))</f>
        <v>0</v>
      </c>
      <c r="AA102" s="56">
        <f>IF(AA$2=Payroll!$I28,Payroll!$F28,IF(AA$2&gt;Payroll!$I28,Payroll!$F28*((1+Payroll!$J28)^(ROUNDDOWN(DATEDIF(Payroll!$I28,AA$2,"M")/Payroll!$K28,0))),0))</f>
        <v>0</v>
      </c>
      <c r="AB102" s="56">
        <f>IF(AB$2=Payroll!$I28,Payroll!$F28,IF(AB$2&gt;Payroll!$I28,Payroll!$F28*((1+Payroll!$J28)^(ROUNDDOWN(DATEDIF(Payroll!$I28,AB$2,"M")/Payroll!$K28,0))),0))</f>
        <v>0</v>
      </c>
      <c r="AC102" s="56">
        <f>IF(AC$2=Payroll!$I28,Payroll!$F28,IF(AC$2&gt;Payroll!$I28,Payroll!$F28*((1+Payroll!$J28)^(ROUNDDOWN(DATEDIF(Payroll!$I28,AC$2,"M")/Payroll!$K28,0))),0))</f>
        <v>0</v>
      </c>
      <c r="AD102" s="56">
        <f>IF(AD$2=Payroll!$I28,Payroll!$F28,IF(AD$2&gt;Payroll!$I28,Payroll!$F28*((1+Payroll!$J28)^(ROUNDDOWN(DATEDIF(Payroll!$I28,AD$2,"M")/Payroll!$K28,0))),0))</f>
        <v>0</v>
      </c>
      <c r="AE102" s="56">
        <f>IF(AE$2=Payroll!$I28,Payroll!$F28,IF(AE$2&gt;Payroll!$I28,Payroll!$F28*((1+Payroll!$J28)^(ROUNDDOWN(DATEDIF(Payroll!$I28,AE$2,"M")/Payroll!$K28,0))),0))</f>
        <v>0</v>
      </c>
      <c r="AF102" s="56">
        <f>IF(AF$2=Payroll!$I28,Payroll!$F28,IF(AF$2&gt;Payroll!$I28,Payroll!$F28*((1+Payroll!$J28)^(ROUNDDOWN(DATEDIF(Payroll!$I28,AF$2,"M")/Payroll!$K28,0))),0))</f>
        <v>0</v>
      </c>
      <c r="AG102" s="56">
        <f>IF(AG$2=Payroll!$I28,Payroll!$F28,IF(AG$2&gt;Payroll!$I28,Payroll!$F28*((1+Payroll!$J28)^(ROUNDDOWN(DATEDIF(Payroll!$I28,AG$2,"M")/Payroll!$K28,0))),0))</f>
        <v>0</v>
      </c>
      <c r="AH102" s="56">
        <f>IF(AH$2=Payroll!$I28,Payroll!$F28,IF(AH$2&gt;Payroll!$I28,Payroll!$F28*((1+Payroll!$J28)^(ROUNDDOWN(DATEDIF(Payroll!$I28,AH$2,"M")/Payroll!$K28,0))),0))</f>
        <v>0</v>
      </c>
      <c r="AI102" s="56">
        <f>IF(AI$2=Payroll!$I28,Payroll!$F28,IF(AI$2&gt;Payroll!$I28,Payroll!$F28*((1+Payroll!$J28)^(ROUNDDOWN(DATEDIF(Payroll!$I28,AI$2,"M")/Payroll!$K28,0))),0))</f>
        <v>0</v>
      </c>
      <c r="AJ102" s="56">
        <f>IF(AJ$2=Payroll!$I28,Payroll!$F28,IF(AJ$2&gt;Payroll!$I28,Payroll!$F28*((1+Payroll!$J28)^(ROUNDDOWN(DATEDIF(Payroll!$I28,AJ$2,"M")/Payroll!$K28,0))),0))</f>
        <v>0</v>
      </c>
      <c r="AK102" s="56">
        <f>IF(AK$2=Payroll!$I28,Payroll!$F28,IF(AK$2&gt;Payroll!$I28,Payroll!$F28*((1+Payroll!$J28)^(ROUNDDOWN(DATEDIF(Payroll!$I28,AK$2,"M")/Payroll!$K28,0))),0))</f>
        <v>0</v>
      </c>
      <c r="AL102" s="56">
        <f>IF(AL$2=Payroll!$I28,Payroll!$F28,IF(AL$2&gt;Payroll!$I28,Payroll!$F28*((1+Payroll!$J28)^(ROUNDDOWN(DATEDIF(Payroll!$I28,AL$2,"M")/Payroll!$K28,0))),0))</f>
        <v>0</v>
      </c>
      <c r="AM102" s="56">
        <f>IF(AM$2=Payroll!$I28,Payroll!$F28,IF(AM$2&gt;Payroll!$I28,Payroll!$F28*((1+Payroll!$J28)^(ROUNDDOWN(DATEDIF(Payroll!$I28,AM$2,"M")/Payroll!$K28,0))),0))</f>
        <v>0</v>
      </c>
      <c r="AN102" s="56">
        <f>IF(AN$2=Payroll!$I28,Payroll!$F28,IF(AN$2&gt;Payroll!$I28,Payroll!$F28*((1+Payroll!$J28)^(ROUNDDOWN(DATEDIF(Payroll!$I28,AN$2,"M")/Payroll!$K28,0))),0))</f>
        <v>0</v>
      </c>
      <c r="AO102" s="56">
        <f>IF(AO$2=Payroll!$I28,Payroll!$F28,IF(AO$2&gt;Payroll!$I28,Payroll!$F28*((1+Payroll!$J28)^(ROUNDDOWN(DATEDIF(Payroll!$I28,AO$2,"M")/Payroll!$K28,0))),0))</f>
        <v>0</v>
      </c>
      <c r="AP102" s="56">
        <f>IF(AP$2=Payroll!$I28,Payroll!$F28,IF(AP$2&gt;Payroll!$I28,Payroll!$F28*((1+Payroll!$J28)^(ROUNDDOWN(DATEDIF(Payroll!$I28,AP$2,"M")/Payroll!$K28,0))),0))</f>
        <v>0</v>
      </c>
      <c r="AQ102" s="56">
        <f>IF(AQ$2=Payroll!$I28,Payroll!$F28,IF(AQ$2&gt;Payroll!$I28,Payroll!$F28*((1+Payroll!$J28)^(ROUNDDOWN(DATEDIF(Payroll!$I28,AQ$2,"M")/Payroll!$K28,0))),0))</f>
        <v>0</v>
      </c>
      <c r="AR102" s="56">
        <f>IF(AR$2=Payroll!$I28,Payroll!$F28,IF(AR$2&gt;Payroll!$I28,Payroll!$F28*((1+Payroll!$J28)^(ROUNDDOWN(DATEDIF(Payroll!$I28,AR$2,"M")/Payroll!$K28,0))),0))</f>
        <v>0</v>
      </c>
      <c r="AS102" s="56">
        <f>IF(AS$2=Payroll!$I28,Payroll!$F28,IF(AS$2&gt;Payroll!$I28,Payroll!$F28*((1+Payroll!$J28)^(ROUNDDOWN(DATEDIF(Payroll!$I28,AS$2,"M")/Payroll!$K28,0))),0))</f>
        <v>0</v>
      </c>
      <c r="AT102" s="56">
        <f>IF(AT$2=Payroll!$I28,Payroll!$F28,IF(AT$2&gt;Payroll!$I28,Payroll!$F28*((1+Payroll!$J28)^(ROUNDDOWN(DATEDIF(Payroll!$I28,AT$2,"M")/Payroll!$K28,0))),0))</f>
        <v>0</v>
      </c>
      <c r="AU102" s="56">
        <f>IF(AU$2=Payroll!$I28,Payroll!$F28,IF(AU$2&gt;Payroll!$I28,Payroll!$F28*((1+Payroll!$J28)^(ROUNDDOWN(DATEDIF(Payroll!$I28,AU$2,"M")/Payroll!$K28,0))),0))</f>
        <v>0</v>
      </c>
      <c r="AV102" s="56">
        <f>IF(AV$2=Payroll!$I28,Payroll!$F28,IF(AV$2&gt;Payroll!$I28,Payroll!$F28*((1+Payroll!$J28)^(ROUNDDOWN(DATEDIF(Payroll!$I28,AV$2,"M")/Payroll!$K28,0))),0))</f>
        <v>0</v>
      </c>
      <c r="AW102" s="56">
        <f>IF(AW$2=Payroll!$I28,Payroll!$F28,IF(AW$2&gt;Payroll!$I28,Payroll!$F28*((1+Payroll!$J28)^(ROUNDDOWN(DATEDIF(Payroll!$I28,AW$2,"M")/Payroll!$K28,0))),0))</f>
        <v>0</v>
      </c>
      <c r="AX102" s="56">
        <f>IF(AX$2=Payroll!$I28,Payroll!$F28,IF(AX$2&gt;Payroll!$I28,Payroll!$F28*((1+Payroll!$J28)^(ROUNDDOWN(DATEDIF(Payroll!$I28,AX$2,"M")/Payroll!$K28,0))),0))</f>
        <v>0</v>
      </c>
      <c r="AY102" s="56">
        <f>IF(AY$2=Payroll!$I28,Payroll!$F28,IF(AY$2&gt;Payroll!$I28,Payroll!$F28*((1+Payroll!$J28)^(ROUNDDOWN(DATEDIF(Payroll!$I28,AY$2,"M")/Payroll!$K28,0))),0))</f>
        <v>0</v>
      </c>
      <c r="AZ102" s="56">
        <f>IF(AZ$2=Payroll!$I28,Payroll!$F28,IF(AZ$2&gt;Payroll!$I28,Payroll!$F28*((1+Payroll!$J28)^(ROUNDDOWN(DATEDIF(Payroll!$I28,AZ$2,"M")/Payroll!$K28,0))),0))</f>
        <v>0</v>
      </c>
      <c r="BA102" s="56">
        <f>IF(BA$2=Payroll!$I28,Payroll!$F28,IF(BA$2&gt;Payroll!$I28,Payroll!$F28*((1+Payroll!$J28)^(ROUNDDOWN(DATEDIF(Payroll!$I28,BA$2,"M")/Payroll!$K28,0))),0))</f>
        <v>0</v>
      </c>
      <c r="BB102" s="56">
        <f>IF(BB$2=Payroll!$I28,Payroll!$F28,IF(BB$2&gt;Payroll!$I28,Payroll!$F28*((1+Payroll!$J28)^(ROUNDDOWN(DATEDIF(Payroll!$I28,BB$2,"M")/Payroll!$K28,0))),0))</f>
        <v>0</v>
      </c>
      <c r="BC102" s="56">
        <f>IF(BC$2=Payroll!$I28,Payroll!$F28,IF(BC$2&gt;Payroll!$I28,Payroll!$F28*((1+Payroll!$J28)^(ROUNDDOWN(DATEDIF(Payroll!$I28,BC$2,"M")/Payroll!$K28,0))),0))</f>
        <v>0</v>
      </c>
      <c r="BD102" s="56">
        <f>IF(BD$2=Payroll!$I28,Payroll!$F28,IF(BD$2&gt;Payroll!$I28,Payroll!$F28*((1+Payroll!$J28)^(ROUNDDOWN(DATEDIF(Payroll!$I28,BD$2,"M")/Payroll!$K28,0))),0))</f>
        <v>0</v>
      </c>
      <c r="BE102" s="56">
        <f>IF(BE$2=Payroll!$I28,Payroll!$F28,IF(BE$2&gt;Payroll!$I28,Payroll!$F28*((1+Payroll!$J28)^(ROUNDDOWN(DATEDIF(Payroll!$I28,BE$2,"M")/Payroll!$K28,0))),0))</f>
        <v>0</v>
      </c>
      <c r="BF102" s="56">
        <f>IF(BF$2=Payroll!$I28,Payroll!$F28,IF(BF$2&gt;Payroll!$I28,Payroll!$F28*((1+Payroll!$J28)^(ROUNDDOWN(DATEDIF(Payroll!$I28,BF$2,"M")/Payroll!$K28,0))),0))</f>
        <v>0</v>
      </c>
      <c r="BG102" s="56">
        <f>IF(BG$2=Payroll!$I28,Payroll!$F28,IF(BG$2&gt;Payroll!$I28,Payroll!$F28*((1+Payroll!$J28)^(ROUNDDOWN(DATEDIF(Payroll!$I28,BG$2,"M")/Payroll!$K28,0))),0))</f>
        <v>0</v>
      </c>
      <c r="BH102" s="56">
        <f>IF(BH$2=Payroll!$I28,Payroll!$F28,IF(BH$2&gt;Payroll!$I28,Payroll!$F28*((1+Payroll!$J28)^(ROUNDDOWN(DATEDIF(Payroll!$I28,BH$2,"M")/Payroll!$K28,0))),0))</f>
        <v>0</v>
      </c>
      <c r="BI102" s="56">
        <f>IF(BI$2=Payroll!$I28,Payroll!$F28,IF(BI$2&gt;Payroll!$I28,Payroll!$F28*((1+Payroll!$J28)^(ROUNDDOWN(DATEDIF(Payroll!$I28,BI$2,"M")/Payroll!$K28,0))),0))</f>
        <v>0</v>
      </c>
      <c r="BJ102" s="56">
        <f>IF(BJ$2=Payroll!$I28,Payroll!$F28,IF(BJ$2&gt;Payroll!$I28,Payroll!$F28*((1+Payroll!$J28)^(ROUNDDOWN(DATEDIF(Payroll!$I28,BJ$2,"M")/Payroll!$K28,0))),0))</f>
        <v>0</v>
      </c>
      <c r="BK102" s="56">
        <f>IF(BK$2=Payroll!$I28,Payroll!$F28,IF(BK$2&gt;Payroll!$I28,Payroll!$F28*((1+Payroll!$J28)^(ROUNDDOWN(DATEDIF(Payroll!$I28,BK$2,"M")/Payroll!$K28,0))),0))</f>
        <v>0</v>
      </c>
      <c r="BL102" s="56">
        <f>IF(BL$2=Payroll!$I28,Payroll!$F28,IF(BL$2&gt;Payroll!$I28,Payroll!$F28*((1+Payroll!$J28)^(ROUNDDOWN(DATEDIF(Payroll!$I28,BL$2,"M")/Payroll!$K28,0))),0))</f>
        <v>0</v>
      </c>
      <c r="BM102" s="56">
        <f>IF(BM$2=Payroll!$I28,Payroll!$F28,IF(BM$2&gt;Payroll!$I28,Payroll!$F28*((1+Payroll!$J28)^(ROUNDDOWN(DATEDIF(Payroll!$I28,BM$2,"M")/Payroll!$K28,0))),0))</f>
        <v>0</v>
      </c>
      <c r="BN102" s="56">
        <f>IF(BN$2=Payroll!$I28,Payroll!$F28,IF(BN$2&gt;Payroll!$I28,Payroll!$F28*((1+Payroll!$J28)^(ROUNDDOWN(DATEDIF(Payroll!$I28,BN$2,"M")/Payroll!$K28,0))),0))</f>
        <v>0</v>
      </c>
      <c r="BO102" s="56">
        <f>IF(BO$2=Payroll!$I28,Payroll!$F28,IF(BO$2&gt;Payroll!$I28,Payroll!$F28*((1+Payroll!$J28)^(ROUNDDOWN(DATEDIF(Payroll!$I28,BO$2,"M")/Payroll!$K28,0))),0))</f>
        <v>0</v>
      </c>
      <c r="BP102" s="56">
        <f>IF(BP$2=Payroll!$I28,Payroll!$F28,IF(BP$2&gt;Payroll!$I28,Payroll!$F28*((1+Payroll!$J28)^(ROUNDDOWN(DATEDIF(Payroll!$I28,BP$2,"M")/Payroll!$K28,0))),0))</f>
        <v>0</v>
      </c>
      <c r="BQ102" s="56">
        <f>IF(BQ$2=Payroll!$I28,Payroll!$F28,IF(BQ$2&gt;Payroll!$I28,Payroll!$F28*((1+Payroll!$J28)^(ROUNDDOWN(DATEDIF(Payroll!$I28,BQ$2,"M")/Payroll!$K28,0))),0))</f>
        <v>0</v>
      </c>
      <c r="BR102" s="56">
        <f>IF(BR$2=Payroll!$I28,Payroll!$F28,IF(BR$2&gt;Payroll!$I28,Payroll!$F28*((1+Payroll!$J28)^(ROUNDDOWN(DATEDIF(Payroll!$I28,BR$2,"M")/Payroll!$K28,0))),0))</f>
        <v>0</v>
      </c>
      <c r="BS102" s="56">
        <f>IF(BS$2=Payroll!$I28,Payroll!$F28,IF(BS$2&gt;Payroll!$I28,Payroll!$F28*((1+Payroll!$J28)^(ROUNDDOWN(DATEDIF(Payroll!$I28,BS$2,"M")/Payroll!$K28,0))),0))</f>
        <v>0</v>
      </c>
      <c r="BT102" s="56">
        <f>IF(BT$2=Payroll!$I28,Payroll!$F28,IF(BT$2&gt;Payroll!$I28,Payroll!$F28*((1+Payroll!$J28)^(ROUNDDOWN(DATEDIF(Payroll!$I28,BT$2,"M")/Payroll!$K28,0))),0))</f>
        <v>0</v>
      </c>
      <c r="BU102" s="56">
        <f>IF(BU$2=Payroll!$I28,Payroll!$F28,IF(BU$2&gt;Payroll!$I28,Payroll!$F28*((1+Payroll!$J28)^(ROUNDDOWN(DATEDIF(Payroll!$I28,BU$2,"M")/Payroll!$K28,0))),0))</f>
        <v>0</v>
      </c>
      <c r="BV102" s="56">
        <f>IF(BV$2=Payroll!$I28,Payroll!$F28,IF(BV$2&gt;Payroll!$I28,Payroll!$F28*((1+Payroll!$J28)^(ROUNDDOWN(DATEDIF(Payroll!$I28,BV$2,"M")/Payroll!$K28,0))),0))</f>
        <v>0</v>
      </c>
      <c r="BW102" s="56">
        <f>IF(BW$2=Payroll!$I28,Payroll!$F28,IF(BW$2&gt;Payroll!$I28,Payroll!$F28*((1+Payroll!$J28)^(ROUNDDOWN(DATEDIF(Payroll!$I28,BW$2,"M")/Payroll!$K28,0))),0))</f>
        <v>0</v>
      </c>
      <c r="BX102" s="56">
        <f>IF(BX$2=Payroll!$I28,Payroll!$F28,IF(BX$2&gt;Payroll!$I28,Payroll!$F28*((1+Payroll!$J28)^(ROUNDDOWN(DATEDIF(Payroll!$I28,BX$2,"M")/Payroll!$K28,0))),0))</f>
        <v>0</v>
      </c>
      <c r="BY102" s="56">
        <f>IF(BY$2=Payroll!$I28,Payroll!$F28,IF(BY$2&gt;Payroll!$I28,Payroll!$F28*((1+Payroll!$J28)^(ROUNDDOWN(DATEDIF(Payroll!$I28,BY$2,"M")/Payroll!$K28,0))),0))</f>
        <v>0</v>
      </c>
      <c r="BZ102" s="56">
        <f>IF(BZ$2=Payroll!$I28,Payroll!$F28,IF(BZ$2&gt;Payroll!$I28,Payroll!$F28*((1+Payroll!$J28)^(ROUNDDOWN(DATEDIF(Payroll!$I28,BZ$2,"M")/Payroll!$K28,0))),0))</f>
        <v>0</v>
      </c>
      <c r="CA102" s="56">
        <f>IF(CA$2=Payroll!$I28,Payroll!$F28,IF(CA$2&gt;Payroll!$I28,Payroll!$F28*((1+Payroll!$J28)^(ROUNDDOWN(DATEDIF(Payroll!$I28,CA$2,"M")/Payroll!$K28,0))),0))</f>
        <v>0</v>
      </c>
      <c r="CB102" s="56">
        <f>IF(CB$2=Payroll!$I28,Payroll!$F28,IF(CB$2&gt;Payroll!$I28,Payroll!$F28*((1+Payroll!$J28)^(ROUNDDOWN(DATEDIF(Payroll!$I28,CB$2,"M")/Payroll!$K28,0))),0))</f>
        <v>0</v>
      </c>
      <c r="CC102" s="56">
        <f>IF(CC$2=Payroll!$I28,Payroll!$F28,IF(CC$2&gt;Payroll!$I28,Payroll!$F28*((1+Payroll!$J28)^(ROUNDDOWN(DATEDIF(Payroll!$I28,CC$2,"M")/Payroll!$K28,0))),0))</f>
        <v>0</v>
      </c>
      <c r="CD102" s="56">
        <f>IF(CD$2=Payroll!$I28,Payroll!$F28,IF(CD$2&gt;Payroll!$I28,Payroll!$F28*((1+Payroll!$J28)^(ROUNDDOWN(DATEDIF(Payroll!$I28,CD$2,"M")/Payroll!$K28,0))),0))</f>
        <v>0</v>
      </c>
      <c r="CE102" s="56">
        <f>IF(CE$2=Payroll!$I28,Payroll!$F28,IF(CE$2&gt;Payroll!$I28,Payroll!$F28*((1+Payroll!$J28)^(ROUNDDOWN(DATEDIF(Payroll!$I28,CE$2,"M")/Payroll!$K28,0))),0))</f>
        <v>0</v>
      </c>
      <c r="CF102" s="56">
        <f>IF(CF$2=Payroll!$I28,Payroll!$F28,IF(CF$2&gt;Payroll!$I28,Payroll!$F28*((1+Payroll!$J28)^(ROUNDDOWN(DATEDIF(Payroll!$I28,CF$2,"M")/Payroll!$K28,0))),0))</f>
        <v>0</v>
      </c>
      <c r="CG102" s="56">
        <f>IF(CG$2=Payroll!$I28,Payroll!$F28,IF(CG$2&gt;Payroll!$I28,Payroll!$F28*((1+Payroll!$J28)^(ROUNDDOWN(DATEDIF(Payroll!$I28,CG$2,"M")/Payroll!$K28,0))),0))</f>
        <v>0</v>
      </c>
      <c r="CH102" s="56">
        <f>IF(CH$2=Payroll!$I28,Payroll!$F28,IF(CH$2&gt;Payroll!$I28,Payroll!$F28*((1+Payroll!$J28)^(ROUNDDOWN(DATEDIF(Payroll!$I28,CH$2,"M")/Payroll!$K28,0))),0))</f>
        <v>0</v>
      </c>
      <c r="CI102" s="56">
        <f>IF(CI$2=Payroll!$I28,Payroll!$F28,IF(CI$2&gt;Payroll!$I28,Payroll!$F28*((1+Payroll!$J28)^(ROUNDDOWN(DATEDIF(Payroll!$I28,CI$2,"M")/Payroll!$K28,0))),0))</f>
        <v>0</v>
      </c>
      <c r="CJ102" s="56">
        <f>IF(CJ$2=Payroll!$I28,Payroll!$F28,IF(CJ$2&gt;Payroll!$I28,Payroll!$F28*((1+Payroll!$J28)^(ROUNDDOWN(DATEDIF(Payroll!$I28,CJ$2,"M")/Payroll!$K28,0))),0))</f>
        <v>0</v>
      </c>
      <c r="CK102" s="56">
        <f>IF(CK$2=Payroll!$I28,Payroll!$F28,IF(CK$2&gt;Payroll!$I28,Payroll!$F28*((1+Payroll!$J28)^(ROUNDDOWN(DATEDIF(Payroll!$I28,CK$2,"M")/Payroll!$K28,0))),0))</f>
        <v>0</v>
      </c>
      <c r="CL102" s="56">
        <f>IF(CL$2=Payroll!$I28,Payroll!$F28,IF(CL$2&gt;Payroll!$I28,Payroll!$F28*((1+Payroll!$J28)^(ROUNDDOWN(DATEDIF(Payroll!$I28,CL$2,"M")/Payroll!$K28,0))),0))</f>
        <v>0</v>
      </c>
      <c r="CM102" s="56">
        <f>IF(CM$2=Payroll!$I28,Payroll!$F28,IF(CM$2&gt;Payroll!$I28,Payroll!$F28*((1+Payroll!$J28)^(ROUNDDOWN(DATEDIF(Payroll!$I28,CM$2,"M")/Payroll!$K28,0))),0))</f>
        <v>0</v>
      </c>
      <c r="CN102" s="56">
        <f>IF(CN$2=Payroll!$I28,Payroll!$F28,IF(CN$2&gt;Payroll!$I28,Payroll!$F28*((1+Payroll!$J28)^(ROUNDDOWN(DATEDIF(Payroll!$I28,CN$2,"M")/Payroll!$K28,0))),0))</f>
        <v>0</v>
      </c>
      <c r="CO102" s="56">
        <f>IF(CO$2=Payroll!$I28,Payroll!$F28,IF(CO$2&gt;Payroll!$I28,Payroll!$F28*((1+Payroll!$J28)^(ROUNDDOWN(DATEDIF(Payroll!$I28,CO$2,"M")/Payroll!$K28,0))),0))</f>
        <v>0</v>
      </c>
      <c r="CP102" s="56">
        <f>IF(CP$2=Payroll!$I28,Payroll!$F28,IF(CP$2&gt;Payroll!$I28,Payroll!$F28*((1+Payroll!$J28)^(ROUNDDOWN(DATEDIF(Payroll!$I28,CP$2,"M")/Payroll!$K28,0))),0))</f>
        <v>0</v>
      </c>
      <c r="CQ102" s="56">
        <f>IF(CQ$2=Payroll!$I28,Payroll!$F28,IF(CQ$2&gt;Payroll!$I28,Payroll!$F28*((1+Payroll!$J28)^(ROUNDDOWN(DATEDIF(Payroll!$I28,CQ$2,"M")/Payroll!$K28,0))),0))</f>
        <v>0</v>
      </c>
      <c r="CR102" s="56">
        <f>IF(CR$2=Payroll!$I28,Payroll!$F28,IF(CR$2&gt;Payroll!$I28,Payroll!$F28*((1+Payroll!$J28)^(ROUNDDOWN(DATEDIF(Payroll!$I28,CR$2,"M")/Payroll!$K28,0))),0))</f>
        <v>0</v>
      </c>
      <c r="CS102" s="56">
        <f>IF(CS$2=Payroll!$I28,Payroll!$F28,IF(CS$2&gt;Payroll!$I28,Payroll!$F28*((1+Payroll!$J28)^(ROUNDDOWN(DATEDIF(Payroll!$I28,CS$2,"M")/Payroll!$K28,0))),0))</f>
        <v>0</v>
      </c>
      <c r="CT102" s="56">
        <f>IF(CT$2=Payroll!$I28,Payroll!$F28,IF(CT$2&gt;Payroll!$I28,Payroll!$F28*((1+Payroll!$J28)^(ROUNDDOWN(DATEDIF(Payroll!$I28,CT$2,"M")/Payroll!$K28,0))),0))</f>
        <v>0</v>
      </c>
      <c r="CU102" s="56">
        <f>IF(CU$2=Payroll!$I28,Payroll!$F28,IF(CU$2&gt;Payroll!$I28,Payroll!$F28*((1+Payroll!$J28)^(ROUNDDOWN(DATEDIF(Payroll!$I28,CU$2,"M")/Payroll!$K28,0))),0))</f>
        <v>0</v>
      </c>
      <c r="CV102" s="56">
        <f>IF(CV$2=Payroll!$I28,Payroll!$F28,IF(CV$2&gt;Payroll!$I28,Payroll!$F28*((1+Payroll!$J28)^(ROUNDDOWN(DATEDIF(Payroll!$I28,CV$2,"M")/Payroll!$K28,0))),0))</f>
        <v>0</v>
      </c>
      <c r="CW102" s="56">
        <f>IF(CW$2=Payroll!$I28,Payroll!$F28,IF(CW$2&gt;Payroll!$I28,Payroll!$F28*((1+Payroll!$J28)^(ROUNDDOWN(DATEDIF(Payroll!$I28,CW$2,"M")/Payroll!$K28,0))),0))</f>
        <v>0</v>
      </c>
      <c r="CX102" s="56">
        <f>IF(CX$2=Payroll!$I28,Payroll!$F28,IF(CX$2&gt;Payroll!$I28,Payroll!$F28*((1+Payroll!$J28)^(ROUNDDOWN(DATEDIF(Payroll!$I28,CX$2,"M")/Payroll!$K28,0))),0))</f>
        <v>0</v>
      </c>
    </row>
    <row r="103" ht="15.75" customHeight="1" outlineLevel="1">
      <c r="A103" s="56"/>
      <c r="B103" s="56"/>
      <c r="C103" s="56"/>
      <c r="D103" s="56"/>
      <c r="E103" s="56" t="s">
        <v>230</v>
      </c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  <c r="CX103" s="56"/>
    </row>
    <row r="104" ht="15.75" customHeight="1" outlineLevel="1">
      <c r="A104" s="60" t="str">
        <f>Payroll!A5</f>
        <v>Administrative</v>
      </c>
      <c r="B104" s="60" t="s">
        <v>231</v>
      </c>
      <c r="C104" s="60"/>
      <c r="D104" s="60"/>
      <c r="E104" s="60">
        <f t="shared" ref="E104:CX104" si="22">SUM(E105:E107)</f>
        <v>0</v>
      </c>
      <c r="F104" s="60">
        <f t="shared" si="22"/>
        <v>0</v>
      </c>
      <c r="G104" s="60">
        <f t="shared" si="22"/>
        <v>0</v>
      </c>
      <c r="H104" s="60">
        <f t="shared" si="22"/>
        <v>0</v>
      </c>
      <c r="I104" s="60">
        <f t="shared" si="22"/>
        <v>0</v>
      </c>
      <c r="J104" s="60">
        <f t="shared" si="22"/>
        <v>0</v>
      </c>
      <c r="K104" s="60">
        <f t="shared" si="22"/>
        <v>0</v>
      </c>
      <c r="L104" s="60">
        <f t="shared" si="22"/>
        <v>0</v>
      </c>
      <c r="M104" s="60">
        <f t="shared" si="22"/>
        <v>0</v>
      </c>
      <c r="N104" s="60">
        <f t="shared" si="22"/>
        <v>0</v>
      </c>
      <c r="O104" s="60">
        <f t="shared" si="22"/>
        <v>0</v>
      </c>
      <c r="P104" s="60">
        <f t="shared" si="22"/>
        <v>0</v>
      </c>
      <c r="Q104" s="60">
        <f t="shared" si="22"/>
        <v>0</v>
      </c>
      <c r="R104" s="60">
        <f t="shared" si="22"/>
        <v>0</v>
      </c>
      <c r="S104" s="60">
        <f t="shared" si="22"/>
        <v>0</v>
      </c>
      <c r="T104" s="60">
        <f t="shared" si="22"/>
        <v>0</v>
      </c>
      <c r="U104" s="60">
        <f t="shared" si="22"/>
        <v>0</v>
      </c>
      <c r="V104" s="60">
        <f t="shared" si="22"/>
        <v>0</v>
      </c>
      <c r="W104" s="60">
        <f t="shared" si="22"/>
        <v>0</v>
      </c>
      <c r="X104" s="60">
        <f t="shared" si="22"/>
        <v>0</v>
      </c>
      <c r="Y104" s="60">
        <f t="shared" si="22"/>
        <v>0</v>
      </c>
      <c r="Z104" s="60">
        <f t="shared" si="22"/>
        <v>0</v>
      </c>
      <c r="AA104" s="60">
        <f t="shared" si="22"/>
        <v>0</v>
      </c>
      <c r="AB104" s="60">
        <f t="shared" si="22"/>
        <v>0</v>
      </c>
      <c r="AC104" s="60">
        <f t="shared" si="22"/>
        <v>0</v>
      </c>
      <c r="AD104" s="60">
        <f t="shared" si="22"/>
        <v>7692.307692</v>
      </c>
      <c r="AE104" s="60">
        <f t="shared" si="22"/>
        <v>7692.307692</v>
      </c>
      <c r="AF104" s="60">
        <f t="shared" si="22"/>
        <v>7692.307692</v>
      </c>
      <c r="AG104" s="60">
        <f t="shared" si="22"/>
        <v>7692.307692</v>
      </c>
      <c r="AH104" s="60">
        <f t="shared" si="22"/>
        <v>7692.307692</v>
      </c>
      <c r="AI104" s="60">
        <f t="shared" si="22"/>
        <v>7692.307692</v>
      </c>
      <c r="AJ104" s="60">
        <f t="shared" si="22"/>
        <v>7692.307692</v>
      </c>
      <c r="AK104" s="60">
        <f t="shared" si="22"/>
        <v>7692.307692</v>
      </c>
      <c r="AL104" s="60">
        <f t="shared" si="22"/>
        <v>7692.307692</v>
      </c>
      <c r="AM104" s="60">
        <f t="shared" si="22"/>
        <v>7692.307692</v>
      </c>
      <c r="AN104" s="60">
        <f t="shared" si="22"/>
        <v>7692.307692</v>
      </c>
      <c r="AO104" s="60">
        <f t="shared" si="22"/>
        <v>7692.307692</v>
      </c>
      <c r="AP104" s="60">
        <f t="shared" si="22"/>
        <v>7846.153846</v>
      </c>
      <c r="AQ104" s="60">
        <f t="shared" si="22"/>
        <v>7846.153846</v>
      </c>
      <c r="AR104" s="60">
        <f t="shared" si="22"/>
        <v>7846.153846</v>
      </c>
      <c r="AS104" s="60">
        <f t="shared" si="22"/>
        <v>7846.153846</v>
      </c>
      <c r="AT104" s="60">
        <f t="shared" si="22"/>
        <v>7846.153846</v>
      </c>
      <c r="AU104" s="60">
        <f t="shared" si="22"/>
        <v>7846.153846</v>
      </c>
      <c r="AV104" s="60">
        <f t="shared" si="22"/>
        <v>7846.153846</v>
      </c>
      <c r="AW104" s="60">
        <f t="shared" si="22"/>
        <v>7846.153846</v>
      </c>
      <c r="AX104" s="60">
        <f t="shared" si="22"/>
        <v>7846.153846</v>
      </c>
      <c r="AY104" s="60">
        <f t="shared" si="22"/>
        <v>7846.153846</v>
      </c>
      <c r="AZ104" s="60">
        <f t="shared" si="22"/>
        <v>7846.153846</v>
      </c>
      <c r="BA104" s="60">
        <f t="shared" si="22"/>
        <v>7846.153846</v>
      </c>
      <c r="BB104" s="60">
        <f t="shared" si="22"/>
        <v>8003.076923</v>
      </c>
      <c r="BC104" s="60">
        <f t="shared" si="22"/>
        <v>8003.076923</v>
      </c>
      <c r="BD104" s="60">
        <f t="shared" si="22"/>
        <v>8003.076923</v>
      </c>
      <c r="BE104" s="60">
        <f t="shared" si="22"/>
        <v>8003.076923</v>
      </c>
      <c r="BF104" s="60">
        <f t="shared" si="22"/>
        <v>8003.076923</v>
      </c>
      <c r="BG104" s="60">
        <f t="shared" si="22"/>
        <v>8003.076923</v>
      </c>
      <c r="BH104" s="60">
        <f t="shared" si="22"/>
        <v>8003.076923</v>
      </c>
      <c r="BI104" s="60">
        <f t="shared" si="22"/>
        <v>8003.076923</v>
      </c>
      <c r="BJ104" s="60">
        <f t="shared" si="22"/>
        <v>8003.076923</v>
      </c>
      <c r="BK104" s="60">
        <f t="shared" si="22"/>
        <v>8003.076923</v>
      </c>
      <c r="BL104" s="60">
        <f t="shared" si="22"/>
        <v>8003.076923</v>
      </c>
      <c r="BM104" s="60">
        <f t="shared" si="22"/>
        <v>8003.076923</v>
      </c>
      <c r="BN104" s="60">
        <f t="shared" si="22"/>
        <v>8163.138462</v>
      </c>
      <c r="BO104" s="60">
        <f t="shared" si="22"/>
        <v>8163.138462</v>
      </c>
      <c r="BP104" s="60">
        <f t="shared" si="22"/>
        <v>8163.138462</v>
      </c>
      <c r="BQ104" s="60">
        <f t="shared" si="22"/>
        <v>8163.138462</v>
      </c>
      <c r="BR104" s="60">
        <f t="shared" si="22"/>
        <v>8163.138462</v>
      </c>
      <c r="BS104" s="60">
        <f t="shared" si="22"/>
        <v>8163.138462</v>
      </c>
      <c r="BT104" s="60">
        <f t="shared" si="22"/>
        <v>8163.138462</v>
      </c>
      <c r="BU104" s="60">
        <f t="shared" si="22"/>
        <v>8163.138462</v>
      </c>
      <c r="BV104" s="60">
        <f t="shared" si="22"/>
        <v>8163.138462</v>
      </c>
      <c r="BW104" s="60">
        <f t="shared" si="22"/>
        <v>8163.138462</v>
      </c>
      <c r="BX104" s="60">
        <f t="shared" si="22"/>
        <v>8163.138462</v>
      </c>
      <c r="BY104" s="60">
        <f t="shared" si="22"/>
        <v>8163.138462</v>
      </c>
      <c r="BZ104" s="60">
        <f t="shared" si="22"/>
        <v>8326.401231</v>
      </c>
      <c r="CA104" s="60">
        <f t="shared" si="22"/>
        <v>8326.401231</v>
      </c>
      <c r="CB104" s="60">
        <f t="shared" si="22"/>
        <v>8326.401231</v>
      </c>
      <c r="CC104" s="60">
        <f t="shared" si="22"/>
        <v>8326.401231</v>
      </c>
      <c r="CD104" s="60">
        <f t="shared" si="22"/>
        <v>8326.401231</v>
      </c>
      <c r="CE104" s="60">
        <f t="shared" si="22"/>
        <v>8326.401231</v>
      </c>
      <c r="CF104" s="60">
        <f t="shared" si="22"/>
        <v>8326.401231</v>
      </c>
      <c r="CG104" s="60">
        <f t="shared" si="22"/>
        <v>8326.401231</v>
      </c>
      <c r="CH104" s="60">
        <f t="shared" si="22"/>
        <v>8326.401231</v>
      </c>
      <c r="CI104" s="60">
        <f t="shared" si="22"/>
        <v>8326.401231</v>
      </c>
      <c r="CJ104" s="60">
        <f t="shared" si="22"/>
        <v>8326.401231</v>
      </c>
      <c r="CK104" s="60">
        <f t="shared" si="22"/>
        <v>8326.401231</v>
      </c>
      <c r="CL104" s="60">
        <f t="shared" si="22"/>
        <v>8492.929255</v>
      </c>
      <c r="CM104" s="60">
        <f t="shared" si="22"/>
        <v>8492.929255</v>
      </c>
      <c r="CN104" s="60">
        <f t="shared" si="22"/>
        <v>8492.929255</v>
      </c>
      <c r="CO104" s="60">
        <f t="shared" si="22"/>
        <v>8492.929255</v>
      </c>
      <c r="CP104" s="60">
        <f t="shared" si="22"/>
        <v>8492.929255</v>
      </c>
      <c r="CQ104" s="60">
        <f t="shared" si="22"/>
        <v>8492.929255</v>
      </c>
      <c r="CR104" s="60">
        <f t="shared" si="22"/>
        <v>8492.929255</v>
      </c>
      <c r="CS104" s="60">
        <f t="shared" si="22"/>
        <v>8492.929255</v>
      </c>
      <c r="CT104" s="60">
        <f t="shared" si="22"/>
        <v>8492.929255</v>
      </c>
      <c r="CU104" s="60">
        <f t="shared" si="22"/>
        <v>8492.929255</v>
      </c>
      <c r="CV104" s="60">
        <f t="shared" si="22"/>
        <v>8492.929255</v>
      </c>
      <c r="CW104" s="60">
        <f t="shared" si="22"/>
        <v>8492.929255</v>
      </c>
      <c r="CX104" s="60">
        <f t="shared" si="22"/>
        <v>8662.78784</v>
      </c>
    </row>
    <row r="105" ht="15.75" customHeight="1" outlineLevel="2">
      <c r="A105" s="56" t="str">
        <f>Payroll!A6</f>
        <v>CEO</v>
      </c>
      <c r="B105" s="56"/>
      <c r="C105" s="56"/>
      <c r="D105" s="56"/>
      <c r="E105" s="56">
        <f>IF(E$2=Payroll!$I6,Payroll!$F6,IF(E$2&gt;Payroll!$I6,Payroll!$F6*((1+Payroll!$J6)^(ROUNDDOWN(DATEDIF(Payroll!$I6,E$2,"M")/Payroll!$K6,0))),0))</f>
        <v>0</v>
      </c>
      <c r="F105" s="56">
        <f>IF(F$2=Payroll!$I6,Payroll!$F6,IF(F$2&gt;Payroll!$I6,Payroll!$F6*((1+Payroll!$J6)^(ROUNDDOWN(DATEDIF(Payroll!$I6,F$2,"M")/Payroll!$K6,0))),0))</f>
        <v>0</v>
      </c>
      <c r="G105" s="56">
        <f>IF(G$2=Payroll!$I6,Payroll!$F6,IF(G$2&gt;Payroll!$I6,Payroll!$F6*((1+Payroll!$J6)^(ROUNDDOWN(DATEDIF(Payroll!$I6,G$2,"M")/Payroll!$K6,0))),0))</f>
        <v>0</v>
      </c>
      <c r="H105" s="56">
        <f>IF(H$2=Payroll!$I6,Payroll!$F6,IF(H$2&gt;Payroll!$I6,Payroll!$F6*((1+Payroll!$J6)^(ROUNDDOWN(DATEDIF(Payroll!$I6,H$2,"M")/Payroll!$K6,0))),0))</f>
        <v>0</v>
      </c>
      <c r="I105" s="56">
        <f>IF(I$2=Payroll!$I6,Payroll!$F6,IF(I$2&gt;Payroll!$I6,Payroll!$F6*((1+Payroll!$J6)^(ROUNDDOWN(DATEDIF(Payroll!$I6,I$2,"M")/Payroll!$K6,0))),0))</f>
        <v>0</v>
      </c>
      <c r="J105" s="56">
        <f>IF(J$2=Payroll!$I6,Payroll!$F6,IF(J$2&gt;Payroll!$I6,Payroll!$F6*((1+Payroll!$J6)^(ROUNDDOWN(DATEDIF(Payroll!$I6,J$2,"M")/Payroll!$K6,0))),0))</f>
        <v>0</v>
      </c>
      <c r="K105" s="56">
        <f>IF(K$2=Payroll!$I6,Payroll!$F6,IF(K$2&gt;Payroll!$I6,Payroll!$F6*((1+Payroll!$J6)^(ROUNDDOWN(DATEDIF(Payroll!$I6,K$2,"M")/Payroll!$K6,0))),0))</f>
        <v>0</v>
      </c>
      <c r="L105" s="56">
        <f>IF(L$2=Payroll!$I6,Payroll!$F6,IF(L$2&gt;Payroll!$I6,Payroll!$F6*((1+Payroll!$J6)^(ROUNDDOWN(DATEDIF(Payroll!$I6,L$2,"M")/Payroll!$K6,0))),0))</f>
        <v>0</v>
      </c>
      <c r="M105" s="56">
        <f>IF(M$2=Payroll!$I6,Payroll!$F6,IF(M$2&gt;Payroll!$I6,Payroll!$F6*((1+Payroll!$J6)^(ROUNDDOWN(DATEDIF(Payroll!$I6,M$2,"M")/Payroll!$K6,0))),0))</f>
        <v>0</v>
      </c>
      <c r="N105" s="56">
        <f>IF(N$2=Payroll!$I6,Payroll!$F6,IF(N$2&gt;Payroll!$I6,Payroll!$F6*((1+Payroll!$J6)^(ROUNDDOWN(DATEDIF(Payroll!$I6,N$2,"M")/Payroll!$K6,0))),0))</f>
        <v>0</v>
      </c>
      <c r="O105" s="56">
        <f>IF(O$2=Payroll!$I6,Payroll!$F6,IF(O$2&gt;Payroll!$I6,Payroll!$F6*((1+Payroll!$J6)^(ROUNDDOWN(DATEDIF(Payroll!$I6,O$2,"M")/Payroll!$K6,0))),0))</f>
        <v>0</v>
      </c>
      <c r="P105" s="56">
        <f>IF(P$2=Payroll!$I6,Payroll!$F6,IF(P$2&gt;Payroll!$I6,Payroll!$F6*((1+Payroll!$J6)^(ROUNDDOWN(DATEDIF(Payroll!$I6,P$2,"M")/Payroll!$K6,0))),0))</f>
        <v>0</v>
      </c>
      <c r="Q105" s="56">
        <f>IF(Q$2=Payroll!$I6,Payroll!$F6,IF(Q$2&gt;Payroll!$I6,Payroll!$F6*((1+Payroll!$J6)^(ROUNDDOWN(DATEDIF(Payroll!$I6,Q$2,"M")/Payroll!$K6,0))),0))</f>
        <v>0</v>
      </c>
      <c r="R105" s="56">
        <f>IF(R$2=Payroll!$I6,Payroll!$F6,IF(R$2&gt;Payroll!$I6,Payroll!$F6*((1+Payroll!$J6)^(ROUNDDOWN(DATEDIF(Payroll!$I6,R$2,"M")/Payroll!$K6,0))),0))</f>
        <v>0</v>
      </c>
      <c r="S105" s="56">
        <f>IF(S$2=Payroll!$I6,Payroll!$F6,IF(S$2&gt;Payroll!$I6,Payroll!$F6*((1+Payroll!$J6)^(ROUNDDOWN(DATEDIF(Payroll!$I6,S$2,"M")/Payroll!$K6,0))),0))</f>
        <v>0</v>
      </c>
      <c r="T105" s="56">
        <f>IF(T$2=Payroll!$I6,Payroll!$F6,IF(T$2&gt;Payroll!$I6,Payroll!$F6*((1+Payroll!$J6)^(ROUNDDOWN(DATEDIF(Payroll!$I6,T$2,"M")/Payroll!$K6,0))),0))</f>
        <v>0</v>
      </c>
      <c r="U105" s="56">
        <f>IF(U$2=Payroll!$I6,Payroll!$F6,IF(U$2&gt;Payroll!$I6,Payroll!$F6*((1+Payroll!$J6)^(ROUNDDOWN(DATEDIF(Payroll!$I6,U$2,"M")/Payroll!$K6,0))),0))</f>
        <v>0</v>
      </c>
      <c r="V105" s="56">
        <f>IF(V$2=Payroll!$I6,Payroll!$F6,IF(V$2&gt;Payroll!$I6,Payroll!$F6*((1+Payroll!$J6)^(ROUNDDOWN(DATEDIF(Payroll!$I6,V$2,"M")/Payroll!$K6,0))),0))</f>
        <v>0</v>
      </c>
      <c r="W105" s="56">
        <f>IF(W$2=Payroll!$I6,Payroll!$F6,IF(W$2&gt;Payroll!$I6,Payroll!$F6*((1+Payroll!$J6)^(ROUNDDOWN(DATEDIF(Payroll!$I6,W$2,"M")/Payroll!$K6,0))),0))</f>
        <v>0</v>
      </c>
      <c r="X105" s="56">
        <f>IF(X$2=Payroll!$I6,Payroll!$F6,IF(X$2&gt;Payroll!$I6,Payroll!$F6*((1+Payroll!$J6)^(ROUNDDOWN(DATEDIF(Payroll!$I6,X$2,"M")/Payroll!$K6,0))),0))</f>
        <v>0</v>
      </c>
      <c r="Y105" s="56">
        <f>IF(Y$2=Payroll!$I6,Payroll!$F6,IF(Y$2&gt;Payroll!$I6,Payroll!$F6*((1+Payroll!$J6)^(ROUNDDOWN(DATEDIF(Payroll!$I6,Y$2,"M")/Payroll!$K6,0))),0))</f>
        <v>0</v>
      </c>
      <c r="Z105" s="56">
        <f>IF(Z$2=Payroll!$I6,Payroll!$F6,IF(Z$2&gt;Payroll!$I6,Payroll!$F6*((1+Payroll!$J6)^(ROUNDDOWN(DATEDIF(Payroll!$I6,Z$2,"M")/Payroll!$K6,0))),0))</f>
        <v>0</v>
      </c>
      <c r="AA105" s="56">
        <f>IF(AA$2=Payroll!$I6,Payroll!$F6,IF(AA$2&gt;Payroll!$I6,Payroll!$F6*((1+Payroll!$J6)^(ROUNDDOWN(DATEDIF(Payroll!$I6,AA$2,"M")/Payroll!$K6,0))),0))</f>
        <v>0</v>
      </c>
      <c r="AB105" s="56">
        <f>IF(AB$2=Payroll!$I6,Payroll!$F6,IF(AB$2&gt;Payroll!$I6,Payroll!$F6*((1+Payroll!$J6)^(ROUNDDOWN(DATEDIF(Payroll!$I6,AB$2,"M")/Payroll!$K6,0))),0))</f>
        <v>0</v>
      </c>
      <c r="AC105" s="56">
        <f>IF(AC$2=Payroll!$I6,Payroll!$F6,IF(AC$2&gt;Payroll!$I6,Payroll!$F6*((1+Payroll!$J6)^(ROUNDDOWN(DATEDIF(Payroll!$I6,AC$2,"M")/Payroll!$K6,0))),0))</f>
        <v>0</v>
      </c>
      <c r="AD105" s="56">
        <f>IF(AD$2=Payroll!$I6,Payroll!$F6,IF(AD$2&gt;Payroll!$I6,Payroll!$F6*((1+Payroll!$J6)^(ROUNDDOWN(DATEDIF(Payroll!$I6,AD$2,"M")/Payroll!$K6,0))),0))</f>
        <v>7692.307692</v>
      </c>
      <c r="AE105" s="56">
        <f>IF(AE$2=Payroll!$I6,Payroll!$F6,IF(AE$2&gt;Payroll!$I6,Payroll!$F6*((1+Payroll!$J6)^(ROUNDDOWN(DATEDIF(Payroll!$I6,AE$2,"M")/Payroll!$K6,0))),0))</f>
        <v>7692.307692</v>
      </c>
      <c r="AF105" s="56">
        <f>IF(AF$2=Payroll!$I6,Payroll!$F6,IF(AF$2&gt;Payroll!$I6,Payroll!$F6*((1+Payroll!$J6)^(ROUNDDOWN(DATEDIF(Payroll!$I6,AF$2,"M")/Payroll!$K6,0))),0))</f>
        <v>7692.307692</v>
      </c>
      <c r="AG105" s="56">
        <f>IF(AG$2=Payroll!$I6,Payroll!$F6,IF(AG$2&gt;Payroll!$I6,Payroll!$F6*((1+Payroll!$J6)^(ROUNDDOWN(DATEDIF(Payroll!$I6,AG$2,"M")/Payroll!$K6,0))),0))</f>
        <v>7692.307692</v>
      </c>
      <c r="AH105" s="56">
        <f>IF(AH$2=Payroll!$I6,Payroll!$F6,IF(AH$2&gt;Payroll!$I6,Payroll!$F6*((1+Payroll!$J6)^(ROUNDDOWN(DATEDIF(Payroll!$I6,AH$2,"M")/Payroll!$K6,0))),0))</f>
        <v>7692.307692</v>
      </c>
      <c r="AI105" s="56">
        <f>IF(AI$2=Payroll!$I6,Payroll!$F6,IF(AI$2&gt;Payroll!$I6,Payroll!$F6*((1+Payroll!$J6)^(ROUNDDOWN(DATEDIF(Payroll!$I6,AI$2,"M")/Payroll!$K6,0))),0))</f>
        <v>7692.307692</v>
      </c>
      <c r="AJ105" s="56">
        <f>IF(AJ$2=Payroll!$I6,Payroll!$F6,IF(AJ$2&gt;Payroll!$I6,Payroll!$F6*((1+Payroll!$J6)^(ROUNDDOWN(DATEDIF(Payroll!$I6,AJ$2,"M")/Payroll!$K6,0))),0))</f>
        <v>7692.307692</v>
      </c>
      <c r="AK105" s="56">
        <f>IF(AK$2=Payroll!$I6,Payroll!$F6,IF(AK$2&gt;Payroll!$I6,Payroll!$F6*((1+Payroll!$J6)^(ROUNDDOWN(DATEDIF(Payroll!$I6,AK$2,"M")/Payroll!$K6,0))),0))</f>
        <v>7692.307692</v>
      </c>
      <c r="AL105" s="56">
        <f>IF(AL$2=Payroll!$I6,Payroll!$F6,IF(AL$2&gt;Payroll!$I6,Payroll!$F6*((1+Payroll!$J6)^(ROUNDDOWN(DATEDIF(Payroll!$I6,AL$2,"M")/Payroll!$K6,0))),0))</f>
        <v>7692.307692</v>
      </c>
      <c r="AM105" s="56">
        <f>IF(AM$2=Payroll!$I6,Payroll!$F6,IF(AM$2&gt;Payroll!$I6,Payroll!$F6*((1+Payroll!$J6)^(ROUNDDOWN(DATEDIF(Payroll!$I6,AM$2,"M")/Payroll!$K6,0))),0))</f>
        <v>7692.307692</v>
      </c>
      <c r="AN105" s="56">
        <f>IF(AN$2=Payroll!$I6,Payroll!$F6,IF(AN$2&gt;Payroll!$I6,Payroll!$F6*((1+Payroll!$J6)^(ROUNDDOWN(DATEDIF(Payroll!$I6,AN$2,"M")/Payroll!$K6,0))),0))</f>
        <v>7692.307692</v>
      </c>
      <c r="AO105" s="56">
        <f>IF(AO$2=Payroll!$I6,Payroll!$F6,IF(AO$2&gt;Payroll!$I6,Payroll!$F6*((1+Payroll!$J6)^(ROUNDDOWN(DATEDIF(Payroll!$I6,AO$2,"M")/Payroll!$K6,0))),0))</f>
        <v>7692.307692</v>
      </c>
      <c r="AP105" s="56">
        <f>IF(AP$2=Payroll!$I6,Payroll!$F6,IF(AP$2&gt;Payroll!$I6,Payroll!$F6*((1+Payroll!$J6)^(ROUNDDOWN(DATEDIF(Payroll!$I6,AP$2,"M")/Payroll!$K6,0))),0))</f>
        <v>7846.153846</v>
      </c>
      <c r="AQ105" s="56">
        <f>IF(AQ$2=Payroll!$I6,Payroll!$F6,IF(AQ$2&gt;Payroll!$I6,Payroll!$F6*((1+Payroll!$J6)^(ROUNDDOWN(DATEDIF(Payroll!$I6,AQ$2,"M")/Payroll!$K6,0))),0))</f>
        <v>7846.153846</v>
      </c>
      <c r="AR105" s="56">
        <f>IF(AR$2=Payroll!$I6,Payroll!$F6,IF(AR$2&gt;Payroll!$I6,Payroll!$F6*((1+Payroll!$J6)^(ROUNDDOWN(DATEDIF(Payroll!$I6,AR$2,"M")/Payroll!$K6,0))),0))</f>
        <v>7846.153846</v>
      </c>
      <c r="AS105" s="56">
        <f>IF(AS$2=Payroll!$I6,Payroll!$F6,IF(AS$2&gt;Payroll!$I6,Payroll!$F6*((1+Payroll!$J6)^(ROUNDDOWN(DATEDIF(Payroll!$I6,AS$2,"M")/Payroll!$K6,0))),0))</f>
        <v>7846.153846</v>
      </c>
      <c r="AT105" s="56">
        <f>IF(AT$2=Payroll!$I6,Payroll!$F6,IF(AT$2&gt;Payroll!$I6,Payroll!$F6*((1+Payroll!$J6)^(ROUNDDOWN(DATEDIF(Payroll!$I6,AT$2,"M")/Payroll!$K6,0))),0))</f>
        <v>7846.153846</v>
      </c>
      <c r="AU105" s="56">
        <f>IF(AU$2=Payroll!$I6,Payroll!$F6,IF(AU$2&gt;Payroll!$I6,Payroll!$F6*((1+Payroll!$J6)^(ROUNDDOWN(DATEDIF(Payroll!$I6,AU$2,"M")/Payroll!$K6,0))),0))</f>
        <v>7846.153846</v>
      </c>
      <c r="AV105" s="56">
        <f>IF(AV$2=Payroll!$I6,Payroll!$F6,IF(AV$2&gt;Payroll!$I6,Payroll!$F6*((1+Payroll!$J6)^(ROUNDDOWN(DATEDIF(Payroll!$I6,AV$2,"M")/Payroll!$K6,0))),0))</f>
        <v>7846.153846</v>
      </c>
      <c r="AW105" s="56">
        <f>IF(AW$2=Payroll!$I6,Payroll!$F6,IF(AW$2&gt;Payroll!$I6,Payroll!$F6*((1+Payroll!$J6)^(ROUNDDOWN(DATEDIF(Payroll!$I6,AW$2,"M")/Payroll!$K6,0))),0))</f>
        <v>7846.153846</v>
      </c>
      <c r="AX105" s="56">
        <f>IF(AX$2=Payroll!$I6,Payroll!$F6,IF(AX$2&gt;Payroll!$I6,Payroll!$F6*((1+Payroll!$J6)^(ROUNDDOWN(DATEDIF(Payroll!$I6,AX$2,"M")/Payroll!$K6,0))),0))</f>
        <v>7846.153846</v>
      </c>
      <c r="AY105" s="56">
        <f>IF(AY$2=Payroll!$I6,Payroll!$F6,IF(AY$2&gt;Payroll!$I6,Payroll!$F6*((1+Payroll!$J6)^(ROUNDDOWN(DATEDIF(Payroll!$I6,AY$2,"M")/Payroll!$K6,0))),0))</f>
        <v>7846.153846</v>
      </c>
      <c r="AZ105" s="56">
        <f>IF(AZ$2=Payroll!$I6,Payroll!$F6,IF(AZ$2&gt;Payroll!$I6,Payroll!$F6*((1+Payroll!$J6)^(ROUNDDOWN(DATEDIF(Payroll!$I6,AZ$2,"M")/Payroll!$K6,0))),0))</f>
        <v>7846.153846</v>
      </c>
      <c r="BA105" s="56">
        <f>IF(BA$2=Payroll!$I6,Payroll!$F6,IF(BA$2&gt;Payroll!$I6,Payroll!$F6*((1+Payroll!$J6)^(ROUNDDOWN(DATEDIF(Payroll!$I6,BA$2,"M")/Payroll!$K6,0))),0))</f>
        <v>7846.153846</v>
      </c>
      <c r="BB105" s="56">
        <f>IF(BB$2=Payroll!$I6,Payroll!$F6,IF(BB$2&gt;Payroll!$I6,Payroll!$F6*((1+Payroll!$J6)^(ROUNDDOWN(DATEDIF(Payroll!$I6,BB$2,"M")/Payroll!$K6,0))),0))</f>
        <v>8003.076923</v>
      </c>
      <c r="BC105" s="56">
        <f>IF(BC$2=Payroll!$I6,Payroll!$F6,IF(BC$2&gt;Payroll!$I6,Payroll!$F6*((1+Payroll!$J6)^(ROUNDDOWN(DATEDIF(Payroll!$I6,BC$2,"M")/Payroll!$K6,0))),0))</f>
        <v>8003.076923</v>
      </c>
      <c r="BD105" s="56">
        <f>IF(BD$2=Payroll!$I6,Payroll!$F6,IF(BD$2&gt;Payroll!$I6,Payroll!$F6*((1+Payroll!$J6)^(ROUNDDOWN(DATEDIF(Payroll!$I6,BD$2,"M")/Payroll!$K6,0))),0))</f>
        <v>8003.076923</v>
      </c>
      <c r="BE105" s="56">
        <f>IF(BE$2=Payroll!$I6,Payroll!$F6,IF(BE$2&gt;Payroll!$I6,Payroll!$F6*((1+Payroll!$J6)^(ROUNDDOWN(DATEDIF(Payroll!$I6,BE$2,"M")/Payroll!$K6,0))),0))</f>
        <v>8003.076923</v>
      </c>
      <c r="BF105" s="56">
        <f>IF(BF$2=Payroll!$I6,Payroll!$F6,IF(BF$2&gt;Payroll!$I6,Payroll!$F6*((1+Payroll!$J6)^(ROUNDDOWN(DATEDIF(Payroll!$I6,BF$2,"M")/Payroll!$K6,0))),0))</f>
        <v>8003.076923</v>
      </c>
      <c r="BG105" s="56">
        <f>IF(BG$2=Payroll!$I6,Payroll!$F6,IF(BG$2&gt;Payroll!$I6,Payroll!$F6*((1+Payroll!$J6)^(ROUNDDOWN(DATEDIF(Payroll!$I6,BG$2,"M")/Payroll!$K6,0))),0))</f>
        <v>8003.076923</v>
      </c>
      <c r="BH105" s="56">
        <f>IF(BH$2=Payroll!$I6,Payroll!$F6,IF(BH$2&gt;Payroll!$I6,Payroll!$F6*((1+Payroll!$J6)^(ROUNDDOWN(DATEDIF(Payroll!$I6,BH$2,"M")/Payroll!$K6,0))),0))</f>
        <v>8003.076923</v>
      </c>
      <c r="BI105" s="56">
        <f>IF(BI$2=Payroll!$I6,Payroll!$F6,IF(BI$2&gt;Payroll!$I6,Payroll!$F6*((1+Payroll!$J6)^(ROUNDDOWN(DATEDIF(Payroll!$I6,BI$2,"M")/Payroll!$K6,0))),0))</f>
        <v>8003.076923</v>
      </c>
      <c r="BJ105" s="56">
        <f>IF(BJ$2=Payroll!$I6,Payroll!$F6,IF(BJ$2&gt;Payroll!$I6,Payroll!$F6*((1+Payroll!$J6)^(ROUNDDOWN(DATEDIF(Payroll!$I6,BJ$2,"M")/Payroll!$K6,0))),0))</f>
        <v>8003.076923</v>
      </c>
      <c r="BK105" s="56">
        <f>IF(BK$2=Payroll!$I6,Payroll!$F6,IF(BK$2&gt;Payroll!$I6,Payroll!$F6*((1+Payroll!$J6)^(ROUNDDOWN(DATEDIF(Payroll!$I6,BK$2,"M")/Payroll!$K6,0))),0))</f>
        <v>8003.076923</v>
      </c>
      <c r="BL105" s="56">
        <f>IF(BL$2=Payroll!$I6,Payroll!$F6,IF(BL$2&gt;Payroll!$I6,Payroll!$F6*((1+Payroll!$J6)^(ROUNDDOWN(DATEDIF(Payroll!$I6,BL$2,"M")/Payroll!$K6,0))),0))</f>
        <v>8003.076923</v>
      </c>
      <c r="BM105" s="56">
        <f>IF(BM$2=Payroll!$I6,Payroll!$F6,IF(BM$2&gt;Payroll!$I6,Payroll!$F6*((1+Payroll!$J6)^(ROUNDDOWN(DATEDIF(Payroll!$I6,BM$2,"M")/Payroll!$K6,0))),0))</f>
        <v>8003.076923</v>
      </c>
      <c r="BN105" s="56">
        <f>IF(BN$2=Payroll!$I6,Payroll!$F6,IF(BN$2&gt;Payroll!$I6,Payroll!$F6*((1+Payroll!$J6)^(ROUNDDOWN(DATEDIF(Payroll!$I6,BN$2,"M")/Payroll!$K6,0))),0))</f>
        <v>8163.138462</v>
      </c>
      <c r="BO105" s="56">
        <f>IF(BO$2=Payroll!$I6,Payroll!$F6,IF(BO$2&gt;Payroll!$I6,Payroll!$F6*((1+Payroll!$J6)^(ROUNDDOWN(DATEDIF(Payroll!$I6,BO$2,"M")/Payroll!$K6,0))),0))</f>
        <v>8163.138462</v>
      </c>
      <c r="BP105" s="56">
        <f>IF(BP$2=Payroll!$I6,Payroll!$F6,IF(BP$2&gt;Payroll!$I6,Payroll!$F6*((1+Payroll!$J6)^(ROUNDDOWN(DATEDIF(Payroll!$I6,BP$2,"M")/Payroll!$K6,0))),0))</f>
        <v>8163.138462</v>
      </c>
      <c r="BQ105" s="56">
        <f>IF(BQ$2=Payroll!$I6,Payroll!$F6,IF(BQ$2&gt;Payroll!$I6,Payroll!$F6*((1+Payroll!$J6)^(ROUNDDOWN(DATEDIF(Payroll!$I6,BQ$2,"M")/Payroll!$K6,0))),0))</f>
        <v>8163.138462</v>
      </c>
      <c r="BR105" s="56">
        <f>IF(BR$2=Payroll!$I6,Payroll!$F6,IF(BR$2&gt;Payroll!$I6,Payroll!$F6*((1+Payroll!$J6)^(ROUNDDOWN(DATEDIF(Payroll!$I6,BR$2,"M")/Payroll!$K6,0))),0))</f>
        <v>8163.138462</v>
      </c>
      <c r="BS105" s="56">
        <f>IF(BS$2=Payroll!$I6,Payroll!$F6,IF(BS$2&gt;Payroll!$I6,Payroll!$F6*((1+Payroll!$J6)^(ROUNDDOWN(DATEDIF(Payroll!$I6,BS$2,"M")/Payroll!$K6,0))),0))</f>
        <v>8163.138462</v>
      </c>
      <c r="BT105" s="56">
        <f>IF(BT$2=Payroll!$I6,Payroll!$F6,IF(BT$2&gt;Payroll!$I6,Payroll!$F6*((1+Payroll!$J6)^(ROUNDDOWN(DATEDIF(Payroll!$I6,BT$2,"M")/Payroll!$K6,0))),0))</f>
        <v>8163.138462</v>
      </c>
      <c r="BU105" s="56">
        <f>IF(BU$2=Payroll!$I6,Payroll!$F6,IF(BU$2&gt;Payroll!$I6,Payroll!$F6*((1+Payroll!$J6)^(ROUNDDOWN(DATEDIF(Payroll!$I6,BU$2,"M")/Payroll!$K6,0))),0))</f>
        <v>8163.138462</v>
      </c>
      <c r="BV105" s="56">
        <f>IF(BV$2=Payroll!$I6,Payroll!$F6,IF(BV$2&gt;Payroll!$I6,Payroll!$F6*((1+Payroll!$J6)^(ROUNDDOWN(DATEDIF(Payroll!$I6,BV$2,"M")/Payroll!$K6,0))),0))</f>
        <v>8163.138462</v>
      </c>
      <c r="BW105" s="56">
        <f>IF(BW$2=Payroll!$I6,Payroll!$F6,IF(BW$2&gt;Payroll!$I6,Payroll!$F6*((1+Payroll!$J6)^(ROUNDDOWN(DATEDIF(Payroll!$I6,BW$2,"M")/Payroll!$K6,0))),0))</f>
        <v>8163.138462</v>
      </c>
      <c r="BX105" s="56">
        <f>IF(BX$2=Payroll!$I6,Payroll!$F6,IF(BX$2&gt;Payroll!$I6,Payroll!$F6*((1+Payroll!$J6)^(ROUNDDOWN(DATEDIF(Payroll!$I6,BX$2,"M")/Payroll!$K6,0))),0))</f>
        <v>8163.138462</v>
      </c>
      <c r="BY105" s="56">
        <f>IF(BY$2=Payroll!$I6,Payroll!$F6,IF(BY$2&gt;Payroll!$I6,Payroll!$F6*((1+Payroll!$J6)^(ROUNDDOWN(DATEDIF(Payroll!$I6,BY$2,"M")/Payroll!$K6,0))),0))</f>
        <v>8163.138462</v>
      </c>
      <c r="BZ105" s="56">
        <f>IF(BZ$2=Payroll!$I6,Payroll!$F6,IF(BZ$2&gt;Payroll!$I6,Payroll!$F6*((1+Payroll!$J6)^(ROUNDDOWN(DATEDIF(Payroll!$I6,BZ$2,"M")/Payroll!$K6,0))),0))</f>
        <v>8326.401231</v>
      </c>
      <c r="CA105" s="56">
        <f>IF(CA$2=Payroll!$I6,Payroll!$F6,IF(CA$2&gt;Payroll!$I6,Payroll!$F6*((1+Payroll!$J6)^(ROUNDDOWN(DATEDIF(Payroll!$I6,CA$2,"M")/Payroll!$K6,0))),0))</f>
        <v>8326.401231</v>
      </c>
      <c r="CB105" s="56">
        <f>IF(CB$2=Payroll!$I6,Payroll!$F6,IF(CB$2&gt;Payroll!$I6,Payroll!$F6*((1+Payroll!$J6)^(ROUNDDOWN(DATEDIF(Payroll!$I6,CB$2,"M")/Payroll!$K6,0))),0))</f>
        <v>8326.401231</v>
      </c>
      <c r="CC105" s="56">
        <f>IF(CC$2=Payroll!$I6,Payroll!$F6,IF(CC$2&gt;Payroll!$I6,Payroll!$F6*((1+Payroll!$J6)^(ROUNDDOWN(DATEDIF(Payroll!$I6,CC$2,"M")/Payroll!$K6,0))),0))</f>
        <v>8326.401231</v>
      </c>
      <c r="CD105" s="56">
        <f>IF(CD$2=Payroll!$I6,Payroll!$F6,IF(CD$2&gt;Payroll!$I6,Payroll!$F6*((1+Payroll!$J6)^(ROUNDDOWN(DATEDIF(Payroll!$I6,CD$2,"M")/Payroll!$K6,0))),0))</f>
        <v>8326.401231</v>
      </c>
      <c r="CE105" s="56">
        <f>IF(CE$2=Payroll!$I6,Payroll!$F6,IF(CE$2&gt;Payroll!$I6,Payroll!$F6*((1+Payroll!$J6)^(ROUNDDOWN(DATEDIF(Payroll!$I6,CE$2,"M")/Payroll!$K6,0))),0))</f>
        <v>8326.401231</v>
      </c>
      <c r="CF105" s="56">
        <f>IF(CF$2=Payroll!$I6,Payroll!$F6,IF(CF$2&gt;Payroll!$I6,Payroll!$F6*((1+Payroll!$J6)^(ROUNDDOWN(DATEDIF(Payroll!$I6,CF$2,"M")/Payroll!$K6,0))),0))</f>
        <v>8326.401231</v>
      </c>
      <c r="CG105" s="56">
        <f>IF(CG$2=Payroll!$I6,Payroll!$F6,IF(CG$2&gt;Payroll!$I6,Payroll!$F6*((1+Payroll!$J6)^(ROUNDDOWN(DATEDIF(Payroll!$I6,CG$2,"M")/Payroll!$K6,0))),0))</f>
        <v>8326.401231</v>
      </c>
      <c r="CH105" s="56">
        <f>IF(CH$2=Payroll!$I6,Payroll!$F6,IF(CH$2&gt;Payroll!$I6,Payroll!$F6*((1+Payroll!$J6)^(ROUNDDOWN(DATEDIF(Payroll!$I6,CH$2,"M")/Payroll!$K6,0))),0))</f>
        <v>8326.401231</v>
      </c>
      <c r="CI105" s="56">
        <f>IF(CI$2=Payroll!$I6,Payroll!$F6,IF(CI$2&gt;Payroll!$I6,Payroll!$F6*((1+Payroll!$J6)^(ROUNDDOWN(DATEDIF(Payroll!$I6,CI$2,"M")/Payroll!$K6,0))),0))</f>
        <v>8326.401231</v>
      </c>
      <c r="CJ105" s="56">
        <f>IF(CJ$2=Payroll!$I6,Payroll!$F6,IF(CJ$2&gt;Payroll!$I6,Payroll!$F6*((1+Payroll!$J6)^(ROUNDDOWN(DATEDIF(Payroll!$I6,CJ$2,"M")/Payroll!$K6,0))),0))</f>
        <v>8326.401231</v>
      </c>
      <c r="CK105" s="56">
        <f>IF(CK$2=Payroll!$I6,Payroll!$F6,IF(CK$2&gt;Payroll!$I6,Payroll!$F6*((1+Payroll!$J6)^(ROUNDDOWN(DATEDIF(Payroll!$I6,CK$2,"M")/Payroll!$K6,0))),0))</f>
        <v>8326.401231</v>
      </c>
      <c r="CL105" s="56">
        <f>IF(CL$2=Payroll!$I6,Payroll!$F6,IF(CL$2&gt;Payroll!$I6,Payroll!$F6*((1+Payroll!$J6)^(ROUNDDOWN(DATEDIF(Payroll!$I6,CL$2,"M")/Payroll!$K6,0))),0))</f>
        <v>8492.929255</v>
      </c>
      <c r="CM105" s="56">
        <f>IF(CM$2=Payroll!$I6,Payroll!$F6,IF(CM$2&gt;Payroll!$I6,Payroll!$F6*((1+Payroll!$J6)^(ROUNDDOWN(DATEDIF(Payroll!$I6,CM$2,"M")/Payroll!$K6,0))),0))</f>
        <v>8492.929255</v>
      </c>
      <c r="CN105" s="56">
        <f>IF(CN$2=Payroll!$I6,Payroll!$F6,IF(CN$2&gt;Payroll!$I6,Payroll!$F6*((1+Payroll!$J6)^(ROUNDDOWN(DATEDIF(Payroll!$I6,CN$2,"M")/Payroll!$K6,0))),0))</f>
        <v>8492.929255</v>
      </c>
      <c r="CO105" s="56">
        <f>IF(CO$2=Payroll!$I6,Payroll!$F6,IF(CO$2&gt;Payroll!$I6,Payroll!$F6*((1+Payroll!$J6)^(ROUNDDOWN(DATEDIF(Payroll!$I6,CO$2,"M")/Payroll!$K6,0))),0))</f>
        <v>8492.929255</v>
      </c>
      <c r="CP105" s="56">
        <f>IF(CP$2=Payroll!$I6,Payroll!$F6,IF(CP$2&gt;Payroll!$I6,Payroll!$F6*((1+Payroll!$J6)^(ROUNDDOWN(DATEDIF(Payroll!$I6,CP$2,"M")/Payroll!$K6,0))),0))</f>
        <v>8492.929255</v>
      </c>
      <c r="CQ105" s="56">
        <f>IF(CQ$2=Payroll!$I6,Payroll!$F6,IF(CQ$2&gt;Payroll!$I6,Payroll!$F6*((1+Payroll!$J6)^(ROUNDDOWN(DATEDIF(Payroll!$I6,CQ$2,"M")/Payroll!$K6,0))),0))</f>
        <v>8492.929255</v>
      </c>
      <c r="CR105" s="56">
        <f>IF(CR$2=Payroll!$I6,Payroll!$F6,IF(CR$2&gt;Payroll!$I6,Payroll!$F6*((1+Payroll!$J6)^(ROUNDDOWN(DATEDIF(Payroll!$I6,CR$2,"M")/Payroll!$K6,0))),0))</f>
        <v>8492.929255</v>
      </c>
      <c r="CS105" s="56">
        <f>IF(CS$2=Payroll!$I6,Payroll!$F6,IF(CS$2&gt;Payroll!$I6,Payroll!$F6*((1+Payroll!$J6)^(ROUNDDOWN(DATEDIF(Payroll!$I6,CS$2,"M")/Payroll!$K6,0))),0))</f>
        <v>8492.929255</v>
      </c>
      <c r="CT105" s="56">
        <f>IF(CT$2=Payroll!$I6,Payroll!$F6,IF(CT$2&gt;Payroll!$I6,Payroll!$F6*((1+Payroll!$J6)^(ROUNDDOWN(DATEDIF(Payroll!$I6,CT$2,"M")/Payroll!$K6,0))),0))</f>
        <v>8492.929255</v>
      </c>
      <c r="CU105" s="56">
        <f>IF(CU$2=Payroll!$I6,Payroll!$F6,IF(CU$2&gt;Payroll!$I6,Payroll!$F6*((1+Payroll!$J6)^(ROUNDDOWN(DATEDIF(Payroll!$I6,CU$2,"M")/Payroll!$K6,0))),0))</f>
        <v>8492.929255</v>
      </c>
      <c r="CV105" s="56">
        <f>IF(CV$2=Payroll!$I6,Payroll!$F6,IF(CV$2&gt;Payroll!$I6,Payroll!$F6*((1+Payroll!$J6)^(ROUNDDOWN(DATEDIF(Payroll!$I6,CV$2,"M")/Payroll!$K6,0))),0))</f>
        <v>8492.929255</v>
      </c>
      <c r="CW105" s="56">
        <f>IF(CW$2=Payroll!$I6,Payroll!$F6,IF(CW$2&gt;Payroll!$I6,Payroll!$F6*((1+Payroll!$J6)^(ROUNDDOWN(DATEDIF(Payroll!$I6,CW$2,"M")/Payroll!$K6,0))),0))</f>
        <v>8492.929255</v>
      </c>
      <c r="CX105" s="56">
        <f>IF(CX$2=Payroll!$I6,Payroll!$F6,IF(CX$2&gt;Payroll!$I6,Payroll!$F6*((1+Payroll!$J6)^(ROUNDDOWN(DATEDIF(Payroll!$I6,CX$2,"M")/Payroll!$K6,0))),0))</f>
        <v>8662.78784</v>
      </c>
    </row>
    <row r="106" ht="15.75" customHeight="1" outlineLevel="2">
      <c r="A106" s="56" t="str">
        <f>Payroll!A7</f>
        <v>CFO</v>
      </c>
      <c r="B106" s="56"/>
      <c r="C106" s="56"/>
      <c r="D106" s="56"/>
      <c r="E106" s="56">
        <f>IF(E$2=Payroll!$I7,Payroll!$F7,IF(E$2&gt;Payroll!$I7,Payroll!$F7*((1+Payroll!$J7)^(ROUNDDOWN(DATEDIF(Payroll!$I7,E$2,"M")/Payroll!$K7,0))),0))</f>
        <v>0</v>
      </c>
      <c r="F106" s="56">
        <f>IF(F$2=Payroll!$I7,Payroll!$F7,IF(F$2&gt;Payroll!$I7,Payroll!$F7*((1+Payroll!$J7)^(ROUNDDOWN(DATEDIF(Payroll!$I7,F$2,"M")/Payroll!$K7,0))),0))</f>
        <v>0</v>
      </c>
      <c r="G106" s="56">
        <f>IF(G$2=Payroll!$I7,Payroll!$F7,IF(G$2&gt;Payroll!$I7,Payroll!$F7*((1+Payroll!$J7)^(ROUNDDOWN(DATEDIF(Payroll!$I7,G$2,"M")/Payroll!$K7,0))),0))</f>
        <v>0</v>
      </c>
      <c r="H106" s="56">
        <f>IF(H$2=Payroll!$I7,Payroll!$F7,IF(H$2&gt;Payroll!$I7,Payroll!$F7*((1+Payroll!$J7)^(ROUNDDOWN(DATEDIF(Payroll!$I7,H$2,"M")/Payroll!$K7,0))),0))</f>
        <v>0</v>
      </c>
      <c r="I106" s="56">
        <f>IF(I$2=Payroll!$I7,Payroll!$F7,IF(I$2&gt;Payroll!$I7,Payroll!$F7*((1+Payroll!$J7)^(ROUNDDOWN(DATEDIF(Payroll!$I7,I$2,"M")/Payroll!$K7,0))),0))</f>
        <v>0</v>
      </c>
      <c r="J106" s="56">
        <f>IF(J$2=Payroll!$I7,Payroll!$F7,IF(J$2&gt;Payroll!$I7,Payroll!$F7*((1+Payroll!$J7)^(ROUNDDOWN(DATEDIF(Payroll!$I7,J$2,"M")/Payroll!$K7,0))),0))</f>
        <v>0</v>
      </c>
      <c r="K106" s="56">
        <f>IF(K$2=Payroll!$I7,Payroll!$F7,IF(K$2&gt;Payroll!$I7,Payroll!$F7*((1+Payroll!$J7)^(ROUNDDOWN(DATEDIF(Payroll!$I7,K$2,"M")/Payroll!$K7,0))),0))</f>
        <v>0</v>
      </c>
      <c r="L106" s="56">
        <f>IF(L$2=Payroll!$I7,Payroll!$F7,IF(L$2&gt;Payroll!$I7,Payroll!$F7*((1+Payroll!$J7)^(ROUNDDOWN(DATEDIF(Payroll!$I7,L$2,"M")/Payroll!$K7,0))),0))</f>
        <v>0</v>
      </c>
      <c r="M106" s="56">
        <f>IF(M$2=Payroll!$I7,Payroll!$F7,IF(M$2&gt;Payroll!$I7,Payroll!$F7*((1+Payroll!$J7)^(ROUNDDOWN(DATEDIF(Payroll!$I7,M$2,"M")/Payroll!$K7,0))),0))</f>
        <v>0</v>
      </c>
      <c r="N106" s="56">
        <f>IF(N$2=Payroll!$I7,Payroll!$F7,IF(N$2&gt;Payroll!$I7,Payroll!$F7*((1+Payroll!$J7)^(ROUNDDOWN(DATEDIF(Payroll!$I7,N$2,"M")/Payroll!$K7,0))),0))</f>
        <v>0</v>
      </c>
      <c r="O106" s="56">
        <f>IF(O$2=Payroll!$I7,Payroll!$F7,IF(O$2&gt;Payroll!$I7,Payroll!$F7*((1+Payroll!$J7)^(ROUNDDOWN(DATEDIF(Payroll!$I7,O$2,"M")/Payroll!$K7,0))),0))</f>
        <v>0</v>
      </c>
      <c r="P106" s="56">
        <f>IF(P$2=Payroll!$I7,Payroll!$F7,IF(P$2&gt;Payroll!$I7,Payroll!$F7*((1+Payroll!$J7)^(ROUNDDOWN(DATEDIF(Payroll!$I7,P$2,"M")/Payroll!$K7,0))),0))</f>
        <v>0</v>
      </c>
      <c r="Q106" s="56">
        <f>IF(Q$2=Payroll!$I7,Payroll!$F7,IF(Q$2&gt;Payroll!$I7,Payroll!$F7*((1+Payroll!$J7)^(ROUNDDOWN(DATEDIF(Payroll!$I7,Q$2,"M")/Payroll!$K7,0))),0))</f>
        <v>0</v>
      </c>
      <c r="R106" s="56">
        <f>IF(R$2=Payroll!$I7,Payroll!$F7,IF(R$2&gt;Payroll!$I7,Payroll!$F7*((1+Payroll!$J7)^(ROUNDDOWN(DATEDIF(Payroll!$I7,R$2,"M")/Payroll!$K7,0))),0))</f>
        <v>0</v>
      </c>
      <c r="S106" s="56">
        <f>IF(S$2=Payroll!$I7,Payroll!$F7,IF(S$2&gt;Payroll!$I7,Payroll!$F7*((1+Payroll!$J7)^(ROUNDDOWN(DATEDIF(Payroll!$I7,S$2,"M")/Payroll!$K7,0))),0))</f>
        <v>0</v>
      </c>
      <c r="T106" s="56">
        <f>IF(T$2=Payroll!$I7,Payroll!$F7,IF(T$2&gt;Payroll!$I7,Payroll!$F7*((1+Payroll!$J7)^(ROUNDDOWN(DATEDIF(Payroll!$I7,T$2,"M")/Payroll!$K7,0))),0))</f>
        <v>0</v>
      </c>
      <c r="U106" s="56">
        <f>IF(U$2=Payroll!$I7,Payroll!$F7,IF(U$2&gt;Payroll!$I7,Payroll!$F7*((1+Payroll!$J7)^(ROUNDDOWN(DATEDIF(Payroll!$I7,U$2,"M")/Payroll!$K7,0))),0))</f>
        <v>0</v>
      </c>
      <c r="V106" s="56">
        <f>IF(V$2=Payroll!$I7,Payroll!$F7,IF(V$2&gt;Payroll!$I7,Payroll!$F7*((1+Payroll!$J7)^(ROUNDDOWN(DATEDIF(Payroll!$I7,V$2,"M")/Payroll!$K7,0))),0))</f>
        <v>0</v>
      </c>
      <c r="W106" s="56">
        <f>IF(W$2=Payroll!$I7,Payroll!$F7,IF(W$2&gt;Payroll!$I7,Payroll!$F7*((1+Payroll!$J7)^(ROUNDDOWN(DATEDIF(Payroll!$I7,W$2,"M")/Payroll!$K7,0))),0))</f>
        <v>0</v>
      </c>
      <c r="X106" s="56">
        <f>IF(X$2=Payroll!$I7,Payroll!$F7,IF(X$2&gt;Payroll!$I7,Payroll!$F7*((1+Payroll!$J7)^(ROUNDDOWN(DATEDIF(Payroll!$I7,X$2,"M")/Payroll!$K7,0))),0))</f>
        <v>0</v>
      </c>
      <c r="Y106" s="56">
        <f>IF(Y$2=Payroll!$I7,Payroll!$F7,IF(Y$2&gt;Payroll!$I7,Payroll!$F7*((1+Payroll!$J7)^(ROUNDDOWN(DATEDIF(Payroll!$I7,Y$2,"M")/Payroll!$K7,0))),0))</f>
        <v>0</v>
      </c>
      <c r="Z106" s="56">
        <f>IF(Z$2=Payroll!$I7,Payroll!$F7,IF(Z$2&gt;Payroll!$I7,Payroll!$F7*((1+Payroll!$J7)^(ROUNDDOWN(DATEDIF(Payroll!$I7,Z$2,"M")/Payroll!$K7,0))),0))</f>
        <v>0</v>
      </c>
      <c r="AA106" s="56">
        <f>IF(AA$2=Payroll!$I7,Payroll!$F7,IF(AA$2&gt;Payroll!$I7,Payroll!$F7*((1+Payroll!$J7)^(ROUNDDOWN(DATEDIF(Payroll!$I7,AA$2,"M")/Payroll!$K7,0))),0))</f>
        <v>0</v>
      </c>
      <c r="AB106" s="56">
        <f>IF(AB$2=Payroll!$I7,Payroll!$F7,IF(AB$2&gt;Payroll!$I7,Payroll!$F7*((1+Payroll!$J7)^(ROUNDDOWN(DATEDIF(Payroll!$I7,AB$2,"M")/Payroll!$K7,0))),0))</f>
        <v>0</v>
      </c>
      <c r="AC106" s="56">
        <f>IF(AC$2=Payroll!$I7,Payroll!$F7,IF(AC$2&gt;Payroll!$I7,Payroll!$F7*((1+Payroll!$J7)^(ROUNDDOWN(DATEDIF(Payroll!$I7,AC$2,"M")/Payroll!$K7,0))),0))</f>
        <v>0</v>
      </c>
      <c r="AD106" s="56">
        <f>IF(AD$2=Payroll!$I7,Payroll!$F7,IF(AD$2&gt;Payroll!$I7,Payroll!$F7*((1+Payroll!$J7)^(ROUNDDOWN(DATEDIF(Payroll!$I7,AD$2,"M")/Payroll!$K7,0))),0))</f>
        <v>0</v>
      </c>
      <c r="AE106" s="56">
        <f>IF(AE$2=Payroll!$I7,Payroll!$F7,IF(AE$2&gt;Payroll!$I7,Payroll!$F7*((1+Payroll!$J7)^(ROUNDDOWN(DATEDIF(Payroll!$I7,AE$2,"M")/Payroll!$K7,0))),0))</f>
        <v>0</v>
      </c>
      <c r="AF106" s="56">
        <f>IF(AF$2=Payroll!$I7,Payroll!$F7,IF(AF$2&gt;Payroll!$I7,Payroll!$F7*((1+Payroll!$J7)^(ROUNDDOWN(DATEDIF(Payroll!$I7,AF$2,"M")/Payroll!$K7,0))),0))</f>
        <v>0</v>
      </c>
      <c r="AG106" s="56">
        <f>IF(AG$2=Payroll!$I7,Payroll!$F7,IF(AG$2&gt;Payroll!$I7,Payroll!$F7*((1+Payroll!$J7)^(ROUNDDOWN(DATEDIF(Payroll!$I7,AG$2,"M")/Payroll!$K7,0))),0))</f>
        <v>0</v>
      </c>
      <c r="AH106" s="56">
        <f>IF(AH$2=Payroll!$I7,Payroll!$F7,IF(AH$2&gt;Payroll!$I7,Payroll!$F7*((1+Payroll!$J7)^(ROUNDDOWN(DATEDIF(Payroll!$I7,AH$2,"M")/Payroll!$K7,0))),0))</f>
        <v>0</v>
      </c>
      <c r="AI106" s="56">
        <f>IF(AI$2=Payroll!$I7,Payroll!$F7,IF(AI$2&gt;Payroll!$I7,Payroll!$F7*((1+Payroll!$J7)^(ROUNDDOWN(DATEDIF(Payroll!$I7,AI$2,"M")/Payroll!$K7,0))),0))</f>
        <v>0</v>
      </c>
      <c r="AJ106" s="56">
        <f>IF(AJ$2=Payroll!$I7,Payroll!$F7,IF(AJ$2&gt;Payroll!$I7,Payroll!$F7*((1+Payroll!$J7)^(ROUNDDOWN(DATEDIF(Payroll!$I7,AJ$2,"M")/Payroll!$K7,0))),0))</f>
        <v>0</v>
      </c>
      <c r="AK106" s="56">
        <f>IF(AK$2=Payroll!$I7,Payroll!$F7,IF(AK$2&gt;Payroll!$I7,Payroll!$F7*((1+Payroll!$J7)^(ROUNDDOWN(DATEDIF(Payroll!$I7,AK$2,"M")/Payroll!$K7,0))),0))</f>
        <v>0</v>
      </c>
      <c r="AL106" s="56">
        <f>IF(AL$2=Payroll!$I7,Payroll!$F7,IF(AL$2&gt;Payroll!$I7,Payroll!$F7*((1+Payroll!$J7)^(ROUNDDOWN(DATEDIF(Payroll!$I7,AL$2,"M")/Payroll!$K7,0))),0))</f>
        <v>0</v>
      </c>
      <c r="AM106" s="56">
        <f>IF(AM$2=Payroll!$I7,Payroll!$F7,IF(AM$2&gt;Payroll!$I7,Payroll!$F7*((1+Payroll!$J7)^(ROUNDDOWN(DATEDIF(Payroll!$I7,AM$2,"M")/Payroll!$K7,0))),0))</f>
        <v>0</v>
      </c>
      <c r="AN106" s="56">
        <f>IF(AN$2=Payroll!$I7,Payroll!$F7,IF(AN$2&gt;Payroll!$I7,Payroll!$F7*((1+Payroll!$J7)^(ROUNDDOWN(DATEDIF(Payroll!$I7,AN$2,"M")/Payroll!$K7,0))),0))</f>
        <v>0</v>
      </c>
      <c r="AO106" s="56">
        <f>IF(AO$2=Payroll!$I7,Payroll!$F7,IF(AO$2&gt;Payroll!$I7,Payroll!$F7*((1+Payroll!$J7)^(ROUNDDOWN(DATEDIF(Payroll!$I7,AO$2,"M")/Payroll!$K7,0))),0))</f>
        <v>0</v>
      </c>
      <c r="AP106" s="56">
        <f>IF(AP$2=Payroll!$I7,Payroll!$F7,IF(AP$2&gt;Payroll!$I7,Payroll!$F7*((1+Payroll!$J7)^(ROUNDDOWN(DATEDIF(Payroll!$I7,AP$2,"M")/Payroll!$K7,0))),0))</f>
        <v>0</v>
      </c>
      <c r="AQ106" s="56">
        <f>IF(AQ$2=Payroll!$I7,Payroll!$F7,IF(AQ$2&gt;Payroll!$I7,Payroll!$F7*((1+Payroll!$J7)^(ROUNDDOWN(DATEDIF(Payroll!$I7,AQ$2,"M")/Payroll!$K7,0))),0))</f>
        <v>0</v>
      </c>
      <c r="AR106" s="56">
        <f>IF(AR$2=Payroll!$I7,Payroll!$F7,IF(AR$2&gt;Payroll!$I7,Payroll!$F7*((1+Payroll!$J7)^(ROUNDDOWN(DATEDIF(Payroll!$I7,AR$2,"M")/Payroll!$K7,0))),0))</f>
        <v>0</v>
      </c>
      <c r="AS106" s="56">
        <f>IF(AS$2=Payroll!$I7,Payroll!$F7,IF(AS$2&gt;Payroll!$I7,Payroll!$F7*((1+Payroll!$J7)^(ROUNDDOWN(DATEDIF(Payroll!$I7,AS$2,"M")/Payroll!$K7,0))),0))</f>
        <v>0</v>
      </c>
      <c r="AT106" s="56">
        <f>IF(AT$2=Payroll!$I7,Payroll!$F7,IF(AT$2&gt;Payroll!$I7,Payroll!$F7*((1+Payroll!$J7)^(ROUNDDOWN(DATEDIF(Payroll!$I7,AT$2,"M")/Payroll!$K7,0))),0))</f>
        <v>0</v>
      </c>
      <c r="AU106" s="56">
        <f>IF(AU$2=Payroll!$I7,Payroll!$F7,IF(AU$2&gt;Payroll!$I7,Payroll!$F7*((1+Payroll!$J7)^(ROUNDDOWN(DATEDIF(Payroll!$I7,AU$2,"M")/Payroll!$K7,0))),0))</f>
        <v>0</v>
      </c>
      <c r="AV106" s="56">
        <f>IF(AV$2=Payroll!$I7,Payroll!$F7,IF(AV$2&gt;Payroll!$I7,Payroll!$F7*((1+Payroll!$J7)^(ROUNDDOWN(DATEDIF(Payroll!$I7,AV$2,"M")/Payroll!$K7,0))),0))</f>
        <v>0</v>
      </c>
      <c r="AW106" s="56">
        <f>IF(AW$2=Payroll!$I7,Payroll!$F7,IF(AW$2&gt;Payroll!$I7,Payroll!$F7*((1+Payroll!$J7)^(ROUNDDOWN(DATEDIF(Payroll!$I7,AW$2,"M")/Payroll!$K7,0))),0))</f>
        <v>0</v>
      </c>
      <c r="AX106" s="56">
        <f>IF(AX$2=Payroll!$I7,Payroll!$F7,IF(AX$2&gt;Payroll!$I7,Payroll!$F7*((1+Payroll!$J7)^(ROUNDDOWN(DATEDIF(Payroll!$I7,AX$2,"M")/Payroll!$K7,0))),0))</f>
        <v>0</v>
      </c>
      <c r="AY106" s="56">
        <f>IF(AY$2=Payroll!$I7,Payroll!$F7,IF(AY$2&gt;Payroll!$I7,Payroll!$F7*((1+Payroll!$J7)^(ROUNDDOWN(DATEDIF(Payroll!$I7,AY$2,"M")/Payroll!$K7,0))),0))</f>
        <v>0</v>
      </c>
      <c r="AZ106" s="56">
        <f>IF(AZ$2=Payroll!$I7,Payroll!$F7,IF(AZ$2&gt;Payroll!$I7,Payroll!$F7*((1+Payroll!$J7)^(ROUNDDOWN(DATEDIF(Payroll!$I7,AZ$2,"M")/Payroll!$K7,0))),0))</f>
        <v>0</v>
      </c>
      <c r="BA106" s="56">
        <f>IF(BA$2=Payroll!$I7,Payroll!$F7,IF(BA$2&gt;Payroll!$I7,Payroll!$F7*((1+Payroll!$J7)^(ROUNDDOWN(DATEDIF(Payroll!$I7,BA$2,"M")/Payroll!$K7,0))),0))</f>
        <v>0</v>
      </c>
      <c r="BB106" s="56">
        <f>IF(BB$2=Payroll!$I7,Payroll!$F7,IF(BB$2&gt;Payroll!$I7,Payroll!$F7*((1+Payroll!$J7)^(ROUNDDOWN(DATEDIF(Payroll!$I7,BB$2,"M")/Payroll!$K7,0))),0))</f>
        <v>0</v>
      </c>
      <c r="BC106" s="56">
        <f>IF(BC$2=Payroll!$I7,Payroll!$F7,IF(BC$2&gt;Payroll!$I7,Payroll!$F7*((1+Payroll!$J7)^(ROUNDDOWN(DATEDIF(Payroll!$I7,BC$2,"M")/Payroll!$K7,0))),0))</f>
        <v>0</v>
      </c>
      <c r="BD106" s="56">
        <f>IF(BD$2=Payroll!$I7,Payroll!$F7,IF(BD$2&gt;Payroll!$I7,Payroll!$F7*((1+Payroll!$J7)^(ROUNDDOWN(DATEDIF(Payroll!$I7,BD$2,"M")/Payroll!$K7,0))),0))</f>
        <v>0</v>
      </c>
      <c r="BE106" s="56">
        <f>IF(BE$2=Payroll!$I7,Payroll!$F7,IF(BE$2&gt;Payroll!$I7,Payroll!$F7*((1+Payroll!$J7)^(ROUNDDOWN(DATEDIF(Payroll!$I7,BE$2,"M")/Payroll!$K7,0))),0))</f>
        <v>0</v>
      </c>
      <c r="BF106" s="56">
        <f>IF(BF$2=Payroll!$I7,Payroll!$F7,IF(BF$2&gt;Payroll!$I7,Payroll!$F7*((1+Payroll!$J7)^(ROUNDDOWN(DATEDIF(Payroll!$I7,BF$2,"M")/Payroll!$K7,0))),0))</f>
        <v>0</v>
      </c>
      <c r="BG106" s="56">
        <f>IF(BG$2=Payroll!$I7,Payroll!$F7,IF(BG$2&gt;Payroll!$I7,Payroll!$F7*((1+Payroll!$J7)^(ROUNDDOWN(DATEDIF(Payroll!$I7,BG$2,"M")/Payroll!$K7,0))),0))</f>
        <v>0</v>
      </c>
      <c r="BH106" s="56">
        <f>IF(BH$2=Payroll!$I7,Payroll!$F7,IF(BH$2&gt;Payroll!$I7,Payroll!$F7*((1+Payroll!$J7)^(ROUNDDOWN(DATEDIF(Payroll!$I7,BH$2,"M")/Payroll!$K7,0))),0))</f>
        <v>0</v>
      </c>
      <c r="BI106" s="56">
        <f>IF(BI$2=Payroll!$I7,Payroll!$F7,IF(BI$2&gt;Payroll!$I7,Payroll!$F7*((1+Payroll!$J7)^(ROUNDDOWN(DATEDIF(Payroll!$I7,BI$2,"M")/Payroll!$K7,0))),0))</f>
        <v>0</v>
      </c>
      <c r="BJ106" s="56">
        <f>IF(BJ$2=Payroll!$I7,Payroll!$F7,IF(BJ$2&gt;Payroll!$I7,Payroll!$F7*((1+Payroll!$J7)^(ROUNDDOWN(DATEDIF(Payroll!$I7,BJ$2,"M")/Payroll!$K7,0))),0))</f>
        <v>0</v>
      </c>
      <c r="BK106" s="56">
        <f>IF(BK$2=Payroll!$I7,Payroll!$F7,IF(BK$2&gt;Payroll!$I7,Payroll!$F7*((1+Payroll!$J7)^(ROUNDDOWN(DATEDIF(Payroll!$I7,BK$2,"M")/Payroll!$K7,0))),0))</f>
        <v>0</v>
      </c>
      <c r="BL106" s="56">
        <f>IF(BL$2=Payroll!$I7,Payroll!$F7,IF(BL$2&gt;Payroll!$I7,Payroll!$F7*((1+Payroll!$J7)^(ROUNDDOWN(DATEDIF(Payroll!$I7,BL$2,"M")/Payroll!$K7,0))),0))</f>
        <v>0</v>
      </c>
      <c r="BM106" s="56">
        <f>IF(BM$2=Payroll!$I7,Payroll!$F7,IF(BM$2&gt;Payroll!$I7,Payroll!$F7*((1+Payroll!$J7)^(ROUNDDOWN(DATEDIF(Payroll!$I7,BM$2,"M")/Payroll!$K7,0))),0))</f>
        <v>0</v>
      </c>
      <c r="BN106" s="56">
        <f>IF(BN$2=Payroll!$I7,Payroll!$F7,IF(BN$2&gt;Payroll!$I7,Payroll!$F7*((1+Payroll!$J7)^(ROUNDDOWN(DATEDIF(Payroll!$I7,BN$2,"M")/Payroll!$K7,0))),0))</f>
        <v>0</v>
      </c>
      <c r="BO106" s="56">
        <f>IF(BO$2=Payroll!$I7,Payroll!$F7,IF(BO$2&gt;Payroll!$I7,Payroll!$F7*((1+Payroll!$J7)^(ROUNDDOWN(DATEDIF(Payroll!$I7,BO$2,"M")/Payroll!$K7,0))),0))</f>
        <v>0</v>
      </c>
      <c r="BP106" s="56">
        <f>IF(BP$2=Payroll!$I7,Payroll!$F7,IF(BP$2&gt;Payroll!$I7,Payroll!$F7*((1+Payroll!$J7)^(ROUNDDOWN(DATEDIF(Payroll!$I7,BP$2,"M")/Payroll!$K7,0))),0))</f>
        <v>0</v>
      </c>
      <c r="BQ106" s="56">
        <f>IF(BQ$2=Payroll!$I7,Payroll!$F7,IF(BQ$2&gt;Payroll!$I7,Payroll!$F7*((1+Payroll!$J7)^(ROUNDDOWN(DATEDIF(Payroll!$I7,BQ$2,"M")/Payroll!$K7,0))),0))</f>
        <v>0</v>
      </c>
      <c r="BR106" s="56">
        <f>IF(BR$2=Payroll!$I7,Payroll!$F7,IF(BR$2&gt;Payroll!$I7,Payroll!$F7*((1+Payroll!$J7)^(ROUNDDOWN(DATEDIF(Payroll!$I7,BR$2,"M")/Payroll!$K7,0))),0))</f>
        <v>0</v>
      </c>
      <c r="BS106" s="56">
        <f>IF(BS$2=Payroll!$I7,Payroll!$F7,IF(BS$2&gt;Payroll!$I7,Payroll!$F7*((1+Payroll!$J7)^(ROUNDDOWN(DATEDIF(Payroll!$I7,BS$2,"M")/Payroll!$K7,0))),0))</f>
        <v>0</v>
      </c>
      <c r="BT106" s="56">
        <f>IF(BT$2=Payroll!$I7,Payroll!$F7,IF(BT$2&gt;Payroll!$I7,Payroll!$F7*((1+Payroll!$J7)^(ROUNDDOWN(DATEDIF(Payroll!$I7,BT$2,"M")/Payroll!$K7,0))),0))</f>
        <v>0</v>
      </c>
      <c r="BU106" s="56">
        <f>IF(BU$2=Payroll!$I7,Payroll!$F7,IF(BU$2&gt;Payroll!$I7,Payroll!$F7*((1+Payroll!$J7)^(ROUNDDOWN(DATEDIF(Payroll!$I7,BU$2,"M")/Payroll!$K7,0))),0))</f>
        <v>0</v>
      </c>
      <c r="BV106" s="56">
        <f>IF(BV$2=Payroll!$I7,Payroll!$F7,IF(BV$2&gt;Payroll!$I7,Payroll!$F7*((1+Payroll!$J7)^(ROUNDDOWN(DATEDIF(Payroll!$I7,BV$2,"M")/Payroll!$K7,0))),0))</f>
        <v>0</v>
      </c>
      <c r="BW106" s="56">
        <f>IF(BW$2=Payroll!$I7,Payroll!$F7,IF(BW$2&gt;Payroll!$I7,Payroll!$F7*((1+Payroll!$J7)^(ROUNDDOWN(DATEDIF(Payroll!$I7,BW$2,"M")/Payroll!$K7,0))),0))</f>
        <v>0</v>
      </c>
      <c r="BX106" s="56">
        <f>IF(BX$2=Payroll!$I7,Payroll!$F7,IF(BX$2&gt;Payroll!$I7,Payroll!$F7*((1+Payroll!$J7)^(ROUNDDOWN(DATEDIF(Payroll!$I7,BX$2,"M")/Payroll!$K7,0))),0))</f>
        <v>0</v>
      </c>
      <c r="BY106" s="56">
        <f>IF(BY$2=Payroll!$I7,Payroll!$F7,IF(BY$2&gt;Payroll!$I7,Payroll!$F7*((1+Payroll!$J7)^(ROUNDDOWN(DATEDIF(Payroll!$I7,BY$2,"M")/Payroll!$K7,0))),0))</f>
        <v>0</v>
      </c>
      <c r="BZ106" s="56">
        <f>IF(BZ$2=Payroll!$I7,Payroll!$F7,IF(BZ$2&gt;Payroll!$I7,Payroll!$F7*((1+Payroll!$J7)^(ROUNDDOWN(DATEDIF(Payroll!$I7,BZ$2,"M")/Payroll!$K7,0))),0))</f>
        <v>0</v>
      </c>
      <c r="CA106" s="56">
        <f>IF(CA$2=Payroll!$I7,Payroll!$F7,IF(CA$2&gt;Payroll!$I7,Payroll!$F7*((1+Payroll!$J7)^(ROUNDDOWN(DATEDIF(Payroll!$I7,CA$2,"M")/Payroll!$K7,0))),0))</f>
        <v>0</v>
      </c>
      <c r="CB106" s="56">
        <f>IF(CB$2=Payroll!$I7,Payroll!$F7,IF(CB$2&gt;Payroll!$I7,Payroll!$F7*((1+Payroll!$J7)^(ROUNDDOWN(DATEDIF(Payroll!$I7,CB$2,"M")/Payroll!$K7,0))),0))</f>
        <v>0</v>
      </c>
      <c r="CC106" s="56">
        <f>IF(CC$2=Payroll!$I7,Payroll!$F7,IF(CC$2&gt;Payroll!$I7,Payroll!$F7*((1+Payroll!$J7)^(ROUNDDOWN(DATEDIF(Payroll!$I7,CC$2,"M")/Payroll!$K7,0))),0))</f>
        <v>0</v>
      </c>
      <c r="CD106" s="56">
        <f>IF(CD$2=Payroll!$I7,Payroll!$F7,IF(CD$2&gt;Payroll!$I7,Payroll!$F7*((1+Payroll!$J7)^(ROUNDDOWN(DATEDIF(Payroll!$I7,CD$2,"M")/Payroll!$K7,0))),0))</f>
        <v>0</v>
      </c>
      <c r="CE106" s="56">
        <f>IF(CE$2=Payroll!$I7,Payroll!$F7,IF(CE$2&gt;Payroll!$I7,Payroll!$F7*((1+Payroll!$J7)^(ROUNDDOWN(DATEDIF(Payroll!$I7,CE$2,"M")/Payroll!$K7,0))),0))</f>
        <v>0</v>
      </c>
      <c r="CF106" s="56">
        <f>IF(CF$2=Payroll!$I7,Payroll!$F7,IF(CF$2&gt;Payroll!$I7,Payroll!$F7*((1+Payroll!$J7)^(ROUNDDOWN(DATEDIF(Payroll!$I7,CF$2,"M")/Payroll!$K7,0))),0))</f>
        <v>0</v>
      </c>
      <c r="CG106" s="56">
        <f>IF(CG$2=Payroll!$I7,Payroll!$F7,IF(CG$2&gt;Payroll!$I7,Payroll!$F7*((1+Payroll!$J7)^(ROUNDDOWN(DATEDIF(Payroll!$I7,CG$2,"M")/Payroll!$K7,0))),0))</f>
        <v>0</v>
      </c>
      <c r="CH106" s="56">
        <f>IF(CH$2=Payroll!$I7,Payroll!$F7,IF(CH$2&gt;Payroll!$I7,Payroll!$F7*((1+Payroll!$J7)^(ROUNDDOWN(DATEDIF(Payroll!$I7,CH$2,"M")/Payroll!$K7,0))),0))</f>
        <v>0</v>
      </c>
      <c r="CI106" s="56">
        <f>IF(CI$2=Payroll!$I7,Payroll!$F7,IF(CI$2&gt;Payroll!$I7,Payroll!$F7*((1+Payroll!$J7)^(ROUNDDOWN(DATEDIF(Payroll!$I7,CI$2,"M")/Payroll!$K7,0))),0))</f>
        <v>0</v>
      </c>
      <c r="CJ106" s="56">
        <f>IF(CJ$2=Payroll!$I7,Payroll!$F7,IF(CJ$2&gt;Payroll!$I7,Payroll!$F7*((1+Payroll!$J7)^(ROUNDDOWN(DATEDIF(Payroll!$I7,CJ$2,"M")/Payroll!$K7,0))),0))</f>
        <v>0</v>
      </c>
      <c r="CK106" s="56">
        <f>IF(CK$2=Payroll!$I7,Payroll!$F7,IF(CK$2&gt;Payroll!$I7,Payroll!$F7*((1+Payroll!$J7)^(ROUNDDOWN(DATEDIF(Payroll!$I7,CK$2,"M")/Payroll!$K7,0))),0))</f>
        <v>0</v>
      </c>
      <c r="CL106" s="56">
        <f>IF(CL$2=Payroll!$I7,Payroll!$F7,IF(CL$2&gt;Payroll!$I7,Payroll!$F7*((1+Payroll!$J7)^(ROUNDDOWN(DATEDIF(Payroll!$I7,CL$2,"M")/Payroll!$K7,0))),0))</f>
        <v>0</v>
      </c>
      <c r="CM106" s="56">
        <f>IF(CM$2=Payroll!$I7,Payroll!$F7,IF(CM$2&gt;Payroll!$I7,Payroll!$F7*((1+Payroll!$J7)^(ROUNDDOWN(DATEDIF(Payroll!$I7,CM$2,"M")/Payroll!$K7,0))),0))</f>
        <v>0</v>
      </c>
      <c r="CN106" s="56">
        <f>IF(CN$2=Payroll!$I7,Payroll!$F7,IF(CN$2&gt;Payroll!$I7,Payroll!$F7*((1+Payroll!$J7)^(ROUNDDOWN(DATEDIF(Payroll!$I7,CN$2,"M")/Payroll!$K7,0))),0))</f>
        <v>0</v>
      </c>
      <c r="CO106" s="56">
        <f>IF(CO$2=Payroll!$I7,Payroll!$F7,IF(CO$2&gt;Payroll!$I7,Payroll!$F7*((1+Payroll!$J7)^(ROUNDDOWN(DATEDIF(Payroll!$I7,CO$2,"M")/Payroll!$K7,0))),0))</f>
        <v>0</v>
      </c>
      <c r="CP106" s="56">
        <f>IF(CP$2=Payroll!$I7,Payroll!$F7,IF(CP$2&gt;Payroll!$I7,Payroll!$F7*((1+Payroll!$J7)^(ROUNDDOWN(DATEDIF(Payroll!$I7,CP$2,"M")/Payroll!$K7,0))),0))</f>
        <v>0</v>
      </c>
      <c r="CQ106" s="56">
        <f>IF(CQ$2=Payroll!$I7,Payroll!$F7,IF(CQ$2&gt;Payroll!$I7,Payroll!$F7*((1+Payroll!$J7)^(ROUNDDOWN(DATEDIF(Payroll!$I7,CQ$2,"M")/Payroll!$K7,0))),0))</f>
        <v>0</v>
      </c>
      <c r="CR106" s="56">
        <f>IF(CR$2=Payroll!$I7,Payroll!$F7,IF(CR$2&gt;Payroll!$I7,Payroll!$F7*((1+Payroll!$J7)^(ROUNDDOWN(DATEDIF(Payroll!$I7,CR$2,"M")/Payroll!$K7,0))),0))</f>
        <v>0</v>
      </c>
      <c r="CS106" s="56">
        <f>IF(CS$2=Payroll!$I7,Payroll!$F7,IF(CS$2&gt;Payroll!$I7,Payroll!$F7*((1+Payroll!$J7)^(ROUNDDOWN(DATEDIF(Payroll!$I7,CS$2,"M")/Payroll!$K7,0))),0))</f>
        <v>0</v>
      </c>
      <c r="CT106" s="56">
        <f>IF(CT$2=Payroll!$I7,Payroll!$F7,IF(CT$2&gt;Payroll!$I7,Payroll!$F7*((1+Payroll!$J7)^(ROUNDDOWN(DATEDIF(Payroll!$I7,CT$2,"M")/Payroll!$K7,0))),0))</f>
        <v>0</v>
      </c>
      <c r="CU106" s="56">
        <f>IF(CU$2=Payroll!$I7,Payroll!$F7,IF(CU$2&gt;Payroll!$I7,Payroll!$F7*((1+Payroll!$J7)^(ROUNDDOWN(DATEDIF(Payroll!$I7,CU$2,"M")/Payroll!$K7,0))),0))</f>
        <v>0</v>
      </c>
      <c r="CV106" s="56">
        <f>IF(CV$2=Payroll!$I7,Payroll!$F7,IF(CV$2&gt;Payroll!$I7,Payroll!$F7*((1+Payroll!$J7)^(ROUNDDOWN(DATEDIF(Payroll!$I7,CV$2,"M")/Payroll!$K7,0))),0))</f>
        <v>0</v>
      </c>
      <c r="CW106" s="56">
        <f>IF(CW$2=Payroll!$I7,Payroll!$F7,IF(CW$2&gt;Payroll!$I7,Payroll!$F7*((1+Payroll!$J7)^(ROUNDDOWN(DATEDIF(Payroll!$I7,CW$2,"M")/Payroll!$K7,0))),0))</f>
        <v>0</v>
      </c>
      <c r="CX106" s="56">
        <f>IF(CX$2=Payroll!$I7,Payroll!$F7,IF(CX$2&gt;Payroll!$I7,Payroll!$F7*((1+Payroll!$J7)^(ROUNDDOWN(DATEDIF(Payroll!$I7,CX$2,"M")/Payroll!$K7,0))),0))</f>
        <v>0</v>
      </c>
    </row>
    <row r="107" ht="15.75" customHeight="1" outlineLevel="2">
      <c r="A107" s="56" t="str">
        <f>Payroll!A8</f>
        <v>COO</v>
      </c>
      <c r="B107" s="56"/>
      <c r="C107" s="56"/>
      <c r="D107" s="56"/>
      <c r="E107" s="56">
        <f>IF(E$2=Payroll!$I8,Payroll!$F8,IF(E$2&gt;Payroll!$I8,Payroll!$F8*((1+Payroll!$J8)^(ROUNDDOWN(DATEDIF(Payroll!$I8,E$2,"M")/Payroll!$K8,0))),0))</f>
        <v>0</v>
      </c>
      <c r="F107" s="56">
        <f>IF(F$2=Payroll!$I8,Payroll!$F8,IF(F$2&gt;Payroll!$I8,Payroll!$F8*((1+Payroll!$J8)^(ROUNDDOWN(DATEDIF(Payroll!$I8,F$2,"M")/Payroll!$K8,0))),0))</f>
        <v>0</v>
      </c>
      <c r="G107" s="56">
        <f>IF(G$2=Payroll!$I8,Payroll!$F8,IF(G$2&gt;Payroll!$I8,Payroll!$F8*((1+Payroll!$J8)^(ROUNDDOWN(DATEDIF(Payroll!$I8,G$2,"M")/Payroll!$K8,0))),0))</f>
        <v>0</v>
      </c>
      <c r="H107" s="56">
        <f>IF(H$2=Payroll!$I8,Payroll!$F8,IF(H$2&gt;Payroll!$I8,Payroll!$F8*((1+Payroll!$J8)^(ROUNDDOWN(DATEDIF(Payroll!$I8,H$2,"M")/Payroll!$K8,0))),0))</f>
        <v>0</v>
      </c>
      <c r="I107" s="56">
        <f>IF(I$2=Payroll!$I8,Payroll!$F8,IF(I$2&gt;Payroll!$I8,Payroll!$F8*((1+Payroll!$J8)^(ROUNDDOWN(DATEDIF(Payroll!$I8,I$2,"M")/Payroll!$K8,0))),0))</f>
        <v>0</v>
      </c>
      <c r="J107" s="56">
        <f>IF(J$2=Payroll!$I8,Payroll!$F8,IF(J$2&gt;Payroll!$I8,Payroll!$F8*((1+Payroll!$J8)^(ROUNDDOWN(DATEDIF(Payroll!$I8,J$2,"M")/Payroll!$K8,0))),0))</f>
        <v>0</v>
      </c>
      <c r="K107" s="56">
        <f>IF(K$2=Payroll!$I8,Payroll!$F8,IF(K$2&gt;Payroll!$I8,Payroll!$F8*((1+Payroll!$J8)^(ROUNDDOWN(DATEDIF(Payroll!$I8,K$2,"M")/Payroll!$K8,0))),0))</f>
        <v>0</v>
      </c>
      <c r="L107" s="56">
        <f>IF(L$2=Payroll!$I8,Payroll!$F8,IF(L$2&gt;Payroll!$I8,Payroll!$F8*((1+Payroll!$J8)^(ROUNDDOWN(DATEDIF(Payroll!$I8,L$2,"M")/Payroll!$K8,0))),0))</f>
        <v>0</v>
      </c>
      <c r="M107" s="56">
        <f>IF(M$2=Payroll!$I8,Payroll!$F8,IF(M$2&gt;Payroll!$I8,Payroll!$F8*((1+Payroll!$J8)^(ROUNDDOWN(DATEDIF(Payroll!$I8,M$2,"M")/Payroll!$K8,0))),0))</f>
        <v>0</v>
      </c>
      <c r="N107" s="56">
        <f>IF(N$2=Payroll!$I8,Payroll!$F8,IF(N$2&gt;Payroll!$I8,Payroll!$F8*((1+Payroll!$J8)^(ROUNDDOWN(DATEDIF(Payroll!$I8,N$2,"M")/Payroll!$K8,0))),0))</f>
        <v>0</v>
      </c>
      <c r="O107" s="56">
        <f>IF(O$2=Payroll!$I8,Payroll!$F8,IF(O$2&gt;Payroll!$I8,Payroll!$F8*((1+Payroll!$J8)^(ROUNDDOWN(DATEDIF(Payroll!$I8,O$2,"M")/Payroll!$K8,0))),0))</f>
        <v>0</v>
      </c>
      <c r="P107" s="56">
        <f>IF(P$2=Payroll!$I8,Payroll!$F8,IF(P$2&gt;Payroll!$I8,Payroll!$F8*((1+Payroll!$J8)^(ROUNDDOWN(DATEDIF(Payroll!$I8,P$2,"M")/Payroll!$K8,0))),0))</f>
        <v>0</v>
      </c>
      <c r="Q107" s="56">
        <f>IF(Q$2=Payroll!$I8,Payroll!$F8,IF(Q$2&gt;Payroll!$I8,Payroll!$F8*((1+Payroll!$J8)^(ROUNDDOWN(DATEDIF(Payroll!$I8,Q$2,"M")/Payroll!$K8,0))),0))</f>
        <v>0</v>
      </c>
      <c r="R107" s="56">
        <f>IF(R$2=Payroll!$I8,Payroll!$F8,IF(R$2&gt;Payroll!$I8,Payroll!$F8*((1+Payroll!$J8)^(ROUNDDOWN(DATEDIF(Payroll!$I8,R$2,"M")/Payroll!$K8,0))),0))</f>
        <v>0</v>
      </c>
      <c r="S107" s="56">
        <f>IF(S$2=Payroll!$I8,Payroll!$F8,IF(S$2&gt;Payroll!$I8,Payroll!$F8*((1+Payroll!$J8)^(ROUNDDOWN(DATEDIF(Payroll!$I8,S$2,"M")/Payroll!$K8,0))),0))</f>
        <v>0</v>
      </c>
      <c r="T107" s="56">
        <f>IF(T$2=Payroll!$I8,Payroll!$F8,IF(T$2&gt;Payroll!$I8,Payroll!$F8*((1+Payroll!$J8)^(ROUNDDOWN(DATEDIF(Payroll!$I8,T$2,"M")/Payroll!$K8,0))),0))</f>
        <v>0</v>
      </c>
      <c r="U107" s="56">
        <f>IF(U$2=Payroll!$I8,Payroll!$F8,IF(U$2&gt;Payroll!$I8,Payroll!$F8*((1+Payroll!$J8)^(ROUNDDOWN(DATEDIF(Payroll!$I8,U$2,"M")/Payroll!$K8,0))),0))</f>
        <v>0</v>
      </c>
      <c r="V107" s="56">
        <f>IF(V$2=Payroll!$I8,Payroll!$F8,IF(V$2&gt;Payroll!$I8,Payroll!$F8*((1+Payroll!$J8)^(ROUNDDOWN(DATEDIF(Payroll!$I8,V$2,"M")/Payroll!$K8,0))),0))</f>
        <v>0</v>
      </c>
      <c r="W107" s="56">
        <f>IF(W$2=Payroll!$I8,Payroll!$F8,IF(W$2&gt;Payroll!$I8,Payroll!$F8*((1+Payroll!$J8)^(ROUNDDOWN(DATEDIF(Payroll!$I8,W$2,"M")/Payroll!$K8,0))),0))</f>
        <v>0</v>
      </c>
      <c r="X107" s="56">
        <f>IF(X$2=Payroll!$I8,Payroll!$F8,IF(X$2&gt;Payroll!$I8,Payroll!$F8*((1+Payroll!$J8)^(ROUNDDOWN(DATEDIF(Payroll!$I8,X$2,"M")/Payroll!$K8,0))),0))</f>
        <v>0</v>
      </c>
      <c r="Y107" s="56">
        <f>IF(Y$2=Payroll!$I8,Payroll!$F8,IF(Y$2&gt;Payroll!$I8,Payroll!$F8*((1+Payroll!$J8)^(ROUNDDOWN(DATEDIF(Payroll!$I8,Y$2,"M")/Payroll!$K8,0))),0))</f>
        <v>0</v>
      </c>
      <c r="Z107" s="56">
        <f>IF(Z$2=Payroll!$I8,Payroll!$F8,IF(Z$2&gt;Payroll!$I8,Payroll!$F8*((1+Payroll!$J8)^(ROUNDDOWN(DATEDIF(Payroll!$I8,Z$2,"M")/Payroll!$K8,0))),0))</f>
        <v>0</v>
      </c>
      <c r="AA107" s="56">
        <f>IF(AA$2=Payroll!$I8,Payroll!$F8,IF(AA$2&gt;Payroll!$I8,Payroll!$F8*((1+Payroll!$J8)^(ROUNDDOWN(DATEDIF(Payroll!$I8,AA$2,"M")/Payroll!$K8,0))),0))</f>
        <v>0</v>
      </c>
      <c r="AB107" s="56">
        <f>IF(AB$2=Payroll!$I8,Payroll!$F8,IF(AB$2&gt;Payroll!$I8,Payroll!$F8*((1+Payroll!$J8)^(ROUNDDOWN(DATEDIF(Payroll!$I8,AB$2,"M")/Payroll!$K8,0))),0))</f>
        <v>0</v>
      </c>
      <c r="AC107" s="56">
        <f>IF(AC$2=Payroll!$I8,Payroll!$F8,IF(AC$2&gt;Payroll!$I8,Payroll!$F8*((1+Payroll!$J8)^(ROUNDDOWN(DATEDIF(Payroll!$I8,AC$2,"M")/Payroll!$K8,0))),0))</f>
        <v>0</v>
      </c>
      <c r="AD107" s="56">
        <f>IF(AD$2=Payroll!$I8,Payroll!$F8,IF(AD$2&gt;Payroll!$I8,Payroll!$F8*((1+Payroll!$J8)^(ROUNDDOWN(DATEDIF(Payroll!$I8,AD$2,"M")/Payroll!$K8,0))),0))</f>
        <v>0</v>
      </c>
      <c r="AE107" s="56">
        <f>IF(AE$2=Payroll!$I8,Payroll!$F8,IF(AE$2&gt;Payroll!$I8,Payroll!$F8*((1+Payroll!$J8)^(ROUNDDOWN(DATEDIF(Payroll!$I8,AE$2,"M")/Payroll!$K8,0))),0))</f>
        <v>0</v>
      </c>
      <c r="AF107" s="56">
        <f>IF(AF$2=Payroll!$I8,Payroll!$F8,IF(AF$2&gt;Payroll!$I8,Payroll!$F8*((1+Payroll!$J8)^(ROUNDDOWN(DATEDIF(Payroll!$I8,AF$2,"M")/Payroll!$K8,0))),0))</f>
        <v>0</v>
      </c>
      <c r="AG107" s="56">
        <f>IF(AG$2=Payroll!$I8,Payroll!$F8,IF(AG$2&gt;Payroll!$I8,Payroll!$F8*((1+Payroll!$J8)^(ROUNDDOWN(DATEDIF(Payroll!$I8,AG$2,"M")/Payroll!$K8,0))),0))</f>
        <v>0</v>
      </c>
      <c r="AH107" s="56">
        <f>IF(AH$2=Payroll!$I8,Payroll!$F8,IF(AH$2&gt;Payroll!$I8,Payroll!$F8*((1+Payroll!$J8)^(ROUNDDOWN(DATEDIF(Payroll!$I8,AH$2,"M")/Payroll!$K8,0))),0))</f>
        <v>0</v>
      </c>
      <c r="AI107" s="56">
        <f>IF(AI$2=Payroll!$I8,Payroll!$F8,IF(AI$2&gt;Payroll!$I8,Payroll!$F8*((1+Payroll!$J8)^(ROUNDDOWN(DATEDIF(Payroll!$I8,AI$2,"M")/Payroll!$K8,0))),0))</f>
        <v>0</v>
      </c>
      <c r="AJ107" s="56">
        <f>IF(AJ$2=Payroll!$I8,Payroll!$F8,IF(AJ$2&gt;Payroll!$I8,Payroll!$F8*((1+Payroll!$J8)^(ROUNDDOWN(DATEDIF(Payroll!$I8,AJ$2,"M")/Payroll!$K8,0))),0))</f>
        <v>0</v>
      </c>
      <c r="AK107" s="56">
        <f>IF(AK$2=Payroll!$I8,Payroll!$F8,IF(AK$2&gt;Payroll!$I8,Payroll!$F8*((1+Payroll!$J8)^(ROUNDDOWN(DATEDIF(Payroll!$I8,AK$2,"M")/Payroll!$K8,0))),0))</f>
        <v>0</v>
      </c>
      <c r="AL107" s="56">
        <f>IF(AL$2=Payroll!$I8,Payroll!$F8,IF(AL$2&gt;Payroll!$I8,Payroll!$F8*((1+Payroll!$J8)^(ROUNDDOWN(DATEDIF(Payroll!$I8,AL$2,"M")/Payroll!$K8,0))),0))</f>
        <v>0</v>
      </c>
      <c r="AM107" s="56">
        <f>IF(AM$2=Payroll!$I8,Payroll!$F8,IF(AM$2&gt;Payroll!$I8,Payroll!$F8*((1+Payroll!$J8)^(ROUNDDOWN(DATEDIF(Payroll!$I8,AM$2,"M")/Payroll!$K8,0))),0))</f>
        <v>0</v>
      </c>
      <c r="AN107" s="56">
        <f>IF(AN$2=Payroll!$I8,Payroll!$F8,IF(AN$2&gt;Payroll!$I8,Payroll!$F8*((1+Payroll!$J8)^(ROUNDDOWN(DATEDIF(Payroll!$I8,AN$2,"M")/Payroll!$K8,0))),0))</f>
        <v>0</v>
      </c>
      <c r="AO107" s="56">
        <f>IF(AO$2=Payroll!$I8,Payroll!$F8,IF(AO$2&gt;Payroll!$I8,Payroll!$F8*((1+Payroll!$J8)^(ROUNDDOWN(DATEDIF(Payroll!$I8,AO$2,"M")/Payroll!$K8,0))),0))</f>
        <v>0</v>
      </c>
      <c r="AP107" s="56">
        <f>IF(AP$2=Payroll!$I8,Payroll!$F8,IF(AP$2&gt;Payroll!$I8,Payroll!$F8*((1+Payroll!$J8)^(ROUNDDOWN(DATEDIF(Payroll!$I8,AP$2,"M")/Payroll!$K8,0))),0))</f>
        <v>0</v>
      </c>
      <c r="AQ107" s="56">
        <f>IF(AQ$2=Payroll!$I8,Payroll!$F8,IF(AQ$2&gt;Payroll!$I8,Payroll!$F8*((1+Payroll!$J8)^(ROUNDDOWN(DATEDIF(Payroll!$I8,AQ$2,"M")/Payroll!$K8,0))),0))</f>
        <v>0</v>
      </c>
      <c r="AR107" s="56">
        <f>IF(AR$2=Payroll!$I8,Payroll!$F8,IF(AR$2&gt;Payroll!$I8,Payroll!$F8*((1+Payroll!$J8)^(ROUNDDOWN(DATEDIF(Payroll!$I8,AR$2,"M")/Payroll!$K8,0))),0))</f>
        <v>0</v>
      </c>
      <c r="AS107" s="56">
        <f>IF(AS$2=Payroll!$I8,Payroll!$F8,IF(AS$2&gt;Payroll!$I8,Payroll!$F8*((1+Payroll!$J8)^(ROUNDDOWN(DATEDIF(Payroll!$I8,AS$2,"M")/Payroll!$K8,0))),0))</f>
        <v>0</v>
      </c>
      <c r="AT107" s="56">
        <f>IF(AT$2=Payroll!$I8,Payroll!$F8,IF(AT$2&gt;Payroll!$I8,Payroll!$F8*((1+Payroll!$J8)^(ROUNDDOWN(DATEDIF(Payroll!$I8,AT$2,"M")/Payroll!$K8,0))),0))</f>
        <v>0</v>
      </c>
      <c r="AU107" s="56">
        <f>IF(AU$2=Payroll!$I8,Payroll!$F8,IF(AU$2&gt;Payroll!$I8,Payroll!$F8*((1+Payroll!$J8)^(ROUNDDOWN(DATEDIF(Payroll!$I8,AU$2,"M")/Payroll!$K8,0))),0))</f>
        <v>0</v>
      </c>
      <c r="AV107" s="56">
        <f>IF(AV$2=Payroll!$I8,Payroll!$F8,IF(AV$2&gt;Payroll!$I8,Payroll!$F8*((1+Payroll!$J8)^(ROUNDDOWN(DATEDIF(Payroll!$I8,AV$2,"M")/Payroll!$K8,0))),0))</f>
        <v>0</v>
      </c>
      <c r="AW107" s="56">
        <f>IF(AW$2=Payroll!$I8,Payroll!$F8,IF(AW$2&gt;Payroll!$I8,Payroll!$F8*((1+Payroll!$J8)^(ROUNDDOWN(DATEDIF(Payroll!$I8,AW$2,"M")/Payroll!$K8,0))),0))</f>
        <v>0</v>
      </c>
      <c r="AX107" s="56">
        <f>IF(AX$2=Payroll!$I8,Payroll!$F8,IF(AX$2&gt;Payroll!$I8,Payroll!$F8*((1+Payroll!$J8)^(ROUNDDOWN(DATEDIF(Payroll!$I8,AX$2,"M")/Payroll!$K8,0))),0))</f>
        <v>0</v>
      </c>
      <c r="AY107" s="56">
        <f>IF(AY$2=Payroll!$I8,Payroll!$F8,IF(AY$2&gt;Payroll!$I8,Payroll!$F8*((1+Payroll!$J8)^(ROUNDDOWN(DATEDIF(Payroll!$I8,AY$2,"M")/Payroll!$K8,0))),0))</f>
        <v>0</v>
      </c>
      <c r="AZ107" s="56">
        <f>IF(AZ$2=Payroll!$I8,Payroll!$F8,IF(AZ$2&gt;Payroll!$I8,Payroll!$F8*((1+Payroll!$J8)^(ROUNDDOWN(DATEDIF(Payroll!$I8,AZ$2,"M")/Payroll!$K8,0))),0))</f>
        <v>0</v>
      </c>
      <c r="BA107" s="56">
        <f>IF(BA$2=Payroll!$I8,Payroll!$F8,IF(BA$2&gt;Payroll!$I8,Payroll!$F8*((1+Payroll!$J8)^(ROUNDDOWN(DATEDIF(Payroll!$I8,BA$2,"M")/Payroll!$K8,0))),0))</f>
        <v>0</v>
      </c>
      <c r="BB107" s="56">
        <f>IF(BB$2=Payroll!$I8,Payroll!$F8,IF(BB$2&gt;Payroll!$I8,Payroll!$F8*((1+Payroll!$J8)^(ROUNDDOWN(DATEDIF(Payroll!$I8,BB$2,"M")/Payroll!$K8,0))),0))</f>
        <v>0</v>
      </c>
      <c r="BC107" s="56">
        <f>IF(BC$2=Payroll!$I8,Payroll!$F8,IF(BC$2&gt;Payroll!$I8,Payroll!$F8*((1+Payroll!$J8)^(ROUNDDOWN(DATEDIF(Payroll!$I8,BC$2,"M")/Payroll!$K8,0))),0))</f>
        <v>0</v>
      </c>
      <c r="BD107" s="56">
        <f>IF(BD$2=Payroll!$I8,Payroll!$F8,IF(BD$2&gt;Payroll!$I8,Payroll!$F8*((1+Payroll!$J8)^(ROUNDDOWN(DATEDIF(Payroll!$I8,BD$2,"M")/Payroll!$K8,0))),0))</f>
        <v>0</v>
      </c>
      <c r="BE107" s="56">
        <f>IF(BE$2=Payroll!$I8,Payroll!$F8,IF(BE$2&gt;Payroll!$I8,Payroll!$F8*((1+Payroll!$J8)^(ROUNDDOWN(DATEDIF(Payroll!$I8,BE$2,"M")/Payroll!$K8,0))),0))</f>
        <v>0</v>
      </c>
      <c r="BF107" s="56">
        <f>IF(BF$2=Payroll!$I8,Payroll!$F8,IF(BF$2&gt;Payroll!$I8,Payroll!$F8*((1+Payroll!$J8)^(ROUNDDOWN(DATEDIF(Payroll!$I8,BF$2,"M")/Payroll!$K8,0))),0))</f>
        <v>0</v>
      </c>
      <c r="BG107" s="56">
        <f>IF(BG$2=Payroll!$I8,Payroll!$F8,IF(BG$2&gt;Payroll!$I8,Payroll!$F8*((1+Payroll!$J8)^(ROUNDDOWN(DATEDIF(Payroll!$I8,BG$2,"M")/Payroll!$K8,0))),0))</f>
        <v>0</v>
      </c>
      <c r="BH107" s="56">
        <f>IF(BH$2=Payroll!$I8,Payroll!$F8,IF(BH$2&gt;Payroll!$I8,Payroll!$F8*((1+Payroll!$J8)^(ROUNDDOWN(DATEDIF(Payroll!$I8,BH$2,"M")/Payroll!$K8,0))),0))</f>
        <v>0</v>
      </c>
      <c r="BI107" s="56">
        <f>IF(BI$2=Payroll!$I8,Payroll!$F8,IF(BI$2&gt;Payroll!$I8,Payroll!$F8*((1+Payroll!$J8)^(ROUNDDOWN(DATEDIF(Payroll!$I8,BI$2,"M")/Payroll!$K8,0))),0))</f>
        <v>0</v>
      </c>
      <c r="BJ107" s="56">
        <f>IF(BJ$2=Payroll!$I8,Payroll!$F8,IF(BJ$2&gt;Payroll!$I8,Payroll!$F8*((1+Payroll!$J8)^(ROUNDDOWN(DATEDIF(Payroll!$I8,BJ$2,"M")/Payroll!$K8,0))),0))</f>
        <v>0</v>
      </c>
      <c r="BK107" s="56">
        <f>IF(BK$2=Payroll!$I8,Payroll!$F8,IF(BK$2&gt;Payroll!$I8,Payroll!$F8*((1+Payroll!$J8)^(ROUNDDOWN(DATEDIF(Payroll!$I8,BK$2,"M")/Payroll!$K8,0))),0))</f>
        <v>0</v>
      </c>
      <c r="BL107" s="56">
        <f>IF(BL$2=Payroll!$I8,Payroll!$F8,IF(BL$2&gt;Payroll!$I8,Payroll!$F8*((1+Payroll!$J8)^(ROUNDDOWN(DATEDIF(Payroll!$I8,BL$2,"M")/Payroll!$K8,0))),0))</f>
        <v>0</v>
      </c>
      <c r="BM107" s="56">
        <f>IF(BM$2=Payroll!$I8,Payroll!$F8,IF(BM$2&gt;Payroll!$I8,Payroll!$F8*((1+Payroll!$J8)^(ROUNDDOWN(DATEDIF(Payroll!$I8,BM$2,"M")/Payroll!$K8,0))),0))</f>
        <v>0</v>
      </c>
      <c r="BN107" s="56">
        <f>IF(BN$2=Payroll!$I8,Payroll!$F8,IF(BN$2&gt;Payroll!$I8,Payroll!$F8*((1+Payroll!$J8)^(ROUNDDOWN(DATEDIF(Payroll!$I8,BN$2,"M")/Payroll!$K8,0))),0))</f>
        <v>0</v>
      </c>
      <c r="BO107" s="56">
        <f>IF(BO$2=Payroll!$I8,Payroll!$F8,IF(BO$2&gt;Payroll!$I8,Payroll!$F8*((1+Payroll!$J8)^(ROUNDDOWN(DATEDIF(Payroll!$I8,BO$2,"M")/Payroll!$K8,0))),0))</f>
        <v>0</v>
      </c>
      <c r="BP107" s="56">
        <f>IF(BP$2=Payroll!$I8,Payroll!$F8,IF(BP$2&gt;Payroll!$I8,Payroll!$F8*((1+Payroll!$J8)^(ROUNDDOWN(DATEDIF(Payroll!$I8,BP$2,"M")/Payroll!$K8,0))),0))</f>
        <v>0</v>
      </c>
      <c r="BQ107" s="56">
        <f>IF(BQ$2=Payroll!$I8,Payroll!$F8,IF(BQ$2&gt;Payroll!$I8,Payroll!$F8*((1+Payroll!$J8)^(ROUNDDOWN(DATEDIF(Payroll!$I8,BQ$2,"M")/Payroll!$K8,0))),0))</f>
        <v>0</v>
      </c>
      <c r="BR107" s="56">
        <f>IF(BR$2=Payroll!$I8,Payroll!$F8,IF(BR$2&gt;Payroll!$I8,Payroll!$F8*((1+Payroll!$J8)^(ROUNDDOWN(DATEDIF(Payroll!$I8,BR$2,"M")/Payroll!$K8,0))),0))</f>
        <v>0</v>
      </c>
      <c r="BS107" s="56">
        <f>IF(BS$2=Payroll!$I8,Payroll!$F8,IF(BS$2&gt;Payroll!$I8,Payroll!$F8*((1+Payroll!$J8)^(ROUNDDOWN(DATEDIF(Payroll!$I8,BS$2,"M")/Payroll!$K8,0))),0))</f>
        <v>0</v>
      </c>
      <c r="BT107" s="56">
        <f>IF(BT$2=Payroll!$I8,Payroll!$F8,IF(BT$2&gt;Payroll!$I8,Payroll!$F8*((1+Payroll!$J8)^(ROUNDDOWN(DATEDIF(Payroll!$I8,BT$2,"M")/Payroll!$K8,0))),0))</f>
        <v>0</v>
      </c>
      <c r="BU107" s="56">
        <f>IF(BU$2=Payroll!$I8,Payroll!$F8,IF(BU$2&gt;Payroll!$I8,Payroll!$F8*((1+Payroll!$J8)^(ROUNDDOWN(DATEDIF(Payroll!$I8,BU$2,"M")/Payroll!$K8,0))),0))</f>
        <v>0</v>
      </c>
      <c r="BV107" s="56">
        <f>IF(BV$2=Payroll!$I8,Payroll!$F8,IF(BV$2&gt;Payroll!$I8,Payroll!$F8*((1+Payroll!$J8)^(ROUNDDOWN(DATEDIF(Payroll!$I8,BV$2,"M")/Payroll!$K8,0))),0))</f>
        <v>0</v>
      </c>
      <c r="BW107" s="56">
        <f>IF(BW$2=Payroll!$I8,Payroll!$F8,IF(BW$2&gt;Payroll!$I8,Payroll!$F8*((1+Payroll!$J8)^(ROUNDDOWN(DATEDIF(Payroll!$I8,BW$2,"M")/Payroll!$K8,0))),0))</f>
        <v>0</v>
      </c>
      <c r="BX107" s="56">
        <f>IF(BX$2=Payroll!$I8,Payroll!$F8,IF(BX$2&gt;Payroll!$I8,Payroll!$F8*((1+Payroll!$J8)^(ROUNDDOWN(DATEDIF(Payroll!$I8,BX$2,"M")/Payroll!$K8,0))),0))</f>
        <v>0</v>
      </c>
      <c r="BY107" s="56">
        <f>IF(BY$2=Payroll!$I8,Payroll!$F8,IF(BY$2&gt;Payroll!$I8,Payroll!$F8*((1+Payroll!$J8)^(ROUNDDOWN(DATEDIF(Payroll!$I8,BY$2,"M")/Payroll!$K8,0))),0))</f>
        <v>0</v>
      </c>
      <c r="BZ107" s="56">
        <f>IF(BZ$2=Payroll!$I8,Payroll!$F8,IF(BZ$2&gt;Payroll!$I8,Payroll!$F8*((1+Payroll!$J8)^(ROUNDDOWN(DATEDIF(Payroll!$I8,BZ$2,"M")/Payroll!$K8,0))),0))</f>
        <v>0</v>
      </c>
      <c r="CA107" s="56">
        <f>IF(CA$2=Payroll!$I8,Payroll!$F8,IF(CA$2&gt;Payroll!$I8,Payroll!$F8*((1+Payroll!$J8)^(ROUNDDOWN(DATEDIF(Payroll!$I8,CA$2,"M")/Payroll!$K8,0))),0))</f>
        <v>0</v>
      </c>
      <c r="CB107" s="56">
        <f>IF(CB$2=Payroll!$I8,Payroll!$F8,IF(CB$2&gt;Payroll!$I8,Payroll!$F8*((1+Payroll!$J8)^(ROUNDDOWN(DATEDIF(Payroll!$I8,CB$2,"M")/Payroll!$K8,0))),0))</f>
        <v>0</v>
      </c>
      <c r="CC107" s="56">
        <f>IF(CC$2=Payroll!$I8,Payroll!$F8,IF(CC$2&gt;Payroll!$I8,Payroll!$F8*((1+Payroll!$J8)^(ROUNDDOWN(DATEDIF(Payroll!$I8,CC$2,"M")/Payroll!$K8,0))),0))</f>
        <v>0</v>
      </c>
      <c r="CD107" s="56">
        <f>IF(CD$2=Payroll!$I8,Payroll!$F8,IF(CD$2&gt;Payroll!$I8,Payroll!$F8*((1+Payroll!$J8)^(ROUNDDOWN(DATEDIF(Payroll!$I8,CD$2,"M")/Payroll!$K8,0))),0))</f>
        <v>0</v>
      </c>
      <c r="CE107" s="56">
        <f>IF(CE$2=Payroll!$I8,Payroll!$F8,IF(CE$2&gt;Payroll!$I8,Payroll!$F8*((1+Payroll!$J8)^(ROUNDDOWN(DATEDIF(Payroll!$I8,CE$2,"M")/Payroll!$K8,0))),0))</f>
        <v>0</v>
      </c>
      <c r="CF107" s="56">
        <f>IF(CF$2=Payroll!$I8,Payroll!$F8,IF(CF$2&gt;Payroll!$I8,Payroll!$F8*((1+Payroll!$J8)^(ROUNDDOWN(DATEDIF(Payroll!$I8,CF$2,"M")/Payroll!$K8,0))),0))</f>
        <v>0</v>
      </c>
      <c r="CG107" s="56">
        <f>IF(CG$2=Payroll!$I8,Payroll!$F8,IF(CG$2&gt;Payroll!$I8,Payroll!$F8*((1+Payroll!$J8)^(ROUNDDOWN(DATEDIF(Payroll!$I8,CG$2,"M")/Payroll!$K8,0))),0))</f>
        <v>0</v>
      </c>
      <c r="CH107" s="56">
        <f>IF(CH$2=Payroll!$I8,Payroll!$F8,IF(CH$2&gt;Payroll!$I8,Payroll!$F8*((1+Payroll!$J8)^(ROUNDDOWN(DATEDIF(Payroll!$I8,CH$2,"M")/Payroll!$K8,0))),0))</f>
        <v>0</v>
      </c>
      <c r="CI107" s="56">
        <f>IF(CI$2=Payroll!$I8,Payroll!$F8,IF(CI$2&gt;Payroll!$I8,Payroll!$F8*((1+Payroll!$J8)^(ROUNDDOWN(DATEDIF(Payroll!$I8,CI$2,"M")/Payroll!$K8,0))),0))</f>
        <v>0</v>
      </c>
      <c r="CJ107" s="56">
        <f>IF(CJ$2=Payroll!$I8,Payroll!$F8,IF(CJ$2&gt;Payroll!$I8,Payroll!$F8*((1+Payroll!$J8)^(ROUNDDOWN(DATEDIF(Payroll!$I8,CJ$2,"M")/Payroll!$K8,0))),0))</f>
        <v>0</v>
      </c>
      <c r="CK107" s="56">
        <f>IF(CK$2=Payroll!$I8,Payroll!$F8,IF(CK$2&gt;Payroll!$I8,Payroll!$F8*((1+Payroll!$J8)^(ROUNDDOWN(DATEDIF(Payroll!$I8,CK$2,"M")/Payroll!$K8,0))),0))</f>
        <v>0</v>
      </c>
      <c r="CL107" s="56">
        <f>IF(CL$2=Payroll!$I8,Payroll!$F8,IF(CL$2&gt;Payroll!$I8,Payroll!$F8*((1+Payroll!$J8)^(ROUNDDOWN(DATEDIF(Payroll!$I8,CL$2,"M")/Payroll!$K8,0))),0))</f>
        <v>0</v>
      </c>
      <c r="CM107" s="56">
        <f>IF(CM$2=Payroll!$I8,Payroll!$F8,IF(CM$2&gt;Payroll!$I8,Payroll!$F8*((1+Payroll!$J8)^(ROUNDDOWN(DATEDIF(Payroll!$I8,CM$2,"M")/Payroll!$K8,0))),0))</f>
        <v>0</v>
      </c>
      <c r="CN107" s="56">
        <f>IF(CN$2=Payroll!$I8,Payroll!$F8,IF(CN$2&gt;Payroll!$I8,Payroll!$F8*((1+Payroll!$J8)^(ROUNDDOWN(DATEDIF(Payroll!$I8,CN$2,"M")/Payroll!$K8,0))),0))</f>
        <v>0</v>
      </c>
      <c r="CO107" s="56">
        <f>IF(CO$2=Payroll!$I8,Payroll!$F8,IF(CO$2&gt;Payroll!$I8,Payroll!$F8*((1+Payroll!$J8)^(ROUNDDOWN(DATEDIF(Payroll!$I8,CO$2,"M")/Payroll!$K8,0))),0))</f>
        <v>0</v>
      </c>
      <c r="CP107" s="56">
        <f>IF(CP$2=Payroll!$I8,Payroll!$F8,IF(CP$2&gt;Payroll!$I8,Payroll!$F8*((1+Payroll!$J8)^(ROUNDDOWN(DATEDIF(Payroll!$I8,CP$2,"M")/Payroll!$K8,0))),0))</f>
        <v>0</v>
      </c>
      <c r="CQ107" s="56">
        <f>IF(CQ$2=Payroll!$I8,Payroll!$F8,IF(CQ$2&gt;Payroll!$I8,Payroll!$F8*((1+Payroll!$J8)^(ROUNDDOWN(DATEDIF(Payroll!$I8,CQ$2,"M")/Payroll!$K8,0))),0))</f>
        <v>0</v>
      </c>
      <c r="CR107" s="56">
        <f>IF(CR$2=Payroll!$I8,Payroll!$F8,IF(CR$2&gt;Payroll!$I8,Payroll!$F8*((1+Payroll!$J8)^(ROUNDDOWN(DATEDIF(Payroll!$I8,CR$2,"M")/Payroll!$K8,0))),0))</f>
        <v>0</v>
      </c>
      <c r="CS107" s="56">
        <f>IF(CS$2=Payroll!$I8,Payroll!$F8,IF(CS$2&gt;Payroll!$I8,Payroll!$F8*((1+Payroll!$J8)^(ROUNDDOWN(DATEDIF(Payroll!$I8,CS$2,"M")/Payroll!$K8,0))),0))</f>
        <v>0</v>
      </c>
      <c r="CT107" s="56">
        <f>IF(CT$2=Payroll!$I8,Payroll!$F8,IF(CT$2&gt;Payroll!$I8,Payroll!$F8*((1+Payroll!$J8)^(ROUNDDOWN(DATEDIF(Payroll!$I8,CT$2,"M")/Payroll!$K8,0))),0))</f>
        <v>0</v>
      </c>
      <c r="CU107" s="56">
        <f>IF(CU$2=Payroll!$I8,Payroll!$F8,IF(CU$2&gt;Payroll!$I8,Payroll!$F8*((1+Payroll!$J8)^(ROUNDDOWN(DATEDIF(Payroll!$I8,CU$2,"M")/Payroll!$K8,0))),0))</f>
        <v>0</v>
      </c>
      <c r="CV107" s="56">
        <f>IF(CV$2=Payroll!$I8,Payroll!$F8,IF(CV$2&gt;Payroll!$I8,Payroll!$F8*((1+Payroll!$J8)^(ROUNDDOWN(DATEDIF(Payroll!$I8,CV$2,"M")/Payroll!$K8,0))),0))</f>
        <v>0</v>
      </c>
      <c r="CW107" s="56">
        <f>IF(CW$2=Payroll!$I8,Payroll!$F8,IF(CW$2&gt;Payroll!$I8,Payroll!$F8*((1+Payroll!$J8)^(ROUNDDOWN(DATEDIF(Payroll!$I8,CW$2,"M")/Payroll!$K8,0))),0))</f>
        <v>0</v>
      </c>
      <c r="CX107" s="56">
        <f>IF(CX$2=Payroll!$I8,Payroll!$F8,IF(CX$2&gt;Payroll!$I8,Payroll!$F8*((1+Payroll!$J8)^(ROUNDDOWN(DATEDIF(Payroll!$I8,CX$2,"M")/Payroll!$K8,0))),0))</f>
        <v>0</v>
      </c>
    </row>
    <row r="108" ht="15.75" customHeight="1" outlineLevel="2">
      <c r="A108" s="56" t="str">
        <f>Payroll!A9</f>
        <v>HRD</v>
      </c>
      <c r="B108" s="56"/>
      <c r="C108" s="56"/>
      <c r="D108" s="56"/>
      <c r="E108" s="56">
        <f>IF(E$2=Payroll!$I9,Payroll!$F9,IF(E$2&gt;Payroll!$I9,Payroll!$F9*((1+Payroll!$J9)^(ROUNDDOWN(DATEDIF(Payroll!$I9,E$2,"M")/Payroll!$K9,0))),0))</f>
        <v>0</v>
      </c>
      <c r="F108" s="56">
        <f>IF(F$2=Payroll!$I9,Payroll!$F9,IF(F$2&gt;Payroll!$I9,Payroll!$F9*((1+Payroll!$J9)^(ROUNDDOWN(DATEDIF(Payroll!$I9,F$2,"M")/Payroll!$K9,0))),0))</f>
        <v>0</v>
      </c>
      <c r="G108" s="56">
        <f>IF(G$2=Payroll!$I9,Payroll!$F9,IF(G$2&gt;Payroll!$I9,Payroll!$F9*((1+Payroll!$J9)^(ROUNDDOWN(DATEDIF(Payroll!$I9,G$2,"M")/Payroll!$K9,0))),0))</f>
        <v>0</v>
      </c>
      <c r="H108" s="56">
        <f>IF(H$2=Payroll!$I9,Payroll!$F9,IF(H$2&gt;Payroll!$I9,Payroll!$F9*((1+Payroll!$J9)^(ROUNDDOWN(DATEDIF(Payroll!$I9,H$2,"M")/Payroll!$K9,0))),0))</f>
        <v>0</v>
      </c>
      <c r="I108" s="56">
        <f>IF(I$2=Payroll!$I9,Payroll!$F9,IF(I$2&gt;Payroll!$I9,Payroll!$F9*((1+Payroll!$J9)^(ROUNDDOWN(DATEDIF(Payroll!$I9,I$2,"M")/Payroll!$K9,0))),0))</f>
        <v>0</v>
      </c>
      <c r="J108" s="56">
        <f>IF(J$2=Payroll!$I9,Payroll!$F9,IF(J$2&gt;Payroll!$I9,Payroll!$F9*((1+Payroll!$J9)^(ROUNDDOWN(DATEDIF(Payroll!$I9,J$2,"M")/Payroll!$K9,0))),0))</f>
        <v>0</v>
      </c>
      <c r="K108" s="56">
        <f>IF(K$2=Payroll!$I9,Payroll!$F9,IF(K$2&gt;Payroll!$I9,Payroll!$F9*((1+Payroll!$J9)^(ROUNDDOWN(DATEDIF(Payroll!$I9,K$2,"M")/Payroll!$K9,0))),0))</f>
        <v>0</v>
      </c>
      <c r="L108" s="56">
        <f>IF(L$2=Payroll!$I9,Payroll!$F9,IF(L$2&gt;Payroll!$I9,Payroll!$F9*((1+Payroll!$J9)^(ROUNDDOWN(DATEDIF(Payroll!$I9,L$2,"M")/Payroll!$K9,0))),0))</f>
        <v>0</v>
      </c>
      <c r="M108" s="56">
        <f>IF(M$2=Payroll!$I9,Payroll!$F9,IF(M$2&gt;Payroll!$I9,Payroll!$F9*((1+Payroll!$J9)^(ROUNDDOWN(DATEDIF(Payroll!$I9,M$2,"M")/Payroll!$K9,0))),0))</f>
        <v>0</v>
      </c>
      <c r="N108" s="56">
        <f>IF(N$2=Payroll!$I9,Payroll!$F9,IF(N$2&gt;Payroll!$I9,Payroll!$F9*((1+Payroll!$J9)^(ROUNDDOWN(DATEDIF(Payroll!$I9,N$2,"M")/Payroll!$K9,0))),0))</f>
        <v>0</v>
      </c>
      <c r="O108" s="56">
        <f>IF(O$2=Payroll!$I9,Payroll!$F9,IF(O$2&gt;Payroll!$I9,Payroll!$F9*((1+Payroll!$J9)^(ROUNDDOWN(DATEDIF(Payroll!$I9,O$2,"M")/Payroll!$K9,0))),0))</f>
        <v>0</v>
      </c>
      <c r="P108" s="56">
        <f>IF(P$2=Payroll!$I9,Payroll!$F9,IF(P$2&gt;Payroll!$I9,Payroll!$F9*((1+Payroll!$J9)^(ROUNDDOWN(DATEDIF(Payroll!$I9,P$2,"M")/Payroll!$K9,0))),0))</f>
        <v>0</v>
      </c>
      <c r="Q108" s="56">
        <f>IF(Q$2=Payroll!$I9,Payroll!$F9,IF(Q$2&gt;Payroll!$I9,Payroll!$F9*((1+Payroll!$J9)^(ROUNDDOWN(DATEDIF(Payroll!$I9,Q$2,"M")/Payroll!$K9,0))),0))</f>
        <v>0</v>
      </c>
      <c r="R108" s="56">
        <f>IF(R$2=Payroll!$I9,Payroll!$F9,IF(R$2&gt;Payroll!$I9,Payroll!$F9*((1+Payroll!$J9)^(ROUNDDOWN(DATEDIF(Payroll!$I9,R$2,"M")/Payroll!$K9,0))),0))</f>
        <v>0</v>
      </c>
      <c r="S108" s="56">
        <f>IF(S$2=Payroll!$I9,Payroll!$F9,IF(S$2&gt;Payroll!$I9,Payroll!$F9*((1+Payroll!$J9)^(ROUNDDOWN(DATEDIF(Payroll!$I9,S$2,"M")/Payroll!$K9,0))),0))</f>
        <v>0</v>
      </c>
      <c r="T108" s="56">
        <f>IF(T$2=Payroll!$I9,Payroll!$F9,IF(T$2&gt;Payroll!$I9,Payroll!$F9*((1+Payroll!$J9)^(ROUNDDOWN(DATEDIF(Payroll!$I9,T$2,"M")/Payroll!$K9,0))),0))</f>
        <v>0</v>
      </c>
      <c r="U108" s="56">
        <f>IF(U$2=Payroll!$I9,Payroll!$F9,IF(U$2&gt;Payroll!$I9,Payroll!$F9*((1+Payroll!$J9)^(ROUNDDOWN(DATEDIF(Payroll!$I9,U$2,"M")/Payroll!$K9,0))),0))</f>
        <v>0</v>
      </c>
      <c r="V108" s="56">
        <f>IF(V$2=Payroll!$I9,Payroll!$F9,IF(V$2&gt;Payroll!$I9,Payroll!$F9*((1+Payroll!$J9)^(ROUNDDOWN(DATEDIF(Payroll!$I9,V$2,"M")/Payroll!$K9,0))),0))</f>
        <v>0</v>
      </c>
      <c r="W108" s="56">
        <f>IF(W$2=Payroll!$I9,Payroll!$F9,IF(W$2&gt;Payroll!$I9,Payroll!$F9*((1+Payroll!$J9)^(ROUNDDOWN(DATEDIF(Payroll!$I9,W$2,"M")/Payroll!$K9,0))),0))</f>
        <v>0</v>
      </c>
      <c r="X108" s="56">
        <f>IF(X$2=Payroll!$I9,Payroll!$F9,IF(X$2&gt;Payroll!$I9,Payroll!$F9*((1+Payroll!$J9)^(ROUNDDOWN(DATEDIF(Payroll!$I9,X$2,"M")/Payroll!$K9,0))),0))</f>
        <v>0</v>
      </c>
      <c r="Y108" s="56">
        <f>IF(Y$2=Payroll!$I9,Payroll!$F9,IF(Y$2&gt;Payroll!$I9,Payroll!$F9*((1+Payroll!$J9)^(ROUNDDOWN(DATEDIF(Payroll!$I9,Y$2,"M")/Payroll!$K9,0))),0))</f>
        <v>0</v>
      </c>
      <c r="Z108" s="56">
        <f>IF(Z$2=Payroll!$I9,Payroll!$F9,IF(Z$2&gt;Payroll!$I9,Payroll!$F9*((1+Payroll!$J9)^(ROUNDDOWN(DATEDIF(Payroll!$I9,Z$2,"M")/Payroll!$K9,0))),0))</f>
        <v>0</v>
      </c>
      <c r="AA108" s="56">
        <f>IF(AA$2=Payroll!$I9,Payroll!$F9,IF(AA$2&gt;Payroll!$I9,Payroll!$F9*((1+Payroll!$J9)^(ROUNDDOWN(DATEDIF(Payroll!$I9,AA$2,"M")/Payroll!$K9,0))),0))</f>
        <v>0</v>
      </c>
      <c r="AB108" s="56">
        <f>IF(AB$2=Payroll!$I9,Payroll!$F9,IF(AB$2&gt;Payroll!$I9,Payroll!$F9*((1+Payroll!$J9)^(ROUNDDOWN(DATEDIF(Payroll!$I9,AB$2,"M")/Payroll!$K9,0))),0))</f>
        <v>0</v>
      </c>
      <c r="AC108" s="56">
        <f>IF(AC$2=Payroll!$I9,Payroll!$F9,IF(AC$2&gt;Payroll!$I9,Payroll!$F9*((1+Payroll!$J9)^(ROUNDDOWN(DATEDIF(Payroll!$I9,AC$2,"M")/Payroll!$K9,0))),0))</f>
        <v>0</v>
      </c>
      <c r="AD108" s="56">
        <f>IF(AD$2=Payroll!$I9,Payroll!$F9,IF(AD$2&gt;Payroll!$I9,Payroll!$F9*((1+Payroll!$J9)^(ROUNDDOWN(DATEDIF(Payroll!$I9,AD$2,"M")/Payroll!$K9,0))),0))</f>
        <v>0</v>
      </c>
      <c r="AE108" s="56">
        <f>IF(AE$2=Payroll!$I9,Payroll!$F9,IF(AE$2&gt;Payroll!$I9,Payroll!$F9*((1+Payroll!$J9)^(ROUNDDOWN(DATEDIF(Payroll!$I9,AE$2,"M")/Payroll!$K9,0))),0))</f>
        <v>0</v>
      </c>
      <c r="AF108" s="56">
        <f>IF(AF$2=Payroll!$I9,Payroll!$F9,IF(AF$2&gt;Payroll!$I9,Payroll!$F9*((1+Payroll!$J9)^(ROUNDDOWN(DATEDIF(Payroll!$I9,AF$2,"M")/Payroll!$K9,0))),0))</f>
        <v>0</v>
      </c>
      <c r="AG108" s="56">
        <f>IF(AG$2=Payroll!$I9,Payroll!$F9,IF(AG$2&gt;Payroll!$I9,Payroll!$F9*((1+Payroll!$J9)^(ROUNDDOWN(DATEDIF(Payroll!$I9,AG$2,"M")/Payroll!$K9,0))),0))</f>
        <v>0</v>
      </c>
      <c r="AH108" s="56">
        <f>IF(AH$2=Payroll!$I9,Payroll!$F9,IF(AH$2&gt;Payroll!$I9,Payroll!$F9*((1+Payroll!$J9)^(ROUNDDOWN(DATEDIF(Payroll!$I9,AH$2,"M")/Payroll!$K9,0))),0))</f>
        <v>0</v>
      </c>
      <c r="AI108" s="56">
        <f>IF(AI$2=Payroll!$I9,Payroll!$F9,IF(AI$2&gt;Payroll!$I9,Payroll!$F9*((1+Payroll!$J9)^(ROUNDDOWN(DATEDIF(Payroll!$I9,AI$2,"M")/Payroll!$K9,0))),0))</f>
        <v>0</v>
      </c>
      <c r="AJ108" s="56">
        <f>IF(AJ$2=Payroll!$I9,Payroll!$F9,IF(AJ$2&gt;Payroll!$I9,Payroll!$F9*((1+Payroll!$J9)^(ROUNDDOWN(DATEDIF(Payroll!$I9,AJ$2,"M")/Payroll!$K9,0))),0))</f>
        <v>0</v>
      </c>
      <c r="AK108" s="56">
        <f>IF(AK$2=Payroll!$I9,Payroll!$F9,IF(AK$2&gt;Payroll!$I9,Payroll!$F9*((1+Payroll!$J9)^(ROUNDDOWN(DATEDIF(Payroll!$I9,AK$2,"M")/Payroll!$K9,0))),0))</f>
        <v>0</v>
      </c>
      <c r="AL108" s="56">
        <f>IF(AL$2=Payroll!$I9,Payroll!$F9,IF(AL$2&gt;Payroll!$I9,Payroll!$F9*((1+Payroll!$J9)^(ROUNDDOWN(DATEDIF(Payroll!$I9,AL$2,"M")/Payroll!$K9,0))),0))</f>
        <v>0</v>
      </c>
      <c r="AM108" s="56">
        <f>IF(AM$2=Payroll!$I9,Payroll!$F9,IF(AM$2&gt;Payroll!$I9,Payroll!$F9*((1+Payroll!$J9)^(ROUNDDOWN(DATEDIF(Payroll!$I9,AM$2,"M")/Payroll!$K9,0))),0))</f>
        <v>0</v>
      </c>
      <c r="AN108" s="56">
        <f>IF(AN$2=Payroll!$I9,Payroll!$F9,IF(AN$2&gt;Payroll!$I9,Payroll!$F9*((1+Payroll!$J9)^(ROUNDDOWN(DATEDIF(Payroll!$I9,AN$2,"M")/Payroll!$K9,0))),0))</f>
        <v>0</v>
      </c>
      <c r="AO108" s="56">
        <f>IF(AO$2=Payroll!$I9,Payroll!$F9,IF(AO$2&gt;Payroll!$I9,Payroll!$F9*((1+Payroll!$J9)^(ROUNDDOWN(DATEDIF(Payroll!$I9,AO$2,"M")/Payroll!$K9,0))),0))</f>
        <v>0</v>
      </c>
      <c r="AP108" s="56">
        <f>IF(AP$2=Payroll!$I9,Payroll!$F9,IF(AP$2&gt;Payroll!$I9,Payroll!$F9*((1+Payroll!$J9)^(ROUNDDOWN(DATEDIF(Payroll!$I9,AP$2,"M")/Payroll!$K9,0))),0))</f>
        <v>0</v>
      </c>
      <c r="AQ108" s="56">
        <f>IF(AQ$2=Payroll!$I9,Payroll!$F9,IF(AQ$2&gt;Payroll!$I9,Payroll!$F9*((1+Payroll!$J9)^(ROUNDDOWN(DATEDIF(Payroll!$I9,AQ$2,"M")/Payroll!$K9,0))),0))</f>
        <v>0</v>
      </c>
      <c r="AR108" s="56">
        <f>IF(AR$2=Payroll!$I9,Payroll!$F9,IF(AR$2&gt;Payroll!$I9,Payroll!$F9*((1+Payroll!$J9)^(ROUNDDOWN(DATEDIF(Payroll!$I9,AR$2,"M")/Payroll!$K9,0))),0))</f>
        <v>0</v>
      </c>
      <c r="AS108" s="56">
        <f>IF(AS$2=Payroll!$I9,Payroll!$F9,IF(AS$2&gt;Payroll!$I9,Payroll!$F9*((1+Payroll!$J9)^(ROUNDDOWN(DATEDIF(Payroll!$I9,AS$2,"M")/Payroll!$K9,0))),0))</f>
        <v>0</v>
      </c>
      <c r="AT108" s="56">
        <f>IF(AT$2=Payroll!$I9,Payroll!$F9,IF(AT$2&gt;Payroll!$I9,Payroll!$F9*((1+Payroll!$J9)^(ROUNDDOWN(DATEDIF(Payroll!$I9,AT$2,"M")/Payroll!$K9,0))),0))</f>
        <v>0</v>
      </c>
      <c r="AU108" s="56">
        <f>IF(AU$2=Payroll!$I9,Payroll!$F9,IF(AU$2&gt;Payroll!$I9,Payroll!$F9*((1+Payroll!$J9)^(ROUNDDOWN(DATEDIF(Payroll!$I9,AU$2,"M")/Payroll!$K9,0))),0))</f>
        <v>0</v>
      </c>
      <c r="AV108" s="56">
        <f>IF(AV$2=Payroll!$I9,Payroll!$F9,IF(AV$2&gt;Payroll!$I9,Payroll!$F9*((1+Payroll!$J9)^(ROUNDDOWN(DATEDIF(Payroll!$I9,AV$2,"M")/Payroll!$K9,0))),0))</f>
        <v>0</v>
      </c>
      <c r="AW108" s="56">
        <f>IF(AW$2=Payroll!$I9,Payroll!$F9,IF(AW$2&gt;Payroll!$I9,Payroll!$F9*((1+Payroll!$J9)^(ROUNDDOWN(DATEDIF(Payroll!$I9,AW$2,"M")/Payroll!$K9,0))),0))</f>
        <v>0</v>
      </c>
      <c r="AX108" s="56">
        <f>IF(AX$2=Payroll!$I9,Payroll!$F9,IF(AX$2&gt;Payroll!$I9,Payroll!$F9*((1+Payroll!$J9)^(ROUNDDOWN(DATEDIF(Payroll!$I9,AX$2,"M")/Payroll!$K9,0))),0))</f>
        <v>0</v>
      </c>
      <c r="AY108" s="56">
        <f>IF(AY$2=Payroll!$I9,Payroll!$F9,IF(AY$2&gt;Payroll!$I9,Payroll!$F9*((1+Payroll!$J9)^(ROUNDDOWN(DATEDIF(Payroll!$I9,AY$2,"M")/Payroll!$K9,0))),0))</f>
        <v>0</v>
      </c>
      <c r="AZ108" s="56">
        <f>IF(AZ$2=Payroll!$I9,Payroll!$F9,IF(AZ$2&gt;Payroll!$I9,Payroll!$F9*((1+Payroll!$J9)^(ROUNDDOWN(DATEDIF(Payroll!$I9,AZ$2,"M")/Payroll!$K9,0))),0))</f>
        <v>0</v>
      </c>
      <c r="BA108" s="56">
        <f>IF(BA$2=Payroll!$I9,Payroll!$F9,IF(BA$2&gt;Payroll!$I9,Payroll!$F9*((1+Payroll!$J9)^(ROUNDDOWN(DATEDIF(Payroll!$I9,BA$2,"M")/Payroll!$K9,0))),0))</f>
        <v>0</v>
      </c>
      <c r="BB108" s="56">
        <f>IF(BB$2=Payroll!$I9,Payroll!$F9,IF(BB$2&gt;Payroll!$I9,Payroll!$F9*((1+Payroll!$J9)^(ROUNDDOWN(DATEDIF(Payroll!$I9,BB$2,"M")/Payroll!$K9,0))),0))</f>
        <v>0</v>
      </c>
      <c r="BC108" s="56">
        <f>IF(BC$2=Payroll!$I9,Payroll!$F9,IF(BC$2&gt;Payroll!$I9,Payroll!$F9*((1+Payroll!$J9)^(ROUNDDOWN(DATEDIF(Payroll!$I9,BC$2,"M")/Payroll!$K9,0))),0))</f>
        <v>0</v>
      </c>
      <c r="BD108" s="56">
        <f>IF(BD$2=Payroll!$I9,Payroll!$F9,IF(BD$2&gt;Payroll!$I9,Payroll!$F9*((1+Payroll!$J9)^(ROUNDDOWN(DATEDIF(Payroll!$I9,BD$2,"M")/Payroll!$K9,0))),0))</f>
        <v>0</v>
      </c>
      <c r="BE108" s="56">
        <f>IF(BE$2=Payroll!$I9,Payroll!$F9,IF(BE$2&gt;Payroll!$I9,Payroll!$F9*((1+Payroll!$J9)^(ROUNDDOWN(DATEDIF(Payroll!$I9,BE$2,"M")/Payroll!$K9,0))),0))</f>
        <v>0</v>
      </c>
      <c r="BF108" s="56">
        <f>IF(BF$2=Payroll!$I9,Payroll!$F9,IF(BF$2&gt;Payroll!$I9,Payroll!$F9*((1+Payroll!$J9)^(ROUNDDOWN(DATEDIF(Payroll!$I9,BF$2,"M")/Payroll!$K9,0))),0))</f>
        <v>0</v>
      </c>
      <c r="BG108" s="56">
        <f>IF(BG$2=Payroll!$I9,Payroll!$F9,IF(BG$2&gt;Payroll!$I9,Payroll!$F9*((1+Payroll!$J9)^(ROUNDDOWN(DATEDIF(Payroll!$I9,BG$2,"M")/Payroll!$K9,0))),0))</f>
        <v>0</v>
      </c>
      <c r="BH108" s="56">
        <f>IF(BH$2=Payroll!$I9,Payroll!$F9,IF(BH$2&gt;Payroll!$I9,Payroll!$F9*((1+Payroll!$J9)^(ROUNDDOWN(DATEDIF(Payroll!$I9,BH$2,"M")/Payroll!$K9,0))),0))</f>
        <v>0</v>
      </c>
      <c r="BI108" s="56">
        <f>IF(BI$2=Payroll!$I9,Payroll!$F9,IF(BI$2&gt;Payroll!$I9,Payroll!$F9*((1+Payroll!$J9)^(ROUNDDOWN(DATEDIF(Payroll!$I9,BI$2,"M")/Payroll!$K9,0))),0))</f>
        <v>0</v>
      </c>
      <c r="BJ108" s="56">
        <f>IF(BJ$2=Payroll!$I9,Payroll!$F9,IF(BJ$2&gt;Payroll!$I9,Payroll!$F9*((1+Payroll!$J9)^(ROUNDDOWN(DATEDIF(Payroll!$I9,BJ$2,"M")/Payroll!$K9,0))),0))</f>
        <v>0</v>
      </c>
      <c r="BK108" s="56">
        <f>IF(BK$2=Payroll!$I9,Payroll!$F9,IF(BK$2&gt;Payroll!$I9,Payroll!$F9*((1+Payroll!$J9)^(ROUNDDOWN(DATEDIF(Payroll!$I9,BK$2,"M")/Payroll!$K9,0))),0))</f>
        <v>0</v>
      </c>
      <c r="BL108" s="56">
        <f>IF(BL$2=Payroll!$I9,Payroll!$F9,IF(BL$2&gt;Payroll!$I9,Payroll!$F9*((1+Payroll!$J9)^(ROUNDDOWN(DATEDIF(Payroll!$I9,BL$2,"M")/Payroll!$K9,0))),0))</f>
        <v>0</v>
      </c>
      <c r="BM108" s="56">
        <f>IF(BM$2=Payroll!$I9,Payroll!$F9,IF(BM$2&gt;Payroll!$I9,Payroll!$F9*((1+Payroll!$J9)^(ROUNDDOWN(DATEDIF(Payroll!$I9,BM$2,"M")/Payroll!$K9,0))),0))</f>
        <v>0</v>
      </c>
      <c r="BN108" s="56">
        <f>IF(BN$2=Payroll!$I9,Payroll!$F9,IF(BN$2&gt;Payroll!$I9,Payroll!$F9*((1+Payroll!$J9)^(ROUNDDOWN(DATEDIF(Payroll!$I9,BN$2,"M")/Payroll!$K9,0))),0))</f>
        <v>0</v>
      </c>
      <c r="BO108" s="56">
        <f>IF(BO$2=Payroll!$I9,Payroll!$F9,IF(BO$2&gt;Payroll!$I9,Payroll!$F9*((1+Payroll!$J9)^(ROUNDDOWN(DATEDIF(Payroll!$I9,BO$2,"M")/Payroll!$K9,0))),0))</f>
        <v>0</v>
      </c>
      <c r="BP108" s="56">
        <f>IF(BP$2=Payroll!$I9,Payroll!$F9,IF(BP$2&gt;Payroll!$I9,Payroll!$F9*((1+Payroll!$J9)^(ROUNDDOWN(DATEDIF(Payroll!$I9,BP$2,"M")/Payroll!$K9,0))),0))</f>
        <v>0</v>
      </c>
      <c r="BQ108" s="56">
        <f>IF(BQ$2=Payroll!$I9,Payroll!$F9,IF(BQ$2&gt;Payroll!$I9,Payroll!$F9*((1+Payroll!$J9)^(ROUNDDOWN(DATEDIF(Payroll!$I9,BQ$2,"M")/Payroll!$K9,0))),0))</f>
        <v>0</v>
      </c>
      <c r="BR108" s="56">
        <f>IF(BR$2=Payroll!$I9,Payroll!$F9,IF(BR$2&gt;Payroll!$I9,Payroll!$F9*((1+Payroll!$J9)^(ROUNDDOWN(DATEDIF(Payroll!$I9,BR$2,"M")/Payroll!$K9,0))),0))</f>
        <v>0</v>
      </c>
      <c r="BS108" s="56">
        <f>IF(BS$2=Payroll!$I9,Payroll!$F9,IF(BS$2&gt;Payroll!$I9,Payroll!$F9*((1+Payroll!$J9)^(ROUNDDOWN(DATEDIF(Payroll!$I9,BS$2,"M")/Payroll!$K9,0))),0))</f>
        <v>0</v>
      </c>
      <c r="BT108" s="56">
        <f>IF(BT$2=Payroll!$I9,Payroll!$F9,IF(BT$2&gt;Payroll!$I9,Payroll!$F9*((1+Payroll!$J9)^(ROUNDDOWN(DATEDIF(Payroll!$I9,BT$2,"M")/Payroll!$K9,0))),0))</f>
        <v>0</v>
      </c>
      <c r="BU108" s="56">
        <f>IF(BU$2=Payroll!$I9,Payroll!$F9,IF(BU$2&gt;Payroll!$I9,Payroll!$F9*((1+Payroll!$J9)^(ROUNDDOWN(DATEDIF(Payroll!$I9,BU$2,"M")/Payroll!$K9,0))),0))</f>
        <v>0</v>
      </c>
      <c r="BV108" s="56">
        <f>IF(BV$2=Payroll!$I9,Payroll!$F9,IF(BV$2&gt;Payroll!$I9,Payroll!$F9*((1+Payroll!$J9)^(ROUNDDOWN(DATEDIF(Payroll!$I9,BV$2,"M")/Payroll!$K9,0))),0))</f>
        <v>0</v>
      </c>
      <c r="BW108" s="56">
        <f>IF(BW$2=Payroll!$I9,Payroll!$F9,IF(BW$2&gt;Payroll!$I9,Payroll!$F9*((1+Payroll!$J9)^(ROUNDDOWN(DATEDIF(Payroll!$I9,BW$2,"M")/Payroll!$K9,0))),0))</f>
        <v>0</v>
      </c>
      <c r="BX108" s="56">
        <f>IF(BX$2=Payroll!$I9,Payroll!$F9,IF(BX$2&gt;Payroll!$I9,Payroll!$F9*((1+Payroll!$J9)^(ROUNDDOWN(DATEDIF(Payroll!$I9,BX$2,"M")/Payroll!$K9,0))),0))</f>
        <v>0</v>
      </c>
      <c r="BY108" s="56">
        <f>IF(BY$2=Payroll!$I9,Payroll!$F9,IF(BY$2&gt;Payroll!$I9,Payroll!$F9*((1+Payroll!$J9)^(ROUNDDOWN(DATEDIF(Payroll!$I9,BY$2,"M")/Payroll!$K9,0))),0))</f>
        <v>0</v>
      </c>
      <c r="BZ108" s="56">
        <f>IF(BZ$2=Payroll!$I9,Payroll!$F9,IF(BZ$2&gt;Payroll!$I9,Payroll!$F9*((1+Payroll!$J9)^(ROUNDDOWN(DATEDIF(Payroll!$I9,BZ$2,"M")/Payroll!$K9,0))),0))</f>
        <v>0</v>
      </c>
      <c r="CA108" s="56">
        <f>IF(CA$2=Payroll!$I9,Payroll!$F9,IF(CA$2&gt;Payroll!$I9,Payroll!$F9*((1+Payroll!$J9)^(ROUNDDOWN(DATEDIF(Payroll!$I9,CA$2,"M")/Payroll!$K9,0))),0))</f>
        <v>0</v>
      </c>
      <c r="CB108" s="56">
        <f>IF(CB$2=Payroll!$I9,Payroll!$F9,IF(CB$2&gt;Payroll!$I9,Payroll!$F9*((1+Payroll!$J9)^(ROUNDDOWN(DATEDIF(Payroll!$I9,CB$2,"M")/Payroll!$K9,0))),0))</f>
        <v>0</v>
      </c>
      <c r="CC108" s="56">
        <f>IF(CC$2=Payroll!$I9,Payroll!$F9,IF(CC$2&gt;Payroll!$I9,Payroll!$F9*((1+Payroll!$J9)^(ROUNDDOWN(DATEDIF(Payroll!$I9,CC$2,"M")/Payroll!$K9,0))),0))</f>
        <v>0</v>
      </c>
      <c r="CD108" s="56">
        <f>IF(CD$2=Payroll!$I9,Payroll!$F9,IF(CD$2&gt;Payroll!$I9,Payroll!$F9*((1+Payroll!$J9)^(ROUNDDOWN(DATEDIF(Payroll!$I9,CD$2,"M")/Payroll!$K9,0))),0))</f>
        <v>0</v>
      </c>
      <c r="CE108" s="56">
        <f>IF(CE$2=Payroll!$I9,Payroll!$F9,IF(CE$2&gt;Payroll!$I9,Payroll!$F9*((1+Payroll!$J9)^(ROUNDDOWN(DATEDIF(Payroll!$I9,CE$2,"M")/Payroll!$K9,0))),0))</f>
        <v>0</v>
      </c>
      <c r="CF108" s="56">
        <f>IF(CF$2=Payroll!$I9,Payroll!$F9,IF(CF$2&gt;Payroll!$I9,Payroll!$F9*((1+Payroll!$J9)^(ROUNDDOWN(DATEDIF(Payroll!$I9,CF$2,"M")/Payroll!$K9,0))),0))</f>
        <v>0</v>
      </c>
      <c r="CG108" s="56">
        <f>IF(CG$2=Payroll!$I9,Payroll!$F9,IF(CG$2&gt;Payroll!$I9,Payroll!$F9*((1+Payroll!$J9)^(ROUNDDOWN(DATEDIF(Payroll!$I9,CG$2,"M")/Payroll!$K9,0))),0))</f>
        <v>0</v>
      </c>
      <c r="CH108" s="56">
        <f>IF(CH$2=Payroll!$I9,Payroll!$F9,IF(CH$2&gt;Payroll!$I9,Payroll!$F9*((1+Payroll!$J9)^(ROUNDDOWN(DATEDIF(Payroll!$I9,CH$2,"M")/Payroll!$K9,0))),0))</f>
        <v>0</v>
      </c>
      <c r="CI108" s="56">
        <f>IF(CI$2=Payroll!$I9,Payroll!$F9,IF(CI$2&gt;Payroll!$I9,Payroll!$F9*((1+Payroll!$J9)^(ROUNDDOWN(DATEDIF(Payroll!$I9,CI$2,"M")/Payroll!$K9,0))),0))</f>
        <v>0</v>
      </c>
      <c r="CJ108" s="56">
        <f>IF(CJ$2=Payroll!$I9,Payroll!$F9,IF(CJ$2&gt;Payroll!$I9,Payroll!$F9*((1+Payroll!$J9)^(ROUNDDOWN(DATEDIF(Payroll!$I9,CJ$2,"M")/Payroll!$K9,0))),0))</f>
        <v>0</v>
      </c>
      <c r="CK108" s="56">
        <f>IF(CK$2=Payroll!$I9,Payroll!$F9,IF(CK$2&gt;Payroll!$I9,Payroll!$F9*((1+Payroll!$J9)^(ROUNDDOWN(DATEDIF(Payroll!$I9,CK$2,"M")/Payroll!$K9,0))),0))</f>
        <v>0</v>
      </c>
      <c r="CL108" s="56">
        <f>IF(CL$2=Payroll!$I9,Payroll!$F9,IF(CL$2&gt;Payroll!$I9,Payroll!$F9*((1+Payroll!$J9)^(ROUNDDOWN(DATEDIF(Payroll!$I9,CL$2,"M")/Payroll!$K9,0))),0))</f>
        <v>0</v>
      </c>
      <c r="CM108" s="56">
        <f>IF(CM$2=Payroll!$I9,Payroll!$F9,IF(CM$2&gt;Payroll!$I9,Payroll!$F9*((1+Payroll!$J9)^(ROUNDDOWN(DATEDIF(Payroll!$I9,CM$2,"M")/Payroll!$K9,0))),0))</f>
        <v>0</v>
      </c>
      <c r="CN108" s="56">
        <f>IF(CN$2=Payroll!$I9,Payroll!$F9,IF(CN$2&gt;Payroll!$I9,Payroll!$F9*((1+Payroll!$J9)^(ROUNDDOWN(DATEDIF(Payroll!$I9,CN$2,"M")/Payroll!$K9,0))),0))</f>
        <v>0</v>
      </c>
      <c r="CO108" s="56">
        <f>IF(CO$2=Payroll!$I9,Payroll!$F9,IF(CO$2&gt;Payroll!$I9,Payroll!$F9*((1+Payroll!$J9)^(ROUNDDOWN(DATEDIF(Payroll!$I9,CO$2,"M")/Payroll!$K9,0))),0))</f>
        <v>0</v>
      </c>
      <c r="CP108" s="56">
        <f>IF(CP$2=Payroll!$I9,Payroll!$F9,IF(CP$2&gt;Payroll!$I9,Payroll!$F9*((1+Payroll!$J9)^(ROUNDDOWN(DATEDIF(Payroll!$I9,CP$2,"M")/Payroll!$K9,0))),0))</f>
        <v>0</v>
      </c>
      <c r="CQ108" s="56">
        <f>IF(CQ$2=Payroll!$I9,Payroll!$F9,IF(CQ$2&gt;Payroll!$I9,Payroll!$F9*((1+Payroll!$J9)^(ROUNDDOWN(DATEDIF(Payroll!$I9,CQ$2,"M")/Payroll!$K9,0))),0))</f>
        <v>0</v>
      </c>
      <c r="CR108" s="56">
        <f>IF(CR$2=Payroll!$I9,Payroll!$F9,IF(CR$2&gt;Payroll!$I9,Payroll!$F9*((1+Payroll!$J9)^(ROUNDDOWN(DATEDIF(Payroll!$I9,CR$2,"M")/Payroll!$K9,0))),0))</f>
        <v>0</v>
      </c>
      <c r="CS108" s="56">
        <f>IF(CS$2=Payroll!$I9,Payroll!$F9,IF(CS$2&gt;Payroll!$I9,Payroll!$F9*((1+Payroll!$J9)^(ROUNDDOWN(DATEDIF(Payroll!$I9,CS$2,"M")/Payroll!$K9,0))),0))</f>
        <v>0</v>
      </c>
      <c r="CT108" s="56">
        <f>IF(CT$2=Payroll!$I9,Payroll!$F9,IF(CT$2&gt;Payroll!$I9,Payroll!$F9*((1+Payroll!$J9)^(ROUNDDOWN(DATEDIF(Payroll!$I9,CT$2,"M")/Payroll!$K9,0))),0))</f>
        <v>0</v>
      </c>
      <c r="CU108" s="56">
        <f>IF(CU$2=Payroll!$I9,Payroll!$F9,IF(CU$2&gt;Payroll!$I9,Payroll!$F9*((1+Payroll!$J9)^(ROUNDDOWN(DATEDIF(Payroll!$I9,CU$2,"M")/Payroll!$K9,0))),0))</f>
        <v>0</v>
      </c>
      <c r="CV108" s="56">
        <f>IF(CV$2=Payroll!$I9,Payroll!$F9,IF(CV$2&gt;Payroll!$I9,Payroll!$F9*((1+Payroll!$J9)^(ROUNDDOWN(DATEDIF(Payroll!$I9,CV$2,"M")/Payroll!$K9,0))),0))</f>
        <v>0</v>
      </c>
      <c r="CW108" s="56">
        <f>IF(CW$2=Payroll!$I9,Payroll!$F9,IF(CW$2&gt;Payroll!$I9,Payroll!$F9*((1+Payroll!$J9)^(ROUNDDOWN(DATEDIF(Payroll!$I9,CW$2,"M")/Payroll!$K9,0))),0))</f>
        <v>0</v>
      </c>
      <c r="CX108" s="56">
        <f>IF(CX$2=Payroll!$I9,Payroll!$F9,IF(CX$2&gt;Payroll!$I9,Payroll!$F9*((1+Payroll!$J9)^(ROUNDDOWN(DATEDIF(Payroll!$I9,CX$2,"M")/Payroll!$K9,0))),0))</f>
        <v>0</v>
      </c>
    </row>
    <row r="109" ht="15.75" customHeight="1" outlineLevel="2">
      <c r="A109" s="56" t="str">
        <f>Payroll!A10</f>
        <v>Operations Coordinator / Office Manager</v>
      </c>
      <c r="B109" s="56"/>
      <c r="C109" s="56"/>
      <c r="D109" s="56"/>
      <c r="E109" s="56">
        <f>IF(E$2=Payroll!$I10,Payroll!$F10,IF(E$2&gt;Payroll!$I10,Payroll!$F10*((1+Payroll!$J10)^(ROUNDDOWN(DATEDIF(Payroll!$I10,E$2,"M")/Payroll!$K10,0))),0))</f>
        <v>0</v>
      </c>
      <c r="F109" s="56">
        <f>IF(F$2=Payroll!$I10,Payroll!$F10,IF(F$2&gt;Payroll!$I10,Payroll!$F10*((1+Payroll!$J10)^(ROUNDDOWN(DATEDIF(Payroll!$I10,F$2,"M")/Payroll!$K10,0))),0))</f>
        <v>0</v>
      </c>
      <c r="G109" s="56">
        <f>IF(G$2=Payroll!$I10,Payroll!$F10,IF(G$2&gt;Payroll!$I10,Payroll!$F10*((1+Payroll!$J10)^(ROUNDDOWN(DATEDIF(Payroll!$I10,G$2,"M")/Payroll!$K10,0))),0))</f>
        <v>0</v>
      </c>
      <c r="H109" s="56">
        <f>IF(H$2=Payroll!$I10,Payroll!$F10,IF(H$2&gt;Payroll!$I10,Payroll!$F10*((1+Payroll!$J10)^(ROUNDDOWN(DATEDIF(Payroll!$I10,H$2,"M")/Payroll!$K10,0))),0))</f>
        <v>0</v>
      </c>
      <c r="I109" s="56">
        <f>IF(I$2=Payroll!$I10,Payroll!$F10,IF(I$2&gt;Payroll!$I10,Payroll!$F10*((1+Payroll!$J10)^(ROUNDDOWN(DATEDIF(Payroll!$I10,I$2,"M")/Payroll!$K10,0))),0))</f>
        <v>0</v>
      </c>
      <c r="J109" s="56">
        <f>IF(J$2=Payroll!$I10,Payroll!$F10,IF(J$2&gt;Payroll!$I10,Payroll!$F10*((1+Payroll!$J10)^(ROUNDDOWN(DATEDIF(Payroll!$I10,J$2,"M")/Payroll!$K10,0))),0))</f>
        <v>0</v>
      </c>
      <c r="K109" s="56">
        <f>IF(K$2=Payroll!$I10,Payroll!$F10,IF(K$2&gt;Payroll!$I10,Payroll!$F10*((1+Payroll!$J10)^(ROUNDDOWN(DATEDIF(Payroll!$I10,K$2,"M")/Payroll!$K10,0))),0))</f>
        <v>0</v>
      </c>
      <c r="L109" s="56">
        <f>IF(L$2=Payroll!$I10,Payroll!$F10,IF(L$2&gt;Payroll!$I10,Payroll!$F10*((1+Payroll!$J10)^(ROUNDDOWN(DATEDIF(Payroll!$I10,L$2,"M")/Payroll!$K10,0))),0))</f>
        <v>0</v>
      </c>
      <c r="M109" s="56">
        <f>IF(M$2=Payroll!$I10,Payroll!$F10,IF(M$2&gt;Payroll!$I10,Payroll!$F10*((1+Payroll!$J10)^(ROUNDDOWN(DATEDIF(Payroll!$I10,M$2,"M")/Payroll!$K10,0))),0))</f>
        <v>0</v>
      </c>
      <c r="N109" s="56">
        <f>IF(N$2=Payroll!$I10,Payroll!$F10,IF(N$2&gt;Payroll!$I10,Payroll!$F10*((1+Payroll!$J10)^(ROUNDDOWN(DATEDIF(Payroll!$I10,N$2,"M")/Payroll!$K10,0))),0))</f>
        <v>0</v>
      </c>
      <c r="O109" s="56">
        <f>IF(O$2=Payroll!$I10,Payroll!$F10,IF(O$2&gt;Payroll!$I10,Payroll!$F10*((1+Payroll!$J10)^(ROUNDDOWN(DATEDIF(Payroll!$I10,O$2,"M")/Payroll!$K10,0))),0))</f>
        <v>0</v>
      </c>
      <c r="P109" s="56">
        <f>IF(P$2=Payroll!$I10,Payroll!$F10,IF(P$2&gt;Payroll!$I10,Payroll!$F10*((1+Payroll!$J10)^(ROUNDDOWN(DATEDIF(Payroll!$I10,P$2,"M")/Payroll!$K10,0))),0))</f>
        <v>0</v>
      </c>
      <c r="Q109" s="56">
        <f>IF(Q$2=Payroll!$I10,Payroll!$F10,IF(Q$2&gt;Payroll!$I10,Payroll!$F10*((1+Payroll!$J10)^(ROUNDDOWN(DATEDIF(Payroll!$I10,Q$2,"M")/Payroll!$K10,0))),0))</f>
        <v>0</v>
      </c>
      <c r="R109" s="56">
        <f>IF(R$2=Payroll!$I10,Payroll!$F10,IF(R$2&gt;Payroll!$I10,Payroll!$F10*((1+Payroll!$J10)^(ROUNDDOWN(DATEDIF(Payroll!$I10,R$2,"M")/Payroll!$K10,0))),0))</f>
        <v>0</v>
      </c>
      <c r="S109" s="56">
        <f>IF(S$2=Payroll!$I10,Payroll!$F10,IF(S$2&gt;Payroll!$I10,Payroll!$F10*((1+Payroll!$J10)^(ROUNDDOWN(DATEDIF(Payroll!$I10,S$2,"M")/Payroll!$K10,0))),0))</f>
        <v>0</v>
      </c>
      <c r="T109" s="56">
        <f>IF(T$2=Payroll!$I10,Payroll!$F10,IF(T$2&gt;Payroll!$I10,Payroll!$F10*((1+Payroll!$J10)^(ROUNDDOWN(DATEDIF(Payroll!$I10,T$2,"M")/Payroll!$K10,0))),0))</f>
        <v>0</v>
      </c>
      <c r="U109" s="56">
        <f>IF(U$2=Payroll!$I10,Payroll!$F10,IF(U$2&gt;Payroll!$I10,Payroll!$F10*((1+Payroll!$J10)^(ROUNDDOWN(DATEDIF(Payroll!$I10,U$2,"M")/Payroll!$K10,0))),0))</f>
        <v>0</v>
      </c>
      <c r="V109" s="56">
        <f>IF(V$2=Payroll!$I10,Payroll!$F10,IF(V$2&gt;Payroll!$I10,Payroll!$F10*((1+Payroll!$J10)^(ROUNDDOWN(DATEDIF(Payroll!$I10,V$2,"M")/Payroll!$K10,0))),0))</f>
        <v>0</v>
      </c>
      <c r="W109" s="56">
        <f>IF(W$2=Payroll!$I10,Payroll!$F10,IF(W$2&gt;Payroll!$I10,Payroll!$F10*((1+Payroll!$J10)^(ROUNDDOWN(DATEDIF(Payroll!$I10,W$2,"M")/Payroll!$K10,0))),0))</f>
        <v>0</v>
      </c>
      <c r="X109" s="56">
        <f>IF(X$2=Payroll!$I10,Payroll!$F10,IF(X$2&gt;Payroll!$I10,Payroll!$F10*((1+Payroll!$J10)^(ROUNDDOWN(DATEDIF(Payroll!$I10,X$2,"M")/Payroll!$K10,0))),0))</f>
        <v>0</v>
      </c>
      <c r="Y109" s="56">
        <f>IF(Y$2=Payroll!$I10,Payroll!$F10,IF(Y$2&gt;Payroll!$I10,Payroll!$F10*((1+Payroll!$J10)^(ROUNDDOWN(DATEDIF(Payroll!$I10,Y$2,"M")/Payroll!$K10,0))),0))</f>
        <v>0</v>
      </c>
      <c r="Z109" s="56">
        <f>IF(Z$2=Payroll!$I10,Payroll!$F10,IF(Z$2&gt;Payroll!$I10,Payroll!$F10*((1+Payroll!$J10)^(ROUNDDOWN(DATEDIF(Payroll!$I10,Z$2,"M")/Payroll!$K10,0))),0))</f>
        <v>0</v>
      </c>
      <c r="AA109" s="56">
        <f>IF(AA$2=Payroll!$I10,Payroll!$F10,IF(AA$2&gt;Payroll!$I10,Payroll!$F10*((1+Payroll!$J10)^(ROUNDDOWN(DATEDIF(Payroll!$I10,AA$2,"M")/Payroll!$K10,0))),0))</f>
        <v>0</v>
      </c>
      <c r="AB109" s="56">
        <f>IF(AB$2=Payroll!$I10,Payroll!$F10,IF(AB$2&gt;Payroll!$I10,Payroll!$F10*((1+Payroll!$J10)^(ROUNDDOWN(DATEDIF(Payroll!$I10,AB$2,"M")/Payroll!$K10,0))),0))</f>
        <v>0</v>
      </c>
      <c r="AC109" s="56">
        <f>IF(AC$2=Payroll!$I10,Payroll!$F10,IF(AC$2&gt;Payroll!$I10,Payroll!$F10*((1+Payroll!$J10)^(ROUNDDOWN(DATEDIF(Payroll!$I10,AC$2,"M")/Payroll!$K10,0))),0))</f>
        <v>0</v>
      </c>
      <c r="AD109" s="56">
        <f>IF(AD$2=Payroll!$I10,Payroll!$F10,IF(AD$2&gt;Payroll!$I10,Payroll!$F10*((1+Payroll!$J10)^(ROUNDDOWN(DATEDIF(Payroll!$I10,AD$2,"M")/Payroll!$K10,0))),0))</f>
        <v>0</v>
      </c>
      <c r="AE109" s="56">
        <f>IF(AE$2=Payroll!$I10,Payroll!$F10,IF(AE$2&gt;Payroll!$I10,Payroll!$F10*((1+Payroll!$J10)^(ROUNDDOWN(DATEDIF(Payroll!$I10,AE$2,"M")/Payroll!$K10,0))),0))</f>
        <v>0</v>
      </c>
      <c r="AF109" s="56">
        <f>IF(AF$2=Payroll!$I10,Payroll!$F10,IF(AF$2&gt;Payroll!$I10,Payroll!$F10*((1+Payroll!$J10)^(ROUNDDOWN(DATEDIF(Payroll!$I10,AF$2,"M")/Payroll!$K10,0))),0))</f>
        <v>0</v>
      </c>
      <c r="AG109" s="56">
        <f>IF(AG$2=Payroll!$I10,Payroll!$F10,IF(AG$2&gt;Payroll!$I10,Payroll!$F10*((1+Payroll!$J10)^(ROUNDDOWN(DATEDIF(Payroll!$I10,AG$2,"M")/Payroll!$K10,0))),0))</f>
        <v>0</v>
      </c>
      <c r="AH109" s="56">
        <f>IF(AH$2=Payroll!$I10,Payroll!$F10,IF(AH$2&gt;Payroll!$I10,Payroll!$F10*((1+Payroll!$J10)^(ROUNDDOWN(DATEDIF(Payroll!$I10,AH$2,"M")/Payroll!$K10,0))),0))</f>
        <v>0</v>
      </c>
      <c r="AI109" s="56">
        <f>IF(AI$2=Payroll!$I10,Payroll!$F10,IF(AI$2&gt;Payroll!$I10,Payroll!$F10*((1+Payroll!$J10)^(ROUNDDOWN(DATEDIF(Payroll!$I10,AI$2,"M")/Payroll!$K10,0))),0))</f>
        <v>0</v>
      </c>
      <c r="AJ109" s="56">
        <f>IF(AJ$2=Payroll!$I10,Payroll!$F10,IF(AJ$2&gt;Payroll!$I10,Payroll!$F10*((1+Payroll!$J10)^(ROUNDDOWN(DATEDIF(Payroll!$I10,AJ$2,"M")/Payroll!$K10,0))),0))</f>
        <v>0</v>
      </c>
      <c r="AK109" s="56">
        <f>IF(AK$2=Payroll!$I10,Payroll!$F10,IF(AK$2&gt;Payroll!$I10,Payroll!$F10*((1+Payroll!$J10)^(ROUNDDOWN(DATEDIF(Payroll!$I10,AK$2,"M")/Payroll!$K10,0))),0))</f>
        <v>0</v>
      </c>
      <c r="AL109" s="56">
        <f>IF(AL$2=Payroll!$I10,Payroll!$F10,IF(AL$2&gt;Payroll!$I10,Payroll!$F10*((1+Payroll!$J10)^(ROUNDDOWN(DATEDIF(Payroll!$I10,AL$2,"M")/Payroll!$K10,0))),0))</f>
        <v>0</v>
      </c>
      <c r="AM109" s="56">
        <f>IF(AM$2=Payroll!$I10,Payroll!$F10,IF(AM$2&gt;Payroll!$I10,Payroll!$F10*((1+Payroll!$J10)^(ROUNDDOWN(DATEDIF(Payroll!$I10,AM$2,"M")/Payroll!$K10,0))),0))</f>
        <v>0</v>
      </c>
      <c r="AN109" s="56">
        <f>IF(AN$2=Payroll!$I10,Payroll!$F10,IF(AN$2&gt;Payroll!$I10,Payroll!$F10*((1+Payroll!$J10)^(ROUNDDOWN(DATEDIF(Payroll!$I10,AN$2,"M")/Payroll!$K10,0))),0))</f>
        <v>0</v>
      </c>
      <c r="AO109" s="56">
        <f>IF(AO$2=Payroll!$I10,Payroll!$F10,IF(AO$2&gt;Payroll!$I10,Payroll!$F10*((1+Payroll!$J10)^(ROUNDDOWN(DATEDIF(Payroll!$I10,AO$2,"M")/Payroll!$K10,0))),0))</f>
        <v>0</v>
      </c>
      <c r="AP109" s="56">
        <f>IF(AP$2=Payroll!$I10,Payroll!$F10,IF(AP$2&gt;Payroll!$I10,Payroll!$F10*((1+Payroll!$J10)^(ROUNDDOWN(DATEDIF(Payroll!$I10,AP$2,"M")/Payroll!$K10,0))),0))</f>
        <v>0</v>
      </c>
      <c r="AQ109" s="56">
        <f>IF(AQ$2=Payroll!$I10,Payroll!$F10,IF(AQ$2&gt;Payroll!$I10,Payroll!$F10*((1+Payroll!$J10)^(ROUNDDOWN(DATEDIF(Payroll!$I10,AQ$2,"M")/Payroll!$K10,0))),0))</f>
        <v>0</v>
      </c>
      <c r="AR109" s="56">
        <f>IF(AR$2=Payroll!$I10,Payroll!$F10,IF(AR$2&gt;Payroll!$I10,Payroll!$F10*((1+Payroll!$J10)^(ROUNDDOWN(DATEDIF(Payroll!$I10,AR$2,"M")/Payroll!$K10,0))),0))</f>
        <v>0</v>
      </c>
      <c r="AS109" s="56">
        <f>IF(AS$2=Payroll!$I10,Payroll!$F10,IF(AS$2&gt;Payroll!$I10,Payroll!$F10*((1+Payroll!$J10)^(ROUNDDOWN(DATEDIF(Payroll!$I10,AS$2,"M")/Payroll!$K10,0))),0))</f>
        <v>0</v>
      </c>
      <c r="AT109" s="56">
        <f>IF(AT$2=Payroll!$I10,Payroll!$F10,IF(AT$2&gt;Payroll!$I10,Payroll!$F10*((1+Payroll!$J10)^(ROUNDDOWN(DATEDIF(Payroll!$I10,AT$2,"M")/Payroll!$K10,0))),0))</f>
        <v>0</v>
      </c>
      <c r="AU109" s="56">
        <f>IF(AU$2=Payroll!$I10,Payroll!$F10,IF(AU$2&gt;Payroll!$I10,Payroll!$F10*((1+Payroll!$J10)^(ROUNDDOWN(DATEDIF(Payroll!$I10,AU$2,"M")/Payroll!$K10,0))),0))</f>
        <v>0</v>
      </c>
      <c r="AV109" s="56">
        <f>IF(AV$2=Payroll!$I10,Payroll!$F10,IF(AV$2&gt;Payroll!$I10,Payroll!$F10*((1+Payroll!$J10)^(ROUNDDOWN(DATEDIF(Payroll!$I10,AV$2,"M")/Payroll!$K10,0))),0))</f>
        <v>0</v>
      </c>
      <c r="AW109" s="56">
        <f>IF(AW$2=Payroll!$I10,Payroll!$F10,IF(AW$2&gt;Payroll!$I10,Payroll!$F10*((1+Payroll!$J10)^(ROUNDDOWN(DATEDIF(Payroll!$I10,AW$2,"M")/Payroll!$K10,0))),0))</f>
        <v>0</v>
      </c>
      <c r="AX109" s="56">
        <f>IF(AX$2=Payroll!$I10,Payroll!$F10,IF(AX$2&gt;Payroll!$I10,Payroll!$F10*((1+Payroll!$J10)^(ROUNDDOWN(DATEDIF(Payroll!$I10,AX$2,"M")/Payroll!$K10,0))),0))</f>
        <v>0</v>
      </c>
      <c r="AY109" s="56">
        <f>IF(AY$2=Payroll!$I10,Payroll!$F10,IF(AY$2&gt;Payroll!$I10,Payroll!$F10*((1+Payroll!$J10)^(ROUNDDOWN(DATEDIF(Payroll!$I10,AY$2,"M")/Payroll!$K10,0))),0))</f>
        <v>0</v>
      </c>
      <c r="AZ109" s="56">
        <f>IF(AZ$2=Payroll!$I10,Payroll!$F10,IF(AZ$2&gt;Payroll!$I10,Payroll!$F10*((1+Payroll!$J10)^(ROUNDDOWN(DATEDIF(Payroll!$I10,AZ$2,"M")/Payroll!$K10,0))),0))</f>
        <v>0</v>
      </c>
      <c r="BA109" s="56">
        <f>IF(BA$2=Payroll!$I10,Payroll!$F10,IF(BA$2&gt;Payroll!$I10,Payroll!$F10*((1+Payroll!$J10)^(ROUNDDOWN(DATEDIF(Payroll!$I10,BA$2,"M")/Payroll!$K10,0))),0))</f>
        <v>0</v>
      </c>
      <c r="BB109" s="56">
        <f>IF(BB$2=Payroll!$I10,Payroll!$F10,IF(BB$2&gt;Payroll!$I10,Payroll!$F10*((1+Payroll!$J10)^(ROUNDDOWN(DATEDIF(Payroll!$I10,BB$2,"M")/Payroll!$K10,0))),0))</f>
        <v>0</v>
      </c>
      <c r="BC109" s="56">
        <f>IF(BC$2=Payroll!$I10,Payroll!$F10,IF(BC$2&gt;Payroll!$I10,Payroll!$F10*((1+Payroll!$J10)^(ROUNDDOWN(DATEDIF(Payroll!$I10,BC$2,"M")/Payroll!$K10,0))),0))</f>
        <v>0</v>
      </c>
      <c r="BD109" s="56">
        <f>IF(BD$2=Payroll!$I10,Payroll!$F10,IF(BD$2&gt;Payroll!$I10,Payroll!$F10*((1+Payroll!$J10)^(ROUNDDOWN(DATEDIF(Payroll!$I10,BD$2,"M")/Payroll!$K10,0))),0))</f>
        <v>0</v>
      </c>
      <c r="BE109" s="56">
        <f>IF(BE$2=Payroll!$I10,Payroll!$F10,IF(BE$2&gt;Payroll!$I10,Payroll!$F10*((1+Payroll!$J10)^(ROUNDDOWN(DATEDIF(Payroll!$I10,BE$2,"M")/Payroll!$K10,0))),0))</f>
        <v>0</v>
      </c>
      <c r="BF109" s="56">
        <f>IF(BF$2=Payroll!$I10,Payroll!$F10,IF(BF$2&gt;Payroll!$I10,Payroll!$F10*((1+Payroll!$J10)^(ROUNDDOWN(DATEDIF(Payroll!$I10,BF$2,"M")/Payroll!$K10,0))),0))</f>
        <v>0</v>
      </c>
      <c r="BG109" s="56">
        <f>IF(BG$2=Payroll!$I10,Payroll!$F10,IF(BG$2&gt;Payroll!$I10,Payroll!$F10*((1+Payroll!$J10)^(ROUNDDOWN(DATEDIF(Payroll!$I10,BG$2,"M")/Payroll!$K10,0))),0))</f>
        <v>0</v>
      </c>
      <c r="BH109" s="56">
        <f>IF(BH$2=Payroll!$I10,Payroll!$F10,IF(BH$2&gt;Payroll!$I10,Payroll!$F10*((1+Payroll!$J10)^(ROUNDDOWN(DATEDIF(Payroll!$I10,BH$2,"M")/Payroll!$K10,0))),0))</f>
        <v>0</v>
      </c>
      <c r="BI109" s="56">
        <f>IF(BI$2=Payroll!$I10,Payroll!$F10,IF(BI$2&gt;Payroll!$I10,Payroll!$F10*((1+Payroll!$J10)^(ROUNDDOWN(DATEDIF(Payroll!$I10,BI$2,"M")/Payroll!$K10,0))),0))</f>
        <v>0</v>
      </c>
      <c r="BJ109" s="56">
        <f>IF(BJ$2=Payroll!$I10,Payroll!$F10,IF(BJ$2&gt;Payroll!$I10,Payroll!$F10*((1+Payroll!$J10)^(ROUNDDOWN(DATEDIF(Payroll!$I10,BJ$2,"M")/Payroll!$K10,0))),0))</f>
        <v>0</v>
      </c>
      <c r="BK109" s="56">
        <f>IF(BK$2=Payroll!$I10,Payroll!$F10,IF(BK$2&gt;Payroll!$I10,Payroll!$F10*((1+Payroll!$J10)^(ROUNDDOWN(DATEDIF(Payroll!$I10,BK$2,"M")/Payroll!$K10,0))),0))</f>
        <v>0</v>
      </c>
      <c r="BL109" s="56">
        <f>IF(BL$2=Payroll!$I10,Payroll!$F10,IF(BL$2&gt;Payroll!$I10,Payroll!$F10*((1+Payroll!$J10)^(ROUNDDOWN(DATEDIF(Payroll!$I10,BL$2,"M")/Payroll!$K10,0))),0))</f>
        <v>0</v>
      </c>
      <c r="BM109" s="56">
        <f>IF(BM$2=Payroll!$I10,Payroll!$F10,IF(BM$2&gt;Payroll!$I10,Payroll!$F10*((1+Payroll!$J10)^(ROUNDDOWN(DATEDIF(Payroll!$I10,BM$2,"M")/Payroll!$K10,0))),0))</f>
        <v>0</v>
      </c>
      <c r="BN109" s="56">
        <f>IF(BN$2=Payroll!$I10,Payroll!$F10,IF(BN$2&gt;Payroll!$I10,Payroll!$F10*((1+Payroll!$J10)^(ROUNDDOWN(DATEDIF(Payroll!$I10,BN$2,"M")/Payroll!$K10,0))),0))</f>
        <v>0</v>
      </c>
      <c r="BO109" s="56">
        <f>IF(BO$2=Payroll!$I10,Payroll!$F10,IF(BO$2&gt;Payroll!$I10,Payroll!$F10*((1+Payroll!$J10)^(ROUNDDOWN(DATEDIF(Payroll!$I10,BO$2,"M")/Payroll!$K10,0))),0))</f>
        <v>0</v>
      </c>
      <c r="BP109" s="56">
        <f>IF(BP$2=Payroll!$I10,Payroll!$F10,IF(BP$2&gt;Payroll!$I10,Payroll!$F10*((1+Payroll!$J10)^(ROUNDDOWN(DATEDIF(Payroll!$I10,BP$2,"M")/Payroll!$K10,0))),0))</f>
        <v>0</v>
      </c>
      <c r="BQ109" s="56">
        <f>IF(BQ$2=Payroll!$I10,Payroll!$F10,IF(BQ$2&gt;Payroll!$I10,Payroll!$F10*((1+Payroll!$J10)^(ROUNDDOWN(DATEDIF(Payroll!$I10,BQ$2,"M")/Payroll!$K10,0))),0))</f>
        <v>0</v>
      </c>
      <c r="BR109" s="56">
        <f>IF(BR$2=Payroll!$I10,Payroll!$F10,IF(BR$2&gt;Payroll!$I10,Payroll!$F10*((1+Payroll!$J10)^(ROUNDDOWN(DATEDIF(Payroll!$I10,BR$2,"M")/Payroll!$K10,0))),0))</f>
        <v>0</v>
      </c>
      <c r="BS109" s="56">
        <f>IF(BS$2=Payroll!$I10,Payroll!$F10,IF(BS$2&gt;Payroll!$I10,Payroll!$F10*((1+Payroll!$J10)^(ROUNDDOWN(DATEDIF(Payroll!$I10,BS$2,"M")/Payroll!$K10,0))),0))</f>
        <v>0</v>
      </c>
      <c r="BT109" s="56">
        <f>IF(BT$2=Payroll!$I10,Payroll!$F10,IF(BT$2&gt;Payroll!$I10,Payroll!$F10*((1+Payroll!$J10)^(ROUNDDOWN(DATEDIF(Payroll!$I10,BT$2,"M")/Payroll!$K10,0))),0))</f>
        <v>0</v>
      </c>
      <c r="BU109" s="56">
        <f>IF(BU$2=Payroll!$I10,Payroll!$F10,IF(BU$2&gt;Payroll!$I10,Payroll!$F10*((1+Payroll!$J10)^(ROUNDDOWN(DATEDIF(Payroll!$I10,BU$2,"M")/Payroll!$K10,0))),0))</f>
        <v>0</v>
      </c>
      <c r="BV109" s="56">
        <f>IF(BV$2=Payroll!$I10,Payroll!$F10,IF(BV$2&gt;Payroll!$I10,Payroll!$F10*((1+Payroll!$J10)^(ROUNDDOWN(DATEDIF(Payroll!$I10,BV$2,"M")/Payroll!$K10,0))),0))</f>
        <v>0</v>
      </c>
      <c r="BW109" s="56">
        <f>IF(BW$2=Payroll!$I10,Payroll!$F10,IF(BW$2&gt;Payroll!$I10,Payroll!$F10*((1+Payroll!$J10)^(ROUNDDOWN(DATEDIF(Payroll!$I10,BW$2,"M")/Payroll!$K10,0))),0))</f>
        <v>0</v>
      </c>
      <c r="BX109" s="56">
        <f>IF(BX$2=Payroll!$I10,Payroll!$F10,IF(BX$2&gt;Payroll!$I10,Payroll!$F10*((1+Payroll!$J10)^(ROUNDDOWN(DATEDIF(Payroll!$I10,BX$2,"M")/Payroll!$K10,0))),0))</f>
        <v>0</v>
      </c>
      <c r="BY109" s="56">
        <f>IF(BY$2=Payroll!$I10,Payroll!$F10,IF(BY$2&gt;Payroll!$I10,Payroll!$F10*((1+Payroll!$J10)^(ROUNDDOWN(DATEDIF(Payroll!$I10,BY$2,"M")/Payroll!$K10,0))),0))</f>
        <v>0</v>
      </c>
      <c r="BZ109" s="56">
        <f>IF(BZ$2=Payroll!$I10,Payroll!$F10,IF(BZ$2&gt;Payroll!$I10,Payroll!$F10*((1+Payroll!$J10)^(ROUNDDOWN(DATEDIF(Payroll!$I10,BZ$2,"M")/Payroll!$K10,0))),0))</f>
        <v>0</v>
      </c>
      <c r="CA109" s="56">
        <f>IF(CA$2=Payroll!$I10,Payroll!$F10,IF(CA$2&gt;Payroll!$I10,Payroll!$F10*((1+Payroll!$J10)^(ROUNDDOWN(DATEDIF(Payroll!$I10,CA$2,"M")/Payroll!$K10,0))),0))</f>
        <v>0</v>
      </c>
      <c r="CB109" s="56">
        <f>IF(CB$2=Payroll!$I10,Payroll!$F10,IF(CB$2&gt;Payroll!$I10,Payroll!$F10*((1+Payroll!$J10)^(ROUNDDOWN(DATEDIF(Payroll!$I10,CB$2,"M")/Payroll!$K10,0))),0))</f>
        <v>0</v>
      </c>
      <c r="CC109" s="56">
        <f>IF(CC$2=Payroll!$I10,Payroll!$F10,IF(CC$2&gt;Payroll!$I10,Payroll!$F10*((1+Payroll!$J10)^(ROUNDDOWN(DATEDIF(Payroll!$I10,CC$2,"M")/Payroll!$K10,0))),0))</f>
        <v>0</v>
      </c>
      <c r="CD109" s="56">
        <f>IF(CD$2=Payroll!$I10,Payroll!$F10,IF(CD$2&gt;Payroll!$I10,Payroll!$F10*((1+Payroll!$J10)^(ROUNDDOWN(DATEDIF(Payroll!$I10,CD$2,"M")/Payroll!$K10,0))),0))</f>
        <v>0</v>
      </c>
      <c r="CE109" s="56">
        <f>IF(CE$2=Payroll!$I10,Payroll!$F10,IF(CE$2&gt;Payroll!$I10,Payroll!$F10*((1+Payroll!$J10)^(ROUNDDOWN(DATEDIF(Payroll!$I10,CE$2,"M")/Payroll!$K10,0))),0))</f>
        <v>0</v>
      </c>
      <c r="CF109" s="56">
        <f>IF(CF$2=Payroll!$I10,Payroll!$F10,IF(CF$2&gt;Payroll!$I10,Payroll!$F10*((1+Payroll!$J10)^(ROUNDDOWN(DATEDIF(Payroll!$I10,CF$2,"M")/Payroll!$K10,0))),0))</f>
        <v>0</v>
      </c>
      <c r="CG109" s="56">
        <f>IF(CG$2=Payroll!$I10,Payroll!$F10,IF(CG$2&gt;Payroll!$I10,Payroll!$F10*((1+Payroll!$J10)^(ROUNDDOWN(DATEDIF(Payroll!$I10,CG$2,"M")/Payroll!$K10,0))),0))</f>
        <v>0</v>
      </c>
      <c r="CH109" s="56">
        <f>IF(CH$2=Payroll!$I10,Payroll!$F10,IF(CH$2&gt;Payroll!$I10,Payroll!$F10*((1+Payroll!$J10)^(ROUNDDOWN(DATEDIF(Payroll!$I10,CH$2,"M")/Payroll!$K10,0))),0))</f>
        <v>0</v>
      </c>
      <c r="CI109" s="56">
        <f>IF(CI$2=Payroll!$I10,Payroll!$F10,IF(CI$2&gt;Payroll!$I10,Payroll!$F10*((1+Payroll!$J10)^(ROUNDDOWN(DATEDIF(Payroll!$I10,CI$2,"M")/Payroll!$K10,0))),0))</f>
        <v>0</v>
      </c>
      <c r="CJ109" s="56">
        <f>IF(CJ$2=Payroll!$I10,Payroll!$F10,IF(CJ$2&gt;Payroll!$I10,Payroll!$F10*((1+Payroll!$J10)^(ROUNDDOWN(DATEDIF(Payroll!$I10,CJ$2,"M")/Payroll!$K10,0))),0))</f>
        <v>0</v>
      </c>
      <c r="CK109" s="56">
        <f>IF(CK$2=Payroll!$I10,Payroll!$F10,IF(CK$2&gt;Payroll!$I10,Payroll!$F10*((1+Payroll!$J10)^(ROUNDDOWN(DATEDIF(Payroll!$I10,CK$2,"M")/Payroll!$K10,0))),0))</f>
        <v>0</v>
      </c>
      <c r="CL109" s="56">
        <f>IF(CL$2=Payroll!$I10,Payroll!$F10,IF(CL$2&gt;Payroll!$I10,Payroll!$F10*((1+Payroll!$J10)^(ROUNDDOWN(DATEDIF(Payroll!$I10,CL$2,"M")/Payroll!$K10,0))),0))</f>
        <v>0</v>
      </c>
      <c r="CM109" s="56">
        <f>IF(CM$2=Payroll!$I10,Payroll!$F10,IF(CM$2&gt;Payroll!$I10,Payroll!$F10*((1+Payroll!$J10)^(ROUNDDOWN(DATEDIF(Payroll!$I10,CM$2,"M")/Payroll!$K10,0))),0))</f>
        <v>0</v>
      </c>
      <c r="CN109" s="56">
        <f>IF(CN$2=Payroll!$I10,Payroll!$F10,IF(CN$2&gt;Payroll!$I10,Payroll!$F10*((1+Payroll!$J10)^(ROUNDDOWN(DATEDIF(Payroll!$I10,CN$2,"M")/Payroll!$K10,0))),0))</f>
        <v>0</v>
      </c>
      <c r="CO109" s="56">
        <f>IF(CO$2=Payroll!$I10,Payroll!$F10,IF(CO$2&gt;Payroll!$I10,Payroll!$F10*((1+Payroll!$J10)^(ROUNDDOWN(DATEDIF(Payroll!$I10,CO$2,"M")/Payroll!$K10,0))),0))</f>
        <v>0</v>
      </c>
      <c r="CP109" s="56">
        <f>IF(CP$2=Payroll!$I10,Payroll!$F10,IF(CP$2&gt;Payroll!$I10,Payroll!$F10*((1+Payroll!$J10)^(ROUNDDOWN(DATEDIF(Payroll!$I10,CP$2,"M")/Payroll!$K10,0))),0))</f>
        <v>0</v>
      </c>
      <c r="CQ109" s="56">
        <f>IF(CQ$2=Payroll!$I10,Payroll!$F10,IF(CQ$2&gt;Payroll!$I10,Payroll!$F10*((1+Payroll!$J10)^(ROUNDDOWN(DATEDIF(Payroll!$I10,CQ$2,"M")/Payroll!$K10,0))),0))</f>
        <v>0</v>
      </c>
      <c r="CR109" s="56">
        <f>IF(CR$2=Payroll!$I10,Payroll!$F10,IF(CR$2&gt;Payroll!$I10,Payroll!$F10*((1+Payroll!$J10)^(ROUNDDOWN(DATEDIF(Payroll!$I10,CR$2,"M")/Payroll!$K10,0))),0))</f>
        <v>0</v>
      </c>
      <c r="CS109" s="56">
        <f>IF(CS$2=Payroll!$I10,Payroll!$F10,IF(CS$2&gt;Payroll!$I10,Payroll!$F10*((1+Payroll!$J10)^(ROUNDDOWN(DATEDIF(Payroll!$I10,CS$2,"M")/Payroll!$K10,0))),0))</f>
        <v>0</v>
      </c>
      <c r="CT109" s="56">
        <f>IF(CT$2=Payroll!$I10,Payroll!$F10,IF(CT$2&gt;Payroll!$I10,Payroll!$F10*((1+Payroll!$J10)^(ROUNDDOWN(DATEDIF(Payroll!$I10,CT$2,"M")/Payroll!$K10,0))),0))</f>
        <v>0</v>
      </c>
      <c r="CU109" s="56">
        <f>IF(CU$2=Payroll!$I10,Payroll!$F10,IF(CU$2&gt;Payroll!$I10,Payroll!$F10*((1+Payroll!$J10)^(ROUNDDOWN(DATEDIF(Payroll!$I10,CU$2,"M")/Payroll!$K10,0))),0))</f>
        <v>0</v>
      </c>
      <c r="CV109" s="56">
        <f>IF(CV$2=Payroll!$I10,Payroll!$F10,IF(CV$2&gt;Payroll!$I10,Payroll!$F10*((1+Payroll!$J10)^(ROUNDDOWN(DATEDIF(Payroll!$I10,CV$2,"M")/Payroll!$K10,0))),0))</f>
        <v>0</v>
      </c>
      <c r="CW109" s="56">
        <f>IF(CW$2=Payroll!$I10,Payroll!$F10,IF(CW$2&gt;Payroll!$I10,Payroll!$F10*((1+Payroll!$J10)^(ROUNDDOWN(DATEDIF(Payroll!$I10,CW$2,"M")/Payroll!$K10,0))),0))</f>
        <v>0</v>
      </c>
      <c r="CX109" s="56">
        <f>IF(CX$2=Payroll!$I10,Payroll!$F10,IF(CX$2&gt;Payroll!$I10,Payroll!$F10*((1+Payroll!$J10)^(ROUNDDOWN(DATEDIF(Payroll!$I10,CX$2,"M")/Payroll!$K10,0))),0))</f>
        <v>0</v>
      </c>
    </row>
    <row r="110" ht="15.75" customHeight="1" outlineLevel="2">
      <c r="A110" s="56" t="str">
        <f>Payroll!A11</f>
        <v>Employee 1</v>
      </c>
      <c r="B110" s="56"/>
      <c r="C110" s="56"/>
      <c r="D110" s="56"/>
      <c r="E110" s="56">
        <f>IF(E$2=Payroll!$I11,Payroll!$F11,IF(E$2&gt;Payroll!$I11,Payroll!$F11*((1+Payroll!$J11)^(ROUNDDOWN(DATEDIF(Payroll!$I11,E$2,"M")/Payroll!$K11,0))),0))</f>
        <v>0</v>
      </c>
      <c r="F110" s="56">
        <f>IF(F$2=Payroll!$I11,Payroll!$F11,IF(F$2&gt;Payroll!$I11,Payroll!$F11*((1+Payroll!$J11)^(ROUNDDOWN(DATEDIF(Payroll!$I11,F$2,"M")/Payroll!$K11,0))),0))</f>
        <v>0</v>
      </c>
      <c r="G110" s="56">
        <f>IF(G$2=Payroll!$I11,Payroll!$F11,IF(G$2&gt;Payroll!$I11,Payroll!$F11*((1+Payroll!$J11)^(ROUNDDOWN(DATEDIF(Payroll!$I11,G$2,"M")/Payroll!$K11,0))),0))</f>
        <v>0</v>
      </c>
      <c r="H110" s="56">
        <f>IF(H$2=Payroll!$I11,Payroll!$F11,IF(H$2&gt;Payroll!$I11,Payroll!$F11*((1+Payroll!$J11)^(ROUNDDOWN(DATEDIF(Payroll!$I11,H$2,"M")/Payroll!$K11,0))),0))</f>
        <v>0</v>
      </c>
      <c r="I110" s="56">
        <f>IF(I$2=Payroll!$I11,Payroll!$F11,IF(I$2&gt;Payroll!$I11,Payroll!$F11*((1+Payroll!$J11)^(ROUNDDOWN(DATEDIF(Payroll!$I11,I$2,"M")/Payroll!$K11,0))),0))</f>
        <v>0</v>
      </c>
      <c r="J110" s="56">
        <f>IF(J$2=Payroll!$I11,Payroll!$F11,IF(J$2&gt;Payroll!$I11,Payroll!$F11*((1+Payroll!$J11)^(ROUNDDOWN(DATEDIF(Payroll!$I11,J$2,"M")/Payroll!$K11,0))),0))</f>
        <v>0</v>
      </c>
      <c r="K110" s="56">
        <f>IF(K$2=Payroll!$I11,Payroll!$F11,IF(K$2&gt;Payroll!$I11,Payroll!$F11*((1+Payroll!$J11)^(ROUNDDOWN(DATEDIF(Payroll!$I11,K$2,"M")/Payroll!$K11,0))),0))</f>
        <v>0</v>
      </c>
      <c r="L110" s="56">
        <f>IF(L$2=Payroll!$I11,Payroll!$F11,IF(L$2&gt;Payroll!$I11,Payroll!$F11*((1+Payroll!$J11)^(ROUNDDOWN(DATEDIF(Payroll!$I11,L$2,"M")/Payroll!$K11,0))),0))</f>
        <v>0</v>
      </c>
      <c r="M110" s="56">
        <f>IF(M$2=Payroll!$I11,Payroll!$F11,IF(M$2&gt;Payroll!$I11,Payroll!$F11*((1+Payroll!$J11)^(ROUNDDOWN(DATEDIF(Payroll!$I11,M$2,"M")/Payroll!$K11,0))),0))</f>
        <v>0</v>
      </c>
      <c r="N110" s="56">
        <f>IF(N$2=Payroll!$I11,Payroll!$F11,IF(N$2&gt;Payroll!$I11,Payroll!$F11*((1+Payroll!$J11)^(ROUNDDOWN(DATEDIF(Payroll!$I11,N$2,"M")/Payroll!$K11,0))),0))</f>
        <v>0</v>
      </c>
      <c r="O110" s="56">
        <f>IF(O$2=Payroll!$I11,Payroll!$F11,IF(O$2&gt;Payroll!$I11,Payroll!$F11*((1+Payroll!$J11)^(ROUNDDOWN(DATEDIF(Payroll!$I11,O$2,"M")/Payroll!$K11,0))),0))</f>
        <v>0</v>
      </c>
      <c r="P110" s="56">
        <f>IF(P$2=Payroll!$I11,Payroll!$F11,IF(P$2&gt;Payroll!$I11,Payroll!$F11*((1+Payroll!$J11)^(ROUNDDOWN(DATEDIF(Payroll!$I11,P$2,"M")/Payroll!$K11,0))),0))</f>
        <v>0</v>
      </c>
      <c r="Q110" s="56">
        <f>IF(Q$2=Payroll!$I11,Payroll!$F11,IF(Q$2&gt;Payroll!$I11,Payroll!$F11*((1+Payroll!$J11)^(ROUNDDOWN(DATEDIF(Payroll!$I11,Q$2,"M")/Payroll!$K11,0))),0))</f>
        <v>0</v>
      </c>
      <c r="R110" s="56">
        <f>IF(R$2=Payroll!$I11,Payroll!$F11,IF(R$2&gt;Payroll!$I11,Payroll!$F11*((1+Payroll!$J11)^(ROUNDDOWN(DATEDIF(Payroll!$I11,R$2,"M")/Payroll!$K11,0))),0))</f>
        <v>0</v>
      </c>
      <c r="S110" s="56">
        <f>IF(S$2=Payroll!$I11,Payroll!$F11,IF(S$2&gt;Payroll!$I11,Payroll!$F11*((1+Payroll!$J11)^(ROUNDDOWN(DATEDIF(Payroll!$I11,S$2,"M")/Payroll!$K11,0))),0))</f>
        <v>0</v>
      </c>
      <c r="T110" s="56">
        <f>IF(T$2=Payroll!$I11,Payroll!$F11,IF(T$2&gt;Payroll!$I11,Payroll!$F11*((1+Payroll!$J11)^(ROUNDDOWN(DATEDIF(Payroll!$I11,T$2,"M")/Payroll!$K11,0))),0))</f>
        <v>0</v>
      </c>
      <c r="U110" s="56">
        <f>IF(U$2=Payroll!$I11,Payroll!$F11,IF(U$2&gt;Payroll!$I11,Payroll!$F11*((1+Payroll!$J11)^(ROUNDDOWN(DATEDIF(Payroll!$I11,U$2,"M")/Payroll!$K11,0))),0))</f>
        <v>0</v>
      </c>
      <c r="V110" s="56">
        <f>IF(V$2=Payroll!$I11,Payroll!$F11,IF(V$2&gt;Payroll!$I11,Payroll!$F11*((1+Payroll!$J11)^(ROUNDDOWN(DATEDIF(Payroll!$I11,V$2,"M")/Payroll!$K11,0))),0))</f>
        <v>0</v>
      </c>
      <c r="W110" s="56">
        <f>IF(W$2=Payroll!$I11,Payroll!$F11,IF(W$2&gt;Payroll!$I11,Payroll!$F11*((1+Payroll!$J11)^(ROUNDDOWN(DATEDIF(Payroll!$I11,W$2,"M")/Payroll!$K11,0))),0))</f>
        <v>0</v>
      </c>
      <c r="X110" s="56">
        <f>IF(X$2=Payroll!$I11,Payroll!$F11,IF(X$2&gt;Payroll!$I11,Payroll!$F11*((1+Payroll!$J11)^(ROUNDDOWN(DATEDIF(Payroll!$I11,X$2,"M")/Payroll!$K11,0))),0))</f>
        <v>0</v>
      </c>
      <c r="Y110" s="56">
        <f>IF(Y$2=Payroll!$I11,Payroll!$F11,IF(Y$2&gt;Payroll!$I11,Payroll!$F11*((1+Payroll!$J11)^(ROUNDDOWN(DATEDIF(Payroll!$I11,Y$2,"M")/Payroll!$K11,0))),0))</f>
        <v>0</v>
      </c>
      <c r="Z110" s="56">
        <f>IF(Z$2=Payroll!$I11,Payroll!$F11,IF(Z$2&gt;Payroll!$I11,Payroll!$F11*((1+Payroll!$J11)^(ROUNDDOWN(DATEDIF(Payroll!$I11,Z$2,"M")/Payroll!$K11,0))),0))</f>
        <v>0</v>
      </c>
      <c r="AA110" s="56">
        <f>IF(AA$2=Payroll!$I11,Payroll!$F11,IF(AA$2&gt;Payroll!$I11,Payroll!$F11*((1+Payroll!$J11)^(ROUNDDOWN(DATEDIF(Payroll!$I11,AA$2,"M")/Payroll!$K11,0))),0))</f>
        <v>0</v>
      </c>
      <c r="AB110" s="56">
        <f>IF(AB$2=Payroll!$I11,Payroll!$F11,IF(AB$2&gt;Payroll!$I11,Payroll!$F11*((1+Payroll!$J11)^(ROUNDDOWN(DATEDIF(Payroll!$I11,AB$2,"M")/Payroll!$K11,0))),0))</f>
        <v>0</v>
      </c>
      <c r="AC110" s="56">
        <f>IF(AC$2=Payroll!$I11,Payroll!$F11,IF(AC$2&gt;Payroll!$I11,Payroll!$F11*((1+Payroll!$J11)^(ROUNDDOWN(DATEDIF(Payroll!$I11,AC$2,"M")/Payroll!$K11,0))),0))</f>
        <v>0</v>
      </c>
      <c r="AD110" s="56">
        <f>IF(AD$2=Payroll!$I11,Payroll!$F11,IF(AD$2&gt;Payroll!$I11,Payroll!$F11*((1+Payroll!$J11)^(ROUNDDOWN(DATEDIF(Payroll!$I11,AD$2,"M")/Payroll!$K11,0))),0))</f>
        <v>0</v>
      </c>
      <c r="AE110" s="56">
        <f>IF(AE$2=Payroll!$I11,Payroll!$F11,IF(AE$2&gt;Payroll!$I11,Payroll!$F11*((1+Payroll!$J11)^(ROUNDDOWN(DATEDIF(Payroll!$I11,AE$2,"M")/Payroll!$K11,0))),0))</f>
        <v>0</v>
      </c>
      <c r="AF110" s="56">
        <f>IF(AF$2=Payroll!$I11,Payroll!$F11,IF(AF$2&gt;Payroll!$I11,Payroll!$F11*((1+Payroll!$J11)^(ROUNDDOWN(DATEDIF(Payroll!$I11,AF$2,"M")/Payroll!$K11,0))),0))</f>
        <v>0</v>
      </c>
      <c r="AG110" s="56">
        <f>IF(AG$2=Payroll!$I11,Payroll!$F11,IF(AG$2&gt;Payroll!$I11,Payroll!$F11*((1+Payroll!$J11)^(ROUNDDOWN(DATEDIF(Payroll!$I11,AG$2,"M")/Payroll!$K11,0))),0))</f>
        <v>0</v>
      </c>
      <c r="AH110" s="56">
        <f>IF(AH$2=Payroll!$I11,Payroll!$F11,IF(AH$2&gt;Payroll!$I11,Payroll!$F11*((1+Payroll!$J11)^(ROUNDDOWN(DATEDIF(Payroll!$I11,AH$2,"M")/Payroll!$K11,0))),0))</f>
        <v>0</v>
      </c>
      <c r="AI110" s="56">
        <f>IF(AI$2=Payroll!$I11,Payroll!$F11,IF(AI$2&gt;Payroll!$I11,Payroll!$F11*((1+Payroll!$J11)^(ROUNDDOWN(DATEDIF(Payroll!$I11,AI$2,"M")/Payroll!$K11,0))),0))</f>
        <v>0</v>
      </c>
      <c r="AJ110" s="56">
        <f>IF(AJ$2=Payroll!$I11,Payroll!$F11,IF(AJ$2&gt;Payroll!$I11,Payroll!$F11*((1+Payroll!$J11)^(ROUNDDOWN(DATEDIF(Payroll!$I11,AJ$2,"M")/Payroll!$K11,0))),0))</f>
        <v>0</v>
      </c>
      <c r="AK110" s="56">
        <f>IF(AK$2=Payroll!$I11,Payroll!$F11,IF(AK$2&gt;Payroll!$I11,Payroll!$F11*((1+Payroll!$J11)^(ROUNDDOWN(DATEDIF(Payroll!$I11,AK$2,"M")/Payroll!$K11,0))),0))</f>
        <v>0</v>
      </c>
      <c r="AL110" s="56">
        <f>IF(AL$2=Payroll!$I11,Payroll!$F11,IF(AL$2&gt;Payroll!$I11,Payroll!$F11*((1+Payroll!$J11)^(ROUNDDOWN(DATEDIF(Payroll!$I11,AL$2,"M")/Payroll!$K11,0))),0))</f>
        <v>0</v>
      </c>
      <c r="AM110" s="56">
        <f>IF(AM$2=Payroll!$I11,Payroll!$F11,IF(AM$2&gt;Payroll!$I11,Payroll!$F11*((1+Payroll!$J11)^(ROUNDDOWN(DATEDIF(Payroll!$I11,AM$2,"M")/Payroll!$K11,0))),0))</f>
        <v>0</v>
      </c>
      <c r="AN110" s="56">
        <f>IF(AN$2=Payroll!$I11,Payroll!$F11,IF(AN$2&gt;Payroll!$I11,Payroll!$F11*((1+Payroll!$J11)^(ROUNDDOWN(DATEDIF(Payroll!$I11,AN$2,"M")/Payroll!$K11,0))),0))</f>
        <v>0</v>
      </c>
      <c r="AO110" s="56">
        <f>IF(AO$2=Payroll!$I11,Payroll!$F11,IF(AO$2&gt;Payroll!$I11,Payroll!$F11*((1+Payroll!$J11)^(ROUNDDOWN(DATEDIF(Payroll!$I11,AO$2,"M")/Payroll!$K11,0))),0))</f>
        <v>0</v>
      </c>
      <c r="AP110" s="56">
        <f>IF(AP$2=Payroll!$I11,Payroll!$F11,IF(AP$2&gt;Payroll!$I11,Payroll!$F11*((1+Payroll!$J11)^(ROUNDDOWN(DATEDIF(Payroll!$I11,AP$2,"M")/Payroll!$K11,0))),0))</f>
        <v>0</v>
      </c>
      <c r="AQ110" s="56">
        <f>IF(AQ$2=Payroll!$I11,Payroll!$F11,IF(AQ$2&gt;Payroll!$I11,Payroll!$F11*((1+Payroll!$J11)^(ROUNDDOWN(DATEDIF(Payroll!$I11,AQ$2,"M")/Payroll!$K11,0))),0))</f>
        <v>0</v>
      </c>
      <c r="AR110" s="56">
        <f>IF(AR$2=Payroll!$I11,Payroll!$F11,IF(AR$2&gt;Payroll!$I11,Payroll!$F11*((1+Payroll!$J11)^(ROUNDDOWN(DATEDIF(Payroll!$I11,AR$2,"M")/Payroll!$K11,0))),0))</f>
        <v>0</v>
      </c>
      <c r="AS110" s="56">
        <f>IF(AS$2=Payroll!$I11,Payroll!$F11,IF(AS$2&gt;Payroll!$I11,Payroll!$F11*((1+Payroll!$J11)^(ROUNDDOWN(DATEDIF(Payroll!$I11,AS$2,"M")/Payroll!$K11,0))),0))</f>
        <v>0</v>
      </c>
      <c r="AT110" s="56">
        <f>IF(AT$2=Payroll!$I11,Payroll!$F11,IF(AT$2&gt;Payroll!$I11,Payroll!$F11*((1+Payroll!$J11)^(ROUNDDOWN(DATEDIF(Payroll!$I11,AT$2,"M")/Payroll!$K11,0))),0))</f>
        <v>0</v>
      </c>
      <c r="AU110" s="56">
        <f>IF(AU$2=Payroll!$I11,Payroll!$F11,IF(AU$2&gt;Payroll!$I11,Payroll!$F11*((1+Payroll!$J11)^(ROUNDDOWN(DATEDIF(Payroll!$I11,AU$2,"M")/Payroll!$K11,0))),0))</f>
        <v>0</v>
      </c>
      <c r="AV110" s="56">
        <f>IF(AV$2=Payroll!$I11,Payroll!$F11,IF(AV$2&gt;Payroll!$I11,Payroll!$F11*((1+Payroll!$J11)^(ROUNDDOWN(DATEDIF(Payroll!$I11,AV$2,"M")/Payroll!$K11,0))),0))</f>
        <v>0</v>
      </c>
      <c r="AW110" s="56">
        <f>IF(AW$2=Payroll!$I11,Payroll!$F11,IF(AW$2&gt;Payroll!$I11,Payroll!$F11*((1+Payroll!$J11)^(ROUNDDOWN(DATEDIF(Payroll!$I11,AW$2,"M")/Payroll!$K11,0))),0))</f>
        <v>0</v>
      </c>
      <c r="AX110" s="56">
        <f>IF(AX$2=Payroll!$I11,Payroll!$F11,IF(AX$2&gt;Payroll!$I11,Payroll!$F11*((1+Payroll!$J11)^(ROUNDDOWN(DATEDIF(Payroll!$I11,AX$2,"M")/Payroll!$K11,0))),0))</f>
        <v>0</v>
      </c>
      <c r="AY110" s="56">
        <f>IF(AY$2=Payroll!$I11,Payroll!$F11,IF(AY$2&gt;Payroll!$I11,Payroll!$F11*((1+Payroll!$J11)^(ROUNDDOWN(DATEDIF(Payroll!$I11,AY$2,"M")/Payroll!$K11,0))),0))</f>
        <v>0</v>
      </c>
      <c r="AZ110" s="56">
        <f>IF(AZ$2=Payroll!$I11,Payroll!$F11,IF(AZ$2&gt;Payroll!$I11,Payroll!$F11*((1+Payroll!$J11)^(ROUNDDOWN(DATEDIF(Payroll!$I11,AZ$2,"M")/Payroll!$K11,0))),0))</f>
        <v>0</v>
      </c>
      <c r="BA110" s="56">
        <f>IF(BA$2=Payroll!$I11,Payroll!$F11,IF(BA$2&gt;Payroll!$I11,Payroll!$F11*((1+Payroll!$J11)^(ROUNDDOWN(DATEDIF(Payroll!$I11,BA$2,"M")/Payroll!$K11,0))),0))</f>
        <v>0</v>
      </c>
      <c r="BB110" s="56">
        <f>IF(BB$2=Payroll!$I11,Payroll!$F11,IF(BB$2&gt;Payroll!$I11,Payroll!$F11*((1+Payroll!$J11)^(ROUNDDOWN(DATEDIF(Payroll!$I11,BB$2,"M")/Payroll!$K11,0))),0))</f>
        <v>0</v>
      </c>
      <c r="BC110" s="56">
        <f>IF(BC$2=Payroll!$I11,Payroll!$F11,IF(BC$2&gt;Payroll!$I11,Payroll!$F11*((1+Payroll!$J11)^(ROUNDDOWN(DATEDIF(Payroll!$I11,BC$2,"M")/Payroll!$K11,0))),0))</f>
        <v>0</v>
      </c>
      <c r="BD110" s="56">
        <f>IF(BD$2=Payroll!$I11,Payroll!$F11,IF(BD$2&gt;Payroll!$I11,Payroll!$F11*((1+Payroll!$J11)^(ROUNDDOWN(DATEDIF(Payroll!$I11,BD$2,"M")/Payroll!$K11,0))),0))</f>
        <v>0</v>
      </c>
      <c r="BE110" s="56">
        <f>IF(BE$2=Payroll!$I11,Payroll!$F11,IF(BE$2&gt;Payroll!$I11,Payroll!$F11*((1+Payroll!$J11)^(ROUNDDOWN(DATEDIF(Payroll!$I11,BE$2,"M")/Payroll!$K11,0))),0))</f>
        <v>0</v>
      </c>
      <c r="BF110" s="56">
        <f>IF(BF$2=Payroll!$I11,Payroll!$F11,IF(BF$2&gt;Payroll!$I11,Payroll!$F11*((1+Payroll!$J11)^(ROUNDDOWN(DATEDIF(Payroll!$I11,BF$2,"M")/Payroll!$K11,0))),0))</f>
        <v>0</v>
      </c>
      <c r="BG110" s="56">
        <f>IF(BG$2=Payroll!$I11,Payroll!$F11,IF(BG$2&gt;Payroll!$I11,Payroll!$F11*((1+Payroll!$J11)^(ROUNDDOWN(DATEDIF(Payroll!$I11,BG$2,"M")/Payroll!$K11,0))),0))</f>
        <v>0</v>
      </c>
      <c r="BH110" s="56">
        <f>IF(BH$2=Payroll!$I11,Payroll!$F11,IF(BH$2&gt;Payroll!$I11,Payroll!$F11*((1+Payroll!$J11)^(ROUNDDOWN(DATEDIF(Payroll!$I11,BH$2,"M")/Payroll!$K11,0))),0))</f>
        <v>0</v>
      </c>
      <c r="BI110" s="56">
        <f>IF(BI$2=Payroll!$I11,Payroll!$F11,IF(BI$2&gt;Payroll!$I11,Payroll!$F11*((1+Payroll!$J11)^(ROUNDDOWN(DATEDIF(Payroll!$I11,BI$2,"M")/Payroll!$K11,0))),0))</f>
        <v>0</v>
      </c>
      <c r="BJ110" s="56">
        <f>IF(BJ$2=Payroll!$I11,Payroll!$F11,IF(BJ$2&gt;Payroll!$I11,Payroll!$F11*((1+Payroll!$J11)^(ROUNDDOWN(DATEDIF(Payroll!$I11,BJ$2,"M")/Payroll!$K11,0))),0))</f>
        <v>0</v>
      </c>
      <c r="BK110" s="56">
        <f>IF(BK$2=Payroll!$I11,Payroll!$F11,IF(BK$2&gt;Payroll!$I11,Payroll!$F11*((1+Payroll!$J11)^(ROUNDDOWN(DATEDIF(Payroll!$I11,BK$2,"M")/Payroll!$K11,0))),0))</f>
        <v>0</v>
      </c>
      <c r="BL110" s="56">
        <f>IF(BL$2=Payroll!$I11,Payroll!$F11,IF(BL$2&gt;Payroll!$I11,Payroll!$F11*((1+Payroll!$J11)^(ROUNDDOWN(DATEDIF(Payroll!$I11,BL$2,"M")/Payroll!$K11,0))),0))</f>
        <v>0</v>
      </c>
      <c r="BM110" s="56">
        <f>IF(BM$2=Payroll!$I11,Payroll!$F11,IF(BM$2&gt;Payroll!$I11,Payroll!$F11*((1+Payroll!$J11)^(ROUNDDOWN(DATEDIF(Payroll!$I11,BM$2,"M")/Payroll!$K11,0))),0))</f>
        <v>0</v>
      </c>
      <c r="BN110" s="56">
        <f>IF(BN$2=Payroll!$I11,Payroll!$F11,IF(BN$2&gt;Payroll!$I11,Payroll!$F11*((1+Payroll!$J11)^(ROUNDDOWN(DATEDIF(Payroll!$I11,BN$2,"M")/Payroll!$K11,0))),0))</f>
        <v>0</v>
      </c>
      <c r="BO110" s="56">
        <f>IF(BO$2=Payroll!$I11,Payroll!$F11,IF(BO$2&gt;Payroll!$I11,Payroll!$F11*((1+Payroll!$J11)^(ROUNDDOWN(DATEDIF(Payroll!$I11,BO$2,"M")/Payroll!$K11,0))),0))</f>
        <v>0</v>
      </c>
      <c r="BP110" s="56">
        <f>IF(BP$2=Payroll!$I11,Payroll!$F11,IF(BP$2&gt;Payroll!$I11,Payroll!$F11*((1+Payroll!$J11)^(ROUNDDOWN(DATEDIF(Payroll!$I11,BP$2,"M")/Payroll!$K11,0))),0))</f>
        <v>0</v>
      </c>
      <c r="BQ110" s="56">
        <f>IF(BQ$2=Payroll!$I11,Payroll!$F11,IF(BQ$2&gt;Payroll!$I11,Payroll!$F11*((1+Payroll!$J11)^(ROUNDDOWN(DATEDIF(Payroll!$I11,BQ$2,"M")/Payroll!$K11,0))),0))</f>
        <v>0</v>
      </c>
      <c r="BR110" s="56">
        <f>IF(BR$2=Payroll!$I11,Payroll!$F11,IF(BR$2&gt;Payroll!$I11,Payroll!$F11*((1+Payroll!$J11)^(ROUNDDOWN(DATEDIF(Payroll!$I11,BR$2,"M")/Payroll!$K11,0))),0))</f>
        <v>0</v>
      </c>
      <c r="BS110" s="56">
        <f>IF(BS$2=Payroll!$I11,Payroll!$F11,IF(BS$2&gt;Payroll!$I11,Payroll!$F11*((1+Payroll!$J11)^(ROUNDDOWN(DATEDIF(Payroll!$I11,BS$2,"M")/Payroll!$K11,0))),0))</f>
        <v>0</v>
      </c>
      <c r="BT110" s="56">
        <f>IF(BT$2=Payroll!$I11,Payroll!$F11,IF(BT$2&gt;Payroll!$I11,Payroll!$F11*((1+Payroll!$J11)^(ROUNDDOWN(DATEDIF(Payroll!$I11,BT$2,"M")/Payroll!$K11,0))),0))</f>
        <v>0</v>
      </c>
      <c r="BU110" s="56">
        <f>IF(BU$2=Payroll!$I11,Payroll!$F11,IF(BU$2&gt;Payroll!$I11,Payroll!$F11*((1+Payroll!$J11)^(ROUNDDOWN(DATEDIF(Payroll!$I11,BU$2,"M")/Payroll!$K11,0))),0))</f>
        <v>0</v>
      </c>
      <c r="BV110" s="56">
        <f>IF(BV$2=Payroll!$I11,Payroll!$F11,IF(BV$2&gt;Payroll!$I11,Payroll!$F11*((1+Payroll!$J11)^(ROUNDDOWN(DATEDIF(Payroll!$I11,BV$2,"M")/Payroll!$K11,0))),0))</f>
        <v>0</v>
      </c>
      <c r="BW110" s="56">
        <f>IF(BW$2=Payroll!$I11,Payroll!$F11,IF(BW$2&gt;Payroll!$I11,Payroll!$F11*((1+Payroll!$J11)^(ROUNDDOWN(DATEDIF(Payroll!$I11,BW$2,"M")/Payroll!$K11,0))),0))</f>
        <v>0</v>
      </c>
      <c r="BX110" s="56">
        <f>IF(BX$2=Payroll!$I11,Payroll!$F11,IF(BX$2&gt;Payroll!$I11,Payroll!$F11*((1+Payroll!$J11)^(ROUNDDOWN(DATEDIF(Payroll!$I11,BX$2,"M")/Payroll!$K11,0))),0))</f>
        <v>0</v>
      </c>
      <c r="BY110" s="56">
        <f>IF(BY$2=Payroll!$I11,Payroll!$F11,IF(BY$2&gt;Payroll!$I11,Payroll!$F11*((1+Payroll!$J11)^(ROUNDDOWN(DATEDIF(Payroll!$I11,BY$2,"M")/Payroll!$K11,0))),0))</f>
        <v>0</v>
      </c>
      <c r="BZ110" s="56">
        <f>IF(BZ$2=Payroll!$I11,Payroll!$F11,IF(BZ$2&gt;Payroll!$I11,Payroll!$F11*((1+Payroll!$J11)^(ROUNDDOWN(DATEDIF(Payroll!$I11,BZ$2,"M")/Payroll!$K11,0))),0))</f>
        <v>0</v>
      </c>
      <c r="CA110" s="56">
        <f>IF(CA$2=Payroll!$I11,Payroll!$F11,IF(CA$2&gt;Payroll!$I11,Payroll!$F11*((1+Payroll!$J11)^(ROUNDDOWN(DATEDIF(Payroll!$I11,CA$2,"M")/Payroll!$K11,0))),0))</f>
        <v>0</v>
      </c>
      <c r="CB110" s="56">
        <f>IF(CB$2=Payroll!$I11,Payroll!$F11,IF(CB$2&gt;Payroll!$I11,Payroll!$F11*((1+Payroll!$J11)^(ROUNDDOWN(DATEDIF(Payroll!$I11,CB$2,"M")/Payroll!$K11,0))),0))</f>
        <v>0</v>
      </c>
      <c r="CC110" s="56">
        <f>IF(CC$2=Payroll!$I11,Payroll!$F11,IF(CC$2&gt;Payroll!$I11,Payroll!$F11*((1+Payroll!$J11)^(ROUNDDOWN(DATEDIF(Payroll!$I11,CC$2,"M")/Payroll!$K11,0))),0))</f>
        <v>0</v>
      </c>
      <c r="CD110" s="56">
        <f>IF(CD$2=Payroll!$I11,Payroll!$F11,IF(CD$2&gt;Payroll!$I11,Payroll!$F11*((1+Payroll!$J11)^(ROUNDDOWN(DATEDIF(Payroll!$I11,CD$2,"M")/Payroll!$K11,0))),0))</f>
        <v>0</v>
      </c>
      <c r="CE110" s="56">
        <f>IF(CE$2=Payroll!$I11,Payroll!$F11,IF(CE$2&gt;Payroll!$I11,Payroll!$F11*((1+Payroll!$J11)^(ROUNDDOWN(DATEDIF(Payroll!$I11,CE$2,"M")/Payroll!$K11,0))),0))</f>
        <v>0</v>
      </c>
      <c r="CF110" s="56">
        <f>IF(CF$2=Payroll!$I11,Payroll!$F11,IF(CF$2&gt;Payroll!$I11,Payroll!$F11*((1+Payroll!$J11)^(ROUNDDOWN(DATEDIF(Payroll!$I11,CF$2,"M")/Payroll!$K11,0))),0))</f>
        <v>0</v>
      </c>
      <c r="CG110" s="56">
        <f>IF(CG$2=Payroll!$I11,Payroll!$F11,IF(CG$2&gt;Payroll!$I11,Payroll!$F11*((1+Payroll!$J11)^(ROUNDDOWN(DATEDIF(Payroll!$I11,CG$2,"M")/Payroll!$K11,0))),0))</f>
        <v>0</v>
      </c>
      <c r="CH110" s="56">
        <f>IF(CH$2=Payroll!$I11,Payroll!$F11,IF(CH$2&gt;Payroll!$I11,Payroll!$F11*((1+Payroll!$J11)^(ROUNDDOWN(DATEDIF(Payroll!$I11,CH$2,"M")/Payroll!$K11,0))),0))</f>
        <v>0</v>
      </c>
      <c r="CI110" s="56">
        <f>IF(CI$2=Payroll!$I11,Payroll!$F11,IF(CI$2&gt;Payroll!$I11,Payroll!$F11*((1+Payroll!$J11)^(ROUNDDOWN(DATEDIF(Payroll!$I11,CI$2,"M")/Payroll!$K11,0))),0))</f>
        <v>0</v>
      </c>
      <c r="CJ110" s="56">
        <f>IF(CJ$2=Payroll!$I11,Payroll!$F11,IF(CJ$2&gt;Payroll!$I11,Payroll!$F11*((1+Payroll!$J11)^(ROUNDDOWN(DATEDIF(Payroll!$I11,CJ$2,"M")/Payroll!$K11,0))),0))</f>
        <v>0</v>
      </c>
      <c r="CK110" s="56">
        <f>IF(CK$2=Payroll!$I11,Payroll!$F11,IF(CK$2&gt;Payroll!$I11,Payroll!$F11*((1+Payroll!$J11)^(ROUNDDOWN(DATEDIF(Payroll!$I11,CK$2,"M")/Payroll!$K11,0))),0))</f>
        <v>0</v>
      </c>
      <c r="CL110" s="56">
        <f>IF(CL$2=Payroll!$I11,Payroll!$F11,IF(CL$2&gt;Payroll!$I11,Payroll!$F11*((1+Payroll!$J11)^(ROUNDDOWN(DATEDIF(Payroll!$I11,CL$2,"M")/Payroll!$K11,0))),0))</f>
        <v>0</v>
      </c>
      <c r="CM110" s="56">
        <f>IF(CM$2=Payroll!$I11,Payroll!$F11,IF(CM$2&gt;Payroll!$I11,Payroll!$F11*((1+Payroll!$J11)^(ROUNDDOWN(DATEDIF(Payroll!$I11,CM$2,"M")/Payroll!$K11,0))),0))</f>
        <v>0</v>
      </c>
      <c r="CN110" s="56">
        <f>IF(CN$2=Payroll!$I11,Payroll!$F11,IF(CN$2&gt;Payroll!$I11,Payroll!$F11*((1+Payroll!$J11)^(ROUNDDOWN(DATEDIF(Payroll!$I11,CN$2,"M")/Payroll!$K11,0))),0))</f>
        <v>0</v>
      </c>
      <c r="CO110" s="56">
        <f>IF(CO$2=Payroll!$I11,Payroll!$F11,IF(CO$2&gt;Payroll!$I11,Payroll!$F11*((1+Payroll!$J11)^(ROUNDDOWN(DATEDIF(Payroll!$I11,CO$2,"M")/Payroll!$K11,0))),0))</f>
        <v>0</v>
      </c>
      <c r="CP110" s="56">
        <f>IF(CP$2=Payroll!$I11,Payroll!$F11,IF(CP$2&gt;Payroll!$I11,Payroll!$F11*((1+Payroll!$J11)^(ROUNDDOWN(DATEDIF(Payroll!$I11,CP$2,"M")/Payroll!$K11,0))),0))</f>
        <v>0</v>
      </c>
      <c r="CQ110" s="56">
        <f>IF(CQ$2=Payroll!$I11,Payroll!$F11,IF(CQ$2&gt;Payroll!$I11,Payroll!$F11*((1+Payroll!$J11)^(ROUNDDOWN(DATEDIF(Payroll!$I11,CQ$2,"M")/Payroll!$K11,0))),0))</f>
        <v>0</v>
      </c>
      <c r="CR110" s="56">
        <f>IF(CR$2=Payroll!$I11,Payroll!$F11,IF(CR$2&gt;Payroll!$I11,Payroll!$F11*((1+Payroll!$J11)^(ROUNDDOWN(DATEDIF(Payroll!$I11,CR$2,"M")/Payroll!$K11,0))),0))</f>
        <v>0</v>
      </c>
      <c r="CS110" s="56">
        <f>IF(CS$2=Payroll!$I11,Payroll!$F11,IF(CS$2&gt;Payroll!$I11,Payroll!$F11*((1+Payroll!$J11)^(ROUNDDOWN(DATEDIF(Payroll!$I11,CS$2,"M")/Payroll!$K11,0))),0))</f>
        <v>0</v>
      </c>
      <c r="CT110" s="56">
        <f>IF(CT$2=Payroll!$I11,Payroll!$F11,IF(CT$2&gt;Payroll!$I11,Payroll!$F11*((1+Payroll!$J11)^(ROUNDDOWN(DATEDIF(Payroll!$I11,CT$2,"M")/Payroll!$K11,0))),0))</f>
        <v>0</v>
      </c>
      <c r="CU110" s="56">
        <f>IF(CU$2=Payroll!$I11,Payroll!$F11,IF(CU$2&gt;Payroll!$I11,Payroll!$F11*((1+Payroll!$J11)^(ROUNDDOWN(DATEDIF(Payroll!$I11,CU$2,"M")/Payroll!$K11,0))),0))</f>
        <v>0</v>
      </c>
      <c r="CV110" s="56">
        <f>IF(CV$2=Payroll!$I11,Payroll!$F11,IF(CV$2&gt;Payroll!$I11,Payroll!$F11*((1+Payroll!$J11)^(ROUNDDOWN(DATEDIF(Payroll!$I11,CV$2,"M")/Payroll!$K11,0))),0))</f>
        <v>0</v>
      </c>
      <c r="CW110" s="56">
        <f>IF(CW$2=Payroll!$I11,Payroll!$F11,IF(CW$2&gt;Payroll!$I11,Payroll!$F11*((1+Payroll!$J11)^(ROUNDDOWN(DATEDIF(Payroll!$I11,CW$2,"M")/Payroll!$K11,0))),0))</f>
        <v>0</v>
      </c>
      <c r="CX110" s="56">
        <f>IF(CX$2=Payroll!$I11,Payroll!$F11,IF(CX$2&gt;Payroll!$I11,Payroll!$F11*((1+Payroll!$J11)^(ROUNDDOWN(DATEDIF(Payroll!$I11,CX$2,"M")/Payroll!$K11,0))),0))</f>
        <v>0</v>
      </c>
    </row>
    <row r="111" ht="15.75" customHeight="1" outlineLevel="2">
      <c r="A111" s="56" t="str">
        <f>Payroll!A12</f>
        <v>Employee 2</v>
      </c>
      <c r="B111" s="56"/>
      <c r="C111" s="56"/>
      <c r="D111" s="56"/>
      <c r="E111" s="56">
        <f>IF(E$2=Payroll!$I12,Payroll!$F12,IF(E$2&gt;Payroll!$I12,Payroll!$F12*((1+Payroll!$J12)^(ROUNDDOWN(DATEDIF(Payroll!$I12,E$2,"M")/Payroll!$K12,0))),0))</f>
        <v>0</v>
      </c>
      <c r="F111" s="56">
        <f>IF(F$2=Payroll!$I12,Payroll!$F12,IF(F$2&gt;Payroll!$I12,Payroll!$F12*((1+Payroll!$J12)^(ROUNDDOWN(DATEDIF(Payroll!$I12,F$2,"M")/Payroll!$K12,0))),0))</f>
        <v>0</v>
      </c>
      <c r="G111" s="56">
        <f>IF(G$2=Payroll!$I12,Payroll!$F12,IF(G$2&gt;Payroll!$I12,Payroll!$F12*((1+Payroll!$J12)^(ROUNDDOWN(DATEDIF(Payroll!$I12,G$2,"M")/Payroll!$K12,0))),0))</f>
        <v>0</v>
      </c>
      <c r="H111" s="56">
        <f>IF(H$2=Payroll!$I12,Payroll!$F12,IF(H$2&gt;Payroll!$I12,Payroll!$F12*((1+Payroll!$J12)^(ROUNDDOWN(DATEDIF(Payroll!$I12,H$2,"M")/Payroll!$K12,0))),0))</f>
        <v>0</v>
      </c>
      <c r="I111" s="56">
        <f>IF(I$2=Payroll!$I12,Payroll!$F12,IF(I$2&gt;Payroll!$I12,Payroll!$F12*((1+Payroll!$J12)^(ROUNDDOWN(DATEDIF(Payroll!$I12,I$2,"M")/Payroll!$K12,0))),0))</f>
        <v>0</v>
      </c>
      <c r="J111" s="56">
        <f>IF(J$2=Payroll!$I12,Payroll!$F12,IF(J$2&gt;Payroll!$I12,Payroll!$F12*((1+Payroll!$J12)^(ROUNDDOWN(DATEDIF(Payroll!$I12,J$2,"M")/Payroll!$K12,0))),0))</f>
        <v>0</v>
      </c>
      <c r="K111" s="56">
        <f>IF(K$2=Payroll!$I12,Payroll!$F12,IF(K$2&gt;Payroll!$I12,Payroll!$F12*((1+Payroll!$J12)^(ROUNDDOWN(DATEDIF(Payroll!$I12,K$2,"M")/Payroll!$K12,0))),0))</f>
        <v>0</v>
      </c>
      <c r="L111" s="56">
        <f>IF(L$2=Payroll!$I12,Payroll!$F12,IF(L$2&gt;Payroll!$I12,Payroll!$F12*((1+Payroll!$J12)^(ROUNDDOWN(DATEDIF(Payroll!$I12,L$2,"M")/Payroll!$K12,0))),0))</f>
        <v>0</v>
      </c>
      <c r="M111" s="56">
        <f>IF(M$2=Payroll!$I12,Payroll!$F12,IF(M$2&gt;Payroll!$I12,Payroll!$F12*((1+Payroll!$J12)^(ROUNDDOWN(DATEDIF(Payroll!$I12,M$2,"M")/Payroll!$K12,0))),0))</f>
        <v>0</v>
      </c>
      <c r="N111" s="56">
        <f>IF(N$2=Payroll!$I12,Payroll!$F12,IF(N$2&gt;Payroll!$I12,Payroll!$F12*((1+Payroll!$J12)^(ROUNDDOWN(DATEDIF(Payroll!$I12,N$2,"M")/Payroll!$K12,0))),0))</f>
        <v>0</v>
      </c>
      <c r="O111" s="56">
        <f>IF(O$2=Payroll!$I12,Payroll!$F12,IF(O$2&gt;Payroll!$I12,Payroll!$F12*((1+Payroll!$J12)^(ROUNDDOWN(DATEDIF(Payroll!$I12,O$2,"M")/Payroll!$K12,0))),0))</f>
        <v>0</v>
      </c>
      <c r="P111" s="56">
        <f>IF(P$2=Payroll!$I12,Payroll!$F12,IF(P$2&gt;Payroll!$I12,Payroll!$F12*((1+Payroll!$J12)^(ROUNDDOWN(DATEDIF(Payroll!$I12,P$2,"M")/Payroll!$K12,0))),0))</f>
        <v>0</v>
      </c>
      <c r="Q111" s="56">
        <f>IF(Q$2=Payroll!$I12,Payroll!$F12,IF(Q$2&gt;Payroll!$I12,Payroll!$F12*((1+Payroll!$J12)^(ROUNDDOWN(DATEDIF(Payroll!$I12,Q$2,"M")/Payroll!$K12,0))),0))</f>
        <v>0</v>
      </c>
      <c r="R111" s="56">
        <f>IF(R$2=Payroll!$I12,Payroll!$F12,IF(R$2&gt;Payroll!$I12,Payroll!$F12*((1+Payroll!$J12)^(ROUNDDOWN(DATEDIF(Payroll!$I12,R$2,"M")/Payroll!$K12,0))),0))</f>
        <v>0</v>
      </c>
      <c r="S111" s="56">
        <f>IF(S$2=Payroll!$I12,Payroll!$F12,IF(S$2&gt;Payroll!$I12,Payroll!$F12*((1+Payroll!$J12)^(ROUNDDOWN(DATEDIF(Payroll!$I12,S$2,"M")/Payroll!$K12,0))),0))</f>
        <v>0</v>
      </c>
      <c r="T111" s="56">
        <f>IF(T$2=Payroll!$I12,Payroll!$F12,IF(T$2&gt;Payroll!$I12,Payroll!$F12*((1+Payroll!$J12)^(ROUNDDOWN(DATEDIF(Payroll!$I12,T$2,"M")/Payroll!$K12,0))),0))</f>
        <v>0</v>
      </c>
      <c r="U111" s="56">
        <f>IF(U$2=Payroll!$I12,Payroll!$F12,IF(U$2&gt;Payroll!$I12,Payroll!$F12*((1+Payroll!$J12)^(ROUNDDOWN(DATEDIF(Payroll!$I12,U$2,"M")/Payroll!$K12,0))),0))</f>
        <v>0</v>
      </c>
      <c r="V111" s="56">
        <f>IF(V$2=Payroll!$I12,Payroll!$F12,IF(V$2&gt;Payroll!$I12,Payroll!$F12*((1+Payroll!$J12)^(ROUNDDOWN(DATEDIF(Payroll!$I12,V$2,"M")/Payroll!$K12,0))),0))</f>
        <v>0</v>
      </c>
      <c r="W111" s="56">
        <f>IF(W$2=Payroll!$I12,Payroll!$F12,IF(W$2&gt;Payroll!$I12,Payroll!$F12*((1+Payroll!$J12)^(ROUNDDOWN(DATEDIF(Payroll!$I12,W$2,"M")/Payroll!$K12,0))),0))</f>
        <v>0</v>
      </c>
      <c r="X111" s="56">
        <f>IF(X$2=Payroll!$I12,Payroll!$F12,IF(X$2&gt;Payroll!$I12,Payroll!$F12*((1+Payroll!$J12)^(ROUNDDOWN(DATEDIF(Payroll!$I12,X$2,"M")/Payroll!$K12,0))),0))</f>
        <v>0</v>
      </c>
      <c r="Y111" s="56">
        <f>IF(Y$2=Payroll!$I12,Payroll!$F12,IF(Y$2&gt;Payroll!$I12,Payroll!$F12*((1+Payroll!$J12)^(ROUNDDOWN(DATEDIF(Payroll!$I12,Y$2,"M")/Payroll!$K12,0))),0))</f>
        <v>0</v>
      </c>
      <c r="Z111" s="56">
        <f>IF(Z$2=Payroll!$I12,Payroll!$F12,IF(Z$2&gt;Payroll!$I12,Payroll!$F12*((1+Payroll!$J12)^(ROUNDDOWN(DATEDIF(Payroll!$I12,Z$2,"M")/Payroll!$K12,0))),0))</f>
        <v>0</v>
      </c>
      <c r="AA111" s="56">
        <f>IF(AA$2=Payroll!$I12,Payroll!$F12,IF(AA$2&gt;Payroll!$I12,Payroll!$F12*((1+Payroll!$J12)^(ROUNDDOWN(DATEDIF(Payroll!$I12,AA$2,"M")/Payroll!$K12,0))),0))</f>
        <v>0</v>
      </c>
      <c r="AB111" s="56">
        <f>IF(AB$2=Payroll!$I12,Payroll!$F12,IF(AB$2&gt;Payroll!$I12,Payroll!$F12*((1+Payroll!$J12)^(ROUNDDOWN(DATEDIF(Payroll!$I12,AB$2,"M")/Payroll!$K12,0))),0))</f>
        <v>0</v>
      </c>
      <c r="AC111" s="56">
        <f>IF(AC$2=Payroll!$I12,Payroll!$F12,IF(AC$2&gt;Payroll!$I12,Payroll!$F12*((1+Payroll!$J12)^(ROUNDDOWN(DATEDIF(Payroll!$I12,AC$2,"M")/Payroll!$K12,0))),0))</f>
        <v>0</v>
      </c>
      <c r="AD111" s="56">
        <f>IF(AD$2=Payroll!$I12,Payroll!$F12,IF(AD$2&gt;Payroll!$I12,Payroll!$F12*((1+Payroll!$J12)^(ROUNDDOWN(DATEDIF(Payroll!$I12,AD$2,"M")/Payroll!$K12,0))),0))</f>
        <v>0</v>
      </c>
      <c r="AE111" s="56">
        <f>IF(AE$2=Payroll!$I12,Payroll!$F12,IF(AE$2&gt;Payroll!$I12,Payroll!$F12*((1+Payroll!$J12)^(ROUNDDOWN(DATEDIF(Payroll!$I12,AE$2,"M")/Payroll!$K12,0))),0))</f>
        <v>0</v>
      </c>
      <c r="AF111" s="56">
        <f>IF(AF$2=Payroll!$I12,Payroll!$F12,IF(AF$2&gt;Payroll!$I12,Payroll!$F12*((1+Payroll!$J12)^(ROUNDDOWN(DATEDIF(Payroll!$I12,AF$2,"M")/Payroll!$K12,0))),0))</f>
        <v>0</v>
      </c>
      <c r="AG111" s="56">
        <f>IF(AG$2=Payroll!$I12,Payroll!$F12,IF(AG$2&gt;Payroll!$I12,Payroll!$F12*((1+Payroll!$J12)^(ROUNDDOWN(DATEDIF(Payroll!$I12,AG$2,"M")/Payroll!$K12,0))),0))</f>
        <v>0</v>
      </c>
      <c r="AH111" s="56">
        <f>IF(AH$2=Payroll!$I12,Payroll!$F12,IF(AH$2&gt;Payroll!$I12,Payroll!$F12*((1+Payroll!$J12)^(ROUNDDOWN(DATEDIF(Payroll!$I12,AH$2,"M")/Payroll!$K12,0))),0))</f>
        <v>0</v>
      </c>
      <c r="AI111" s="56">
        <f>IF(AI$2=Payroll!$I12,Payroll!$F12,IF(AI$2&gt;Payroll!$I12,Payroll!$F12*((1+Payroll!$J12)^(ROUNDDOWN(DATEDIF(Payroll!$I12,AI$2,"M")/Payroll!$K12,0))),0))</f>
        <v>0</v>
      </c>
      <c r="AJ111" s="56">
        <f>IF(AJ$2=Payroll!$I12,Payroll!$F12,IF(AJ$2&gt;Payroll!$I12,Payroll!$F12*((1+Payroll!$J12)^(ROUNDDOWN(DATEDIF(Payroll!$I12,AJ$2,"M")/Payroll!$K12,0))),0))</f>
        <v>0</v>
      </c>
      <c r="AK111" s="56">
        <f>IF(AK$2=Payroll!$I12,Payroll!$F12,IF(AK$2&gt;Payroll!$I12,Payroll!$F12*((1+Payroll!$J12)^(ROUNDDOWN(DATEDIF(Payroll!$I12,AK$2,"M")/Payroll!$K12,0))),0))</f>
        <v>0</v>
      </c>
      <c r="AL111" s="56">
        <f>IF(AL$2=Payroll!$I12,Payroll!$F12,IF(AL$2&gt;Payroll!$I12,Payroll!$F12*((1+Payroll!$J12)^(ROUNDDOWN(DATEDIF(Payroll!$I12,AL$2,"M")/Payroll!$K12,0))),0))</f>
        <v>0</v>
      </c>
      <c r="AM111" s="56">
        <f>IF(AM$2=Payroll!$I12,Payroll!$F12,IF(AM$2&gt;Payroll!$I12,Payroll!$F12*((1+Payroll!$J12)^(ROUNDDOWN(DATEDIF(Payroll!$I12,AM$2,"M")/Payroll!$K12,0))),0))</f>
        <v>0</v>
      </c>
      <c r="AN111" s="56">
        <f>IF(AN$2=Payroll!$I12,Payroll!$F12,IF(AN$2&gt;Payroll!$I12,Payroll!$F12*((1+Payroll!$J12)^(ROUNDDOWN(DATEDIF(Payroll!$I12,AN$2,"M")/Payroll!$K12,0))),0))</f>
        <v>0</v>
      </c>
      <c r="AO111" s="56">
        <f>IF(AO$2=Payroll!$I12,Payroll!$F12,IF(AO$2&gt;Payroll!$I12,Payroll!$F12*((1+Payroll!$J12)^(ROUNDDOWN(DATEDIF(Payroll!$I12,AO$2,"M")/Payroll!$K12,0))),0))</f>
        <v>0</v>
      </c>
      <c r="AP111" s="56">
        <f>IF(AP$2=Payroll!$I12,Payroll!$F12,IF(AP$2&gt;Payroll!$I12,Payroll!$F12*((1+Payroll!$J12)^(ROUNDDOWN(DATEDIF(Payroll!$I12,AP$2,"M")/Payroll!$K12,0))),0))</f>
        <v>0</v>
      </c>
      <c r="AQ111" s="56">
        <f>IF(AQ$2=Payroll!$I12,Payroll!$F12,IF(AQ$2&gt;Payroll!$I12,Payroll!$F12*((1+Payroll!$J12)^(ROUNDDOWN(DATEDIF(Payroll!$I12,AQ$2,"M")/Payroll!$K12,0))),0))</f>
        <v>0</v>
      </c>
      <c r="AR111" s="56">
        <f>IF(AR$2=Payroll!$I12,Payroll!$F12,IF(AR$2&gt;Payroll!$I12,Payroll!$F12*((1+Payroll!$J12)^(ROUNDDOWN(DATEDIF(Payroll!$I12,AR$2,"M")/Payroll!$K12,0))),0))</f>
        <v>0</v>
      </c>
      <c r="AS111" s="56">
        <f>IF(AS$2=Payroll!$I12,Payroll!$F12,IF(AS$2&gt;Payroll!$I12,Payroll!$F12*((1+Payroll!$J12)^(ROUNDDOWN(DATEDIF(Payroll!$I12,AS$2,"M")/Payroll!$K12,0))),0))</f>
        <v>0</v>
      </c>
      <c r="AT111" s="56">
        <f>IF(AT$2=Payroll!$I12,Payroll!$F12,IF(AT$2&gt;Payroll!$I12,Payroll!$F12*((1+Payroll!$J12)^(ROUNDDOWN(DATEDIF(Payroll!$I12,AT$2,"M")/Payroll!$K12,0))),0))</f>
        <v>0</v>
      </c>
      <c r="AU111" s="56">
        <f>IF(AU$2=Payroll!$I12,Payroll!$F12,IF(AU$2&gt;Payroll!$I12,Payroll!$F12*((1+Payroll!$J12)^(ROUNDDOWN(DATEDIF(Payroll!$I12,AU$2,"M")/Payroll!$K12,0))),0))</f>
        <v>0</v>
      </c>
      <c r="AV111" s="56">
        <f>IF(AV$2=Payroll!$I12,Payroll!$F12,IF(AV$2&gt;Payroll!$I12,Payroll!$F12*((1+Payroll!$J12)^(ROUNDDOWN(DATEDIF(Payroll!$I12,AV$2,"M")/Payroll!$K12,0))),0))</f>
        <v>0</v>
      </c>
      <c r="AW111" s="56">
        <f>IF(AW$2=Payroll!$I12,Payroll!$F12,IF(AW$2&gt;Payroll!$I12,Payroll!$F12*((1+Payroll!$J12)^(ROUNDDOWN(DATEDIF(Payroll!$I12,AW$2,"M")/Payroll!$K12,0))),0))</f>
        <v>0</v>
      </c>
      <c r="AX111" s="56">
        <f>IF(AX$2=Payroll!$I12,Payroll!$F12,IF(AX$2&gt;Payroll!$I12,Payroll!$F12*((1+Payroll!$J12)^(ROUNDDOWN(DATEDIF(Payroll!$I12,AX$2,"M")/Payroll!$K12,0))),0))</f>
        <v>0</v>
      </c>
      <c r="AY111" s="56">
        <f>IF(AY$2=Payroll!$I12,Payroll!$F12,IF(AY$2&gt;Payroll!$I12,Payroll!$F12*((1+Payroll!$J12)^(ROUNDDOWN(DATEDIF(Payroll!$I12,AY$2,"M")/Payroll!$K12,0))),0))</f>
        <v>0</v>
      </c>
      <c r="AZ111" s="56">
        <f>IF(AZ$2=Payroll!$I12,Payroll!$F12,IF(AZ$2&gt;Payroll!$I12,Payroll!$F12*((1+Payroll!$J12)^(ROUNDDOWN(DATEDIF(Payroll!$I12,AZ$2,"M")/Payroll!$K12,0))),0))</f>
        <v>0</v>
      </c>
      <c r="BA111" s="56">
        <f>IF(BA$2=Payroll!$I12,Payroll!$F12,IF(BA$2&gt;Payroll!$I12,Payroll!$F12*((1+Payroll!$J12)^(ROUNDDOWN(DATEDIF(Payroll!$I12,BA$2,"M")/Payroll!$K12,0))),0))</f>
        <v>0</v>
      </c>
      <c r="BB111" s="56">
        <f>IF(BB$2=Payroll!$I12,Payroll!$F12,IF(BB$2&gt;Payroll!$I12,Payroll!$F12*((1+Payroll!$J12)^(ROUNDDOWN(DATEDIF(Payroll!$I12,BB$2,"M")/Payroll!$K12,0))),0))</f>
        <v>0</v>
      </c>
      <c r="BC111" s="56">
        <f>IF(BC$2=Payroll!$I12,Payroll!$F12,IF(BC$2&gt;Payroll!$I12,Payroll!$F12*((1+Payroll!$J12)^(ROUNDDOWN(DATEDIF(Payroll!$I12,BC$2,"M")/Payroll!$K12,0))),0))</f>
        <v>0</v>
      </c>
      <c r="BD111" s="56">
        <f>IF(BD$2=Payroll!$I12,Payroll!$F12,IF(BD$2&gt;Payroll!$I12,Payroll!$F12*((1+Payroll!$J12)^(ROUNDDOWN(DATEDIF(Payroll!$I12,BD$2,"M")/Payroll!$K12,0))),0))</f>
        <v>0</v>
      </c>
      <c r="BE111" s="56">
        <f>IF(BE$2=Payroll!$I12,Payroll!$F12,IF(BE$2&gt;Payroll!$I12,Payroll!$F12*((1+Payroll!$J12)^(ROUNDDOWN(DATEDIF(Payroll!$I12,BE$2,"M")/Payroll!$K12,0))),0))</f>
        <v>0</v>
      </c>
      <c r="BF111" s="56">
        <f>IF(BF$2=Payroll!$I12,Payroll!$F12,IF(BF$2&gt;Payroll!$I12,Payroll!$F12*((1+Payroll!$J12)^(ROUNDDOWN(DATEDIF(Payroll!$I12,BF$2,"M")/Payroll!$K12,0))),0))</f>
        <v>0</v>
      </c>
      <c r="BG111" s="56">
        <f>IF(BG$2=Payroll!$I12,Payroll!$F12,IF(BG$2&gt;Payroll!$I12,Payroll!$F12*((1+Payroll!$J12)^(ROUNDDOWN(DATEDIF(Payroll!$I12,BG$2,"M")/Payroll!$K12,0))),0))</f>
        <v>0</v>
      </c>
      <c r="BH111" s="56">
        <f>IF(BH$2=Payroll!$I12,Payroll!$F12,IF(BH$2&gt;Payroll!$I12,Payroll!$F12*((1+Payroll!$J12)^(ROUNDDOWN(DATEDIF(Payroll!$I12,BH$2,"M")/Payroll!$K12,0))),0))</f>
        <v>0</v>
      </c>
      <c r="BI111" s="56">
        <f>IF(BI$2=Payroll!$I12,Payroll!$F12,IF(BI$2&gt;Payroll!$I12,Payroll!$F12*((1+Payroll!$J12)^(ROUNDDOWN(DATEDIF(Payroll!$I12,BI$2,"M")/Payroll!$K12,0))),0))</f>
        <v>0</v>
      </c>
      <c r="BJ111" s="56">
        <f>IF(BJ$2=Payroll!$I12,Payroll!$F12,IF(BJ$2&gt;Payroll!$I12,Payroll!$F12*((1+Payroll!$J12)^(ROUNDDOWN(DATEDIF(Payroll!$I12,BJ$2,"M")/Payroll!$K12,0))),0))</f>
        <v>0</v>
      </c>
      <c r="BK111" s="56">
        <f>IF(BK$2=Payroll!$I12,Payroll!$F12,IF(BK$2&gt;Payroll!$I12,Payroll!$F12*((1+Payroll!$J12)^(ROUNDDOWN(DATEDIF(Payroll!$I12,BK$2,"M")/Payroll!$K12,0))),0))</f>
        <v>0</v>
      </c>
      <c r="BL111" s="56">
        <f>IF(BL$2=Payroll!$I12,Payroll!$F12,IF(BL$2&gt;Payroll!$I12,Payroll!$F12*((1+Payroll!$J12)^(ROUNDDOWN(DATEDIF(Payroll!$I12,BL$2,"M")/Payroll!$K12,0))),0))</f>
        <v>0</v>
      </c>
      <c r="BM111" s="56">
        <f>IF(BM$2=Payroll!$I12,Payroll!$F12,IF(BM$2&gt;Payroll!$I12,Payroll!$F12*((1+Payroll!$J12)^(ROUNDDOWN(DATEDIF(Payroll!$I12,BM$2,"M")/Payroll!$K12,0))),0))</f>
        <v>0</v>
      </c>
      <c r="BN111" s="56">
        <f>IF(BN$2=Payroll!$I12,Payroll!$F12,IF(BN$2&gt;Payroll!$I12,Payroll!$F12*((1+Payroll!$J12)^(ROUNDDOWN(DATEDIF(Payroll!$I12,BN$2,"M")/Payroll!$K12,0))),0))</f>
        <v>0</v>
      </c>
      <c r="BO111" s="56">
        <f>IF(BO$2=Payroll!$I12,Payroll!$F12,IF(BO$2&gt;Payroll!$I12,Payroll!$F12*((1+Payroll!$J12)^(ROUNDDOWN(DATEDIF(Payroll!$I12,BO$2,"M")/Payroll!$K12,0))),0))</f>
        <v>0</v>
      </c>
      <c r="BP111" s="56">
        <f>IF(BP$2=Payroll!$I12,Payroll!$F12,IF(BP$2&gt;Payroll!$I12,Payroll!$F12*((1+Payroll!$J12)^(ROUNDDOWN(DATEDIF(Payroll!$I12,BP$2,"M")/Payroll!$K12,0))),0))</f>
        <v>0</v>
      </c>
      <c r="BQ111" s="56">
        <f>IF(BQ$2=Payroll!$I12,Payroll!$F12,IF(BQ$2&gt;Payroll!$I12,Payroll!$F12*((1+Payroll!$J12)^(ROUNDDOWN(DATEDIF(Payroll!$I12,BQ$2,"M")/Payroll!$K12,0))),0))</f>
        <v>0</v>
      </c>
      <c r="BR111" s="56">
        <f>IF(BR$2=Payroll!$I12,Payroll!$F12,IF(BR$2&gt;Payroll!$I12,Payroll!$F12*((1+Payroll!$J12)^(ROUNDDOWN(DATEDIF(Payroll!$I12,BR$2,"M")/Payroll!$K12,0))),0))</f>
        <v>0</v>
      </c>
      <c r="BS111" s="56">
        <f>IF(BS$2=Payroll!$I12,Payroll!$F12,IF(BS$2&gt;Payroll!$I12,Payroll!$F12*((1+Payroll!$J12)^(ROUNDDOWN(DATEDIF(Payroll!$I12,BS$2,"M")/Payroll!$K12,0))),0))</f>
        <v>0</v>
      </c>
      <c r="BT111" s="56">
        <f>IF(BT$2=Payroll!$I12,Payroll!$F12,IF(BT$2&gt;Payroll!$I12,Payroll!$F12*((1+Payroll!$J12)^(ROUNDDOWN(DATEDIF(Payroll!$I12,BT$2,"M")/Payroll!$K12,0))),0))</f>
        <v>0</v>
      </c>
      <c r="BU111" s="56">
        <f>IF(BU$2=Payroll!$I12,Payroll!$F12,IF(BU$2&gt;Payroll!$I12,Payroll!$F12*((1+Payroll!$J12)^(ROUNDDOWN(DATEDIF(Payroll!$I12,BU$2,"M")/Payroll!$K12,0))),0))</f>
        <v>0</v>
      </c>
      <c r="BV111" s="56">
        <f>IF(BV$2=Payroll!$I12,Payroll!$F12,IF(BV$2&gt;Payroll!$I12,Payroll!$F12*((1+Payroll!$J12)^(ROUNDDOWN(DATEDIF(Payroll!$I12,BV$2,"M")/Payroll!$K12,0))),0))</f>
        <v>0</v>
      </c>
      <c r="BW111" s="56">
        <f>IF(BW$2=Payroll!$I12,Payroll!$F12,IF(BW$2&gt;Payroll!$I12,Payroll!$F12*((1+Payroll!$J12)^(ROUNDDOWN(DATEDIF(Payroll!$I12,BW$2,"M")/Payroll!$K12,0))),0))</f>
        <v>0</v>
      </c>
      <c r="BX111" s="56">
        <f>IF(BX$2=Payroll!$I12,Payroll!$F12,IF(BX$2&gt;Payroll!$I12,Payroll!$F12*((1+Payroll!$J12)^(ROUNDDOWN(DATEDIF(Payroll!$I12,BX$2,"M")/Payroll!$K12,0))),0))</f>
        <v>0</v>
      </c>
      <c r="BY111" s="56">
        <f>IF(BY$2=Payroll!$I12,Payroll!$F12,IF(BY$2&gt;Payroll!$I12,Payroll!$F12*((1+Payroll!$J12)^(ROUNDDOWN(DATEDIF(Payroll!$I12,BY$2,"M")/Payroll!$K12,0))),0))</f>
        <v>0</v>
      </c>
      <c r="BZ111" s="56">
        <f>IF(BZ$2=Payroll!$I12,Payroll!$F12,IF(BZ$2&gt;Payroll!$I12,Payroll!$F12*((1+Payroll!$J12)^(ROUNDDOWN(DATEDIF(Payroll!$I12,BZ$2,"M")/Payroll!$K12,0))),0))</f>
        <v>0</v>
      </c>
      <c r="CA111" s="56">
        <f>IF(CA$2=Payroll!$I12,Payroll!$F12,IF(CA$2&gt;Payroll!$I12,Payroll!$F12*((1+Payroll!$J12)^(ROUNDDOWN(DATEDIF(Payroll!$I12,CA$2,"M")/Payroll!$K12,0))),0))</f>
        <v>0</v>
      </c>
      <c r="CB111" s="56">
        <f>IF(CB$2=Payroll!$I12,Payroll!$F12,IF(CB$2&gt;Payroll!$I12,Payroll!$F12*((1+Payroll!$J12)^(ROUNDDOWN(DATEDIF(Payroll!$I12,CB$2,"M")/Payroll!$K12,0))),0))</f>
        <v>0</v>
      </c>
      <c r="CC111" s="56">
        <f>IF(CC$2=Payroll!$I12,Payroll!$F12,IF(CC$2&gt;Payroll!$I12,Payroll!$F12*((1+Payroll!$J12)^(ROUNDDOWN(DATEDIF(Payroll!$I12,CC$2,"M")/Payroll!$K12,0))),0))</f>
        <v>0</v>
      </c>
      <c r="CD111" s="56">
        <f>IF(CD$2=Payroll!$I12,Payroll!$F12,IF(CD$2&gt;Payroll!$I12,Payroll!$F12*((1+Payroll!$J12)^(ROUNDDOWN(DATEDIF(Payroll!$I12,CD$2,"M")/Payroll!$K12,0))),0))</f>
        <v>0</v>
      </c>
      <c r="CE111" s="56">
        <f>IF(CE$2=Payroll!$I12,Payroll!$F12,IF(CE$2&gt;Payroll!$I12,Payroll!$F12*((1+Payroll!$J12)^(ROUNDDOWN(DATEDIF(Payroll!$I12,CE$2,"M")/Payroll!$K12,0))),0))</f>
        <v>0</v>
      </c>
      <c r="CF111" s="56">
        <f>IF(CF$2=Payroll!$I12,Payroll!$F12,IF(CF$2&gt;Payroll!$I12,Payroll!$F12*((1+Payroll!$J12)^(ROUNDDOWN(DATEDIF(Payroll!$I12,CF$2,"M")/Payroll!$K12,0))),0))</f>
        <v>0</v>
      </c>
      <c r="CG111" s="56">
        <f>IF(CG$2=Payroll!$I12,Payroll!$F12,IF(CG$2&gt;Payroll!$I12,Payroll!$F12*((1+Payroll!$J12)^(ROUNDDOWN(DATEDIF(Payroll!$I12,CG$2,"M")/Payroll!$K12,0))),0))</f>
        <v>0</v>
      </c>
      <c r="CH111" s="56">
        <f>IF(CH$2=Payroll!$I12,Payroll!$F12,IF(CH$2&gt;Payroll!$I12,Payroll!$F12*((1+Payroll!$J12)^(ROUNDDOWN(DATEDIF(Payroll!$I12,CH$2,"M")/Payroll!$K12,0))),0))</f>
        <v>0</v>
      </c>
      <c r="CI111" s="56">
        <f>IF(CI$2=Payroll!$I12,Payroll!$F12,IF(CI$2&gt;Payroll!$I12,Payroll!$F12*((1+Payroll!$J12)^(ROUNDDOWN(DATEDIF(Payroll!$I12,CI$2,"M")/Payroll!$K12,0))),0))</f>
        <v>0</v>
      </c>
      <c r="CJ111" s="56">
        <f>IF(CJ$2=Payroll!$I12,Payroll!$F12,IF(CJ$2&gt;Payroll!$I12,Payroll!$F12*((1+Payroll!$J12)^(ROUNDDOWN(DATEDIF(Payroll!$I12,CJ$2,"M")/Payroll!$K12,0))),0))</f>
        <v>0</v>
      </c>
      <c r="CK111" s="56">
        <f>IF(CK$2=Payroll!$I12,Payroll!$F12,IF(CK$2&gt;Payroll!$I12,Payroll!$F12*((1+Payroll!$J12)^(ROUNDDOWN(DATEDIF(Payroll!$I12,CK$2,"M")/Payroll!$K12,0))),0))</f>
        <v>0</v>
      </c>
      <c r="CL111" s="56">
        <f>IF(CL$2=Payroll!$I12,Payroll!$F12,IF(CL$2&gt;Payroll!$I12,Payroll!$F12*((1+Payroll!$J12)^(ROUNDDOWN(DATEDIF(Payroll!$I12,CL$2,"M")/Payroll!$K12,0))),0))</f>
        <v>0</v>
      </c>
      <c r="CM111" s="56">
        <f>IF(CM$2=Payroll!$I12,Payroll!$F12,IF(CM$2&gt;Payroll!$I12,Payroll!$F12*((1+Payroll!$J12)^(ROUNDDOWN(DATEDIF(Payroll!$I12,CM$2,"M")/Payroll!$K12,0))),0))</f>
        <v>0</v>
      </c>
      <c r="CN111" s="56">
        <f>IF(CN$2=Payroll!$I12,Payroll!$F12,IF(CN$2&gt;Payroll!$I12,Payroll!$F12*((1+Payroll!$J12)^(ROUNDDOWN(DATEDIF(Payroll!$I12,CN$2,"M")/Payroll!$K12,0))),0))</f>
        <v>0</v>
      </c>
      <c r="CO111" s="56">
        <f>IF(CO$2=Payroll!$I12,Payroll!$F12,IF(CO$2&gt;Payroll!$I12,Payroll!$F12*((1+Payroll!$J12)^(ROUNDDOWN(DATEDIF(Payroll!$I12,CO$2,"M")/Payroll!$K12,0))),0))</f>
        <v>0</v>
      </c>
      <c r="CP111" s="56">
        <f>IF(CP$2=Payroll!$I12,Payroll!$F12,IF(CP$2&gt;Payroll!$I12,Payroll!$F12*((1+Payroll!$J12)^(ROUNDDOWN(DATEDIF(Payroll!$I12,CP$2,"M")/Payroll!$K12,0))),0))</f>
        <v>0</v>
      </c>
      <c r="CQ111" s="56">
        <f>IF(CQ$2=Payroll!$I12,Payroll!$F12,IF(CQ$2&gt;Payroll!$I12,Payroll!$F12*((1+Payroll!$J12)^(ROUNDDOWN(DATEDIF(Payroll!$I12,CQ$2,"M")/Payroll!$K12,0))),0))</f>
        <v>0</v>
      </c>
      <c r="CR111" s="56">
        <f>IF(CR$2=Payroll!$I12,Payroll!$F12,IF(CR$2&gt;Payroll!$I12,Payroll!$F12*((1+Payroll!$J12)^(ROUNDDOWN(DATEDIF(Payroll!$I12,CR$2,"M")/Payroll!$K12,0))),0))</f>
        <v>0</v>
      </c>
      <c r="CS111" s="56">
        <f>IF(CS$2=Payroll!$I12,Payroll!$F12,IF(CS$2&gt;Payroll!$I12,Payroll!$F12*((1+Payroll!$J12)^(ROUNDDOWN(DATEDIF(Payroll!$I12,CS$2,"M")/Payroll!$K12,0))),0))</f>
        <v>0</v>
      </c>
      <c r="CT111" s="56">
        <f>IF(CT$2=Payroll!$I12,Payroll!$F12,IF(CT$2&gt;Payroll!$I12,Payroll!$F12*((1+Payroll!$J12)^(ROUNDDOWN(DATEDIF(Payroll!$I12,CT$2,"M")/Payroll!$K12,0))),0))</f>
        <v>0</v>
      </c>
      <c r="CU111" s="56">
        <f>IF(CU$2=Payroll!$I12,Payroll!$F12,IF(CU$2&gt;Payroll!$I12,Payroll!$F12*((1+Payroll!$J12)^(ROUNDDOWN(DATEDIF(Payroll!$I12,CU$2,"M")/Payroll!$K12,0))),0))</f>
        <v>0</v>
      </c>
      <c r="CV111" s="56">
        <f>IF(CV$2=Payroll!$I12,Payroll!$F12,IF(CV$2&gt;Payroll!$I12,Payroll!$F12*((1+Payroll!$J12)^(ROUNDDOWN(DATEDIF(Payroll!$I12,CV$2,"M")/Payroll!$K12,0))),0))</f>
        <v>0</v>
      </c>
      <c r="CW111" s="56">
        <f>IF(CW$2=Payroll!$I12,Payroll!$F12,IF(CW$2&gt;Payroll!$I12,Payroll!$F12*((1+Payroll!$J12)^(ROUNDDOWN(DATEDIF(Payroll!$I12,CW$2,"M")/Payroll!$K12,0))),0))</f>
        <v>0</v>
      </c>
      <c r="CX111" s="56">
        <f>IF(CX$2=Payroll!$I12,Payroll!$F12,IF(CX$2&gt;Payroll!$I12,Payroll!$F12*((1+Payroll!$J12)^(ROUNDDOWN(DATEDIF(Payroll!$I12,CX$2,"M")/Payroll!$K12,0))),0))</f>
        <v>0</v>
      </c>
    </row>
    <row r="112" ht="15.75" customHeight="1" outlineLevel="2">
      <c r="A112" s="56" t="str">
        <f>Payroll!A13</f>
        <v>Employee 3</v>
      </c>
      <c r="B112" s="56"/>
      <c r="C112" s="56"/>
      <c r="D112" s="56"/>
      <c r="E112" s="56">
        <f>IF(E$2=Payroll!$I13,Payroll!$F13,IF(E$2&gt;Payroll!$I13,Payroll!$F13*((1+Payroll!$J13)^(ROUNDDOWN(DATEDIF(Payroll!$I13,E$2,"M")/Payroll!$K13,0))),0))</f>
        <v>0</v>
      </c>
      <c r="F112" s="56">
        <f>IF(F$2=Payroll!$I13,Payroll!$F13,IF(F$2&gt;Payroll!$I13,Payroll!$F13*((1+Payroll!$J13)^(ROUNDDOWN(DATEDIF(Payroll!$I13,F$2,"M")/Payroll!$K13,0))),0))</f>
        <v>0</v>
      </c>
      <c r="G112" s="56">
        <f>IF(G$2=Payroll!$I13,Payroll!$F13,IF(G$2&gt;Payroll!$I13,Payroll!$F13*((1+Payroll!$J13)^(ROUNDDOWN(DATEDIF(Payroll!$I13,G$2,"M")/Payroll!$K13,0))),0))</f>
        <v>0</v>
      </c>
      <c r="H112" s="56">
        <f>IF(H$2=Payroll!$I13,Payroll!$F13,IF(H$2&gt;Payroll!$I13,Payroll!$F13*((1+Payroll!$J13)^(ROUNDDOWN(DATEDIF(Payroll!$I13,H$2,"M")/Payroll!$K13,0))),0))</f>
        <v>0</v>
      </c>
      <c r="I112" s="56">
        <f>IF(I$2=Payroll!$I13,Payroll!$F13,IF(I$2&gt;Payroll!$I13,Payroll!$F13*((1+Payroll!$J13)^(ROUNDDOWN(DATEDIF(Payroll!$I13,I$2,"M")/Payroll!$K13,0))),0))</f>
        <v>0</v>
      </c>
      <c r="J112" s="56">
        <f>IF(J$2=Payroll!$I13,Payroll!$F13,IF(J$2&gt;Payroll!$I13,Payroll!$F13*((1+Payroll!$J13)^(ROUNDDOWN(DATEDIF(Payroll!$I13,J$2,"M")/Payroll!$K13,0))),0))</f>
        <v>0</v>
      </c>
      <c r="K112" s="56">
        <f>IF(K$2=Payroll!$I13,Payroll!$F13,IF(K$2&gt;Payroll!$I13,Payroll!$F13*((1+Payroll!$J13)^(ROUNDDOWN(DATEDIF(Payroll!$I13,K$2,"M")/Payroll!$K13,0))),0))</f>
        <v>0</v>
      </c>
      <c r="L112" s="56">
        <f>IF(L$2=Payroll!$I13,Payroll!$F13,IF(L$2&gt;Payroll!$I13,Payroll!$F13*((1+Payroll!$J13)^(ROUNDDOWN(DATEDIF(Payroll!$I13,L$2,"M")/Payroll!$K13,0))),0))</f>
        <v>0</v>
      </c>
      <c r="M112" s="56">
        <f>IF(M$2=Payroll!$I13,Payroll!$F13,IF(M$2&gt;Payroll!$I13,Payroll!$F13*((1+Payroll!$J13)^(ROUNDDOWN(DATEDIF(Payroll!$I13,M$2,"M")/Payroll!$K13,0))),0))</f>
        <v>0</v>
      </c>
      <c r="N112" s="56">
        <f>IF(N$2=Payroll!$I13,Payroll!$F13,IF(N$2&gt;Payroll!$I13,Payroll!$F13*((1+Payroll!$J13)^(ROUNDDOWN(DATEDIF(Payroll!$I13,N$2,"M")/Payroll!$K13,0))),0))</f>
        <v>0</v>
      </c>
      <c r="O112" s="56">
        <f>IF(O$2=Payroll!$I13,Payroll!$F13,IF(O$2&gt;Payroll!$I13,Payroll!$F13*((1+Payroll!$J13)^(ROUNDDOWN(DATEDIF(Payroll!$I13,O$2,"M")/Payroll!$K13,0))),0))</f>
        <v>0</v>
      </c>
      <c r="P112" s="56">
        <f>IF(P$2=Payroll!$I13,Payroll!$F13,IF(P$2&gt;Payroll!$I13,Payroll!$F13*((1+Payroll!$J13)^(ROUNDDOWN(DATEDIF(Payroll!$I13,P$2,"M")/Payroll!$K13,0))),0))</f>
        <v>0</v>
      </c>
      <c r="Q112" s="56">
        <f>IF(Q$2=Payroll!$I13,Payroll!$F13,IF(Q$2&gt;Payroll!$I13,Payroll!$F13*((1+Payroll!$J13)^(ROUNDDOWN(DATEDIF(Payroll!$I13,Q$2,"M")/Payroll!$K13,0))),0))</f>
        <v>0</v>
      </c>
      <c r="R112" s="56">
        <f>IF(R$2=Payroll!$I13,Payroll!$F13,IF(R$2&gt;Payroll!$I13,Payroll!$F13*((1+Payroll!$J13)^(ROUNDDOWN(DATEDIF(Payroll!$I13,R$2,"M")/Payroll!$K13,0))),0))</f>
        <v>0</v>
      </c>
      <c r="S112" s="56">
        <f>IF(S$2=Payroll!$I13,Payroll!$F13,IF(S$2&gt;Payroll!$I13,Payroll!$F13*((1+Payroll!$J13)^(ROUNDDOWN(DATEDIF(Payroll!$I13,S$2,"M")/Payroll!$K13,0))),0))</f>
        <v>0</v>
      </c>
      <c r="T112" s="56">
        <f>IF(T$2=Payroll!$I13,Payroll!$F13,IF(T$2&gt;Payroll!$I13,Payroll!$F13*((1+Payroll!$J13)^(ROUNDDOWN(DATEDIF(Payroll!$I13,T$2,"M")/Payroll!$K13,0))),0))</f>
        <v>0</v>
      </c>
      <c r="U112" s="56">
        <f>IF(U$2=Payroll!$I13,Payroll!$F13,IF(U$2&gt;Payroll!$I13,Payroll!$F13*((1+Payroll!$J13)^(ROUNDDOWN(DATEDIF(Payroll!$I13,U$2,"M")/Payroll!$K13,0))),0))</f>
        <v>0</v>
      </c>
      <c r="V112" s="56">
        <f>IF(V$2=Payroll!$I13,Payroll!$F13,IF(V$2&gt;Payroll!$I13,Payroll!$F13*((1+Payroll!$J13)^(ROUNDDOWN(DATEDIF(Payroll!$I13,V$2,"M")/Payroll!$K13,0))),0))</f>
        <v>0</v>
      </c>
      <c r="W112" s="56">
        <f>IF(W$2=Payroll!$I13,Payroll!$F13,IF(W$2&gt;Payroll!$I13,Payroll!$F13*((1+Payroll!$J13)^(ROUNDDOWN(DATEDIF(Payroll!$I13,W$2,"M")/Payroll!$K13,0))),0))</f>
        <v>0</v>
      </c>
      <c r="X112" s="56">
        <f>IF(X$2=Payroll!$I13,Payroll!$F13,IF(X$2&gt;Payroll!$I13,Payroll!$F13*((1+Payroll!$J13)^(ROUNDDOWN(DATEDIF(Payroll!$I13,X$2,"M")/Payroll!$K13,0))),0))</f>
        <v>0</v>
      </c>
      <c r="Y112" s="56">
        <f>IF(Y$2=Payroll!$I13,Payroll!$F13,IF(Y$2&gt;Payroll!$I13,Payroll!$F13*((1+Payroll!$J13)^(ROUNDDOWN(DATEDIF(Payroll!$I13,Y$2,"M")/Payroll!$K13,0))),0))</f>
        <v>0</v>
      </c>
      <c r="Z112" s="56">
        <f>IF(Z$2=Payroll!$I13,Payroll!$F13,IF(Z$2&gt;Payroll!$I13,Payroll!$F13*((1+Payroll!$J13)^(ROUNDDOWN(DATEDIF(Payroll!$I13,Z$2,"M")/Payroll!$K13,0))),0))</f>
        <v>0</v>
      </c>
      <c r="AA112" s="56">
        <f>IF(AA$2=Payroll!$I13,Payroll!$F13,IF(AA$2&gt;Payroll!$I13,Payroll!$F13*((1+Payroll!$J13)^(ROUNDDOWN(DATEDIF(Payroll!$I13,AA$2,"M")/Payroll!$K13,0))),0))</f>
        <v>0</v>
      </c>
      <c r="AB112" s="56">
        <f>IF(AB$2=Payroll!$I13,Payroll!$F13,IF(AB$2&gt;Payroll!$I13,Payroll!$F13*((1+Payroll!$J13)^(ROUNDDOWN(DATEDIF(Payroll!$I13,AB$2,"M")/Payroll!$K13,0))),0))</f>
        <v>0</v>
      </c>
      <c r="AC112" s="56">
        <f>IF(AC$2=Payroll!$I13,Payroll!$F13,IF(AC$2&gt;Payroll!$I13,Payroll!$F13*((1+Payroll!$J13)^(ROUNDDOWN(DATEDIF(Payroll!$I13,AC$2,"M")/Payroll!$K13,0))),0))</f>
        <v>0</v>
      </c>
      <c r="AD112" s="56">
        <f>IF(AD$2=Payroll!$I13,Payroll!$F13,IF(AD$2&gt;Payroll!$I13,Payroll!$F13*((1+Payroll!$J13)^(ROUNDDOWN(DATEDIF(Payroll!$I13,AD$2,"M")/Payroll!$K13,0))),0))</f>
        <v>0</v>
      </c>
      <c r="AE112" s="56">
        <f>IF(AE$2=Payroll!$I13,Payroll!$F13,IF(AE$2&gt;Payroll!$I13,Payroll!$F13*((1+Payroll!$J13)^(ROUNDDOWN(DATEDIF(Payroll!$I13,AE$2,"M")/Payroll!$K13,0))),0))</f>
        <v>0</v>
      </c>
      <c r="AF112" s="56">
        <f>IF(AF$2=Payroll!$I13,Payroll!$F13,IF(AF$2&gt;Payroll!$I13,Payroll!$F13*((1+Payroll!$J13)^(ROUNDDOWN(DATEDIF(Payroll!$I13,AF$2,"M")/Payroll!$K13,0))),0))</f>
        <v>0</v>
      </c>
      <c r="AG112" s="56">
        <f>IF(AG$2=Payroll!$I13,Payroll!$F13,IF(AG$2&gt;Payroll!$I13,Payroll!$F13*((1+Payroll!$J13)^(ROUNDDOWN(DATEDIF(Payroll!$I13,AG$2,"M")/Payroll!$K13,0))),0))</f>
        <v>0</v>
      </c>
      <c r="AH112" s="56">
        <f>IF(AH$2=Payroll!$I13,Payroll!$F13,IF(AH$2&gt;Payroll!$I13,Payroll!$F13*((1+Payroll!$J13)^(ROUNDDOWN(DATEDIF(Payroll!$I13,AH$2,"M")/Payroll!$K13,0))),0))</f>
        <v>0</v>
      </c>
      <c r="AI112" s="56">
        <f>IF(AI$2=Payroll!$I13,Payroll!$F13,IF(AI$2&gt;Payroll!$I13,Payroll!$F13*((1+Payroll!$J13)^(ROUNDDOWN(DATEDIF(Payroll!$I13,AI$2,"M")/Payroll!$K13,0))),0))</f>
        <v>0</v>
      </c>
      <c r="AJ112" s="56">
        <f>IF(AJ$2=Payroll!$I13,Payroll!$F13,IF(AJ$2&gt;Payroll!$I13,Payroll!$F13*((1+Payroll!$J13)^(ROUNDDOWN(DATEDIF(Payroll!$I13,AJ$2,"M")/Payroll!$K13,0))),0))</f>
        <v>0</v>
      </c>
      <c r="AK112" s="56">
        <f>IF(AK$2=Payroll!$I13,Payroll!$F13,IF(AK$2&gt;Payroll!$I13,Payroll!$F13*((1+Payroll!$J13)^(ROUNDDOWN(DATEDIF(Payroll!$I13,AK$2,"M")/Payroll!$K13,0))),0))</f>
        <v>0</v>
      </c>
      <c r="AL112" s="56">
        <f>IF(AL$2=Payroll!$I13,Payroll!$F13,IF(AL$2&gt;Payroll!$I13,Payroll!$F13*((1+Payroll!$J13)^(ROUNDDOWN(DATEDIF(Payroll!$I13,AL$2,"M")/Payroll!$K13,0))),0))</f>
        <v>0</v>
      </c>
      <c r="AM112" s="56">
        <f>IF(AM$2=Payroll!$I13,Payroll!$F13,IF(AM$2&gt;Payroll!$I13,Payroll!$F13*((1+Payroll!$J13)^(ROUNDDOWN(DATEDIF(Payroll!$I13,AM$2,"M")/Payroll!$K13,0))),0))</f>
        <v>0</v>
      </c>
      <c r="AN112" s="56">
        <f>IF(AN$2=Payroll!$I13,Payroll!$F13,IF(AN$2&gt;Payroll!$I13,Payroll!$F13*((1+Payroll!$J13)^(ROUNDDOWN(DATEDIF(Payroll!$I13,AN$2,"M")/Payroll!$K13,0))),0))</f>
        <v>0</v>
      </c>
      <c r="AO112" s="56">
        <f>IF(AO$2=Payroll!$I13,Payroll!$F13,IF(AO$2&gt;Payroll!$I13,Payroll!$F13*((1+Payroll!$J13)^(ROUNDDOWN(DATEDIF(Payroll!$I13,AO$2,"M")/Payroll!$K13,0))),0))</f>
        <v>0</v>
      </c>
      <c r="AP112" s="56">
        <f>IF(AP$2=Payroll!$I13,Payroll!$F13,IF(AP$2&gt;Payroll!$I13,Payroll!$F13*((1+Payroll!$J13)^(ROUNDDOWN(DATEDIF(Payroll!$I13,AP$2,"M")/Payroll!$K13,0))),0))</f>
        <v>0</v>
      </c>
      <c r="AQ112" s="56">
        <f>IF(AQ$2=Payroll!$I13,Payroll!$F13,IF(AQ$2&gt;Payroll!$I13,Payroll!$F13*((1+Payroll!$J13)^(ROUNDDOWN(DATEDIF(Payroll!$I13,AQ$2,"M")/Payroll!$K13,0))),0))</f>
        <v>0</v>
      </c>
      <c r="AR112" s="56">
        <f>IF(AR$2=Payroll!$I13,Payroll!$F13,IF(AR$2&gt;Payroll!$I13,Payroll!$F13*((1+Payroll!$J13)^(ROUNDDOWN(DATEDIF(Payroll!$I13,AR$2,"M")/Payroll!$K13,0))),0))</f>
        <v>0</v>
      </c>
      <c r="AS112" s="56">
        <f>IF(AS$2=Payroll!$I13,Payroll!$F13,IF(AS$2&gt;Payroll!$I13,Payroll!$F13*((1+Payroll!$J13)^(ROUNDDOWN(DATEDIF(Payroll!$I13,AS$2,"M")/Payroll!$K13,0))),0))</f>
        <v>0</v>
      </c>
      <c r="AT112" s="56">
        <f>IF(AT$2=Payroll!$I13,Payroll!$F13,IF(AT$2&gt;Payroll!$I13,Payroll!$F13*((1+Payroll!$J13)^(ROUNDDOWN(DATEDIF(Payroll!$I13,AT$2,"M")/Payroll!$K13,0))),0))</f>
        <v>0</v>
      </c>
      <c r="AU112" s="56">
        <f>IF(AU$2=Payroll!$I13,Payroll!$F13,IF(AU$2&gt;Payroll!$I13,Payroll!$F13*((1+Payroll!$J13)^(ROUNDDOWN(DATEDIF(Payroll!$I13,AU$2,"M")/Payroll!$K13,0))),0))</f>
        <v>0</v>
      </c>
      <c r="AV112" s="56">
        <f>IF(AV$2=Payroll!$I13,Payroll!$F13,IF(AV$2&gt;Payroll!$I13,Payroll!$F13*((1+Payroll!$J13)^(ROUNDDOWN(DATEDIF(Payroll!$I13,AV$2,"M")/Payroll!$K13,0))),0))</f>
        <v>0</v>
      </c>
      <c r="AW112" s="56">
        <f>IF(AW$2=Payroll!$I13,Payroll!$F13,IF(AW$2&gt;Payroll!$I13,Payroll!$F13*((1+Payroll!$J13)^(ROUNDDOWN(DATEDIF(Payroll!$I13,AW$2,"M")/Payroll!$K13,0))),0))</f>
        <v>0</v>
      </c>
      <c r="AX112" s="56">
        <f>IF(AX$2=Payroll!$I13,Payroll!$F13,IF(AX$2&gt;Payroll!$I13,Payroll!$F13*((1+Payroll!$J13)^(ROUNDDOWN(DATEDIF(Payroll!$I13,AX$2,"M")/Payroll!$K13,0))),0))</f>
        <v>0</v>
      </c>
      <c r="AY112" s="56">
        <f>IF(AY$2=Payroll!$I13,Payroll!$F13,IF(AY$2&gt;Payroll!$I13,Payroll!$F13*((1+Payroll!$J13)^(ROUNDDOWN(DATEDIF(Payroll!$I13,AY$2,"M")/Payroll!$K13,0))),0))</f>
        <v>0</v>
      </c>
      <c r="AZ112" s="56">
        <f>IF(AZ$2=Payroll!$I13,Payroll!$F13,IF(AZ$2&gt;Payroll!$I13,Payroll!$F13*((1+Payroll!$J13)^(ROUNDDOWN(DATEDIF(Payroll!$I13,AZ$2,"M")/Payroll!$K13,0))),0))</f>
        <v>0</v>
      </c>
      <c r="BA112" s="56">
        <f>IF(BA$2=Payroll!$I13,Payroll!$F13,IF(BA$2&gt;Payroll!$I13,Payroll!$F13*((1+Payroll!$J13)^(ROUNDDOWN(DATEDIF(Payroll!$I13,BA$2,"M")/Payroll!$K13,0))),0))</f>
        <v>0</v>
      </c>
      <c r="BB112" s="56">
        <f>IF(BB$2=Payroll!$I13,Payroll!$F13,IF(BB$2&gt;Payroll!$I13,Payroll!$F13*((1+Payroll!$J13)^(ROUNDDOWN(DATEDIF(Payroll!$I13,BB$2,"M")/Payroll!$K13,0))),0))</f>
        <v>0</v>
      </c>
      <c r="BC112" s="56">
        <f>IF(BC$2=Payroll!$I13,Payroll!$F13,IF(BC$2&gt;Payroll!$I13,Payroll!$F13*((1+Payroll!$J13)^(ROUNDDOWN(DATEDIF(Payroll!$I13,BC$2,"M")/Payroll!$K13,0))),0))</f>
        <v>0</v>
      </c>
      <c r="BD112" s="56">
        <f>IF(BD$2=Payroll!$I13,Payroll!$F13,IF(BD$2&gt;Payroll!$I13,Payroll!$F13*((1+Payroll!$J13)^(ROUNDDOWN(DATEDIF(Payroll!$I13,BD$2,"M")/Payroll!$K13,0))),0))</f>
        <v>0</v>
      </c>
      <c r="BE112" s="56">
        <f>IF(BE$2=Payroll!$I13,Payroll!$F13,IF(BE$2&gt;Payroll!$I13,Payroll!$F13*((1+Payroll!$J13)^(ROUNDDOWN(DATEDIF(Payroll!$I13,BE$2,"M")/Payroll!$K13,0))),0))</f>
        <v>0</v>
      </c>
      <c r="BF112" s="56">
        <f>IF(BF$2=Payroll!$I13,Payroll!$F13,IF(BF$2&gt;Payroll!$I13,Payroll!$F13*((1+Payroll!$J13)^(ROUNDDOWN(DATEDIF(Payroll!$I13,BF$2,"M")/Payroll!$K13,0))),0))</f>
        <v>0</v>
      </c>
      <c r="BG112" s="56">
        <f>IF(BG$2=Payroll!$I13,Payroll!$F13,IF(BG$2&gt;Payroll!$I13,Payroll!$F13*((1+Payroll!$J13)^(ROUNDDOWN(DATEDIF(Payroll!$I13,BG$2,"M")/Payroll!$K13,0))),0))</f>
        <v>0</v>
      </c>
      <c r="BH112" s="56">
        <f>IF(BH$2=Payroll!$I13,Payroll!$F13,IF(BH$2&gt;Payroll!$I13,Payroll!$F13*((1+Payroll!$J13)^(ROUNDDOWN(DATEDIF(Payroll!$I13,BH$2,"M")/Payroll!$K13,0))),0))</f>
        <v>0</v>
      </c>
      <c r="BI112" s="56">
        <f>IF(BI$2=Payroll!$I13,Payroll!$F13,IF(BI$2&gt;Payroll!$I13,Payroll!$F13*((1+Payroll!$J13)^(ROUNDDOWN(DATEDIF(Payroll!$I13,BI$2,"M")/Payroll!$K13,0))),0))</f>
        <v>0</v>
      </c>
      <c r="BJ112" s="56">
        <f>IF(BJ$2=Payroll!$I13,Payroll!$F13,IF(BJ$2&gt;Payroll!$I13,Payroll!$F13*((1+Payroll!$J13)^(ROUNDDOWN(DATEDIF(Payroll!$I13,BJ$2,"M")/Payroll!$K13,0))),0))</f>
        <v>0</v>
      </c>
      <c r="BK112" s="56">
        <f>IF(BK$2=Payroll!$I13,Payroll!$F13,IF(BK$2&gt;Payroll!$I13,Payroll!$F13*((1+Payroll!$J13)^(ROUNDDOWN(DATEDIF(Payroll!$I13,BK$2,"M")/Payroll!$K13,0))),0))</f>
        <v>0</v>
      </c>
      <c r="BL112" s="56">
        <f>IF(BL$2=Payroll!$I13,Payroll!$F13,IF(BL$2&gt;Payroll!$I13,Payroll!$F13*((1+Payroll!$J13)^(ROUNDDOWN(DATEDIF(Payroll!$I13,BL$2,"M")/Payroll!$K13,0))),0))</f>
        <v>0</v>
      </c>
      <c r="BM112" s="56">
        <f>IF(BM$2=Payroll!$I13,Payroll!$F13,IF(BM$2&gt;Payroll!$I13,Payroll!$F13*((1+Payroll!$J13)^(ROUNDDOWN(DATEDIF(Payroll!$I13,BM$2,"M")/Payroll!$K13,0))),0))</f>
        <v>0</v>
      </c>
      <c r="BN112" s="56">
        <f>IF(BN$2=Payroll!$I13,Payroll!$F13,IF(BN$2&gt;Payroll!$I13,Payroll!$F13*((1+Payroll!$J13)^(ROUNDDOWN(DATEDIF(Payroll!$I13,BN$2,"M")/Payroll!$K13,0))),0))</f>
        <v>0</v>
      </c>
      <c r="BO112" s="56">
        <f>IF(BO$2=Payroll!$I13,Payroll!$F13,IF(BO$2&gt;Payroll!$I13,Payroll!$F13*((1+Payroll!$J13)^(ROUNDDOWN(DATEDIF(Payroll!$I13,BO$2,"M")/Payroll!$K13,0))),0))</f>
        <v>0</v>
      </c>
      <c r="BP112" s="56">
        <f>IF(BP$2=Payroll!$I13,Payroll!$F13,IF(BP$2&gt;Payroll!$I13,Payroll!$F13*((1+Payroll!$J13)^(ROUNDDOWN(DATEDIF(Payroll!$I13,BP$2,"M")/Payroll!$K13,0))),0))</f>
        <v>0</v>
      </c>
      <c r="BQ112" s="56">
        <f>IF(BQ$2=Payroll!$I13,Payroll!$F13,IF(BQ$2&gt;Payroll!$I13,Payroll!$F13*((1+Payroll!$J13)^(ROUNDDOWN(DATEDIF(Payroll!$I13,BQ$2,"M")/Payroll!$K13,0))),0))</f>
        <v>0</v>
      </c>
      <c r="BR112" s="56">
        <f>IF(BR$2=Payroll!$I13,Payroll!$F13,IF(BR$2&gt;Payroll!$I13,Payroll!$F13*((1+Payroll!$J13)^(ROUNDDOWN(DATEDIF(Payroll!$I13,BR$2,"M")/Payroll!$K13,0))),0))</f>
        <v>0</v>
      </c>
      <c r="BS112" s="56">
        <f>IF(BS$2=Payroll!$I13,Payroll!$F13,IF(BS$2&gt;Payroll!$I13,Payroll!$F13*((1+Payroll!$J13)^(ROUNDDOWN(DATEDIF(Payroll!$I13,BS$2,"M")/Payroll!$K13,0))),0))</f>
        <v>0</v>
      </c>
      <c r="BT112" s="56">
        <f>IF(BT$2=Payroll!$I13,Payroll!$F13,IF(BT$2&gt;Payroll!$I13,Payroll!$F13*((1+Payroll!$J13)^(ROUNDDOWN(DATEDIF(Payroll!$I13,BT$2,"M")/Payroll!$K13,0))),0))</f>
        <v>0</v>
      </c>
      <c r="BU112" s="56">
        <f>IF(BU$2=Payroll!$I13,Payroll!$F13,IF(BU$2&gt;Payroll!$I13,Payroll!$F13*((1+Payroll!$J13)^(ROUNDDOWN(DATEDIF(Payroll!$I13,BU$2,"M")/Payroll!$K13,0))),0))</f>
        <v>0</v>
      </c>
      <c r="BV112" s="56">
        <f>IF(BV$2=Payroll!$I13,Payroll!$F13,IF(BV$2&gt;Payroll!$I13,Payroll!$F13*((1+Payroll!$J13)^(ROUNDDOWN(DATEDIF(Payroll!$I13,BV$2,"M")/Payroll!$K13,0))),0))</f>
        <v>0</v>
      </c>
      <c r="BW112" s="56">
        <f>IF(BW$2=Payroll!$I13,Payroll!$F13,IF(BW$2&gt;Payroll!$I13,Payroll!$F13*((1+Payroll!$J13)^(ROUNDDOWN(DATEDIF(Payroll!$I13,BW$2,"M")/Payroll!$K13,0))),0))</f>
        <v>0</v>
      </c>
      <c r="BX112" s="56">
        <f>IF(BX$2=Payroll!$I13,Payroll!$F13,IF(BX$2&gt;Payroll!$I13,Payroll!$F13*((1+Payroll!$J13)^(ROUNDDOWN(DATEDIF(Payroll!$I13,BX$2,"M")/Payroll!$K13,0))),0))</f>
        <v>0</v>
      </c>
      <c r="BY112" s="56">
        <f>IF(BY$2=Payroll!$I13,Payroll!$F13,IF(BY$2&gt;Payroll!$I13,Payroll!$F13*((1+Payroll!$J13)^(ROUNDDOWN(DATEDIF(Payroll!$I13,BY$2,"M")/Payroll!$K13,0))),0))</f>
        <v>0</v>
      </c>
      <c r="BZ112" s="56">
        <f>IF(BZ$2=Payroll!$I13,Payroll!$F13,IF(BZ$2&gt;Payroll!$I13,Payroll!$F13*((1+Payroll!$J13)^(ROUNDDOWN(DATEDIF(Payroll!$I13,BZ$2,"M")/Payroll!$K13,0))),0))</f>
        <v>0</v>
      </c>
      <c r="CA112" s="56">
        <f>IF(CA$2=Payroll!$I13,Payroll!$F13,IF(CA$2&gt;Payroll!$I13,Payroll!$F13*((1+Payroll!$J13)^(ROUNDDOWN(DATEDIF(Payroll!$I13,CA$2,"M")/Payroll!$K13,0))),0))</f>
        <v>0</v>
      </c>
      <c r="CB112" s="56">
        <f>IF(CB$2=Payroll!$I13,Payroll!$F13,IF(CB$2&gt;Payroll!$I13,Payroll!$F13*((1+Payroll!$J13)^(ROUNDDOWN(DATEDIF(Payroll!$I13,CB$2,"M")/Payroll!$K13,0))),0))</f>
        <v>0</v>
      </c>
      <c r="CC112" s="56">
        <f>IF(CC$2=Payroll!$I13,Payroll!$F13,IF(CC$2&gt;Payroll!$I13,Payroll!$F13*((1+Payroll!$J13)^(ROUNDDOWN(DATEDIF(Payroll!$I13,CC$2,"M")/Payroll!$K13,0))),0))</f>
        <v>0</v>
      </c>
      <c r="CD112" s="56">
        <f>IF(CD$2=Payroll!$I13,Payroll!$F13,IF(CD$2&gt;Payroll!$I13,Payroll!$F13*((1+Payroll!$J13)^(ROUNDDOWN(DATEDIF(Payroll!$I13,CD$2,"M")/Payroll!$K13,0))),0))</f>
        <v>0</v>
      </c>
      <c r="CE112" s="56">
        <f>IF(CE$2=Payroll!$I13,Payroll!$F13,IF(CE$2&gt;Payroll!$I13,Payroll!$F13*((1+Payroll!$J13)^(ROUNDDOWN(DATEDIF(Payroll!$I13,CE$2,"M")/Payroll!$K13,0))),0))</f>
        <v>0</v>
      </c>
      <c r="CF112" s="56">
        <f>IF(CF$2=Payroll!$I13,Payroll!$F13,IF(CF$2&gt;Payroll!$I13,Payroll!$F13*((1+Payroll!$J13)^(ROUNDDOWN(DATEDIF(Payroll!$I13,CF$2,"M")/Payroll!$K13,0))),0))</f>
        <v>0</v>
      </c>
      <c r="CG112" s="56">
        <f>IF(CG$2=Payroll!$I13,Payroll!$F13,IF(CG$2&gt;Payroll!$I13,Payroll!$F13*((1+Payroll!$J13)^(ROUNDDOWN(DATEDIF(Payroll!$I13,CG$2,"M")/Payroll!$K13,0))),0))</f>
        <v>0</v>
      </c>
      <c r="CH112" s="56">
        <f>IF(CH$2=Payroll!$I13,Payroll!$F13,IF(CH$2&gt;Payroll!$I13,Payroll!$F13*((1+Payroll!$J13)^(ROUNDDOWN(DATEDIF(Payroll!$I13,CH$2,"M")/Payroll!$K13,0))),0))</f>
        <v>0</v>
      </c>
      <c r="CI112" s="56">
        <f>IF(CI$2=Payroll!$I13,Payroll!$F13,IF(CI$2&gt;Payroll!$I13,Payroll!$F13*((1+Payroll!$J13)^(ROUNDDOWN(DATEDIF(Payroll!$I13,CI$2,"M")/Payroll!$K13,0))),0))</f>
        <v>0</v>
      </c>
      <c r="CJ112" s="56">
        <f>IF(CJ$2=Payroll!$I13,Payroll!$F13,IF(CJ$2&gt;Payroll!$I13,Payroll!$F13*((1+Payroll!$J13)^(ROUNDDOWN(DATEDIF(Payroll!$I13,CJ$2,"M")/Payroll!$K13,0))),0))</f>
        <v>0</v>
      </c>
      <c r="CK112" s="56">
        <f>IF(CK$2=Payroll!$I13,Payroll!$F13,IF(CK$2&gt;Payroll!$I13,Payroll!$F13*((1+Payroll!$J13)^(ROUNDDOWN(DATEDIF(Payroll!$I13,CK$2,"M")/Payroll!$K13,0))),0))</f>
        <v>0</v>
      </c>
      <c r="CL112" s="56">
        <f>IF(CL$2=Payroll!$I13,Payroll!$F13,IF(CL$2&gt;Payroll!$I13,Payroll!$F13*((1+Payroll!$J13)^(ROUNDDOWN(DATEDIF(Payroll!$I13,CL$2,"M")/Payroll!$K13,0))),0))</f>
        <v>0</v>
      </c>
      <c r="CM112" s="56">
        <f>IF(CM$2=Payroll!$I13,Payroll!$F13,IF(CM$2&gt;Payroll!$I13,Payroll!$F13*((1+Payroll!$J13)^(ROUNDDOWN(DATEDIF(Payroll!$I13,CM$2,"M")/Payroll!$K13,0))),0))</f>
        <v>0</v>
      </c>
      <c r="CN112" s="56">
        <f>IF(CN$2=Payroll!$I13,Payroll!$F13,IF(CN$2&gt;Payroll!$I13,Payroll!$F13*((1+Payroll!$J13)^(ROUNDDOWN(DATEDIF(Payroll!$I13,CN$2,"M")/Payroll!$K13,0))),0))</f>
        <v>0</v>
      </c>
      <c r="CO112" s="56">
        <f>IF(CO$2=Payroll!$I13,Payroll!$F13,IF(CO$2&gt;Payroll!$I13,Payroll!$F13*((1+Payroll!$J13)^(ROUNDDOWN(DATEDIF(Payroll!$I13,CO$2,"M")/Payroll!$K13,0))),0))</f>
        <v>0</v>
      </c>
      <c r="CP112" s="56">
        <f>IF(CP$2=Payroll!$I13,Payroll!$F13,IF(CP$2&gt;Payroll!$I13,Payroll!$F13*((1+Payroll!$J13)^(ROUNDDOWN(DATEDIF(Payroll!$I13,CP$2,"M")/Payroll!$K13,0))),0))</f>
        <v>0</v>
      </c>
      <c r="CQ112" s="56">
        <f>IF(CQ$2=Payroll!$I13,Payroll!$F13,IF(CQ$2&gt;Payroll!$I13,Payroll!$F13*((1+Payroll!$J13)^(ROUNDDOWN(DATEDIF(Payroll!$I13,CQ$2,"M")/Payroll!$K13,0))),0))</f>
        <v>0</v>
      </c>
      <c r="CR112" s="56">
        <f>IF(CR$2=Payroll!$I13,Payroll!$F13,IF(CR$2&gt;Payroll!$I13,Payroll!$F13*((1+Payroll!$J13)^(ROUNDDOWN(DATEDIF(Payroll!$I13,CR$2,"M")/Payroll!$K13,0))),0))</f>
        <v>0</v>
      </c>
      <c r="CS112" s="56">
        <f>IF(CS$2=Payroll!$I13,Payroll!$F13,IF(CS$2&gt;Payroll!$I13,Payroll!$F13*((1+Payroll!$J13)^(ROUNDDOWN(DATEDIF(Payroll!$I13,CS$2,"M")/Payroll!$K13,0))),0))</f>
        <v>0</v>
      </c>
      <c r="CT112" s="56">
        <f>IF(CT$2=Payroll!$I13,Payroll!$F13,IF(CT$2&gt;Payroll!$I13,Payroll!$F13*((1+Payroll!$J13)^(ROUNDDOWN(DATEDIF(Payroll!$I13,CT$2,"M")/Payroll!$K13,0))),0))</f>
        <v>0</v>
      </c>
      <c r="CU112" s="56">
        <f>IF(CU$2=Payroll!$I13,Payroll!$F13,IF(CU$2&gt;Payroll!$I13,Payroll!$F13*((1+Payroll!$J13)^(ROUNDDOWN(DATEDIF(Payroll!$I13,CU$2,"M")/Payroll!$K13,0))),0))</f>
        <v>0</v>
      </c>
      <c r="CV112" s="56">
        <f>IF(CV$2=Payroll!$I13,Payroll!$F13,IF(CV$2&gt;Payroll!$I13,Payroll!$F13*((1+Payroll!$J13)^(ROUNDDOWN(DATEDIF(Payroll!$I13,CV$2,"M")/Payroll!$K13,0))),0))</f>
        <v>0</v>
      </c>
      <c r="CW112" s="56">
        <f>IF(CW$2=Payroll!$I13,Payroll!$F13,IF(CW$2&gt;Payroll!$I13,Payroll!$F13*((1+Payroll!$J13)^(ROUNDDOWN(DATEDIF(Payroll!$I13,CW$2,"M")/Payroll!$K13,0))),0))</f>
        <v>0</v>
      </c>
      <c r="CX112" s="56">
        <f>IF(CX$2=Payroll!$I13,Payroll!$F13,IF(CX$2&gt;Payroll!$I13,Payroll!$F13*((1+Payroll!$J13)^(ROUNDDOWN(DATEDIF(Payroll!$I13,CX$2,"M")/Payroll!$K13,0))),0))</f>
        <v>0</v>
      </c>
    </row>
    <row r="113" ht="15.75" customHeight="1" outlineLevel="2">
      <c r="A113" s="56" t="str">
        <f>Payroll!A14</f>
        <v>Employee 4</v>
      </c>
      <c r="B113" s="56"/>
      <c r="C113" s="56"/>
      <c r="D113" s="56"/>
      <c r="E113" s="56">
        <f>IF(E$2=Payroll!$I14,Payroll!$F14,IF(E$2&gt;Payroll!$I14,Payroll!$F14*((1+Payroll!$J14)^(ROUNDDOWN(DATEDIF(Payroll!$I14,E$2,"M")/Payroll!$K14,0))),0))</f>
        <v>0</v>
      </c>
      <c r="F113" s="56">
        <f>IF(F$2=Payroll!$I14,Payroll!$F14,IF(F$2&gt;Payroll!$I14,Payroll!$F14*((1+Payroll!$J14)^(ROUNDDOWN(DATEDIF(Payroll!$I14,F$2,"M")/Payroll!$K14,0))),0))</f>
        <v>0</v>
      </c>
      <c r="G113" s="56">
        <f>IF(G$2=Payroll!$I14,Payroll!$F14,IF(G$2&gt;Payroll!$I14,Payroll!$F14*((1+Payroll!$J14)^(ROUNDDOWN(DATEDIF(Payroll!$I14,G$2,"M")/Payroll!$K14,0))),0))</f>
        <v>0</v>
      </c>
      <c r="H113" s="56">
        <f>IF(H$2=Payroll!$I14,Payroll!$F14,IF(H$2&gt;Payroll!$I14,Payroll!$F14*((1+Payroll!$J14)^(ROUNDDOWN(DATEDIF(Payroll!$I14,H$2,"M")/Payroll!$K14,0))),0))</f>
        <v>0</v>
      </c>
      <c r="I113" s="56">
        <f>IF(I$2=Payroll!$I14,Payroll!$F14,IF(I$2&gt;Payroll!$I14,Payroll!$F14*((1+Payroll!$J14)^(ROUNDDOWN(DATEDIF(Payroll!$I14,I$2,"M")/Payroll!$K14,0))),0))</f>
        <v>0</v>
      </c>
      <c r="J113" s="56">
        <f>IF(J$2=Payroll!$I14,Payroll!$F14,IF(J$2&gt;Payroll!$I14,Payroll!$F14*((1+Payroll!$J14)^(ROUNDDOWN(DATEDIF(Payroll!$I14,J$2,"M")/Payroll!$K14,0))),0))</f>
        <v>0</v>
      </c>
      <c r="K113" s="56">
        <f>IF(K$2=Payroll!$I14,Payroll!$F14,IF(K$2&gt;Payroll!$I14,Payroll!$F14*((1+Payroll!$J14)^(ROUNDDOWN(DATEDIF(Payroll!$I14,K$2,"M")/Payroll!$K14,0))),0))</f>
        <v>0</v>
      </c>
      <c r="L113" s="56">
        <f>IF(L$2=Payroll!$I14,Payroll!$F14,IF(L$2&gt;Payroll!$I14,Payroll!$F14*((1+Payroll!$J14)^(ROUNDDOWN(DATEDIF(Payroll!$I14,L$2,"M")/Payroll!$K14,0))),0))</f>
        <v>0</v>
      </c>
      <c r="M113" s="56">
        <f>IF(M$2=Payroll!$I14,Payroll!$F14,IF(M$2&gt;Payroll!$I14,Payroll!$F14*((1+Payroll!$J14)^(ROUNDDOWN(DATEDIF(Payroll!$I14,M$2,"M")/Payroll!$K14,0))),0))</f>
        <v>0</v>
      </c>
      <c r="N113" s="56">
        <f>IF(N$2=Payroll!$I14,Payroll!$F14,IF(N$2&gt;Payroll!$I14,Payroll!$F14*((1+Payroll!$J14)^(ROUNDDOWN(DATEDIF(Payroll!$I14,N$2,"M")/Payroll!$K14,0))),0))</f>
        <v>0</v>
      </c>
      <c r="O113" s="56">
        <f>IF(O$2=Payroll!$I14,Payroll!$F14,IF(O$2&gt;Payroll!$I14,Payroll!$F14*((1+Payroll!$J14)^(ROUNDDOWN(DATEDIF(Payroll!$I14,O$2,"M")/Payroll!$K14,0))),0))</f>
        <v>0</v>
      </c>
      <c r="P113" s="56">
        <f>IF(P$2=Payroll!$I14,Payroll!$F14,IF(P$2&gt;Payroll!$I14,Payroll!$F14*((1+Payroll!$J14)^(ROUNDDOWN(DATEDIF(Payroll!$I14,P$2,"M")/Payroll!$K14,0))),0))</f>
        <v>0</v>
      </c>
      <c r="Q113" s="56">
        <f>IF(Q$2=Payroll!$I14,Payroll!$F14,IF(Q$2&gt;Payroll!$I14,Payroll!$F14*((1+Payroll!$J14)^(ROUNDDOWN(DATEDIF(Payroll!$I14,Q$2,"M")/Payroll!$K14,0))),0))</f>
        <v>0</v>
      </c>
      <c r="R113" s="56">
        <f>IF(R$2=Payroll!$I14,Payroll!$F14,IF(R$2&gt;Payroll!$I14,Payroll!$F14*((1+Payroll!$J14)^(ROUNDDOWN(DATEDIF(Payroll!$I14,R$2,"M")/Payroll!$K14,0))),0))</f>
        <v>0</v>
      </c>
      <c r="S113" s="56">
        <f>IF(S$2=Payroll!$I14,Payroll!$F14,IF(S$2&gt;Payroll!$I14,Payroll!$F14*((1+Payroll!$J14)^(ROUNDDOWN(DATEDIF(Payroll!$I14,S$2,"M")/Payroll!$K14,0))),0))</f>
        <v>0</v>
      </c>
      <c r="T113" s="56">
        <f>IF(T$2=Payroll!$I14,Payroll!$F14,IF(T$2&gt;Payroll!$I14,Payroll!$F14*((1+Payroll!$J14)^(ROUNDDOWN(DATEDIF(Payroll!$I14,T$2,"M")/Payroll!$K14,0))),0))</f>
        <v>0</v>
      </c>
      <c r="U113" s="56">
        <f>IF(U$2=Payroll!$I14,Payroll!$F14,IF(U$2&gt;Payroll!$I14,Payroll!$F14*((1+Payroll!$J14)^(ROUNDDOWN(DATEDIF(Payroll!$I14,U$2,"M")/Payroll!$K14,0))),0))</f>
        <v>0</v>
      </c>
      <c r="V113" s="56">
        <f>IF(V$2=Payroll!$I14,Payroll!$F14,IF(V$2&gt;Payroll!$I14,Payroll!$F14*((1+Payroll!$J14)^(ROUNDDOWN(DATEDIF(Payroll!$I14,V$2,"M")/Payroll!$K14,0))),0))</f>
        <v>0</v>
      </c>
      <c r="W113" s="56">
        <f>IF(W$2=Payroll!$I14,Payroll!$F14,IF(W$2&gt;Payroll!$I14,Payroll!$F14*((1+Payroll!$J14)^(ROUNDDOWN(DATEDIF(Payroll!$I14,W$2,"M")/Payroll!$K14,0))),0))</f>
        <v>0</v>
      </c>
      <c r="X113" s="56">
        <f>IF(X$2=Payroll!$I14,Payroll!$F14,IF(X$2&gt;Payroll!$I14,Payroll!$F14*((1+Payroll!$J14)^(ROUNDDOWN(DATEDIF(Payroll!$I14,X$2,"M")/Payroll!$K14,0))),0))</f>
        <v>0</v>
      </c>
      <c r="Y113" s="56">
        <f>IF(Y$2=Payroll!$I14,Payroll!$F14,IF(Y$2&gt;Payroll!$I14,Payroll!$F14*((1+Payroll!$J14)^(ROUNDDOWN(DATEDIF(Payroll!$I14,Y$2,"M")/Payroll!$K14,0))),0))</f>
        <v>0</v>
      </c>
      <c r="Z113" s="56">
        <f>IF(Z$2=Payroll!$I14,Payroll!$F14,IF(Z$2&gt;Payroll!$I14,Payroll!$F14*((1+Payroll!$J14)^(ROUNDDOWN(DATEDIF(Payroll!$I14,Z$2,"M")/Payroll!$K14,0))),0))</f>
        <v>0</v>
      </c>
      <c r="AA113" s="56">
        <f>IF(AA$2=Payroll!$I14,Payroll!$F14,IF(AA$2&gt;Payroll!$I14,Payroll!$F14*((1+Payroll!$J14)^(ROUNDDOWN(DATEDIF(Payroll!$I14,AA$2,"M")/Payroll!$K14,0))),0))</f>
        <v>0</v>
      </c>
      <c r="AB113" s="56">
        <f>IF(AB$2=Payroll!$I14,Payroll!$F14,IF(AB$2&gt;Payroll!$I14,Payroll!$F14*((1+Payroll!$J14)^(ROUNDDOWN(DATEDIF(Payroll!$I14,AB$2,"M")/Payroll!$K14,0))),0))</f>
        <v>0</v>
      </c>
      <c r="AC113" s="56">
        <f>IF(AC$2=Payroll!$I14,Payroll!$F14,IF(AC$2&gt;Payroll!$I14,Payroll!$F14*((1+Payroll!$J14)^(ROUNDDOWN(DATEDIF(Payroll!$I14,AC$2,"M")/Payroll!$K14,0))),0))</f>
        <v>0</v>
      </c>
      <c r="AD113" s="56">
        <f>IF(AD$2=Payroll!$I14,Payroll!$F14,IF(AD$2&gt;Payroll!$I14,Payroll!$F14*((1+Payroll!$J14)^(ROUNDDOWN(DATEDIF(Payroll!$I14,AD$2,"M")/Payroll!$K14,0))),0))</f>
        <v>0</v>
      </c>
      <c r="AE113" s="56">
        <f>IF(AE$2=Payroll!$I14,Payroll!$F14,IF(AE$2&gt;Payroll!$I14,Payroll!$F14*((1+Payroll!$J14)^(ROUNDDOWN(DATEDIF(Payroll!$I14,AE$2,"M")/Payroll!$K14,0))),0))</f>
        <v>0</v>
      </c>
      <c r="AF113" s="56">
        <f>IF(AF$2=Payroll!$I14,Payroll!$F14,IF(AF$2&gt;Payroll!$I14,Payroll!$F14*((1+Payroll!$J14)^(ROUNDDOWN(DATEDIF(Payroll!$I14,AF$2,"M")/Payroll!$K14,0))),0))</f>
        <v>0</v>
      </c>
      <c r="AG113" s="56">
        <f>IF(AG$2=Payroll!$I14,Payroll!$F14,IF(AG$2&gt;Payroll!$I14,Payroll!$F14*((1+Payroll!$J14)^(ROUNDDOWN(DATEDIF(Payroll!$I14,AG$2,"M")/Payroll!$K14,0))),0))</f>
        <v>0</v>
      </c>
      <c r="AH113" s="56">
        <f>IF(AH$2=Payroll!$I14,Payroll!$F14,IF(AH$2&gt;Payroll!$I14,Payroll!$F14*((1+Payroll!$J14)^(ROUNDDOWN(DATEDIF(Payroll!$I14,AH$2,"M")/Payroll!$K14,0))),0))</f>
        <v>0</v>
      </c>
      <c r="AI113" s="56">
        <f>IF(AI$2=Payroll!$I14,Payroll!$F14,IF(AI$2&gt;Payroll!$I14,Payroll!$F14*((1+Payroll!$J14)^(ROUNDDOWN(DATEDIF(Payroll!$I14,AI$2,"M")/Payroll!$K14,0))),0))</f>
        <v>0</v>
      </c>
      <c r="AJ113" s="56">
        <f>IF(AJ$2=Payroll!$I14,Payroll!$F14,IF(AJ$2&gt;Payroll!$I14,Payroll!$F14*((1+Payroll!$J14)^(ROUNDDOWN(DATEDIF(Payroll!$I14,AJ$2,"M")/Payroll!$K14,0))),0))</f>
        <v>0</v>
      </c>
      <c r="AK113" s="56">
        <f>IF(AK$2=Payroll!$I14,Payroll!$F14,IF(AK$2&gt;Payroll!$I14,Payroll!$F14*((1+Payroll!$J14)^(ROUNDDOWN(DATEDIF(Payroll!$I14,AK$2,"M")/Payroll!$K14,0))),0))</f>
        <v>0</v>
      </c>
      <c r="AL113" s="56">
        <f>IF(AL$2=Payroll!$I14,Payroll!$F14,IF(AL$2&gt;Payroll!$I14,Payroll!$F14*((1+Payroll!$J14)^(ROUNDDOWN(DATEDIF(Payroll!$I14,AL$2,"M")/Payroll!$K14,0))),0))</f>
        <v>0</v>
      </c>
      <c r="AM113" s="56">
        <f>IF(AM$2=Payroll!$I14,Payroll!$F14,IF(AM$2&gt;Payroll!$I14,Payroll!$F14*((1+Payroll!$J14)^(ROUNDDOWN(DATEDIF(Payroll!$I14,AM$2,"M")/Payroll!$K14,0))),0))</f>
        <v>0</v>
      </c>
      <c r="AN113" s="56">
        <f>IF(AN$2=Payroll!$I14,Payroll!$F14,IF(AN$2&gt;Payroll!$I14,Payroll!$F14*((1+Payroll!$J14)^(ROUNDDOWN(DATEDIF(Payroll!$I14,AN$2,"M")/Payroll!$K14,0))),0))</f>
        <v>0</v>
      </c>
      <c r="AO113" s="56">
        <f>IF(AO$2=Payroll!$I14,Payroll!$F14,IF(AO$2&gt;Payroll!$I14,Payroll!$F14*((1+Payroll!$J14)^(ROUNDDOWN(DATEDIF(Payroll!$I14,AO$2,"M")/Payroll!$K14,0))),0))</f>
        <v>0</v>
      </c>
      <c r="AP113" s="56">
        <f>IF(AP$2=Payroll!$I14,Payroll!$F14,IF(AP$2&gt;Payroll!$I14,Payroll!$F14*((1+Payroll!$J14)^(ROUNDDOWN(DATEDIF(Payroll!$I14,AP$2,"M")/Payroll!$K14,0))),0))</f>
        <v>0</v>
      </c>
      <c r="AQ113" s="56">
        <f>IF(AQ$2=Payroll!$I14,Payroll!$F14,IF(AQ$2&gt;Payroll!$I14,Payroll!$F14*((1+Payroll!$J14)^(ROUNDDOWN(DATEDIF(Payroll!$I14,AQ$2,"M")/Payroll!$K14,0))),0))</f>
        <v>0</v>
      </c>
      <c r="AR113" s="56">
        <f>IF(AR$2=Payroll!$I14,Payroll!$F14,IF(AR$2&gt;Payroll!$I14,Payroll!$F14*((1+Payroll!$J14)^(ROUNDDOWN(DATEDIF(Payroll!$I14,AR$2,"M")/Payroll!$K14,0))),0))</f>
        <v>0</v>
      </c>
      <c r="AS113" s="56">
        <f>IF(AS$2=Payroll!$I14,Payroll!$F14,IF(AS$2&gt;Payroll!$I14,Payroll!$F14*((1+Payroll!$J14)^(ROUNDDOWN(DATEDIF(Payroll!$I14,AS$2,"M")/Payroll!$K14,0))),0))</f>
        <v>0</v>
      </c>
      <c r="AT113" s="56">
        <f>IF(AT$2=Payroll!$I14,Payroll!$F14,IF(AT$2&gt;Payroll!$I14,Payroll!$F14*((1+Payroll!$J14)^(ROUNDDOWN(DATEDIF(Payroll!$I14,AT$2,"M")/Payroll!$K14,0))),0))</f>
        <v>0</v>
      </c>
      <c r="AU113" s="56">
        <f>IF(AU$2=Payroll!$I14,Payroll!$F14,IF(AU$2&gt;Payroll!$I14,Payroll!$F14*((1+Payroll!$J14)^(ROUNDDOWN(DATEDIF(Payroll!$I14,AU$2,"M")/Payroll!$K14,0))),0))</f>
        <v>0</v>
      </c>
      <c r="AV113" s="56">
        <f>IF(AV$2=Payroll!$I14,Payroll!$F14,IF(AV$2&gt;Payroll!$I14,Payroll!$F14*((1+Payroll!$J14)^(ROUNDDOWN(DATEDIF(Payroll!$I14,AV$2,"M")/Payroll!$K14,0))),0))</f>
        <v>0</v>
      </c>
      <c r="AW113" s="56">
        <f>IF(AW$2=Payroll!$I14,Payroll!$F14,IF(AW$2&gt;Payroll!$I14,Payroll!$F14*((1+Payroll!$J14)^(ROUNDDOWN(DATEDIF(Payroll!$I14,AW$2,"M")/Payroll!$K14,0))),0))</f>
        <v>0</v>
      </c>
      <c r="AX113" s="56">
        <f>IF(AX$2=Payroll!$I14,Payroll!$F14,IF(AX$2&gt;Payroll!$I14,Payroll!$F14*((1+Payroll!$J14)^(ROUNDDOWN(DATEDIF(Payroll!$I14,AX$2,"M")/Payroll!$K14,0))),0))</f>
        <v>0</v>
      </c>
      <c r="AY113" s="56">
        <f>IF(AY$2=Payroll!$I14,Payroll!$F14,IF(AY$2&gt;Payroll!$I14,Payroll!$F14*((1+Payroll!$J14)^(ROUNDDOWN(DATEDIF(Payroll!$I14,AY$2,"M")/Payroll!$K14,0))),0))</f>
        <v>0</v>
      </c>
      <c r="AZ113" s="56">
        <f>IF(AZ$2=Payroll!$I14,Payroll!$F14,IF(AZ$2&gt;Payroll!$I14,Payroll!$F14*((1+Payroll!$J14)^(ROUNDDOWN(DATEDIF(Payroll!$I14,AZ$2,"M")/Payroll!$K14,0))),0))</f>
        <v>0</v>
      </c>
      <c r="BA113" s="56">
        <f>IF(BA$2=Payroll!$I14,Payroll!$F14,IF(BA$2&gt;Payroll!$I14,Payroll!$F14*((1+Payroll!$J14)^(ROUNDDOWN(DATEDIF(Payroll!$I14,BA$2,"M")/Payroll!$K14,0))),0))</f>
        <v>0</v>
      </c>
      <c r="BB113" s="56">
        <f>IF(BB$2=Payroll!$I14,Payroll!$F14,IF(BB$2&gt;Payroll!$I14,Payroll!$F14*((1+Payroll!$J14)^(ROUNDDOWN(DATEDIF(Payroll!$I14,BB$2,"M")/Payroll!$K14,0))),0))</f>
        <v>0</v>
      </c>
      <c r="BC113" s="56">
        <f>IF(BC$2=Payroll!$I14,Payroll!$F14,IF(BC$2&gt;Payroll!$I14,Payroll!$F14*((1+Payroll!$J14)^(ROUNDDOWN(DATEDIF(Payroll!$I14,BC$2,"M")/Payroll!$K14,0))),0))</f>
        <v>0</v>
      </c>
      <c r="BD113" s="56">
        <f>IF(BD$2=Payroll!$I14,Payroll!$F14,IF(BD$2&gt;Payroll!$I14,Payroll!$F14*((1+Payroll!$J14)^(ROUNDDOWN(DATEDIF(Payroll!$I14,BD$2,"M")/Payroll!$K14,0))),0))</f>
        <v>0</v>
      </c>
      <c r="BE113" s="56">
        <f>IF(BE$2=Payroll!$I14,Payroll!$F14,IF(BE$2&gt;Payroll!$I14,Payroll!$F14*((1+Payroll!$J14)^(ROUNDDOWN(DATEDIF(Payroll!$I14,BE$2,"M")/Payroll!$K14,0))),0))</f>
        <v>0</v>
      </c>
      <c r="BF113" s="56">
        <f>IF(BF$2=Payroll!$I14,Payroll!$F14,IF(BF$2&gt;Payroll!$I14,Payroll!$F14*((1+Payroll!$J14)^(ROUNDDOWN(DATEDIF(Payroll!$I14,BF$2,"M")/Payroll!$K14,0))),0))</f>
        <v>0</v>
      </c>
      <c r="BG113" s="56">
        <f>IF(BG$2=Payroll!$I14,Payroll!$F14,IF(BG$2&gt;Payroll!$I14,Payroll!$F14*((1+Payroll!$J14)^(ROUNDDOWN(DATEDIF(Payroll!$I14,BG$2,"M")/Payroll!$K14,0))),0))</f>
        <v>0</v>
      </c>
      <c r="BH113" s="56">
        <f>IF(BH$2=Payroll!$I14,Payroll!$F14,IF(BH$2&gt;Payroll!$I14,Payroll!$F14*((1+Payroll!$J14)^(ROUNDDOWN(DATEDIF(Payroll!$I14,BH$2,"M")/Payroll!$K14,0))),0))</f>
        <v>0</v>
      </c>
      <c r="BI113" s="56">
        <f>IF(BI$2=Payroll!$I14,Payroll!$F14,IF(BI$2&gt;Payroll!$I14,Payroll!$F14*((1+Payroll!$J14)^(ROUNDDOWN(DATEDIF(Payroll!$I14,BI$2,"M")/Payroll!$K14,0))),0))</f>
        <v>0</v>
      </c>
      <c r="BJ113" s="56">
        <f>IF(BJ$2=Payroll!$I14,Payroll!$F14,IF(BJ$2&gt;Payroll!$I14,Payroll!$F14*((1+Payroll!$J14)^(ROUNDDOWN(DATEDIF(Payroll!$I14,BJ$2,"M")/Payroll!$K14,0))),0))</f>
        <v>0</v>
      </c>
      <c r="BK113" s="56">
        <f>IF(BK$2=Payroll!$I14,Payroll!$F14,IF(BK$2&gt;Payroll!$I14,Payroll!$F14*((1+Payroll!$J14)^(ROUNDDOWN(DATEDIF(Payroll!$I14,BK$2,"M")/Payroll!$K14,0))),0))</f>
        <v>0</v>
      </c>
      <c r="BL113" s="56">
        <f>IF(BL$2=Payroll!$I14,Payroll!$F14,IF(BL$2&gt;Payroll!$I14,Payroll!$F14*((1+Payroll!$J14)^(ROUNDDOWN(DATEDIF(Payroll!$I14,BL$2,"M")/Payroll!$K14,0))),0))</f>
        <v>0</v>
      </c>
      <c r="BM113" s="56">
        <f>IF(BM$2=Payroll!$I14,Payroll!$F14,IF(BM$2&gt;Payroll!$I14,Payroll!$F14*((1+Payroll!$J14)^(ROUNDDOWN(DATEDIF(Payroll!$I14,BM$2,"M")/Payroll!$K14,0))),0))</f>
        <v>0</v>
      </c>
      <c r="BN113" s="56">
        <f>IF(BN$2=Payroll!$I14,Payroll!$F14,IF(BN$2&gt;Payroll!$I14,Payroll!$F14*((1+Payroll!$J14)^(ROUNDDOWN(DATEDIF(Payroll!$I14,BN$2,"M")/Payroll!$K14,0))),0))</f>
        <v>0</v>
      </c>
      <c r="BO113" s="56">
        <f>IF(BO$2=Payroll!$I14,Payroll!$F14,IF(BO$2&gt;Payroll!$I14,Payroll!$F14*((1+Payroll!$J14)^(ROUNDDOWN(DATEDIF(Payroll!$I14,BO$2,"M")/Payroll!$K14,0))),0))</f>
        <v>0</v>
      </c>
      <c r="BP113" s="56">
        <f>IF(BP$2=Payroll!$I14,Payroll!$F14,IF(BP$2&gt;Payroll!$I14,Payroll!$F14*((1+Payroll!$J14)^(ROUNDDOWN(DATEDIF(Payroll!$I14,BP$2,"M")/Payroll!$K14,0))),0))</f>
        <v>0</v>
      </c>
      <c r="BQ113" s="56">
        <f>IF(BQ$2=Payroll!$I14,Payroll!$F14,IF(BQ$2&gt;Payroll!$I14,Payroll!$F14*((1+Payroll!$J14)^(ROUNDDOWN(DATEDIF(Payroll!$I14,BQ$2,"M")/Payroll!$K14,0))),0))</f>
        <v>0</v>
      </c>
      <c r="BR113" s="56">
        <f>IF(BR$2=Payroll!$I14,Payroll!$F14,IF(BR$2&gt;Payroll!$I14,Payroll!$F14*((1+Payroll!$J14)^(ROUNDDOWN(DATEDIF(Payroll!$I14,BR$2,"M")/Payroll!$K14,0))),0))</f>
        <v>0</v>
      </c>
      <c r="BS113" s="56">
        <f>IF(BS$2=Payroll!$I14,Payroll!$F14,IF(BS$2&gt;Payroll!$I14,Payroll!$F14*((1+Payroll!$J14)^(ROUNDDOWN(DATEDIF(Payroll!$I14,BS$2,"M")/Payroll!$K14,0))),0))</f>
        <v>0</v>
      </c>
      <c r="BT113" s="56">
        <f>IF(BT$2=Payroll!$I14,Payroll!$F14,IF(BT$2&gt;Payroll!$I14,Payroll!$F14*((1+Payroll!$J14)^(ROUNDDOWN(DATEDIF(Payroll!$I14,BT$2,"M")/Payroll!$K14,0))),0))</f>
        <v>0</v>
      </c>
      <c r="BU113" s="56">
        <f>IF(BU$2=Payroll!$I14,Payroll!$F14,IF(BU$2&gt;Payroll!$I14,Payroll!$F14*((1+Payroll!$J14)^(ROUNDDOWN(DATEDIF(Payroll!$I14,BU$2,"M")/Payroll!$K14,0))),0))</f>
        <v>0</v>
      </c>
      <c r="BV113" s="56">
        <f>IF(BV$2=Payroll!$I14,Payroll!$F14,IF(BV$2&gt;Payroll!$I14,Payroll!$F14*((1+Payroll!$J14)^(ROUNDDOWN(DATEDIF(Payroll!$I14,BV$2,"M")/Payroll!$K14,0))),0))</f>
        <v>0</v>
      </c>
      <c r="BW113" s="56">
        <f>IF(BW$2=Payroll!$I14,Payroll!$F14,IF(BW$2&gt;Payroll!$I14,Payroll!$F14*((1+Payroll!$J14)^(ROUNDDOWN(DATEDIF(Payroll!$I14,BW$2,"M")/Payroll!$K14,0))),0))</f>
        <v>0</v>
      </c>
      <c r="BX113" s="56">
        <f>IF(BX$2=Payroll!$I14,Payroll!$F14,IF(BX$2&gt;Payroll!$I14,Payroll!$F14*((1+Payroll!$J14)^(ROUNDDOWN(DATEDIF(Payroll!$I14,BX$2,"M")/Payroll!$K14,0))),0))</f>
        <v>0</v>
      </c>
      <c r="BY113" s="56">
        <f>IF(BY$2=Payroll!$I14,Payroll!$F14,IF(BY$2&gt;Payroll!$I14,Payroll!$F14*((1+Payroll!$J14)^(ROUNDDOWN(DATEDIF(Payroll!$I14,BY$2,"M")/Payroll!$K14,0))),0))</f>
        <v>0</v>
      </c>
      <c r="BZ113" s="56">
        <f>IF(BZ$2=Payroll!$I14,Payroll!$F14,IF(BZ$2&gt;Payroll!$I14,Payroll!$F14*((1+Payroll!$J14)^(ROUNDDOWN(DATEDIF(Payroll!$I14,BZ$2,"M")/Payroll!$K14,0))),0))</f>
        <v>0</v>
      </c>
      <c r="CA113" s="56">
        <f>IF(CA$2=Payroll!$I14,Payroll!$F14,IF(CA$2&gt;Payroll!$I14,Payroll!$F14*((1+Payroll!$J14)^(ROUNDDOWN(DATEDIF(Payroll!$I14,CA$2,"M")/Payroll!$K14,0))),0))</f>
        <v>0</v>
      </c>
      <c r="CB113" s="56">
        <f>IF(CB$2=Payroll!$I14,Payroll!$F14,IF(CB$2&gt;Payroll!$I14,Payroll!$F14*((1+Payroll!$J14)^(ROUNDDOWN(DATEDIF(Payroll!$I14,CB$2,"M")/Payroll!$K14,0))),0))</f>
        <v>0</v>
      </c>
      <c r="CC113" s="56">
        <f>IF(CC$2=Payroll!$I14,Payroll!$F14,IF(CC$2&gt;Payroll!$I14,Payroll!$F14*((1+Payroll!$J14)^(ROUNDDOWN(DATEDIF(Payroll!$I14,CC$2,"M")/Payroll!$K14,0))),0))</f>
        <v>0</v>
      </c>
      <c r="CD113" s="56">
        <f>IF(CD$2=Payroll!$I14,Payroll!$F14,IF(CD$2&gt;Payroll!$I14,Payroll!$F14*((1+Payroll!$J14)^(ROUNDDOWN(DATEDIF(Payroll!$I14,CD$2,"M")/Payroll!$K14,0))),0))</f>
        <v>0</v>
      </c>
      <c r="CE113" s="56">
        <f>IF(CE$2=Payroll!$I14,Payroll!$F14,IF(CE$2&gt;Payroll!$I14,Payroll!$F14*((1+Payroll!$J14)^(ROUNDDOWN(DATEDIF(Payroll!$I14,CE$2,"M")/Payroll!$K14,0))),0))</f>
        <v>0</v>
      </c>
      <c r="CF113" s="56">
        <f>IF(CF$2=Payroll!$I14,Payroll!$F14,IF(CF$2&gt;Payroll!$I14,Payroll!$F14*((1+Payroll!$J14)^(ROUNDDOWN(DATEDIF(Payroll!$I14,CF$2,"M")/Payroll!$K14,0))),0))</f>
        <v>0</v>
      </c>
      <c r="CG113" s="56">
        <f>IF(CG$2=Payroll!$I14,Payroll!$F14,IF(CG$2&gt;Payroll!$I14,Payroll!$F14*((1+Payroll!$J14)^(ROUNDDOWN(DATEDIF(Payroll!$I14,CG$2,"M")/Payroll!$K14,0))),0))</f>
        <v>0</v>
      </c>
      <c r="CH113" s="56">
        <f>IF(CH$2=Payroll!$I14,Payroll!$F14,IF(CH$2&gt;Payroll!$I14,Payroll!$F14*((1+Payroll!$J14)^(ROUNDDOWN(DATEDIF(Payroll!$I14,CH$2,"M")/Payroll!$K14,0))),0))</f>
        <v>0</v>
      </c>
      <c r="CI113" s="56">
        <f>IF(CI$2=Payroll!$I14,Payroll!$F14,IF(CI$2&gt;Payroll!$I14,Payroll!$F14*((1+Payroll!$J14)^(ROUNDDOWN(DATEDIF(Payroll!$I14,CI$2,"M")/Payroll!$K14,0))),0))</f>
        <v>0</v>
      </c>
      <c r="CJ113" s="56">
        <f>IF(CJ$2=Payroll!$I14,Payroll!$F14,IF(CJ$2&gt;Payroll!$I14,Payroll!$F14*((1+Payroll!$J14)^(ROUNDDOWN(DATEDIF(Payroll!$I14,CJ$2,"M")/Payroll!$K14,0))),0))</f>
        <v>0</v>
      </c>
      <c r="CK113" s="56">
        <f>IF(CK$2=Payroll!$I14,Payroll!$F14,IF(CK$2&gt;Payroll!$I14,Payroll!$F14*((1+Payroll!$J14)^(ROUNDDOWN(DATEDIF(Payroll!$I14,CK$2,"M")/Payroll!$K14,0))),0))</f>
        <v>0</v>
      </c>
      <c r="CL113" s="56">
        <f>IF(CL$2=Payroll!$I14,Payroll!$F14,IF(CL$2&gt;Payroll!$I14,Payroll!$F14*((1+Payroll!$J14)^(ROUNDDOWN(DATEDIF(Payroll!$I14,CL$2,"M")/Payroll!$K14,0))),0))</f>
        <v>0</v>
      </c>
      <c r="CM113" s="56">
        <f>IF(CM$2=Payroll!$I14,Payroll!$F14,IF(CM$2&gt;Payroll!$I14,Payroll!$F14*((1+Payroll!$J14)^(ROUNDDOWN(DATEDIF(Payroll!$I14,CM$2,"M")/Payroll!$K14,0))),0))</f>
        <v>0</v>
      </c>
      <c r="CN113" s="56">
        <f>IF(CN$2=Payroll!$I14,Payroll!$F14,IF(CN$2&gt;Payroll!$I14,Payroll!$F14*((1+Payroll!$J14)^(ROUNDDOWN(DATEDIF(Payroll!$I14,CN$2,"M")/Payroll!$K14,0))),0))</f>
        <v>0</v>
      </c>
      <c r="CO113" s="56">
        <f>IF(CO$2=Payroll!$I14,Payroll!$F14,IF(CO$2&gt;Payroll!$I14,Payroll!$F14*((1+Payroll!$J14)^(ROUNDDOWN(DATEDIF(Payroll!$I14,CO$2,"M")/Payroll!$K14,0))),0))</f>
        <v>0</v>
      </c>
      <c r="CP113" s="56">
        <f>IF(CP$2=Payroll!$I14,Payroll!$F14,IF(CP$2&gt;Payroll!$I14,Payroll!$F14*((1+Payroll!$J14)^(ROUNDDOWN(DATEDIF(Payroll!$I14,CP$2,"M")/Payroll!$K14,0))),0))</f>
        <v>0</v>
      </c>
      <c r="CQ113" s="56">
        <f>IF(CQ$2=Payroll!$I14,Payroll!$F14,IF(CQ$2&gt;Payroll!$I14,Payroll!$F14*((1+Payroll!$J14)^(ROUNDDOWN(DATEDIF(Payroll!$I14,CQ$2,"M")/Payroll!$K14,0))),0))</f>
        <v>0</v>
      </c>
      <c r="CR113" s="56">
        <f>IF(CR$2=Payroll!$I14,Payroll!$F14,IF(CR$2&gt;Payroll!$I14,Payroll!$F14*((1+Payroll!$J14)^(ROUNDDOWN(DATEDIF(Payroll!$I14,CR$2,"M")/Payroll!$K14,0))),0))</f>
        <v>0</v>
      </c>
      <c r="CS113" s="56">
        <f>IF(CS$2=Payroll!$I14,Payroll!$F14,IF(CS$2&gt;Payroll!$I14,Payroll!$F14*((1+Payroll!$J14)^(ROUNDDOWN(DATEDIF(Payroll!$I14,CS$2,"M")/Payroll!$K14,0))),0))</f>
        <v>0</v>
      </c>
      <c r="CT113" s="56">
        <f>IF(CT$2=Payroll!$I14,Payroll!$F14,IF(CT$2&gt;Payroll!$I14,Payroll!$F14*((1+Payroll!$J14)^(ROUNDDOWN(DATEDIF(Payroll!$I14,CT$2,"M")/Payroll!$K14,0))),0))</f>
        <v>0</v>
      </c>
      <c r="CU113" s="56">
        <f>IF(CU$2=Payroll!$I14,Payroll!$F14,IF(CU$2&gt;Payroll!$I14,Payroll!$F14*((1+Payroll!$J14)^(ROUNDDOWN(DATEDIF(Payroll!$I14,CU$2,"M")/Payroll!$K14,0))),0))</f>
        <v>0</v>
      </c>
      <c r="CV113" s="56">
        <f>IF(CV$2=Payroll!$I14,Payroll!$F14,IF(CV$2&gt;Payroll!$I14,Payroll!$F14*((1+Payroll!$J14)^(ROUNDDOWN(DATEDIF(Payroll!$I14,CV$2,"M")/Payroll!$K14,0))),0))</f>
        <v>0</v>
      </c>
      <c r="CW113" s="56">
        <f>IF(CW$2=Payroll!$I14,Payroll!$F14,IF(CW$2&gt;Payroll!$I14,Payroll!$F14*((1+Payroll!$J14)^(ROUNDDOWN(DATEDIF(Payroll!$I14,CW$2,"M")/Payroll!$K14,0))),0))</f>
        <v>0</v>
      </c>
      <c r="CX113" s="56">
        <f>IF(CX$2=Payroll!$I14,Payroll!$F14,IF(CX$2&gt;Payroll!$I14,Payroll!$F14*((1+Payroll!$J14)^(ROUNDDOWN(DATEDIF(Payroll!$I14,CX$2,"M")/Payroll!$K14,0))),0))</f>
        <v>0</v>
      </c>
    </row>
    <row r="114" ht="15.75" customHeight="1" outlineLevel="1">
      <c r="A114" s="134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</row>
    <row r="115" ht="15.75" customHeight="1" outlineLevel="1">
      <c r="A115" s="60" t="str">
        <f>Payroll!A30</f>
        <v>Marketing</v>
      </c>
      <c r="B115" s="60" t="s">
        <v>100</v>
      </c>
      <c r="C115" s="60"/>
      <c r="D115" s="60"/>
      <c r="E115" s="60">
        <f t="shared" ref="E115:CX115" si="23">SUM(E116:E125)</f>
        <v>0</v>
      </c>
      <c r="F115" s="60">
        <f t="shared" si="23"/>
        <v>0</v>
      </c>
      <c r="G115" s="60">
        <f t="shared" si="23"/>
        <v>0</v>
      </c>
      <c r="H115" s="60">
        <f t="shared" si="23"/>
        <v>0</v>
      </c>
      <c r="I115" s="60">
        <f t="shared" si="23"/>
        <v>0</v>
      </c>
      <c r="J115" s="60">
        <f t="shared" si="23"/>
        <v>0</v>
      </c>
      <c r="K115" s="60">
        <f t="shared" si="23"/>
        <v>0</v>
      </c>
      <c r="L115" s="60">
        <f t="shared" si="23"/>
        <v>0</v>
      </c>
      <c r="M115" s="60">
        <f t="shared" si="23"/>
        <v>0</v>
      </c>
      <c r="N115" s="60">
        <f t="shared" si="23"/>
        <v>0</v>
      </c>
      <c r="O115" s="60">
        <f t="shared" si="23"/>
        <v>0</v>
      </c>
      <c r="P115" s="60">
        <f t="shared" si="23"/>
        <v>0</v>
      </c>
      <c r="Q115" s="60">
        <f t="shared" si="23"/>
        <v>0</v>
      </c>
      <c r="R115" s="60">
        <f t="shared" si="23"/>
        <v>0</v>
      </c>
      <c r="S115" s="60">
        <f t="shared" si="23"/>
        <v>0</v>
      </c>
      <c r="T115" s="60">
        <f t="shared" si="23"/>
        <v>0</v>
      </c>
      <c r="U115" s="60">
        <f t="shared" si="23"/>
        <v>0</v>
      </c>
      <c r="V115" s="60">
        <f t="shared" si="23"/>
        <v>0</v>
      </c>
      <c r="W115" s="60">
        <f t="shared" si="23"/>
        <v>0</v>
      </c>
      <c r="X115" s="60">
        <f t="shared" si="23"/>
        <v>0</v>
      </c>
      <c r="Y115" s="60">
        <f t="shared" si="23"/>
        <v>0</v>
      </c>
      <c r="Z115" s="60">
        <f t="shared" si="23"/>
        <v>0</v>
      </c>
      <c r="AA115" s="60">
        <f t="shared" si="23"/>
        <v>0</v>
      </c>
      <c r="AB115" s="60">
        <f t="shared" si="23"/>
        <v>0</v>
      </c>
      <c r="AC115" s="60">
        <f t="shared" si="23"/>
        <v>0</v>
      </c>
      <c r="AD115" s="60">
        <f t="shared" si="23"/>
        <v>0</v>
      </c>
      <c r="AE115" s="60">
        <f t="shared" si="23"/>
        <v>0</v>
      </c>
      <c r="AF115" s="60">
        <f t="shared" si="23"/>
        <v>0</v>
      </c>
      <c r="AG115" s="60">
        <f t="shared" si="23"/>
        <v>0</v>
      </c>
      <c r="AH115" s="60">
        <f t="shared" si="23"/>
        <v>0</v>
      </c>
      <c r="AI115" s="60">
        <f t="shared" si="23"/>
        <v>0</v>
      </c>
      <c r="AJ115" s="60">
        <f t="shared" si="23"/>
        <v>0</v>
      </c>
      <c r="AK115" s="60">
        <f t="shared" si="23"/>
        <v>0</v>
      </c>
      <c r="AL115" s="60">
        <f t="shared" si="23"/>
        <v>0</v>
      </c>
      <c r="AM115" s="60">
        <f t="shared" si="23"/>
        <v>0</v>
      </c>
      <c r="AN115" s="60">
        <f t="shared" si="23"/>
        <v>0</v>
      </c>
      <c r="AO115" s="60">
        <f t="shared" si="23"/>
        <v>0</v>
      </c>
      <c r="AP115" s="60">
        <f t="shared" si="23"/>
        <v>4615.384615</v>
      </c>
      <c r="AQ115" s="60">
        <f t="shared" si="23"/>
        <v>4615.384615</v>
      </c>
      <c r="AR115" s="60">
        <f t="shared" si="23"/>
        <v>4615.384615</v>
      </c>
      <c r="AS115" s="60">
        <f t="shared" si="23"/>
        <v>4615.384615</v>
      </c>
      <c r="AT115" s="60">
        <f t="shared" si="23"/>
        <v>4615.384615</v>
      </c>
      <c r="AU115" s="60">
        <f t="shared" si="23"/>
        <v>4615.384615</v>
      </c>
      <c r="AV115" s="60">
        <f t="shared" si="23"/>
        <v>4615.384615</v>
      </c>
      <c r="AW115" s="60">
        <f t="shared" si="23"/>
        <v>4615.384615</v>
      </c>
      <c r="AX115" s="60">
        <f t="shared" si="23"/>
        <v>4615.384615</v>
      </c>
      <c r="AY115" s="60">
        <f t="shared" si="23"/>
        <v>4615.384615</v>
      </c>
      <c r="AZ115" s="60">
        <f t="shared" si="23"/>
        <v>4615.384615</v>
      </c>
      <c r="BA115" s="60">
        <f t="shared" si="23"/>
        <v>4615.384615</v>
      </c>
      <c r="BB115" s="60">
        <f t="shared" si="23"/>
        <v>4800</v>
      </c>
      <c r="BC115" s="60">
        <f t="shared" si="23"/>
        <v>4800</v>
      </c>
      <c r="BD115" s="60">
        <f t="shared" si="23"/>
        <v>4800</v>
      </c>
      <c r="BE115" s="60">
        <f t="shared" si="23"/>
        <v>4800</v>
      </c>
      <c r="BF115" s="60">
        <f t="shared" si="23"/>
        <v>4800</v>
      </c>
      <c r="BG115" s="60">
        <f t="shared" si="23"/>
        <v>4800</v>
      </c>
      <c r="BH115" s="60">
        <f t="shared" si="23"/>
        <v>4800</v>
      </c>
      <c r="BI115" s="60">
        <f t="shared" si="23"/>
        <v>4800</v>
      </c>
      <c r="BJ115" s="60">
        <f t="shared" si="23"/>
        <v>4800</v>
      </c>
      <c r="BK115" s="60">
        <f t="shared" si="23"/>
        <v>4800</v>
      </c>
      <c r="BL115" s="60">
        <f t="shared" si="23"/>
        <v>4800</v>
      </c>
      <c r="BM115" s="60">
        <f t="shared" si="23"/>
        <v>4800</v>
      </c>
      <c r="BN115" s="60">
        <f t="shared" si="23"/>
        <v>4992</v>
      </c>
      <c r="BO115" s="60">
        <f t="shared" si="23"/>
        <v>4992</v>
      </c>
      <c r="BP115" s="60">
        <f t="shared" si="23"/>
        <v>4992</v>
      </c>
      <c r="BQ115" s="60">
        <f t="shared" si="23"/>
        <v>4992</v>
      </c>
      <c r="BR115" s="60">
        <f t="shared" si="23"/>
        <v>4992</v>
      </c>
      <c r="BS115" s="60">
        <f t="shared" si="23"/>
        <v>4992</v>
      </c>
      <c r="BT115" s="60">
        <f t="shared" si="23"/>
        <v>4992</v>
      </c>
      <c r="BU115" s="60">
        <f t="shared" si="23"/>
        <v>4992</v>
      </c>
      <c r="BV115" s="60">
        <f t="shared" si="23"/>
        <v>4992</v>
      </c>
      <c r="BW115" s="60">
        <f t="shared" si="23"/>
        <v>4992</v>
      </c>
      <c r="BX115" s="60">
        <f t="shared" si="23"/>
        <v>4992</v>
      </c>
      <c r="BY115" s="60">
        <f t="shared" si="23"/>
        <v>4992</v>
      </c>
      <c r="BZ115" s="60">
        <f t="shared" si="23"/>
        <v>5191.68</v>
      </c>
      <c r="CA115" s="60">
        <f t="shared" si="23"/>
        <v>5191.68</v>
      </c>
      <c r="CB115" s="60">
        <f t="shared" si="23"/>
        <v>5191.68</v>
      </c>
      <c r="CC115" s="60">
        <f t="shared" si="23"/>
        <v>5191.68</v>
      </c>
      <c r="CD115" s="60">
        <f t="shared" si="23"/>
        <v>5191.68</v>
      </c>
      <c r="CE115" s="60">
        <f t="shared" si="23"/>
        <v>5191.68</v>
      </c>
      <c r="CF115" s="60">
        <f t="shared" si="23"/>
        <v>5191.68</v>
      </c>
      <c r="CG115" s="60">
        <f t="shared" si="23"/>
        <v>5191.68</v>
      </c>
      <c r="CH115" s="60">
        <f t="shared" si="23"/>
        <v>5191.68</v>
      </c>
      <c r="CI115" s="60">
        <f t="shared" si="23"/>
        <v>5191.68</v>
      </c>
      <c r="CJ115" s="60">
        <f t="shared" si="23"/>
        <v>5191.68</v>
      </c>
      <c r="CK115" s="60">
        <f t="shared" si="23"/>
        <v>5191.68</v>
      </c>
      <c r="CL115" s="60">
        <f t="shared" si="23"/>
        <v>5399.3472</v>
      </c>
      <c r="CM115" s="60">
        <f t="shared" si="23"/>
        <v>5399.3472</v>
      </c>
      <c r="CN115" s="60">
        <f t="shared" si="23"/>
        <v>5399.3472</v>
      </c>
      <c r="CO115" s="60">
        <f t="shared" si="23"/>
        <v>5399.3472</v>
      </c>
      <c r="CP115" s="60">
        <f t="shared" si="23"/>
        <v>5399.3472</v>
      </c>
      <c r="CQ115" s="60">
        <f t="shared" si="23"/>
        <v>5399.3472</v>
      </c>
      <c r="CR115" s="60">
        <f t="shared" si="23"/>
        <v>5399.3472</v>
      </c>
      <c r="CS115" s="60">
        <f t="shared" si="23"/>
        <v>5399.3472</v>
      </c>
      <c r="CT115" s="60">
        <f t="shared" si="23"/>
        <v>5399.3472</v>
      </c>
      <c r="CU115" s="60">
        <f t="shared" si="23"/>
        <v>5399.3472</v>
      </c>
      <c r="CV115" s="60">
        <f t="shared" si="23"/>
        <v>5399.3472</v>
      </c>
      <c r="CW115" s="60">
        <f t="shared" si="23"/>
        <v>5399.3472</v>
      </c>
      <c r="CX115" s="60">
        <f t="shared" si="23"/>
        <v>5615.321088</v>
      </c>
    </row>
    <row r="116" ht="15.75" customHeight="1" outlineLevel="2">
      <c r="A116" s="56" t="str">
        <f>Payroll!A31</f>
        <v>Head of Marketing</v>
      </c>
      <c r="B116" s="56"/>
      <c r="C116" s="56"/>
      <c r="D116" s="56"/>
      <c r="E116" s="56">
        <f>IF(E$2=Payroll!$I31,Payroll!$F31,IF(E$2&gt;Payroll!$I31,Payroll!$F31*((1+Payroll!$J31)^(ROUNDDOWN(DATEDIF(Payroll!$I31,E$2,"M")/Payroll!$K31,0))),0))</f>
        <v>0</v>
      </c>
      <c r="F116" s="56">
        <f>IF(F$2=Payroll!$I31,Payroll!$F31,IF(F$2&gt;Payroll!$I31,Payroll!$F31*((1+Payroll!$J31)^(ROUNDDOWN(DATEDIF(Payroll!$I31,F$2,"M")/Payroll!$K31,0))),0))</f>
        <v>0</v>
      </c>
      <c r="G116" s="56">
        <f>IF(G$2=Payroll!$I31,Payroll!$F31,IF(G$2&gt;Payroll!$I31,Payroll!$F31*((1+Payroll!$J31)^(ROUNDDOWN(DATEDIF(Payroll!$I31,G$2,"M")/Payroll!$K31,0))),0))</f>
        <v>0</v>
      </c>
      <c r="H116" s="56">
        <f>IF(H$2=Payroll!$I31,Payroll!$F31,IF(H$2&gt;Payroll!$I31,Payroll!$F31*((1+Payroll!$J31)^(ROUNDDOWN(DATEDIF(Payroll!$I31,H$2,"M")/Payroll!$K31,0))),0))</f>
        <v>0</v>
      </c>
      <c r="I116" s="56">
        <f>IF(I$2=Payroll!$I31,Payroll!$F31,IF(I$2&gt;Payroll!$I31,Payroll!$F31*((1+Payroll!$J31)^(ROUNDDOWN(DATEDIF(Payroll!$I31,I$2,"M")/Payroll!$K31,0))),0))</f>
        <v>0</v>
      </c>
      <c r="J116" s="56">
        <f>IF(J$2=Payroll!$I31,Payroll!$F31,IF(J$2&gt;Payroll!$I31,Payroll!$F31*((1+Payroll!$J31)^(ROUNDDOWN(DATEDIF(Payroll!$I31,J$2,"M")/Payroll!$K31,0))),0))</f>
        <v>0</v>
      </c>
      <c r="K116" s="56">
        <f>IF(K$2=Payroll!$I31,Payroll!$F31,IF(K$2&gt;Payroll!$I31,Payroll!$F31*((1+Payroll!$J31)^(ROUNDDOWN(DATEDIF(Payroll!$I31,K$2,"M")/Payroll!$K31,0))),0))</f>
        <v>0</v>
      </c>
      <c r="L116" s="56">
        <f>IF(L$2=Payroll!$I31,Payroll!$F31,IF(L$2&gt;Payroll!$I31,Payroll!$F31*((1+Payroll!$J31)^(ROUNDDOWN(DATEDIF(Payroll!$I31,L$2,"M")/Payroll!$K31,0))),0))</f>
        <v>0</v>
      </c>
      <c r="M116" s="56">
        <f>IF(M$2=Payroll!$I31,Payroll!$F31,IF(M$2&gt;Payroll!$I31,Payroll!$F31*((1+Payroll!$J31)^(ROUNDDOWN(DATEDIF(Payroll!$I31,M$2,"M")/Payroll!$K31,0))),0))</f>
        <v>0</v>
      </c>
      <c r="N116" s="56">
        <f>IF(N$2=Payroll!$I31,Payroll!$F31,IF(N$2&gt;Payroll!$I31,Payroll!$F31*((1+Payroll!$J31)^(ROUNDDOWN(DATEDIF(Payroll!$I31,N$2,"M")/Payroll!$K31,0))),0))</f>
        <v>0</v>
      </c>
      <c r="O116" s="56">
        <f>IF(O$2=Payroll!$I31,Payroll!$F31,IF(O$2&gt;Payroll!$I31,Payroll!$F31*((1+Payroll!$J31)^(ROUNDDOWN(DATEDIF(Payroll!$I31,O$2,"M")/Payroll!$K31,0))),0))</f>
        <v>0</v>
      </c>
      <c r="P116" s="56">
        <f>IF(P$2=Payroll!$I31,Payroll!$F31,IF(P$2&gt;Payroll!$I31,Payroll!$F31*((1+Payroll!$J31)^(ROUNDDOWN(DATEDIF(Payroll!$I31,P$2,"M")/Payroll!$K31,0))),0))</f>
        <v>0</v>
      </c>
      <c r="Q116" s="56">
        <f>IF(Q$2=Payroll!$I31,Payroll!$F31,IF(Q$2&gt;Payroll!$I31,Payroll!$F31*((1+Payroll!$J31)^(ROUNDDOWN(DATEDIF(Payroll!$I31,Q$2,"M")/Payroll!$K31,0))),0))</f>
        <v>0</v>
      </c>
      <c r="R116" s="56">
        <f>IF(R$2=Payroll!$I31,Payroll!$F31,IF(R$2&gt;Payroll!$I31,Payroll!$F31*((1+Payroll!$J31)^(ROUNDDOWN(DATEDIF(Payroll!$I31,R$2,"M")/Payroll!$K31,0))),0))</f>
        <v>0</v>
      </c>
      <c r="S116" s="56">
        <f>IF(S$2=Payroll!$I31,Payroll!$F31,IF(S$2&gt;Payroll!$I31,Payroll!$F31*((1+Payroll!$J31)^(ROUNDDOWN(DATEDIF(Payroll!$I31,S$2,"M")/Payroll!$K31,0))),0))</f>
        <v>0</v>
      </c>
      <c r="T116" s="56">
        <f>IF(T$2=Payroll!$I31,Payroll!$F31,IF(T$2&gt;Payroll!$I31,Payroll!$F31*((1+Payroll!$J31)^(ROUNDDOWN(DATEDIF(Payroll!$I31,T$2,"M")/Payroll!$K31,0))),0))</f>
        <v>0</v>
      </c>
      <c r="U116" s="56">
        <f>IF(U$2=Payroll!$I31,Payroll!$F31,IF(U$2&gt;Payroll!$I31,Payroll!$F31*((1+Payroll!$J31)^(ROUNDDOWN(DATEDIF(Payroll!$I31,U$2,"M")/Payroll!$K31,0))),0))</f>
        <v>0</v>
      </c>
      <c r="V116" s="56">
        <f>IF(V$2=Payroll!$I31,Payroll!$F31,IF(V$2&gt;Payroll!$I31,Payroll!$F31*((1+Payroll!$J31)^(ROUNDDOWN(DATEDIF(Payroll!$I31,V$2,"M")/Payroll!$K31,0))),0))</f>
        <v>0</v>
      </c>
      <c r="W116" s="56">
        <f>IF(W$2=Payroll!$I31,Payroll!$F31,IF(W$2&gt;Payroll!$I31,Payroll!$F31*((1+Payroll!$J31)^(ROUNDDOWN(DATEDIF(Payroll!$I31,W$2,"M")/Payroll!$K31,0))),0))</f>
        <v>0</v>
      </c>
      <c r="X116" s="56">
        <f>IF(X$2=Payroll!$I31,Payroll!$F31,IF(X$2&gt;Payroll!$I31,Payroll!$F31*((1+Payroll!$J31)^(ROUNDDOWN(DATEDIF(Payroll!$I31,X$2,"M")/Payroll!$K31,0))),0))</f>
        <v>0</v>
      </c>
      <c r="Y116" s="56">
        <f>IF(Y$2=Payroll!$I31,Payroll!$F31,IF(Y$2&gt;Payroll!$I31,Payroll!$F31*((1+Payroll!$J31)^(ROUNDDOWN(DATEDIF(Payroll!$I31,Y$2,"M")/Payroll!$K31,0))),0))</f>
        <v>0</v>
      </c>
      <c r="Z116" s="56">
        <f>IF(Z$2=Payroll!$I31,Payroll!$F31,IF(Z$2&gt;Payroll!$I31,Payroll!$F31*((1+Payroll!$J31)^(ROUNDDOWN(DATEDIF(Payroll!$I31,Z$2,"M")/Payroll!$K31,0))),0))</f>
        <v>0</v>
      </c>
      <c r="AA116" s="56">
        <f>IF(AA$2=Payroll!$I31,Payroll!$F31,IF(AA$2&gt;Payroll!$I31,Payroll!$F31*((1+Payroll!$J31)^(ROUNDDOWN(DATEDIF(Payroll!$I31,AA$2,"M")/Payroll!$K31,0))),0))</f>
        <v>0</v>
      </c>
      <c r="AB116" s="56">
        <f>IF(AB$2=Payroll!$I31,Payroll!$F31,IF(AB$2&gt;Payroll!$I31,Payroll!$F31*((1+Payroll!$J31)^(ROUNDDOWN(DATEDIF(Payroll!$I31,AB$2,"M")/Payroll!$K31,0))),0))</f>
        <v>0</v>
      </c>
      <c r="AC116" s="56">
        <f>IF(AC$2=Payroll!$I31,Payroll!$F31,IF(AC$2&gt;Payroll!$I31,Payroll!$F31*((1+Payroll!$J31)^(ROUNDDOWN(DATEDIF(Payroll!$I31,AC$2,"M")/Payroll!$K31,0))),0))</f>
        <v>0</v>
      </c>
      <c r="AD116" s="56">
        <f>IF(AD$2=Payroll!$I31,Payroll!$F31,IF(AD$2&gt;Payroll!$I31,Payroll!$F31*((1+Payroll!$J31)^(ROUNDDOWN(DATEDIF(Payroll!$I31,AD$2,"M")/Payroll!$K31,0))),0))</f>
        <v>0</v>
      </c>
      <c r="AE116" s="56">
        <f>IF(AE$2=Payroll!$I31,Payroll!$F31,IF(AE$2&gt;Payroll!$I31,Payroll!$F31*((1+Payroll!$J31)^(ROUNDDOWN(DATEDIF(Payroll!$I31,AE$2,"M")/Payroll!$K31,0))),0))</f>
        <v>0</v>
      </c>
      <c r="AF116" s="56">
        <f>IF(AF$2=Payroll!$I31,Payroll!$F31,IF(AF$2&gt;Payroll!$I31,Payroll!$F31*((1+Payroll!$J31)^(ROUNDDOWN(DATEDIF(Payroll!$I31,AF$2,"M")/Payroll!$K31,0))),0))</f>
        <v>0</v>
      </c>
      <c r="AG116" s="56">
        <f>IF(AG$2=Payroll!$I31,Payroll!$F31,IF(AG$2&gt;Payroll!$I31,Payroll!$F31*((1+Payroll!$J31)^(ROUNDDOWN(DATEDIF(Payroll!$I31,AG$2,"M")/Payroll!$K31,0))),0))</f>
        <v>0</v>
      </c>
      <c r="AH116" s="56">
        <f>IF(AH$2=Payroll!$I31,Payroll!$F31,IF(AH$2&gt;Payroll!$I31,Payroll!$F31*((1+Payroll!$J31)^(ROUNDDOWN(DATEDIF(Payroll!$I31,AH$2,"M")/Payroll!$K31,0))),0))</f>
        <v>0</v>
      </c>
      <c r="AI116" s="56">
        <f>IF(AI$2=Payroll!$I31,Payroll!$F31,IF(AI$2&gt;Payroll!$I31,Payroll!$F31*((1+Payroll!$J31)^(ROUNDDOWN(DATEDIF(Payroll!$I31,AI$2,"M")/Payroll!$K31,0))),0))</f>
        <v>0</v>
      </c>
      <c r="AJ116" s="56">
        <f>IF(AJ$2=Payroll!$I31,Payroll!$F31,IF(AJ$2&gt;Payroll!$I31,Payroll!$F31*((1+Payroll!$J31)^(ROUNDDOWN(DATEDIF(Payroll!$I31,AJ$2,"M")/Payroll!$K31,0))),0))</f>
        <v>0</v>
      </c>
      <c r="AK116" s="56">
        <f>IF(AK$2=Payroll!$I31,Payroll!$F31,IF(AK$2&gt;Payroll!$I31,Payroll!$F31*((1+Payroll!$J31)^(ROUNDDOWN(DATEDIF(Payroll!$I31,AK$2,"M")/Payroll!$K31,0))),0))</f>
        <v>0</v>
      </c>
      <c r="AL116" s="56">
        <f>IF(AL$2=Payroll!$I31,Payroll!$F31,IF(AL$2&gt;Payroll!$I31,Payroll!$F31*((1+Payroll!$J31)^(ROUNDDOWN(DATEDIF(Payroll!$I31,AL$2,"M")/Payroll!$K31,0))),0))</f>
        <v>0</v>
      </c>
      <c r="AM116" s="56">
        <f>IF(AM$2=Payroll!$I31,Payroll!$F31,IF(AM$2&gt;Payroll!$I31,Payroll!$F31*((1+Payroll!$J31)^(ROUNDDOWN(DATEDIF(Payroll!$I31,AM$2,"M")/Payroll!$K31,0))),0))</f>
        <v>0</v>
      </c>
      <c r="AN116" s="56">
        <f>IF(AN$2=Payroll!$I31,Payroll!$F31,IF(AN$2&gt;Payroll!$I31,Payroll!$F31*((1+Payroll!$J31)^(ROUNDDOWN(DATEDIF(Payroll!$I31,AN$2,"M")/Payroll!$K31,0))),0))</f>
        <v>0</v>
      </c>
      <c r="AO116" s="56">
        <f>IF(AO$2=Payroll!$I31,Payroll!$F31,IF(AO$2&gt;Payroll!$I31,Payroll!$F31*((1+Payroll!$J31)^(ROUNDDOWN(DATEDIF(Payroll!$I31,AO$2,"M")/Payroll!$K31,0))),0))</f>
        <v>0</v>
      </c>
      <c r="AP116" s="56">
        <f>IF(AP$2=Payroll!$I31,Payroll!$F31,IF(AP$2&gt;Payroll!$I31,Payroll!$F31*((1+Payroll!$J31)^(ROUNDDOWN(DATEDIF(Payroll!$I31,AP$2,"M")/Payroll!$K31,0))),0))</f>
        <v>4615.384615</v>
      </c>
      <c r="AQ116" s="56">
        <f>IF(AQ$2=Payroll!$I31,Payroll!$F31,IF(AQ$2&gt;Payroll!$I31,Payroll!$F31*((1+Payroll!$J31)^(ROUNDDOWN(DATEDIF(Payroll!$I31,AQ$2,"M")/Payroll!$K31,0))),0))</f>
        <v>4615.384615</v>
      </c>
      <c r="AR116" s="56">
        <f>IF(AR$2=Payroll!$I31,Payroll!$F31,IF(AR$2&gt;Payroll!$I31,Payroll!$F31*((1+Payroll!$J31)^(ROUNDDOWN(DATEDIF(Payroll!$I31,AR$2,"M")/Payroll!$K31,0))),0))</f>
        <v>4615.384615</v>
      </c>
      <c r="AS116" s="56">
        <f>IF(AS$2=Payroll!$I31,Payroll!$F31,IF(AS$2&gt;Payroll!$I31,Payroll!$F31*((1+Payroll!$J31)^(ROUNDDOWN(DATEDIF(Payroll!$I31,AS$2,"M")/Payroll!$K31,0))),0))</f>
        <v>4615.384615</v>
      </c>
      <c r="AT116" s="56">
        <f>IF(AT$2=Payroll!$I31,Payroll!$F31,IF(AT$2&gt;Payroll!$I31,Payroll!$F31*((1+Payroll!$J31)^(ROUNDDOWN(DATEDIF(Payroll!$I31,AT$2,"M")/Payroll!$K31,0))),0))</f>
        <v>4615.384615</v>
      </c>
      <c r="AU116" s="56">
        <f>IF(AU$2=Payroll!$I31,Payroll!$F31,IF(AU$2&gt;Payroll!$I31,Payroll!$F31*((1+Payroll!$J31)^(ROUNDDOWN(DATEDIF(Payroll!$I31,AU$2,"M")/Payroll!$K31,0))),0))</f>
        <v>4615.384615</v>
      </c>
      <c r="AV116" s="56">
        <f>IF(AV$2=Payroll!$I31,Payroll!$F31,IF(AV$2&gt;Payroll!$I31,Payroll!$F31*((1+Payroll!$J31)^(ROUNDDOWN(DATEDIF(Payroll!$I31,AV$2,"M")/Payroll!$K31,0))),0))</f>
        <v>4615.384615</v>
      </c>
      <c r="AW116" s="56">
        <f>IF(AW$2=Payroll!$I31,Payroll!$F31,IF(AW$2&gt;Payroll!$I31,Payroll!$F31*((1+Payroll!$J31)^(ROUNDDOWN(DATEDIF(Payroll!$I31,AW$2,"M")/Payroll!$K31,0))),0))</f>
        <v>4615.384615</v>
      </c>
      <c r="AX116" s="56">
        <f>IF(AX$2=Payroll!$I31,Payroll!$F31,IF(AX$2&gt;Payroll!$I31,Payroll!$F31*((1+Payroll!$J31)^(ROUNDDOWN(DATEDIF(Payroll!$I31,AX$2,"M")/Payroll!$K31,0))),0))</f>
        <v>4615.384615</v>
      </c>
      <c r="AY116" s="56">
        <f>IF(AY$2=Payroll!$I31,Payroll!$F31,IF(AY$2&gt;Payroll!$I31,Payroll!$F31*((1+Payroll!$J31)^(ROUNDDOWN(DATEDIF(Payroll!$I31,AY$2,"M")/Payroll!$K31,0))),0))</f>
        <v>4615.384615</v>
      </c>
      <c r="AZ116" s="56">
        <f>IF(AZ$2=Payroll!$I31,Payroll!$F31,IF(AZ$2&gt;Payroll!$I31,Payroll!$F31*((1+Payroll!$J31)^(ROUNDDOWN(DATEDIF(Payroll!$I31,AZ$2,"M")/Payroll!$K31,0))),0))</f>
        <v>4615.384615</v>
      </c>
      <c r="BA116" s="56">
        <f>IF(BA$2=Payroll!$I31,Payroll!$F31,IF(BA$2&gt;Payroll!$I31,Payroll!$F31*((1+Payroll!$J31)^(ROUNDDOWN(DATEDIF(Payroll!$I31,BA$2,"M")/Payroll!$K31,0))),0))</f>
        <v>4615.384615</v>
      </c>
      <c r="BB116" s="56">
        <f>IF(BB$2=Payroll!$I31,Payroll!$F31,IF(BB$2&gt;Payroll!$I31,Payroll!$F31*((1+Payroll!$J31)^(ROUNDDOWN(DATEDIF(Payroll!$I31,BB$2,"M")/Payroll!$K31,0))),0))</f>
        <v>4800</v>
      </c>
      <c r="BC116" s="56">
        <f>IF(BC$2=Payroll!$I31,Payroll!$F31,IF(BC$2&gt;Payroll!$I31,Payroll!$F31*((1+Payroll!$J31)^(ROUNDDOWN(DATEDIF(Payroll!$I31,BC$2,"M")/Payroll!$K31,0))),0))</f>
        <v>4800</v>
      </c>
      <c r="BD116" s="56">
        <f>IF(BD$2=Payroll!$I31,Payroll!$F31,IF(BD$2&gt;Payroll!$I31,Payroll!$F31*((1+Payroll!$J31)^(ROUNDDOWN(DATEDIF(Payroll!$I31,BD$2,"M")/Payroll!$K31,0))),0))</f>
        <v>4800</v>
      </c>
      <c r="BE116" s="56">
        <f>IF(BE$2=Payroll!$I31,Payroll!$F31,IF(BE$2&gt;Payroll!$I31,Payroll!$F31*((1+Payroll!$J31)^(ROUNDDOWN(DATEDIF(Payroll!$I31,BE$2,"M")/Payroll!$K31,0))),0))</f>
        <v>4800</v>
      </c>
      <c r="BF116" s="56">
        <f>IF(BF$2=Payroll!$I31,Payroll!$F31,IF(BF$2&gt;Payroll!$I31,Payroll!$F31*((1+Payroll!$J31)^(ROUNDDOWN(DATEDIF(Payroll!$I31,BF$2,"M")/Payroll!$K31,0))),0))</f>
        <v>4800</v>
      </c>
      <c r="BG116" s="56">
        <f>IF(BG$2=Payroll!$I31,Payroll!$F31,IF(BG$2&gt;Payroll!$I31,Payroll!$F31*((1+Payroll!$J31)^(ROUNDDOWN(DATEDIF(Payroll!$I31,BG$2,"M")/Payroll!$K31,0))),0))</f>
        <v>4800</v>
      </c>
      <c r="BH116" s="56">
        <f>IF(BH$2=Payroll!$I31,Payroll!$F31,IF(BH$2&gt;Payroll!$I31,Payroll!$F31*((1+Payroll!$J31)^(ROUNDDOWN(DATEDIF(Payroll!$I31,BH$2,"M")/Payroll!$K31,0))),0))</f>
        <v>4800</v>
      </c>
      <c r="BI116" s="56">
        <f>IF(BI$2=Payroll!$I31,Payroll!$F31,IF(BI$2&gt;Payroll!$I31,Payroll!$F31*((1+Payroll!$J31)^(ROUNDDOWN(DATEDIF(Payroll!$I31,BI$2,"M")/Payroll!$K31,0))),0))</f>
        <v>4800</v>
      </c>
      <c r="BJ116" s="56">
        <f>IF(BJ$2=Payroll!$I31,Payroll!$F31,IF(BJ$2&gt;Payroll!$I31,Payroll!$F31*((1+Payroll!$J31)^(ROUNDDOWN(DATEDIF(Payroll!$I31,BJ$2,"M")/Payroll!$K31,0))),0))</f>
        <v>4800</v>
      </c>
      <c r="BK116" s="56">
        <f>IF(BK$2=Payroll!$I31,Payroll!$F31,IF(BK$2&gt;Payroll!$I31,Payroll!$F31*((1+Payroll!$J31)^(ROUNDDOWN(DATEDIF(Payroll!$I31,BK$2,"M")/Payroll!$K31,0))),0))</f>
        <v>4800</v>
      </c>
      <c r="BL116" s="56">
        <f>IF(BL$2=Payroll!$I31,Payroll!$F31,IF(BL$2&gt;Payroll!$I31,Payroll!$F31*((1+Payroll!$J31)^(ROUNDDOWN(DATEDIF(Payroll!$I31,BL$2,"M")/Payroll!$K31,0))),0))</f>
        <v>4800</v>
      </c>
      <c r="BM116" s="56">
        <f>IF(BM$2=Payroll!$I31,Payroll!$F31,IF(BM$2&gt;Payroll!$I31,Payroll!$F31*((1+Payroll!$J31)^(ROUNDDOWN(DATEDIF(Payroll!$I31,BM$2,"M")/Payroll!$K31,0))),0))</f>
        <v>4800</v>
      </c>
      <c r="BN116" s="56">
        <f>IF(BN$2=Payroll!$I31,Payroll!$F31,IF(BN$2&gt;Payroll!$I31,Payroll!$F31*((1+Payroll!$J31)^(ROUNDDOWN(DATEDIF(Payroll!$I31,BN$2,"M")/Payroll!$K31,0))),0))</f>
        <v>4992</v>
      </c>
      <c r="BO116" s="56">
        <f>IF(BO$2=Payroll!$I31,Payroll!$F31,IF(BO$2&gt;Payroll!$I31,Payroll!$F31*((1+Payroll!$J31)^(ROUNDDOWN(DATEDIF(Payroll!$I31,BO$2,"M")/Payroll!$K31,0))),0))</f>
        <v>4992</v>
      </c>
      <c r="BP116" s="56">
        <f>IF(BP$2=Payroll!$I31,Payroll!$F31,IF(BP$2&gt;Payroll!$I31,Payroll!$F31*((1+Payroll!$J31)^(ROUNDDOWN(DATEDIF(Payroll!$I31,BP$2,"M")/Payroll!$K31,0))),0))</f>
        <v>4992</v>
      </c>
      <c r="BQ116" s="56">
        <f>IF(BQ$2=Payroll!$I31,Payroll!$F31,IF(BQ$2&gt;Payroll!$I31,Payroll!$F31*((1+Payroll!$J31)^(ROUNDDOWN(DATEDIF(Payroll!$I31,BQ$2,"M")/Payroll!$K31,0))),0))</f>
        <v>4992</v>
      </c>
      <c r="BR116" s="56">
        <f>IF(BR$2=Payroll!$I31,Payroll!$F31,IF(BR$2&gt;Payroll!$I31,Payroll!$F31*((1+Payroll!$J31)^(ROUNDDOWN(DATEDIF(Payroll!$I31,BR$2,"M")/Payroll!$K31,0))),0))</f>
        <v>4992</v>
      </c>
      <c r="BS116" s="56">
        <f>IF(BS$2=Payroll!$I31,Payroll!$F31,IF(BS$2&gt;Payroll!$I31,Payroll!$F31*((1+Payroll!$J31)^(ROUNDDOWN(DATEDIF(Payroll!$I31,BS$2,"M")/Payroll!$K31,0))),0))</f>
        <v>4992</v>
      </c>
      <c r="BT116" s="56">
        <f>IF(BT$2=Payroll!$I31,Payroll!$F31,IF(BT$2&gt;Payroll!$I31,Payroll!$F31*((1+Payroll!$J31)^(ROUNDDOWN(DATEDIF(Payroll!$I31,BT$2,"M")/Payroll!$K31,0))),0))</f>
        <v>4992</v>
      </c>
      <c r="BU116" s="56">
        <f>IF(BU$2=Payroll!$I31,Payroll!$F31,IF(BU$2&gt;Payroll!$I31,Payroll!$F31*((1+Payroll!$J31)^(ROUNDDOWN(DATEDIF(Payroll!$I31,BU$2,"M")/Payroll!$K31,0))),0))</f>
        <v>4992</v>
      </c>
      <c r="BV116" s="56">
        <f>IF(BV$2=Payroll!$I31,Payroll!$F31,IF(BV$2&gt;Payroll!$I31,Payroll!$F31*((1+Payroll!$J31)^(ROUNDDOWN(DATEDIF(Payroll!$I31,BV$2,"M")/Payroll!$K31,0))),0))</f>
        <v>4992</v>
      </c>
      <c r="BW116" s="56">
        <f>IF(BW$2=Payroll!$I31,Payroll!$F31,IF(BW$2&gt;Payroll!$I31,Payroll!$F31*((1+Payroll!$J31)^(ROUNDDOWN(DATEDIF(Payroll!$I31,BW$2,"M")/Payroll!$K31,0))),0))</f>
        <v>4992</v>
      </c>
      <c r="BX116" s="56">
        <f>IF(BX$2=Payroll!$I31,Payroll!$F31,IF(BX$2&gt;Payroll!$I31,Payroll!$F31*((1+Payroll!$J31)^(ROUNDDOWN(DATEDIF(Payroll!$I31,BX$2,"M")/Payroll!$K31,0))),0))</f>
        <v>4992</v>
      </c>
      <c r="BY116" s="56">
        <f>IF(BY$2=Payroll!$I31,Payroll!$F31,IF(BY$2&gt;Payroll!$I31,Payroll!$F31*((1+Payroll!$J31)^(ROUNDDOWN(DATEDIF(Payroll!$I31,BY$2,"M")/Payroll!$K31,0))),0))</f>
        <v>4992</v>
      </c>
      <c r="BZ116" s="56">
        <f>IF(BZ$2=Payroll!$I31,Payroll!$F31,IF(BZ$2&gt;Payroll!$I31,Payroll!$F31*((1+Payroll!$J31)^(ROUNDDOWN(DATEDIF(Payroll!$I31,BZ$2,"M")/Payroll!$K31,0))),0))</f>
        <v>5191.68</v>
      </c>
      <c r="CA116" s="56">
        <f>IF(CA$2=Payroll!$I31,Payroll!$F31,IF(CA$2&gt;Payroll!$I31,Payroll!$F31*((1+Payroll!$J31)^(ROUNDDOWN(DATEDIF(Payroll!$I31,CA$2,"M")/Payroll!$K31,0))),0))</f>
        <v>5191.68</v>
      </c>
      <c r="CB116" s="56">
        <f>IF(CB$2=Payroll!$I31,Payroll!$F31,IF(CB$2&gt;Payroll!$I31,Payroll!$F31*((1+Payroll!$J31)^(ROUNDDOWN(DATEDIF(Payroll!$I31,CB$2,"M")/Payroll!$K31,0))),0))</f>
        <v>5191.68</v>
      </c>
      <c r="CC116" s="56">
        <f>IF(CC$2=Payroll!$I31,Payroll!$F31,IF(CC$2&gt;Payroll!$I31,Payroll!$F31*((1+Payroll!$J31)^(ROUNDDOWN(DATEDIF(Payroll!$I31,CC$2,"M")/Payroll!$K31,0))),0))</f>
        <v>5191.68</v>
      </c>
      <c r="CD116" s="56">
        <f>IF(CD$2=Payroll!$I31,Payroll!$F31,IF(CD$2&gt;Payroll!$I31,Payroll!$F31*((1+Payroll!$J31)^(ROUNDDOWN(DATEDIF(Payroll!$I31,CD$2,"M")/Payroll!$K31,0))),0))</f>
        <v>5191.68</v>
      </c>
      <c r="CE116" s="56">
        <f>IF(CE$2=Payroll!$I31,Payroll!$F31,IF(CE$2&gt;Payroll!$I31,Payroll!$F31*((1+Payroll!$J31)^(ROUNDDOWN(DATEDIF(Payroll!$I31,CE$2,"M")/Payroll!$K31,0))),0))</f>
        <v>5191.68</v>
      </c>
      <c r="CF116" s="56">
        <f>IF(CF$2=Payroll!$I31,Payroll!$F31,IF(CF$2&gt;Payroll!$I31,Payroll!$F31*((1+Payroll!$J31)^(ROUNDDOWN(DATEDIF(Payroll!$I31,CF$2,"M")/Payroll!$K31,0))),0))</f>
        <v>5191.68</v>
      </c>
      <c r="CG116" s="56">
        <f>IF(CG$2=Payroll!$I31,Payroll!$F31,IF(CG$2&gt;Payroll!$I31,Payroll!$F31*((1+Payroll!$J31)^(ROUNDDOWN(DATEDIF(Payroll!$I31,CG$2,"M")/Payroll!$K31,0))),0))</f>
        <v>5191.68</v>
      </c>
      <c r="CH116" s="56">
        <f>IF(CH$2=Payroll!$I31,Payroll!$F31,IF(CH$2&gt;Payroll!$I31,Payroll!$F31*((1+Payroll!$J31)^(ROUNDDOWN(DATEDIF(Payroll!$I31,CH$2,"M")/Payroll!$K31,0))),0))</f>
        <v>5191.68</v>
      </c>
      <c r="CI116" s="56">
        <f>IF(CI$2=Payroll!$I31,Payroll!$F31,IF(CI$2&gt;Payroll!$I31,Payroll!$F31*((1+Payroll!$J31)^(ROUNDDOWN(DATEDIF(Payroll!$I31,CI$2,"M")/Payroll!$K31,0))),0))</f>
        <v>5191.68</v>
      </c>
      <c r="CJ116" s="56">
        <f>IF(CJ$2=Payroll!$I31,Payroll!$F31,IF(CJ$2&gt;Payroll!$I31,Payroll!$F31*((1+Payroll!$J31)^(ROUNDDOWN(DATEDIF(Payroll!$I31,CJ$2,"M")/Payroll!$K31,0))),0))</f>
        <v>5191.68</v>
      </c>
      <c r="CK116" s="56">
        <f>IF(CK$2=Payroll!$I31,Payroll!$F31,IF(CK$2&gt;Payroll!$I31,Payroll!$F31*((1+Payroll!$J31)^(ROUNDDOWN(DATEDIF(Payroll!$I31,CK$2,"M")/Payroll!$K31,0))),0))</f>
        <v>5191.68</v>
      </c>
      <c r="CL116" s="56">
        <f>IF(CL$2=Payroll!$I31,Payroll!$F31,IF(CL$2&gt;Payroll!$I31,Payroll!$F31*((1+Payroll!$J31)^(ROUNDDOWN(DATEDIF(Payroll!$I31,CL$2,"M")/Payroll!$K31,0))),0))</f>
        <v>5399.3472</v>
      </c>
      <c r="CM116" s="56">
        <f>IF(CM$2=Payroll!$I31,Payroll!$F31,IF(CM$2&gt;Payroll!$I31,Payroll!$F31*((1+Payroll!$J31)^(ROUNDDOWN(DATEDIF(Payroll!$I31,CM$2,"M")/Payroll!$K31,0))),0))</f>
        <v>5399.3472</v>
      </c>
      <c r="CN116" s="56">
        <f>IF(CN$2=Payroll!$I31,Payroll!$F31,IF(CN$2&gt;Payroll!$I31,Payroll!$F31*((1+Payroll!$J31)^(ROUNDDOWN(DATEDIF(Payroll!$I31,CN$2,"M")/Payroll!$K31,0))),0))</f>
        <v>5399.3472</v>
      </c>
      <c r="CO116" s="56">
        <f>IF(CO$2=Payroll!$I31,Payroll!$F31,IF(CO$2&gt;Payroll!$I31,Payroll!$F31*((1+Payroll!$J31)^(ROUNDDOWN(DATEDIF(Payroll!$I31,CO$2,"M")/Payroll!$K31,0))),0))</f>
        <v>5399.3472</v>
      </c>
      <c r="CP116" s="56">
        <f>IF(CP$2=Payroll!$I31,Payroll!$F31,IF(CP$2&gt;Payroll!$I31,Payroll!$F31*((1+Payroll!$J31)^(ROUNDDOWN(DATEDIF(Payroll!$I31,CP$2,"M")/Payroll!$K31,0))),0))</f>
        <v>5399.3472</v>
      </c>
      <c r="CQ116" s="56">
        <f>IF(CQ$2=Payroll!$I31,Payroll!$F31,IF(CQ$2&gt;Payroll!$I31,Payroll!$F31*((1+Payroll!$J31)^(ROUNDDOWN(DATEDIF(Payroll!$I31,CQ$2,"M")/Payroll!$K31,0))),0))</f>
        <v>5399.3472</v>
      </c>
      <c r="CR116" s="56">
        <f>IF(CR$2=Payroll!$I31,Payroll!$F31,IF(CR$2&gt;Payroll!$I31,Payroll!$F31*((1+Payroll!$J31)^(ROUNDDOWN(DATEDIF(Payroll!$I31,CR$2,"M")/Payroll!$K31,0))),0))</f>
        <v>5399.3472</v>
      </c>
      <c r="CS116" s="56">
        <f>IF(CS$2=Payroll!$I31,Payroll!$F31,IF(CS$2&gt;Payroll!$I31,Payroll!$F31*((1+Payroll!$J31)^(ROUNDDOWN(DATEDIF(Payroll!$I31,CS$2,"M")/Payroll!$K31,0))),0))</f>
        <v>5399.3472</v>
      </c>
      <c r="CT116" s="56">
        <f>IF(CT$2=Payroll!$I31,Payroll!$F31,IF(CT$2&gt;Payroll!$I31,Payroll!$F31*((1+Payroll!$J31)^(ROUNDDOWN(DATEDIF(Payroll!$I31,CT$2,"M")/Payroll!$K31,0))),0))</f>
        <v>5399.3472</v>
      </c>
      <c r="CU116" s="56">
        <f>IF(CU$2=Payroll!$I31,Payroll!$F31,IF(CU$2&gt;Payroll!$I31,Payroll!$F31*((1+Payroll!$J31)^(ROUNDDOWN(DATEDIF(Payroll!$I31,CU$2,"M")/Payroll!$K31,0))),0))</f>
        <v>5399.3472</v>
      </c>
      <c r="CV116" s="56">
        <f>IF(CV$2=Payroll!$I31,Payroll!$F31,IF(CV$2&gt;Payroll!$I31,Payroll!$F31*((1+Payroll!$J31)^(ROUNDDOWN(DATEDIF(Payroll!$I31,CV$2,"M")/Payroll!$K31,0))),0))</f>
        <v>5399.3472</v>
      </c>
      <c r="CW116" s="56">
        <f>IF(CW$2=Payroll!$I31,Payroll!$F31,IF(CW$2&gt;Payroll!$I31,Payroll!$F31*((1+Payroll!$J31)^(ROUNDDOWN(DATEDIF(Payroll!$I31,CW$2,"M")/Payroll!$K31,0))),0))</f>
        <v>5399.3472</v>
      </c>
      <c r="CX116" s="56">
        <f>IF(CX$2=Payroll!$I31,Payroll!$F31,IF(CX$2&gt;Payroll!$I31,Payroll!$F31*((1+Payroll!$J31)^(ROUNDDOWN(DATEDIF(Payroll!$I31,CX$2,"M")/Payroll!$K31,0))),0))</f>
        <v>5615.321088</v>
      </c>
    </row>
    <row r="117" ht="15.75" customHeight="1" outlineLevel="2">
      <c r="A117" s="56" t="str">
        <f>Payroll!A32</f>
        <v>Content Marketing Manager</v>
      </c>
      <c r="B117" s="56"/>
      <c r="C117" s="56"/>
      <c r="D117" s="56"/>
      <c r="E117" s="56">
        <f>IF(E$2=Payroll!$I32,Payroll!$F32,IF(E$2&gt;Payroll!$I32,Payroll!$F32*((1+Payroll!$J32)^(ROUNDDOWN(DATEDIF(Payroll!$I32,E$2,"M")/Payroll!$K32,0))),0))</f>
        <v>0</v>
      </c>
      <c r="F117" s="56">
        <f>IF(F$2=Payroll!$I32,Payroll!$F32,IF(F$2&gt;Payroll!$I32,Payroll!$F32*((1+Payroll!$J32)^(ROUNDDOWN(DATEDIF(Payroll!$I32,F$2,"M")/Payroll!$K32,0))),0))</f>
        <v>0</v>
      </c>
      <c r="G117" s="56">
        <f>IF(G$2=Payroll!$I32,Payroll!$F32,IF(G$2&gt;Payroll!$I32,Payroll!$F32*((1+Payroll!$J32)^(ROUNDDOWN(DATEDIF(Payroll!$I32,G$2,"M")/Payroll!$K32,0))),0))</f>
        <v>0</v>
      </c>
      <c r="H117" s="56">
        <f>IF(H$2=Payroll!$I32,Payroll!$F32,IF(H$2&gt;Payroll!$I32,Payroll!$F32*((1+Payroll!$J32)^(ROUNDDOWN(DATEDIF(Payroll!$I32,H$2,"M")/Payroll!$K32,0))),0))</f>
        <v>0</v>
      </c>
      <c r="I117" s="56">
        <f>IF(I$2=Payroll!$I32,Payroll!$F32,IF(I$2&gt;Payroll!$I32,Payroll!$F32*((1+Payroll!$J32)^(ROUNDDOWN(DATEDIF(Payroll!$I32,I$2,"M")/Payroll!$K32,0))),0))</f>
        <v>0</v>
      </c>
      <c r="J117" s="56">
        <f>IF(J$2=Payroll!$I32,Payroll!$F32,IF(J$2&gt;Payroll!$I32,Payroll!$F32*((1+Payroll!$J32)^(ROUNDDOWN(DATEDIF(Payroll!$I32,J$2,"M")/Payroll!$K32,0))),0))</f>
        <v>0</v>
      </c>
      <c r="K117" s="56">
        <f>IF(K$2=Payroll!$I32,Payroll!$F32,IF(K$2&gt;Payroll!$I32,Payroll!$F32*((1+Payroll!$J32)^(ROUNDDOWN(DATEDIF(Payroll!$I32,K$2,"M")/Payroll!$K32,0))),0))</f>
        <v>0</v>
      </c>
      <c r="L117" s="56">
        <f>IF(L$2=Payroll!$I32,Payroll!$F32,IF(L$2&gt;Payroll!$I32,Payroll!$F32*((1+Payroll!$J32)^(ROUNDDOWN(DATEDIF(Payroll!$I32,L$2,"M")/Payroll!$K32,0))),0))</f>
        <v>0</v>
      </c>
      <c r="M117" s="56">
        <f>IF(M$2=Payroll!$I32,Payroll!$F32,IF(M$2&gt;Payroll!$I32,Payroll!$F32*((1+Payroll!$J32)^(ROUNDDOWN(DATEDIF(Payroll!$I32,M$2,"M")/Payroll!$K32,0))),0))</f>
        <v>0</v>
      </c>
      <c r="N117" s="56">
        <f>IF(N$2=Payroll!$I32,Payroll!$F32,IF(N$2&gt;Payroll!$I32,Payroll!$F32*((1+Payroll!$J32)^(ROUNDDOWN(DATEDIF(Payroll!$I32,N$2,"M")/Payroll!$K32,0))),0))</f>
        <v>0</v>
      </c>
      <c r="O117" s="56">
        <f>IF(O$2=Payroll!$I32,Payroll!$F32,IF(O$2&gt;Payroll!$I32,Payroll!$F32*((1+Payroll!$J32)^(ROUNDDOWN(DATEDIF(Payroll!$I32,O$2,"M")/Payroll!$K32,0))),0))</f>
        <v>0</v>
      </c>
      <c r="P117" s="56">
        <f>IF(P$2=Payroll!$I32,Payroll!$F32,IF(P$2&gt;Payroll!$I32,Payroll!$F32*((1+Payroll!$J32)^(ROUNDDOWN(DATEDIF(Payroll!$I32,P$2,"M")/Payroll!$K32,0))),0))</f>
        <v>0</v>
      </c>
      <c r="Q117" s="56">
        <f>IF(Q$2=Payroll!$I32,Payroll!$F32,IF(Q$2&gt;Payroll!$I32,Payroll!$F32*((1+Payroll!$J32)^(ROUNDDOWN(DATEDIF(Payroll!$I32,Q$2,"M")/Payroll!$K32,0))),0))</f>
        <v>0</v>
      </c>
      <c r="R117" s="56">
        <f>IF(R$2=Payroll!$I32,Payroll!$F32,IF(R$2&gt;Payroll!$I32,Payroll!$F32*((1+Payroll!$J32)^(ROUNDDOWN(DATEDIF(Payroll!$I32,R$2,"M")/Payroll!$K32,0))),0))</f>
        <v>0</v>
      </c>
      <c r="S117" s="56">
        <f>IF(S$2=Payroll!$I32,Payroll!$F32,IF(S$2&gt;Payroll!$I32,Payroll!$F32*((1+Payroll!$J32)^(ROUNDDOWN(DATEDIF(Payroll!$I32,S$2,"M")/Payroll!$K32,0))),0))</f>
        <v>0</v>
      </c>
      <c r="T117" s="56">
        <f>IF(T$2=Payroll!$I32,Payroll!$F32,IF(T$2&gt;Payroll!$I32,Payroll!$F32*((1+Payroll!$J32)^(ROUNDDOWN(DATEDIF(Payroll!$I32,T$2,"M")/Payroll!$K32,0))),0))</f>
        <v>0</v>
      </c>
      <c r="U117" s="56">
        <f>IF(U$2=Payroll!$I32,Payroll!$F32,IF(U$2&gt;Payroll!$I32,Payroll!$F32*((1+Payroll!$J32)^(ROUNDDOWN(DATEDIF(Payroll!$I32,U$2,"M")/Payroll!$K32,0))),0))</f>
        <v>0</v>
      </c>
      <c r="V117" s="56">
        <f>IF(V$2=Payroll!$I32,Payroll!$F32,IF(V$2&gt;Payroll!$I32,Payroll!$F32*((1+Payroll!$J32)^(ROUNDDOWN(DATEDIF(Payroll!$I32,V$2,"M")/Payroll!$K32,0))),0))</f>
        <v>0</v>
      </c>
      <c r="W117" s="56">
        <f>IF(W$2=Payroll!$I32,Payroll!$F32,IF(W$2&gt;Payroll!$I32,Payroll!$F32*((1+Payroll!$J32)^(ROUNDDOWN(DATEDIF(Payroll!$I32,W$2,"M")/Payroll!$K32,0))),0))</f>
        <v>0</v>
      </c>
      <c r="X117" s="56">
        <f>IF(X$2=Payroll!$I32,Payroll!$F32,IF(X$2&gt;Payroll!$I32,Payroll!$F32*((1+Payroll!$J32)^(ROUNDDOWN(DATEDIF(Payroll!$I32,X$2,"M")/Payroll!$K32,0))),0))</f>
        <v>0</v>
      </c>
      <c r="Y117" s="56">
        <f>IF(Y$2=Payroll!$I32,Payroll!$F32,IF(Y$2&gt;Payroll!$I32,Payroll!$F32*((1+Payroll!$J32)^(ROUNDDOWN(DATEDIF(Payroll!$I32,Y$2,"M")/Payroll!$K32,0))),0))</f>
        <v>0</v>
      </c>
      <c r="Z117" s="56">
        <f>IF(Z$2=Payroll!$I32,Payroll!$F32,IF(Z$2&gt;Payroll!$I32,Payroll!$F32*((1+Payroll!$J32)^(ROUNDDOWN(DATEDIF(Payroll!$I32,Z$2,"M")/Payroll!$K32,0))),0))</f>
        <v>0</v>
      </c>
      <c r="AA117" s="56">
        <f>IF(AA$2=Payroll!$I32,Payroll!$F32,IF(AA$2&gt;Payroll!$I32,Payroll!$F32*((1+Payroll!$J32)^(ROUNDDOWN(DATEDIF(Payroll!$I32,AA$2,"M")/Payroll!$K32,0))),0))</f>
        <v>0</v>
      </c>
      <c r="AB117" s="56">
        <f>IF(AB$2=Payroll!$I32,Payroll!$F32,IF(AB$2&gt;Payroll!$I32,Payroll!$F32*((1+Payroll!$J32)^(ROUNDDOWN(DATEDIF(Payroll!$I32,AB$2,"M")/Payroll!$K32,0))),0))</f>
        <v>0</v>
      </c>
      <c r="AC117" s="56">
        <f>IF(AC$2=Payroll!$I32,Payroll!$F32,IF(AC$2&gt;Payroll!$I32,Payroll!$F32*((1+Payroll!$J32)^(ROUNDDOWN(DATEDIF(Payroll!$I32,AC$2,"M")/Payroll!$K32,0))),0))</f>
        <v>0</v>
      </c>
      <c r="AD117" s="56">
        <f>IF(AD$2=Payroll!$I32,Payroll!$F32,IF(AD$2&gt;Payroll!$I32,Payroll!$F32*((1+Payroll!$J32)^(ROUNDDOWN(DATEDIF(Payroll!$I32,AD$2,"M")/Payroll!$K32,0))),0))</f>
        <v>0</v>
      </c>
      <c r="AE117" s="56">
        <f>IF(AE$2=Payroll!$I32,Payroll!$F32,IF(AE$2&gt;Payroll!$I32,Payroll!$F32*((1+Payroll!$J32)^(ROUNDDOWN(DATEDIF(Payroll!$I32,AE$2,"M")/Payroll!$K32,0))),0))</f>
        <v>0</v>
      </c>
      <c r="AF117" s="56">
        <f>IF(AF$2=Payroll!$I32,Payroll!$F32,IF(AF$2&gt;Payroll!$I32,Payroll!$F32*((1+Payroll!$J32)^(ROUNDDOWN(DATEDIF(Payroll!$I32,AF$2,"M")/Payroll!$K32,0))),0))</f>
        <v>0</v>
      </c>
      <c r="AG117" s="56">
        <f>IF(AG$2=Payroll!$I32,Payroll!$F32,IF(AG$2&gt;Payroll!$I32,Payroll!$F32*((1+Payroll!$J32)^(ROUNDDOWN(DATEDIF(Payroll!$I32,AG$2,"M")/Payroll!$K32,0))),0))</f>
        <v>0</v>
      </c>
      <c r="AH117" s="56">
        <f>IF(AH$2=Payroll!$I32,Payroll!$F32,IF(AH$2&gt;Payroll!$I32,Payroll!$F32*((1+Payroll!$J32)^(ROUNDDOWN(DATEDIF(Payroll!$I32,AH$2,"M")/Payroll!$K32,0))),0))</f>
        <v>0</v>
      </c>
      <c r="AI117" s="56">
        <f>IF(AI$2=Payroll!$I32,Payroll!$F32,IF(AI$2&gt;Payroll!$I32,Payroll!$F32*((1+Payroll!$J32)^(ROUNDDOWN(DATEDIF(Payroll!$I32,AI$2,"M")/Payroll!$K32,0))),0))</f>
        <v>0</v>
      </c>
      <c r="AJ117" s="56">
        <f>IF(AJ$2=Payroll!$I32,Payroll!$F32,IF(AJ$2&gt;Payroll!$I32,Payroll!$F32*((1+Payroll!$J32)^(ROUNDDOWN(DATEDIF(Payroll!$I32,AJ$2,"M")/Payroll!$K32,0))),0))</f>
        <v>0</v>
      </c>
      <c r="AK117" s="56">
        <f>IF(AK$2=Payroll!$I32,Payroll!$F32,IF(AK$2&gt;Payroll!$I32,Payroll!$F32*((1+Payroll!$J32)^(ROUNDDOWN(DATEDIF(Payroll!$I32,AK$2,"M")/Payroll!$K32,0))),0))</f>
        <v>0</v>
      </c>
      <c r="AL117" s="56">
        <f>IF(AL$2=Payroll!$I32,Payroll!$F32,IF(AL$2&gt;Payroll!$I32,Payroll!$F32*((1+Payroll!$J32)^(ROUNDDOWN(DATEDIF(Payroll!$I32,AL$2,"M")/Payroll!$K32,0))),0))</f>
        <v>0</v>
      </c>
      <c r="AM117" s="56">
        <f>IF(AM$2=Payroll!$I32,Payroll!$F32,IF(AM$2&gt;Payroll!$I32,Payroll!$F32*((1+Payroll!$J32)^(ROUNDDOWN(DATEDIF(Payroll!$I32,AM$2,"M")/Payroll!$K32,0))),0))</f>
        <v>0</v>
      </c>
      <c r="AN117" s="56">
        <f>IF(AN$2=Payroll!$I32,Payroll!$F32,IF(AN$2&gt;Payroll!$I32,Payroll!$F32*((1+Payroll!$J32)^(ROUNDDOWN(DATEDIF(Payroll!$I32,AN$2,"M")/Payroll!$K32,0))),0))</f>
        <v>0</v>
      </c>
      <c r="AO117" s="56">
        <f>IF(AO$2=Payroll!$I32,Payroll!$F32,IF(AO$2&gt;Payroll!$I32,Payroll!$F32*((1+Payroll!$J32)^(ROUNDDOWN(DATEDIF(Payroll!$I32,AO$2,"M")/Payroll!$K32,0))),0))</f>
        <v>0</v>
      </c>
      <c r="AP117" s="56">
        <f>IF(AP$2=Payroll!$I32,Payroll!$F32,IF(AP$2&gt;Payroll!$I32,Payroll!$F32*((1+Payroll!$J32)^(ROUNDDOWN(DATEDIF(Payroll!$I32,AP$2,"M")/Payroll!$K32,0))),0))</f>
        <v>0</v>
      </c>
      <c r="AQ117" s="56">
        <f>IF(AQ$2=Payroll!$I32,Payroll!$F32,IF(AQ$2&gt;Payroll!$I32,Payroll!$F32*((1+Payroll!$J32)^(ROUNDDOWN(DATEDIF(Payroll!$I32,AQ$2,"M")/Payroll!$K32,0))),0))</f>
        <v>0</v>
      </c>
      <c r="AR117" s="56">
        <f>IF(AR$2=Payroll!$I32,Payroll!$F32,IF(AR$2&gt;Payroll!$I32,Payroll!$F32*((1+Payroll!$J32)^(ROUNDDOWN(DATEDIF(Payroll!$I32,AR$2,"M")/Payroll!$K32,0))),0))</f>
        <v>0</v>
      </c>
      <c r="AS117" s="56">
        <f>IF(AS$2=Payroll!$I32,Payroll!$F32,IF(AS$2&gt;Payroll!$I32,Payroll!$F32*((1+Payroll!$J32)^(ROUNDDOWN(DATEDIF(Payroll!$I32,AS$2,"M")/Payroll!$K32,0))),0))</f>
        <v>0</v>
      </c>
      <c r="AT117" s="56">
        <f>IF(AT$2=Payroll!$I32,Payroll!$F32,IF(AT$2&gt;Payroll!$I32,Payroll!$F32*((1+Payroll!$J32)^(ROUNDDOWN(DATEDIF(Payroll!$I32,AT$2,"M")/Payroll!$K32,0))),0))</f>
        <v>0</v>
      </c>
      <c r="AU117" s="56">
        <f>IF(AU$2=Payroll!$I32,Payroll!$F32,IF(AU$2&gt;Payroll!$I32,Payroll!$F32*((1+Payroll!$J32)^(ROUNDDOWN(DATEDIF(Payroll!$I32,AU$2,"M")/Payroll!$K32,0))),0))</f>
        <v>0</v>
      </c>
      <c r="AV117" s="56">
        <f>IF(AV$2=Payroll!$I32,Payroll!$F32,IF(AV$2&gt;Payroll!$I32,Payroll!$F32*((1+Payroll!$J32)^(ROUNDDOWN(DATEDIF(Payroll!$I32,AV$2,"M")/Payroll!$K32,0))),0))</f>
        <v>0</v>
      </c>
      <c r="AW117" s="56">
        <f>IF(AW$2=Payroll!$I32,Payroll!$F32,IF(AW$2&gt;Payroll!$I32,Payroll!$F32*((1+Payroll!$J32)^(ROUNDDOWN(DATEDIF(Payroll!$I32,AW$2,"M")/Payroll!$K32,0))),0))</f>
        <v>0</v>
      </c>
      <c r="AX117" s="56">
        <f>IF(AX$2=Payroll!$I32,Payroll!$F32,IF(AX$2&gt;Payroll!$I32,Payroll!$F32*((1+Payroll!$J32)^(ROUNDDOWN(DATEDIF(Payroll!$I32,AX$2,"M")/Payroll!$K32,0))),0))</f>
        <v>0</v>
      </c>
      <c r="AY117" s="56">
        <f>IF(AY$2=Payroll!$I32,Payroll!$F32,IF(AY$2&gt;Payroll!$I32,Payroll!$F32*((1+Payroll!$J32)^(ROUNDDOWN(DATEDIF(Payroll!$I32,AY$2,"M")/Payroll!$K32,0))),0))</f>
        <v>0</v>
      </c>
      <c r="AZ117" s="56">
        <f>IF(AZ$2=Payroll!$I32,Payroll!$F32,IF(AZ$2&gt;Payroll!$I32,Payroll!$F32*((1+Payroll!$J32)^(ROUNDDOWN(DATEDIF(Payroll!$I32,AZ$2,"M")/Payroll!$K32,0))),0))</f>
        <v>0</v>
      </c>
      <c r="BA117" s="56">
        <f>IF(BA$2=Payroll!$I32,Payroll!$F32,IF(BA$2&gt;Payroll!$I32,Payroll!$F32*((1+Payroll!$J32)^(ROUNDDOWN(DATEDIF(Payroll!$I32,BA$2,"M")/Payroll!$K32,0))),0))</f>
        <v>0</v>
      </c>
      <c r="BB117" s="56">
        <f>IF(BB$2=Payroll!$I32,Payroll!$F32,IF(BB$2&gt;Payroll!$I32,Payroll!$F32*((1+Payroll!$J32)^(ROUNDDOWN(DATEDIF(Payroll!$I32,BB$2,"M")/Payroll!$K32,0))),0))</f>
        <v>0</v>
      </c>
      <c r="BC117" s="56">
        <f>IF(BC$2=Payroll!$I32,Payroll!$F32,IF(BC$2&gt;Payroll!$I32,Payroll!$F32*((1+Payroll!$J32)^(ROUNDDOWN(DATEDIF(Payroll!$I32,BC$2,"M")/Payroll!$K32,0))),0))</f>
        <v>0</v>
      </c>
      <c r="BD117" s="56">
        <f>IF(BD$2=Payroll!$I32,Payroll!$F32,IF(BD$2&gt;Payroll!$I32,Payroll!$F32*((1+Payroll!$J32)^(ROUNDDOWN(DATEDIF(Payroll!$I32,BD$2,"M")/Payroll!$K32,0))),0))</f>
        <v>0</v>
      </c>
      <c r="BE117" s="56">
        <f>IF(BE$2=Payroll!$I32,Payroll!$F32,IF(BE$2&gt;Payroll!$I32,Payroll!$F32*((1+Payroll!$J32)^(ROUNDDOWN(DATEDIF(Payroll!$I32,BE$2,"M")/Payroll!$K32,0))),0))</f>
        <v>0</v>
      </c>
      <c r="BF117" s="56">
        <f>IF(BF$2=Payroll!$I32,Payroll!$F32,IF(BF$2&gt;Payroll!$I32,Payroll!$F32*((1+Payroll!$J32)^(ROUNDDOWN(DATEDIF(Payroll!$I32,BF$2,"M")/Payroll!$K32,0))),0))</f>
        <v>0</v>
      </c>
      <c r="BG117" s="56">
        <f>IF(BG$2=Payroll!$I32,Payroll!$F32,IF(BG$2&gt;Payroll!$I32,Payroll!$F32*((1+Payroll!$J32)^(ROUNDDOWN(DATEDIF(Payroll!$I32,BG$2,"M")/Payroll!$K32,0))),0))</f>
        <v>0</v>
      </c>
      <c r="BH117" s="56">
        <f>IF(BH$2=Payroll!$I32,Payroll!$F32,IF(BH$2&gt;Payroll!$I32,Payroll!$F32*((1+Payroll!$J32)^(ROUNDDOWN(DATEDIF(Payroll!$I32,BH$2,"M")/Payroll!$K32,0))),0))</f>
        <v>0</v>
      </c>
      <c r="BI117" s="56">
        <f>IF(BI$2=Payroll!$I32,Payroll!$F32,IF(BI$2&gt;Payroll!$I32,Payroll!$F32*((1+Payroll!$J32)^(ROUNDDOWN(DATEDIF(Payroll!$I32,BI$2,"M")/Payroll!$K32,0))),0))</f>
        <v>0</v>
      </c>
      <c r="BJ117" s="56">
        <f>IF(BJ$2=Payroll!$I32,Payroll!$F32,IF(BJ$2&gt;Payroll!$I32,Payroll!$F32*((1+Payroll!$J32)^(ROUNDDOWN(DATEDIF(Payroll!$I32,BJ$2,"M")/Payroll!$K32,0))),0))</f>
        <v>0</v>
      </c>
      <c r="BK117" s="56">
        <f>IF(BK$2=Payroll!$I32,Payroll!$F32,IF(BK$2&gt;Payroll!$I32,Payroll!$F32*((1+Payroll!$J32)^(ROUNDDOWN(DATEDIF(Payroll!$I32,BK$2,"M")/Payroll!$K32,0))),0))</f>
        <v>0</v>
      </c>
      <c r="BL117" s="56">
        <f>IF(BL$2=Payroll!$I32,Payroll!$F32,IF(BL$2&gt;Payroll!$I32,Payroll!$F32*((1+Payroll!$J32)^(ROUNDDOWN(DATEDIF(Payroll!$I32,BL$2,"M")/Payroll!$K32,0))),0))</f>
        <v>0</v>
      </c>
      <c r="BM117" s="56">
        <f>IF(BM$2=Payroll!$I32,Payroll!$F32,IF(BM$2&gt;Payroll!$I32,Payroll!$F32*((1+Payroll!$J32)^(ROUNDDOWN(DATEDIF(Payroll!$I32,BM$2,"M")/Payroll!$K32,0))),0))</f>
        <v>0</v>
      </c>
      <c r="BN117" s="56">
        <f>IF(BN$2=Payroll!$I32,Payroll!$F32,IF(BN$2&gt;Payroll!$I32,Payroll!$F32*((1+Payroll!$J32)^(ROUNDDOWN(DATEDIF(Payroll!$I32,BN$2,"M")/Payroll!$K32,0))),0))</f>
        <v>0</v>
      </c>
      <c r="BO117" s="56">
        <f>IF(BO$2=Payroll!$I32,Payroll!$F32,IF(BO$2&gt;Payroll!$I32,Payroll!$F32*((1+Payroll!$J32)^(ROUNDDOWN(DATEDIF(Payroll!$I32,BO$2,"M")/Payroll!$K32,0))),0))</f>
        <v>0</v>
      </c>
      <c r="BP117" s="56">
        <f>IF(BP$2=Payroll!$I32,Payroll!$F32,IF(BP$2&gt;Payroll!$I32,Payroll!$F32*((1+Payroll!$J32)^(ROUNDDOWN(DATEDIF(Payroll!$I32,BP$2,"M")/Payroll!$K32,0))),0))</f>
        <v>0</v>
      </c>
      <c r="BQ117" s="56">
        <f>IF(BQ$2=Payroll!$I32,Payroll!$F32,IF(BQ$2&gt;Payroll!$I32,Payroll!$F32*((1+Payroll!$J32)^(ROUNDDOWN(DATEDIF(Payroll!$I32,BQ$2,"M")/Payroll!$K32,0))),0))</f>
        <v>0</v>
      </c>
      <c r="BR117" s="56">
        <f>IF(BR$2=Payroll!$I32,Payroll!$F32,IF(BR$2&gt;Payroll!$I32,Payroll!$F32*((1+Payroll!$J32)^(ROUNDDOWN(DATEDIF(Payroll!$I32,BR$2,"M")/Payroll!$K32,0))),0))</f>
        <v>0</v>
      </c>
      <c r="BS117" s="56">
        <f>IF(BS$2=Payroll!$I32,Payroll!$F32,IF(BS$2&gt;Payroll!$I32,Payroll!$F32*((1+Payroll!$J32)^(ROUNDDOWN(DATEDIF(Payroll!$I32,BS$2,"M")/Payroll!$K32,0))),0))</f>
        <v>0</v>
      </c>
      <c r="BT117" s="56">
        <f>IF(BT$2=Payroll!$I32,Payroll!$F32,IF(BT$2&gt;Payroll!$I32,Payroll!$F32*((1+Payroll!$J32)^(ROUNDDOWN(DATEDIF(Payroll!$I32,BT$2,"M")/Payroll!$K32,0))),0))</f>
        <v>0</v>
      </c>
      <c r="BU117" s="56">
        <f>IF(BU$2=Payroll!$I32,Payroll!$F32,IF(BU$2&gt;Payroll!$I32,Payroll!$F32*((1+Payroll!$J32)^(ROUNDDOWN(DATEDIF(Payroll!$I32,BU$2,"M")/Payroll!$K32,0))),0))</f>
        <v>0</v>
      </c>
      <c r="BV117" s="56">
        <f>IF(BV$2=Payroll!$I32,Payroll!$F32,IF(BV$2&gt;Payroll!$I32,Payroll!$F32*((1+Payroll!$J32)^(ROUNDDOWN(DATEDIF(Payroll!$I32,BV$2,"M")/Payroll!$K32,0))),0))</f>
        <v>0</v>
      </c>
      <c r="BW117" s="56">
        <f>IF(BW$2=Payroll!$I32,Payroll!$F32,IF(BW$2&gt;Payroll!$I32,Payroll!$F32*((1+Payroll!$J32)^(ROUNDDOWN(DATEDIF(Payroll!$I32,BW$2,"M")/Payroll!$K32,0))),0))</f>
        <v>0</v>
      </c>
      <c r="BX117" s="56">
        <f>IF(BX$2=Payroll!$I32,Payroll!$F32,IF(BX$2&gt;Payroll!$I32,Payroll!$F32*((1+Payroll!$J32)^(ROUNDDOWN(DATEDIF(Payroll!$I32,BX$2,"M")/Payroll!$K32,0))),0))</f>
        <v>0</v>
      </c>
      <c r="BY117" s="56">
        <f>IF(BY$2=Payroll!$I32,Payroll!$F32,IF(BY$2&gt;Payroll!$I32,Payroll!$F32*((1+Payroll!$J32)^(ROUNDDOWN(DATEDIF(Payroll!$I32,BY$2,"M")/Payroll!$K32,0))),0))</f>
        <v>0</v>
      </c>
      <c r="BZ117" s="56">
        <f>IF(BZ$2=Payroll!$I32,Payroll!$F32,IF(BZ$2&gt;Payroll!$I32,Payroll!$F32*((1+Payroll!$J32)^(ROUNDDOWN(DATEDIF(Payroll!$I32,BZ$2,"M")/Payroll!$K32,0))),0))</f>
        <v>0</v>
      </c>
      <c r="CA117" s="56">
        <f>IF(CA$2=Payroll!$I32,Payroll!$F32,IF(CA$2&gt;Payroll!$I32,Payroll!$F32*((1+Payroll!$J32)^(ROUNDDOWN(DATEDIF(Payroll!$I32,CA$2,"M")/Payroll!$K32,0))),0))</f>
        <v>0</v>
      </c>
      <c r="CB117" s="56">
        <f>IF(CB$2=Payroll!$I32,Payroll!$F32,IF(CB$2&gt;Payroll!$I32,Payroll!$F32*((1+Payroll!$J32)^(ROUNDDOWN(DATEDIF(Payroll!$I32,CB$2,"M")/Payroll!$K32,0))),0))</f>
        <v>0</v>
      </c>
      <c r="CC117" s="56">
        <f>IF(CC$2=Payroll!$I32,Payroll!$F32,IF(CC$2&gt;Payroll!$I32,Payroll!$F32*((1+Payroll!$J32)^(ROUNDDOWN(DATEDIF(Payroll!$I32,CC$2,"M")/Payroll!$K32,0))),0))</f>
        <v>0</v>
      </c>
      <c r="CD117" s="56">
        <f>IF(CD$2=Payroll!$I32,Payroll!$F32,IF(CD$2&gt;Payroll!$I32,Payroll!$F32*((1+Payroll!$J32)^(ROUNDDOWN(DATEDIF(Payroll!$I32,CD$2,"M")/Payroll!$K32,0))),0))</f>
        <v>0</v>
      </c>
      <c r="CE117" s="56">
        <f>IF(CE$2=Payroll!$I32,Payroll!$F32,IF(CE$2&gt;Payroll!$I32,Payroll!$F32*((1+Payroll!$J32)^(ROUNDDOWN(DATEDIF(Payroll!$I32,CE$2,"M")/Payroll!$K32,0))),0))</f>
        <v>0</v>
      </c>
      <c r="CF117" s="56">
        <f>IF(CF$2=Payroll!$I32,Payroll!$F32,IF(CF$2&gt;Payroll!$I32,Payroll!$F32*((1+Payroll!$J32)^(ROUNDDOWN(DATEDIF(Payroll!$I32,CF$2,"M")/Payroll!$K32,0))),0))</f>
        <v>0</v>
      </c>
      <c r="CG117" s="56">
        <f>IF(CG$2=Payroll!$I32,Payroll!$F32,IF(CG$2&gt;Payroll!$I32,Payroll!$F32*((1+Payroll!$J32)^(ROUNDDOWN(DATEDIF(Payroll!$I32,CG$2,"M")/Payroll!$K32,0))),0))</f>
        <v>0</v>
      </c>
      <c r="CH117" s="56">
        <f>IF(CH$2=Payroll!$I32,Payroll!$F32,IF(CH$2&gt;Payroll!$I32,Payroll!$F32*((1+Payroll!$J32)^(ROUNDDOWN(DATEDIF(Payroll!$I32,CH$2,"M")/Payroll!$K32,0))),0))</f>
        <v>0</v>
      </c>
      <c r="CI117" s="56">
        <f>IF(CI$2=Payroll!$I32,Payroll!$F32,IF(CI$2&gt;Payroll!$I32,Payroll!$F32*((1+Payroll!$J32)^(ROUNDDOWN(DATEDIF(Payroll!$I32,CI$2,"M")/Payroll!$K32,0))),0))</f>
        <v>0</v>
      </c>
      <c r="CJ117" s="56">
        <f>IF(CJ$2=Payroll!$I32,Payroll!$F32,IF(CJ$2&gt;Payroll!$I32,Payroll!$F32*((1+Payroll!$J32)^(ROUNDDOWN(DATEDIF(Payroll!$I32,CJ$2,"M")/Payroll!$K32,0))),0))</f>
        <v>0</v>
      </c>
      <c r="CK117" s="56">
        <f>IF(CK$2=Payroll!$I32,Payroll!$F32,IF(CK$2&gt;Payroll!$I32,Payroll!$F32*((1+Payroll!$J32)^(ROUNDDOWN(DATEDIF(Payroll!$I32,CK$2,"M")/Payroll!$K32,0))),0))</f>
        <v>0</v>
      </c>
      <c r="CL117" s="56">
        <f>IF(CL$2=Payroll!$I32,Payroll!$F32,IF(CL$2&gt;Payroll!$I32,Payroll!$F32*((1+Payroll!$J32)^(ROUNDDOWN(DATEDIF(Payroll!$I32,CL$2,"M")/Payroll!$K32,0))),0))</f>
        <v>0</v>
      </c>
      <c r="CM117" s="56">
        <f>IF(CM$2=Payroll!$I32,Payroll!$F32,IF(CM$2&gt;Payroll!$I32,Payroll!$F32*((1+Payroll!$J32)^(ROUNDDOWN(DATEDIF(Payroll!$I32,CM$2,"M")/Payroll!$K32,0))),0))</f>
        <v>0</v>
      </c>
      <c r="CN117" s="56">
        <f>IF(CN$2=Payroll!$I32,Payroll!$F32,IF(CN$2&gt;Payroll!$I32,Payroll!$F32*((1+Payroll!$J32)^(ROUNDDOWN(DATEDIF(Payroll!$I32,CN$2,"M")/Payroll!$K32,0))),0))</f>
        <v>0</v>
      </c>
      <c r="CO117" s="56">
        <f>IF(CO$2=Payroll!$I32,Payroll!$F32,IF(CO$2&gt;Payroll!$I32,Payroll!$F32*((1+Payroll!$J32)^(ROUNDDOWN(DATEDIF(Payroll!$I32,CO$2,"M")/Payroll!$K32,0))),0))</f>
        <v>0</v>
      </c>
      <c r="CP117" s="56">
        <f>IF(CP$2=Payroll!$I32,Payroll!$F32,IF(CP$2&gt;Payroll!$I32,Payroll!$F32*((1+Payroll!$J32)^(ROUNDDOWN(DATEDIF(Payroll!$I32,CP$2,"M")/Payroll!$K32,0))),0))</f>
        <v>0</v>
      </c>
      <c r="CQ117" s="56">
        <f>IF(CQ$2=Payroll!$I32,Payroll!$F32,IF(CQ$2&gt;Payroll!$I32,Payroll!$F32*((1+Payroll!$J32)^(ROUNDDOWN(DATEDIF(Payroll!$I32,CQ$2,"M")/Payroll!$K32,0))),0))</f>
        <v>0</v>
      </c>
      <c r="CR117" s="56">
        <f>IF(CR$2=Payroll!$I32,Payroll!$F32,IF(CR$2&gt;Payroll!$I32,Payroll!$F32*((1+Payroll!$J32)^(ROUNDDOWN(DATEDIF(Payroll!$I32,CR$2,"M")/Payroll!$K32,0))),0))</f>
        <v>0</v>
      </c>
      <c r="CS117" s="56">
        <f>IF(CS$2=Payroll!$I32,Payroll!$F32,IF(CS$2&gt;Payroll!$I32,Payroll!$F32*((1+Payroll!$J32)^(ROUNDDOWN(DATEDIF(Payroll!$I32,CS$2,"M")/Payroll!$K32,0))),0))</f>
        <v>0</v>
      </c>
      <c r="CT117" s="56">
        <f>IF(CT$2=Payroll!$I32,Payroll!$F32,IF(CT$2&gt;Payroll!$I32,Payroll!$F32*((1+Payroll!$J32)^(ROUNDDOWN(DATEDIF(Payroll!$I32,CT$2,"M")/Payroll!$K32,0))),0))</f>
        <v>0</v>
      </c>
      <c r="CU117" s="56">
        <f>IF(CU$2=Payroll!$I32,Payroll!$F32,IF(CU$2&gt;Payroll!$I32,Payroll!$F32*((1+Payroll!$J32)^(ROUNDDOWN(DATEDIF(Payroll!$I32,CU$2,"M")/Payroll!$K32,0))),0))</f>
        <v>0</v>
      </c>
      <c r="CV117" s="56">
        <f>IF(CV$2=Payroll!$I32,Payroll!$F32,IF(CV$2&gt;Payroll!$I32,Payroll!$F32*((1+Payroll!$J32)^(ROUNDDOWN(DATEDIF(Payroll!$I32,CV$2,"M")/Payroll!$K32,0))),0))</f>
        <v>0</v>
      </c>
      <c r="CW117" s="56">
        <f>IF(CW$2=Payroll!$I32,Payroll!$F32,IF(CW$2&gt;Payroll!$I32,Payroll!$F32*((1+Payroll!$J32)^(ROUNDDOWN(DATEDIF(Payroll!$I32,CW$2,"M")/Payroll!$K32,0))),0))</f>
        <v>0</v>
      </c>
      <c r="CX117" s="56">
        <f>IF(CX$2=Payroll!$I32,Payroll!$F32,IF(CX$2&gt;Payroll!$I32,Payroll!$F32*((1+Payroll!$J32)^(ROUNDDOWN(DATEDIF(Payroll!$I32,CX$2,"M")/Payroll!$K32,0))),0))</f>
        <v>0</v>
      </c>
    </row>
    <row r="118" ht="15.75" customHeight="1" outlineLevel="2">
      <c r="A118" s="56" t="str">
        <f>Payroll!A33</f>
        <v>Performance Marketing Manager</v>
      </c>
      <c r="B118" s="56"/>
      <c r="C118" s="56"/>
      <c r="D118" s="56"/>
      <c r="E118" s="56">
        <f>IF(E$2=Payroll!$I33,Payroll!$F33,IF(E$2&gt;Payroll!$I33,Payroll!$F33*((1+Payroll!$J33)^(ROUNDDOWN(DATEDIF(Payroll!$I33,E$2,"M")/Payroll!$K33,0))),0))</f>
        <v>0</v>
      </c>
      <c r="F118" s="56">
        <f>IF(F$2=Payroll!$I33,Payroll!$F33,IF(F$2&gt;Payroll!$I33,Payroll!$F33*((1+Payroll!$J33)^(ROUNDDOWN(DATEDIF(Payroll!$I33,F$2,"M")/Payroll!$K33,0))),0))</f>
        <v>0</v>
      </c>
      <c r="G118" s="56">
        <f>IF(G$2=Payroll!$I33,Payroll!$F33,IF(G$2&gt;Payroll!$I33,Payroll!$F33*((1+Payroll!$J33)^(ROUNDDOWN(DATEDIF(Payroll!$I33,G$2,"M")/Payroll!$K33,0))),0))</f>
        <v>0</v>
      </c>
      <c r="H118" s="56">
        <f>IF(H$2=Payroll!$I33,Payroll!$F33,IF(H$2&gt;Payroll!$I33,Payroll!$F33*((1+Payroll!$J33)^(ROUNDDOWN(DATEDIF(Payroll!$I33,H$2,"M")/Payroll!$K33,0))),0))</f>
        <v>0</v>
      </c>
      <c r="I118" s="56">
        <f>IF(I$2=Payroll!$I33,Payroll!$F33,IF(I$2&gt;Payroll!$I33,Payroll!$F33*((1+Payroll!$J33)^(ROUNDDOWN(DATEDIF(Payroll!$I33,I$2,"M")/Payroll!$K33,0))),0))</f>
        <v>0</v>
      </c>
      <c r="J118" s="56">
        <f>IF(J$2=Payroll!$I33,Payroll!$F33,IF(J$2&gt;Payroll!$I33,Payroll!$F33*((1+Payroll!$J33)^(ROUNDDOWN(DATEDIF(Payroll!$I33,J$2,"M")/Payroll!$K33,0))),0))</f>
        <v>0</v>
      </c>
      <c r="K118" s="56">
        <f>IF(K$2=Payroll!$I33,Payroll!$F33,IF(K$2&gt;Payroll!$I33,Payroll!$F33*((1+Payroll!$J33)^(ROUNDDOWN(DATEDIF(Payroll!$I33,K$2,"M")/Payroll!$K33,0))),0))</f>
        <v>0</v>
      </c>
      <c r="L118" s="56">
        <f>IF(L$2=Payroll!$I33,Payroll!$F33,IF(L$2&gt;Payroll!$I33,Payroll!$F33*((1+Payroll!$J33)^(ROUNDDOWN(DATEDIF(Payroll!$I33,L$2,"M")/Payroll!$K33,0))),0))</f>
        <v>0</v>
      </c>
      <c r="M118" s="56">
        <f>IF(M$2=Payroll!$I33,Payroll!$F33,IF(M$2&gt;Payroll!$I33,Payroll!$F33*((1+Payroll!$J33)^(ROUNDDOWN(DATEDIF(Payroll!$I33,M$2,"M")/Payroll!$K33,0))),0))</f>
        <v>0</v>
      </c>
      <c r="N118" s="56">
        <f>IF(N$2=Payroll!$I33,Payroll!$F33,IF(N$2&gt;Payroll!$I33,Payroll!$F33*((1+Payroll!$J33)^(ROUNDDOWN(DATEDIF(Payroll!$I33,N$2,"M")/Payroll!$K33,0))),0))</f>
        <v>0</v>
      </c>
      <c r="O118" s="56">
        <f>IF(O$2=Payroll!$I33,Payroll!$F33,IF(O$2&gt;Payroll!$I33,Payroll!$F33*((1+Payroll!$J33)^(ROUNDDOWN(DATEDIF(Payroll!$I33,O$2,"M")/Payroll!$K33,0))),0))</f>
        <v>0</v>
      </c>
      <c r="P118" s="56">
        <f>IF(P$2=Payroll!$I33,Payroll!$F33,IF(P$2&gt;Payroll!$I33,Payroll!$F33*((1+Payroll!$J33)^(ROUNDDOWN(DATEDIF(Payroll!$I33,P$2,"M")/Payroll!$K33,0))),0))</f>
        <v>0</v>
      </c>
      <c r="Q118" s="56">
        <f>IF(Q$2=Payroll!$I33,Payroll!$F33,IF(Q$2&gt;Payroll!$I33,Payroll!$F33*((1+Payroll!$J33)^(ROUNDDOWN(DATEDIF(Payroll!$I33,Q$2,"M")/Payroll!$K33,0))),0))</f>
        <v>0</v>
      </c>
      <c r="R118" s="56">
        <f>IF(R$2=Payroll!$I33,Payroll!$F33,IF(R$2&gt;Payroll!$I33,Payroll!$F33*((1+Payroll!$J33)^(ROUNDDOWN(DATEDIF(Payroll!$I33,R$2,"M")/Payroll!$K33,0))),0))</f>
        <v>0</v>
      </c>
      <c r="S118" s="56">
        <f>IF(S$2=Payroll!$I33,Payroll!$F33,IF(S$2&gt;Payroll!$I33,Payroll!$F33*((1+Payroll!$J33)^(ROUNDDOWN(DATEDIF(Payroll!$I33,S$2,"M")/Payroll!$K33,0))),0))</f>
        <v>0</v>
      </c>
      <c r="T118" s="56">
        <f>IF(T$2=Payroll!$I33,Payroll!$F33,IF(T$2&gt;Payroll!$I33,Payroll!$F33*((1+Payroll!$J33)^(ROUNDDOWN(DATEDIF(Payroll!$I33,T$2,"M")/Payroll!$K33,0))),0))</f>
        <v>0</v>
      </c>
      <c r="U118" s="56">
        <f>IF(U$2=Payroll!$I33,Payroll!$F33,IF(U$2&gt;Payroll!$I33,Payroll!$F33*((1+Payroll!$J33)^(ROUNDDOWN(DATEDIF(Payroll!$I33,U$2,"M")/Payroll!$K33,0))),0))</f>
        <v>0</v>
      </c>
      <c r="V118" s="56">
        <f>IF(V$2=Payroll!$I33,Payroll!$F33,IF(V$2&gt;Payroll!$I33,Payroll!$F33*((1+Payroll!$J33)^(ROUNDDOWN(DATEDIF(Payroll!$I33,V$2,"M")/Payroll!$K33,0))),0))</f>
        <v>0</v>
      </c>
      <c r="W118" s="56">
        <f>IF(W$2=Payroll!$I33,Payroll!$F33,IF(W$2&gt;Payroll!$I33,Payroll!$F33*((1+Payroll!$J33)^(ROUNDDOWN(DATEDIF(Payroll!$I33,W$2,"M")/Payroll!$K33,0))),0))</f>
        <v>0</v>
      </c>
      <c r="X118" s="56">
        <f>IF(X$2=Payroll!$I33,Payroll!$F33,IF(X$2&gt;Payroll!$I33,Payroll!$F33*((1+Payroll!$J33)^(ROUNDDOWN(DATEDIF(Payroll!$I33,X$2,"M")/Payroll!$K33,0))),0))</f>
        <v>0</v>
      </c>
      <c r="Y118" s="56">
        <f>IF(Y$2=Payroll!$I33,Payroll!$F33,IF(Y$2&gt;Payroll!$I33,Payroll!$F33*((1+Payroll!$J33)^(ROUNDDOWN(DATEDIF(Payroll!$I33,Y$2,"M")/Payroll!$K33,0))),0))</f>
        <v>0</v>
      </c>
      <c r="Z118" s="56">
        <f>IF(Z$2=Payroll!$I33,Payroll!$F33,IF(Z$2&gt;Payroll!$I33,Payroll!$F33*((1+Payroll!$J33)^(ROUNDDOWN(DATEDIF(Payroll!$I33,Z$2,"M")/Payroll!$K33,0))),0))</f>
        <v>0</v>
      </c>
      <c r="AA118" s="56">
        <f>IF(AA$2=Payroll!$I33,Payroll!$F33,IF(AA$2&gt;Payroll!$I33,Payroll!$F33*((1+Payroll!$J33)^(ROUNDDOWN(DATEDIF(Payroll!$I33,AA$2,"M")/Payroll!$K33,0))),0))</f>
        <v>0</v>
      </c>
      <c r="AB118" s="56">
        <f>IF(AB$2=Payroll!$I33,Payroll!$F33,IF(AB$2&gt;Payroll!$I33,Payroll!$F33*((1+Payroll!$J33)^(ROUNDDOWN(DATEDIF(Payroll!$I33,AB$2,"M")/Payroll!$K33,0))),0))</f>
        <v>0</v>
      </c>
      <c r="AC118" s="56">
        <f>IF(AC$2=Payroll!$I33,Payroll!$F33,IF(AC$2&gt;Payroll!$I33,Payroll!$F33*((1+Payroll!$J33)^(ROUNDDOWN(DATEDIF(Payroll!$I33,AC$2,"M")/Payroll!$K33,0))),0))</f>
        <v>0</v>
      </c>
      <c r="AD118" s="56">
        <f>IF(AD$2=Payroll!$I33,Payroll!$F33,IF(AD$2&gt;Payroll!$I33,Payroll!$F33*((1+Payroll!$J33)^(ROUNDDOWN(DATEDIF(Payroll!$I33,AD$2,"M")/Payroll!$K33,0))),0))</f>
        <v>0</v>
      </c>
      <c r="AE118" s="56">
        <f>IF(AE$2=Payroll!$I33,Payroll!$F33,IF(AE$2&gt;Payroll!$I33,Payroll!$F33*((1+Payroll!$J33)^(ROUNDDOWN(DATEDIF(Payroll!$I33,AE$2,"M")/Payroll!$K33,0))),0))</f>
        <v>0</v>
      </c>
      <c r="AF118" s="56">
        <f>IF(AF$2=Payroll!$I33,Payroll!$F33,IF(AF$2&gt;Payroll!$I33,Payroll!$F33*((1+Payroll!$J33)^(ROUNDDOWN(DATEDIF(Payroll!$I33,AF$2,"M")/Payroll!$K33,0))),0))</f>
        <v>0</v>
      </c>
      <c r="AG118" s="56">
        <f>IF(AG$2=Payroll!$I33,Payroll!$F33,IF(AG$2&gt;Payroll!$I33,Payroll!$F33*((1+Payroll!$J33)^(ROUNDDOWN(DATEDIF(Payroll!$I33,AG$2,"M")/Payroll!$K33,0))),0))</f>
        <v>0</v>
      </c>
      <c r="AH118" s="56">
        <f>IF(AH$2=Payroll!$I33,Payroll!$F33,IF(AH$2&gt;Payroll!$I33,Payroll!$F33*((1+Payroll!$J33)^(ROUNDDOWN(DATEDIF(Payroll!$I33,AH$2,"M")/Payroll!$K33,0))),0))</f>
        <v>0</v>
      </c>
      <c r="AI118" s="56">
        <f>IF(AI$2=Payroll!$I33,Payroll!$F33,IF(AI$2&gt;Payroll!$I33,Payroll!$F33*((1+Payroll!$J33)^(ROUNDDOWN(DATEDIF(Payroll!$I33,AI$2,"M")/Payroll!$K33,0))),0))</f>
        <v>0</v>
      </c>
      <c r="AJ118" s="56">
        <f>IF(AJ$2=Payroll!$I33,Payroll!$F33,IF(AJ$2&gt;Payroll!$I33,Payroll!$F33*((1+Payroll!$J33)^(ROUNDDOWN(DATEDIF(Payroll!$I33,AJ$2,"M")/Payroll!$K33,0))),0))</f>
        <v>0</v>
      </c>
      <c r="AK118" s="56">
        <f>IF(AK$2=Payroll!$I33,Payroll!$F33,IF(AK$2&gt;Payroll!$I33,Payroll!$F33*((1+Payroll!$J33)^(ROUNDDOWN(DATEDIF(Payroll!$I33,AK$2,"M")/Payroll!$K33,0))),0))</f>
        <v>0</v>
      </c>
      <c r="AL118" s="56">
        <f>IF(AL$2=Payroll!$I33,Payroll!$F33,IF(AL$2&gt;Payroll!$I33,Payroll!$F33*((1+Payroll!$J33)^(ROUNDDOWN(DATEDIF(Payroll!$I33,AL$2,"M")/Payroll!$K33,0))),0))</f>
        <v>0</v>
      </c>
      <c r="AM118" s="56">
        <f>IF(AM$2=Payroll!$I33,Payroll!$F33,IF(AM$2&gt;Payroll!$I33,Payroll!$F33*((1+Payroll!$J33)^(ROUNDDOWN(DATEDIF(Payroll!$I33,AM$2,"M")/Payroll!$K33,0))),0))</f>
        <v>0</v>
      </c>
      <c r="AN118" s="56">
        <f>IF(AN$2=Payroll!$I33,Payroll!$F33,IF(AN$2&gt;Payroll!$I33,Payroll!$F33*((1+Payroll!$J33)^(ROUNDDOWN(DATEDIF(Payroll!$I33,AN$2,"M")/Payroll!$K33,0))),0))</f>
        <v>0</v>
      </c>
      <c r="AO118" s="56">
        <f>IF(AO$2=Payroll!$I33,Payroll!$F33,IF(AO$2&gt;Payroll!$I33,Payroll!$F33*((1+Payroll!$J33)^(ROUNDDOWN(DATEDIF(Payroll!$I33,AO$2,"M")/Payroll!$K33,0))),0))</f>
        <v>0</v>
      </c>
      <c r="AP118" s="56">
        <f>IF(AP$2=Payroll!$I33,Payroll!$F33,IF(AP$2&gt;Payroll!$I33,Payroll!$F33*((1+Payroll!$J33)^(ROUNDDOWN(DATEDIF(Payroll!$I33,AP$2,"M")/Payroll!$K33,0))),0))</f>
        <v>0</v>
      </c>
      <c r="AQ118" s="56">
        <f>IF(AQ$2=Payroll!$I33,Payroll!$F33,IF(AQ$2&gt;Payroll!$I33,Payroll!$F33*((1+Payroll!$J33)^(ROUNDDOWN(DATEDIF(Payroll!$I33,AQ$2,"M")/Payroll!$K33,0))),0))</f>
        <v>0</v>
      </c>
      <c r="AR118" s="56">
        <f>IF(AR$2=Payroll!$I33,Payroll!$F33,IF(AR$2&gt;Payroll!$I33,Payroll!$F33*((1+Payroll!$J33)^(ROUNDDOWN(DATEDIF(Payroll!$I33,AR$2,"M")/Payroll!$K33,0))),0))</f>
        <v>0</v>
      </c>
      <c r="AS118" s="56">
        <f>IF(AS$2=Payroll!$I33,Payroll!$F33,IF(AS$2&gt;Payroll!$I33,Payroll!$F33*((1+Payroll!$J33)^(ROUNDDOWN(DATEDIF(Payroll!$I33,AS$2,"M")/Payroll!$K33,0))),0))</f>
        <v>0</v>
      </c>
      <c r="AT118" s="56">
        <f>IF(AT$2=Payroll!$I33,Payroll!$F33,IF(AT$2&gt;Payroll!$I33,Payroll!$F33*((1+Payroll!$J33)^(ROUNDDOWN(DATEDIF(Payroll!$I33,AT$2,"M")/Payroll!$K33,0))),0))</f>
        <v>0</v>
      </c>
      <c r="AU118" s="56">
        <f>IF(AU$2=Payroll!$I33,Payroll!$F33,IF(AU$2&gt;Payroll!$I33,Payroll!$F33*((1+Payroll!$J33)^(ROUNDDOWN(DATEDIF(Payroll!$I33,AU$2,"M")/Payroll!$K33,0))),0))</f>
        <v>0</v>
      </c>
      <c r="AV118" s="56">
        <f>IF(AV$2=Payroll!$I33,Payroll!$F33,IF(AV$2&gt;Payroll!$I33,Payroll!$F33*((1+Payroll!$J33)^(ROUNDDOWN(DATEDIF(Payroll!$I33,AV$2,"M")/Payroll!$K33,0))),0))</f>
        <v>0</v>
      </c>
      <c r="AW118" s="56">
        <f>IF(AW$2=Payroll!$I33,Payroll!$F33,IF(AW$2&gt;Payroll!$I33,Payroll!$F33*((1+Payroll!$J33)^(ROUNDDOWN(DATEDIF(Payroll!$I33,AW$2,"M")/Payroll!$K33,0))),0))</f>
        <v>0</v>
      </c>
      <c r="AX118" s="56">
        <f>IF(AX$2=Payroll!$I33,Payroll!$F33,IF(AX$2&gt;Payroll!$I33,Payroll!$F33*((1+Payroll!$J33)^(ROUNDDOWN(DATEDIF(Payroll!$I33,AX$2,"M")/Payroll!$K33,0))),0))</f>
        <v>0</v>
      </c>
      <c r="AY118" s="56">
        <f>IF(AY$2=Payroll!$I33,Payroll!$F33,IF(AY$2&gt;Payroll!$I33,Payroll!$F33*((1+Payroll!$J33)^(ROUNDDOWN(DATEDIF(Payroll!$I33,AY$2,"M")/Payroll!$K33,0))),0))</f>
        <v>0</v>
      </c>
      <c r="AZ118" s="56">
        <f>IF(AZ$2=Payroll!$I33,Payroll!$F33,IF(AZ$2&gt;Payroll!$I33,Payroll!$F33*((1+Payroll!$J33)^(ROUNDDOWN(DATEDIF(Payroll!$I33,AZ$2,"M")/Payroll!$K33,0))),0))</f>
        <v>0</v>
      </c>
      <c r="BA118" s="56">
        <f>IF(BA$2=Payroll!$I33,Payroll!$F33,IF(BA$2&gt;Payroll!$I33,Payroll!$F33*((1+Payroll!$J33)^(ROUNDDOWN(DATEDIF(Payroll!$I33,BA$2,"M")/Payroll!$K33,0))),0))</f>
        <v>0</v>
      </c>
      <c r="BB118" s="56">
        <f>IF(BB$2=Payroll!$I33,Payroll!$F33,IF(BB$2&gt;Payroll!$I33,Payroll!$F33*((1+Payroll!$J33)^(ROUNDDOWN(DATEDIF(Payroll!$I33,BB$2,"M")/Payroll!$K33,0))),0))</f>
        <v>0</v>
      </c>
      <c r="BC118" s="56">
        <f>IF(BC$2=Payroll!$I33,Payroll!$F33,IF(BC$2&gt;Payroll!$I33,Payroll!$F33*((1+Payroll!$J33)^(ROUNDDOWN(DATEDIF(Payroll!$I33,BC$2,"M")/Payroll!$K33,0))),0))</f>
        <v>0</v>
      </c>
      <c r="BD118" s="56">
        <f>IF(BD$2=Payroll!$I33,Payroll!$F33,IF(BD$2&gt;Payroll!$I33,Payroll!$F33*((1+Payroll!$J33)^(ROUNDDOWN(DATEDIF(Payroll!$I33,BD$2,"M")/Payroll!$K33,0))),0))</f>
        <v>0</v>
      </c>
      <c r="BE118" s="56">
        <f>IF(BE$2=Payroll!$I33,Payroll!$F33,IF(BE$2&gt;Payroll!$I33,Payroll!$F33*((1+Payroll!$J33)^(ROUNDDOWN(DATEDIF(Payroll!$I33,BE$2,"M")/Payroll!$K33,0))),0))</f>
        <v>0</v>
      </c>
      <c r="BF118" s="56">
        <f>IF(BF$2=Payroll!$I33,Payroll!$F33,IF(BF$2&gt;Payroll!$I33,Payroll!$F33*((1+Payroll!$J33)^(ROUNDDOWN(DATEDIF(Payroll!$I33,BF$2,"M")/Payroll!$K33,0))),0))</f>
        <v>0</v>
      </c>
      <c r="BG118" s="56">
        <f>IF(BG$2=Payroll!$I33,Payroll!$F33,IF(BG$2&gt;Payroll!$I33,Payroll!$F33*((1+Payroll!$J33)^(ROUNDDOWN(DATEDIF(Payroll!$I33,BG$2,"M")/Payroll!$K33,0))),0))</f>
        <v>0</v>
      </c>
      <c r="BH118" s="56">
        <f>IF(BH$2=Payroll!$I33,Payroll!$F33,IF(BH$2&gt;Payroll!$I33,Payroll!$F33*((1+Payroll!$J33)^(ROUNDDOWN(DATEDIF(Payroll!$I33,BH$2,"M")/Payroll!$K33,0))),0))</f>
        <v>0</v>
      </c>
      <c r="BI118" s="56">
        <f>IF(BI$2=Payroll!$I33,Payroll!$F33,IF(BI$2&gt;Payroll!$I33,Payroll!$F33*((1+Payroll!$J33)^(ROUNDDOWN(DATEDIF(Payroll!$I33,BI$2,"M")/Payroll!$K33,0))),0))</f>
        <v>0</v>
      </c>
      <c r="BJ118" s="56">
        <f>IF(BJ$2=Payroll!$I33,Payroll!$F33,IF(BJ$2&gt;Payroll!$I33,Payroll!$F33*((1+Payroll!$J33)^(ROUNDDOWN(DATEDIF(Payroll!$I33,BJ$2,"M")/Payroll!$K33,0))),0))</f>
        <v>0</v>
      </c>
      <c r="BK118" s="56">
        <f>IF(BK$2=Payroll!$I33,Payroll!$F33,IF(BK$2&gt;Payroll!$I33,Payroll!$F33*((1+Payroll!$J33)^(ROUNDDOWN(DATEDIF(Payroll!$I33,BK$2,"M")/Payroll!$K33,0))),0))</f>
        <v>0</v>
      </c>
      <c r="BL118" s="56">
        <f>IF(BL$2=Payroll!$I33,Payroll!$F33,IF(BL$2&gt;Payroll!$I33,Payroll!$F33*((1+Payroll!$J33)^(ROUNDDOWN(DATEDIF(Payroll!$I33,BL$2,"M")/Payroll!$K33,0))),0))</f>
        <v>0</v>
      </c>
      <c r="BM118" s="56">
        <f>IF(BM$2=Payroll!$I33,Payroll!$F33,IF(BM$2&gt;Payroll!$I33,Payroll!$F33*((1+Payroll!$J33)^(ROUNDDOWN(DATEDIF(Payroll!$I33,BM$2,"M")/Payroll!$K33,0))),0))</f>
        <v>0</v>
      </c>
      <c r="BN118" s="56">
        <f>IF(BN$2=Payroll!$I33,Payroll!$F33,IF(BN$2&gt;Payroll!$I33,Payroll!$F33*((1+Payroll!$J33)^(ROUNDDOWN(DATEDIF(Payroll!$I33,BN$2,"M")/Payroll!$K33,0))),0))</f>
        <v>0</v>
      </c>
      <c r="BO118" s="56">
        <f>IF(BO$2=Payroll!$I33,Payroll!$F33,IF(BO$2&gt;Payroll!$I33,Payroll!$F33*((1+Payroll!$J33)^(ROUNDDOWN(DATEDIF(Payroll!$I33,BO$2,"M")/Payroll!$K33,0))),0))</f>
        <v>0</v>
      </c>
      <c r="BP118" s="56">
        <f>IF(BP$2=Payroll!$I33,Payroll!$F33,IF(BP$2&gt;Payroll!$I33,Payroll!$F33*((1+Payroll!$J33)^(ROUNDDOWN(DATEDIF(Payroll!$I33,BP$2,"M")/Payroll!$K33,0))),0))</f>
        <v>0</v>
      </c>
      <c r="BQ118" s="56">
        <f>IF(BQ$2=Payroll!$I33,Payroll!$F33,IF(BQ$2&gt;Payroll!$I33,Payroll!$F33*((1+Payroll!$J33)^(ROUNDDOWN(DATEDIF(Payroll!$I33,BQ$2,"M")/Payroll!$K33,0))),0))</f>
        <v>0</v>
      </c>
      <c r="BR118" s="56">
        <f>IF(BR$2=Payroll!$I33,Payroll!$F33,IF(BR$2&gt;Payroll!$I33,Payroll!$F33*((1+Payroll!$J33)^(ROUNDDOWN(DATEDIF(Payroll!$I33,BR$2,"M")/Payroll!$K33,0))),0))</f>
        <v>0</v>
      </c>
      <c r="BS118" s="56">
        <f>IF(BS$2=Payroll!$I33,Payroll!$F33,IF(BS$2&gt;Payroll!$I33,Payroll!$F33*((1+Payroll!$J33)^(ROUNDDOWN(DATEDIF(Payroll!$I33,BS$2,"M")/Payroll!$K33,0))),0))</f>
        <v>0</v>
      </c>
      <c r="BT118" s="56">
        <f>IF(BT$2=Payroll!$I33,Payroll!$F33,IF(BT$2&gt;Payroll!$I33,Payroll!$F33*((1+Payroll!$J33)^(ROUNDDOWN(DATEDIF(Payroll!$I33,BT$2,"M")/Payroll!$K33,0))),0))</f>
        <v>0</v>
      </c>
      <c r="BU118" s="56">
        <f>IF(BU$2=Payroll!$I33,Payroll!$F33,IF(BU$2&gt;Payroll!$I33,Payroll!$F33*((1+Payroll!$J33)^(ROUNDDOWN(DATEDIF(Payroll!$I33,BU$2,"M")/Payroll!$K33,0))),0))</f>
        <v>0</v>
      </c>
      <c r="BV118" s="56">
        <f>IF(BV$2=Payroll!$I33,Payroll!$F33,IF(BV$2&gt;Payroll!$I33,Payroll!$F33*((1+Payroll!$J33)^(ROUNDDOWN(DATEDIF(Payroll!$I33,BV$2,"M")/Payroll!$K33,0))),0))</f>
        <v>0</v>
      </c>
      <c r="BW118" s="56">
        <f>IF(BW$2=Payroll!$I33,Payroll!$F33,IF(BW$2&gt;Payroll!$I33,Payroll!$F33*((1+Payroll!$J33)^(ROUNDDOWN(DATEDIF(Payroll!$I33,BW$2,"M")/Payroll!$K33,0))),0))</f>
        <v>0</v>
      </c>
      <c r="BX118" s="56">
        <f>IF(BX$2=Payroll!$I33,Payroll!$F33,IF(BX$2&gt;Payroll!$I33,Payroll!$F33*((1+Payroll!$J33)^(ROUNDDOWN(DATEDIF(Payroll!$I33,BX$2,"M")/Payroll!$K33,0))),0))</f>
        <v>0</v>
      </c>
      <c r="BY118" s="56">
        <f>IF(BY$2=Payroll!$I33,Payroll!$F33,IF(BY$2&gt;Payroll!$I33,Payroll!$F33*((1+Payroll!$J33)^(ROUNDDOWN(DATEDIF(Payroll!$I33,BY$2,"M")/Payroll!$K33,0))),0))</f>
        <v>0</v>
      </c>
      <c r="BZ118" s="56">
        <f>IF(BZ$2=Payroll!$I33,Payroll!$F33,IF(BZ$2&gt;Payroll!$I33,Payroll!$F33*((1+Payroll!$J33)^(ROUNDDOWN(DATEDIF(Payroll!$I33,BZ$2,"M")/Payroll!$K33,0))),0))</f>
        <v>0</v>
      </c>
      <c r="CA118" s="56">
        <f>IF(CA$2=Payroll!$I33,Payroll!$F33,IF(CA$2&gt;Payroll!$I33,Payroll!$F33*((1+Payroll!$J33)^(ROUNDDOWN(DATEDIF(Payroll!$I33,CA$2,"M")/Payroll!$K33,0))),0))</f>
        <v>0</v>
      </c>
      <c r="CB118" s="56">
        <f>IF(CB$2=Payroll!$I33,Payroll!$F33,IF(CB$2&gt;Payroll!$I33,Payroll!$F33*((1+Payroll!$J33)^(ROUNDDOWN(DATEDIF(Payroll!$I33,CB$2,"M")/Payroll!$K33,0))),0))</f>
        <v>0</v>
      </c>
      <c r="CC118" s="56">
        <f>IF(CC$2=Payroll!$I33,Payroll!$F33,IF(CC$2&gt;Payroll!$I33,Payroll!$F33*((1+Payroll!$J33)^(ROUNDDOWN(DATEDIF(Payroll!$I33,CC$2,"M")/Payroll!$K33,0))),0))</f>
        <v>0</v>
      </c>
      <c r="CD118" s="56">
        <f>IF(CD$2=Payroll!$I33,Payroll!$F33,IF(CD$2&gt;Payroll!$I33,Payroll!$F33*((1+Payroll!$J33)^(ROUNDDOWN(DATEDIF(Payroll!$I33,CD$2,"M")/Payroll!$K33,0))),0))</f>
        <v>0</v>
      </c>
      <c r="CE118" s="56">
        <f>IF(CE$2=Payroll!$I33,Payroll!$F33,IF(CE$2&gt;Payroll!$I33,Payroll!$F33*((1+Payroll!$J33)^(ROUNDDOWN(DATEDIF(Payroll!$I33,CE$2,"M")/Payroll!$K33,0))),0))</f>
        <v>0</v>
      </c>
      <c r="CF118" s="56">
        <f>IF(CF$2=Payroll!$I33,Payroll!$F33,IF(CF$2&gt;Payroll!$I33,Payroll!$F33*((1+Payroll!$J33)^(ROUNDDOWN(DATEDIF(Payroll!$I33,CF$2,"M")/Payroll!$K33,0))),0))</f>
        <v>0</v>
      </c>
      <c r="CG118" s="56">
        <f>IF(CG$2=Payroll!$I33,Payroll!$F33,IF(CG$2&gt;Payroll!$I33,Payroll!$F33*((1+Payroll!$J33)^(ROUNDDOWN(DATEDIF(Payroll!$I33,CG$2,"M")/Payroll!$K33,0))),0))</f>
        <v>0</v>
      </c>
      <c r="CH118" s="56">
        <f>IF(CH$2=Payroll!$I33,Payroll!$F33,IF(CH$2&gt;Payroll!$I33,Payroll!$F33*((1+Payroll!$J33)^(ROUNDDOWN(DATEDIF(Payroll!$I33,CH$2,"M")/Payroll!$K33,0))),0))</f>
        <v>0</v>
      </c>
      <c r="CI118" s="56">
        <f>IF(CI$2=Payroll!$I33,Payroll!$F33,IF(CI$2&gt;Payroll!$I33,Payroll!$F33*((1+Payroll!$J33)^(ROUNDDOWN(DATEDIF(Payroll!$I33,CI$2,"M")/Payroll!$K33,0))),0))</f>
        <v>0</v>
      </c>
      <c r="CJ118" s="56">
        <f>IF(CJ$2=Payroll!$I33,Payroll!$F33,IF(CJ$2&gt;Payroll!$I33,Payroll!$F33*((1+Payroll!$J33)^(ROUNDDOWN(DATEDIF(Payroll!$I33,CJ$2,"M")/Payroll!$K33,0))),0))</f>
        <v>0</v>
      </c>
      <c r="CK118" s="56">
        <f>IF(CK$2=Payroll!$I33,Payroll!$F33,IF(CK$2&gt;Payroll!$I33,Payroll!$F33*((1+Payroll!$J33)^(ROUNDDOWN(DATEDIF(Payroll!$I33,CK$2,"M")/Payroll!$K33,0))),0))</f>
        <v>0</v>
      </c>
      <c r="CL118" s="56">
        <f>IF(CL$2=Payroll!$I33,Payroll!$F33,IF(CL$2&gt;Payroll!$I33,Payroll!$F33*((1+Payroll!$J33)^(ROUNDDOWN(DATEDIF(Payroll!$I33,CL$2,"M")/Payroll!$K33,0))),0))</f>
        <v>0</v>
      </c>
      <c r="CM118" s="56">
        <f>IF(CM$2=Payroll!$I33,Payroll!$F33,IF(CM$2&gt;Payroll!$I33,Payroll!$F33*((1+Payroll!$J33)^(ROUNDDOWN(DATEDIF(Payroll!$I33,CM$2,"M")/Payroll!$K33,0))),0))</f>
        <v>0</v>
      </c>
      <c r="CN118" s="56">
        <f>IF(CN$2=Payroll!$I33,Payroll!$F33,IF(CN$2&gt;Payroll!$I33,Payroll!$F33*((1+Payroll!$J33)^(ROUNDDOWN(DATEDIF(Payroll!$I33,CN$2,"M")/Payroll!$K33,0))),0))</f>
        <v>0</v>
      </c>
      <c r="CO118" s="56">
        <f>IF(CO$2=Payroll!$I33,Payroll!$F33,IF(CO$2&gt;Payroll!$I33,Payroll!$F33*((1+Payroll!$J33)^(ROUNDDOWN(DATEDIF(Payroll!$I33,CO$2,"M")/Payroll!$K33,0))),0))</f>
        <v>0</v>
      </c>
      <c r="CP118" s="56">
        <f>IF(CP$2=Payroll!$I33,Payroll!$F33,IF(CP$2&gt;Payroll!$I33,Payroll!$F33*((1+Payroll!$J33)^(ROUNDDOWN(DATEDIF(Payroll!$I33,CP$2,"M")/Payroll!$K33,0))),0))</f>
        <v>0</v>
      </c>
      <c r="CQ118" s="56">
        <f>IF(CQ$2=Payroll!$I33,Payroll!$F33,IF(CQ$2&gt;Payroll!$I33,Payroll!$F33*((1+Payroll!$J33)^(ROUNDDOWN(DATEDIF(Payroll!$I33,CQ$2,"M")/Payroll!$K33,0))),0))</f>
        <v>0</v>
      </c>
      <c r="CR118" s="56">
        <f>IF(CR$2=Payroll!$I33,Payroll!$F33,IF(CR$2&gt;Payroll!$I33,Payroll!$F33*((1+Payroll!$J33)^(ROUNDDOWN(DATEDIF(Payroll!$I33,CR$2,"M")/Payroll!$K33,0))),0))</f>
        <v>0</v>
      </c>
      <c r="CS118" s="56">
        <f>IF(CS$2=Payroll!$I33,Payroll!$F33,IF(CS$2&gt;Payroll!$I33,Payroll!$F33*((1+Payroll!$J33)^(ROUNDDOWN(DATEDIF(Payroll!$I33,CS$2,"M")/Payroll!$K33,0))),0))</f>
        <v>0</v>
      </c>
      <c r="CT118" s="56">
        <f>IF(CT$2=Payroll!$I33,Payroll!$F33,IF(CT$2&gt;Payroll!$I33,Payroll!$F33*((1+Payroll!$J33)^(ROUNDDOWN(DATEDIF(Payroll!$I33,CT$2,"M")/Payroll!$K33,0))),0))</f>
        <v>0</v>
      </c>
      <c r="CU118" s="56">
        <f>IF(CU$2=Payroll!$I33,Payroll!$F33,IF(CU$2&gt;Payroll!$I33,Payroll!$F33*((1+Payroll!$J33)^(ROUNDDOWN(DATEDIF(Payroll!$I33,CU$2,"M")/Payroll!$K33,0))),0))</f>
        <v>0</v>
      </c>
      <c r="CV118" s="56">
        <f>IF(CV$2=Payroll!$I33,Payroll!$F33,IF(CV$2&gt;Payroll!$I33,Payroll!$F33*((1+Payroll!$J33)^(ROUNDDOWN(DATEDIF(Payroll!$I33,CV$2,"M")/Payroll!$K33,0))),0))</f>
        <v>0</v>
      </c>
      <c r="CW118" s="56">
        <f>IF(CW$2=Payroll!$I33,Payroll!$F33,IF(CW$2&gt;Payroll!$I33,Payroll!$F33*((1+Payroll!$J33)^(ROUNDDOWN(DATEDIF(Payroll!$I33,CW$2,"M")/Payroll!$K33,0))),0))</f>
        <v>0</v>
      </c>
      <c r="CX118" s="56">
        <f>IF(CX$2=Payroll!$I33,Payroll!$F33,IF(CX$2&gt;Payroll!$I33,Payroll!$F33*((1+Payroll!$J33)^(ROUNDDOWN(DATEDIF(Payroll!$I33,CX$2,"M")/Payroll!$K33,0))),0))</f>
        <v>0</v>
      </c>
    </row>
    <row r="119" ht="15.75" customHeight="1" outlineLevel="2">
      <c r="A119" s="56" t="str">
        <f>Payroll!A34</f>
        <v>Community Manager / SMM</v>
      </c>
      <c r="B119" s="56"/>
      <c r="C119" s="56"/>
      <c r="D119" s="56"/>
      <c r="E119" s="56">
        <f>IF(E$2=Payroll!$I34,Payroll!$F34,IF(E$2&gt;Payroll!$I34,Payroll!$F34*((1+Payroll!$J34)^(ROUNDDOWN(DATEDIF(Payroll!$I34,E$2,"M")/Payroll!$K34,0))),0))</f>
        <v>0</v>
      </c>
      <c r="F119" s="56">
        <f>IF(F$2=Payroll!$I34,Payroll!$F34,IF(F$2&gt;Payroll!$I34,Payroll!$F34*((1+Payroll!$J34)^(ROUNDDOWN(DATEDIF(Payroll!$I34,F$2,"M")/Payroll!$K34,0))),0))</f>
        <v>0</v>
      </c>
      <c r="G119" s="56">
        <f>IF(G$2=Payroll!$I34,Payroll!$F34,IF(G$2&gt;Payroll!$I34,Payroll!$F34*((1+Payroll!$J34)^(ROUNDDOWN(DATEDIF(Payroll!$I34,G$2,"M")/Payroll!$K34,0))),0))</f>
        <v>0</v>
      </c>
      <c r="H119" s="56">
        <f>IF(H$2=Payroll!$I34,Payroll!$F34,IF(H$2&gt;Payroll!$I34,Payroll!$F34*((1+Payroll!$J34)^(ROUNDDOWN(DATEDIF(Payroll!$I34,H$2,"M")/Payroll!$K34,0))),0))</f>
        <v>0</v>
      </c>
      <c r="I119" s="56">
        <f>IF(I$2=Payroll!$I34,Payroll!$F34,IF(I$2&gt;Payroll!$I34,Payroll!$F34*((1+Payroll!$J34)^(ROUNDDOWN(DATEDIF(Payroll!$I34,I$2,"M")/Payroll!$K34,0))),0))</f>
        <v>0</v>
      </c>
      <c r="J119" s="56">
        <f>IF(J$2=Payroll!$I34,Payroll!$F34,IF(J$2&gt;Payroll!$I34,Payroll!$F34*((1+Payroll!$J34)^(ROUNDDOWN(DATEDIF(Payroll!$I34,J$2,"M")/Payroll!$K34,0))),0))</f>
        <v>0</v>
      </c>
      <c r="K119" s="56">
        <f>IF(K$2=Payroll!$I34,Payroll!$F34,IF(K$2&gt;Payroll!$I34,Payroll!$F34*((1+Payroll!$J34)^(ROUNDDOWN(DATEDIF(Payroll!$I34,K$2,"M")/Payroll!$K34,0))),0))</f>
        <v>0</v>
      </c>
      <c r="L119" s="56">
        <f>IF(L$2=Payroll!$I34,Payroll!$F34,IF(L$2&gt;Payroll!$I34,Payroll!$F34*((1+Payroll!$J34)^(ROUNDDOWN(DATEDIF(Payroll!$I34,L$2,"M")/Payroll!$K34,0))),0))</f>
        <v>0</v>
      </c>
      <c r="M119" s="56">
        <f>IF(M$2=Payroll!$I34,Payroll!$F34,IF(M$2&gt;Payroll!$I34,Payroll!$F34*((1+Payroll!$J34)^(ROUNDDOWN(DATEDIF(Payroll!$I34,M$2,"M")/Payroll!$K34,0))),0))</f>
        <v>0</v>
      </c>
      <c r="N119" s="56">
        <f>IF(N$2=Payroll!$I34,Payroll!$F34,IF(N$2&gt;Payroll!$I34,Payroll!$F34*((1+Payroll!$J34)^(ROUNDDOWN(DATEDIF(Payroll!$I34,N$2,"M")/Payroll!$K34,0))),0))</f>
        <v>0</v>
      </c>
      <c r="O119" s="56">
        <f>IF(O$2=Payroll!$I34,Payroll!$F34,IF(O$2&gt;Payroll!$I34,Payroll!$F34*((1+Payroll!$J34)^(ROUNDDOWN(DATEDIF(Payroll!$I34,O$2,"M")/Payroll!$K34,0))),0))</f>
        <v>0</v>
      </c>
      <c r="P119" s="56">
        <f>IF(P$2=Payroll!$I34,Payroll!$F34,IF(P$2&gt;Payroll!$I34,Payroll!$F34*((1+Payroll!$J34)^(ROUNDDOWN(DATEDIF(Payroll!$I34,P$2,"M")/Payroll!$K34,0))),0))</f>
        <v>0</v>
      </c>
      <c r="Q119" s="56">
        <f>IF(Q$2=Payroll!$I34,Payroll!$F34,IF(Q$2&gt;Payroll!$I34,Payroll!$F34*((1+Payroll!$J34)^(ROUNDDOWN(DATEDIF(Payroll!$I34,Q$2,"M")/Payroll!$K34,0))),0))</f>
        <v>0</v>
      </c>
      <c r="R119" s="56">
        <f>IF(R$2=Payroll!$I34,Payroll!$F34,IF(R$2&gt;Payroll!$I34,Payroll!$F34*((1+Payroll!$J34)^(ROUNDDOWN(DATEDIF(Payroll!$I34,R$2,"M")/Payroll!$K34,0))),0))</f>
        <v>0</v>
      </c>
      <c r="S119" s="56">
        <f>IF(S$2=Payroll!$I34,Payroll!$F34,IF(S$2&gt;Payroll!$I34,Payroll!$F34*((1+Payroll!$J34)^(ROUNDDOWN(DATEDIF(Payroll!$I34,S$2,"M")/Payroll!$K34,0))),0))</f>
        <v>0</v>
      </c>
      <c r="T119" s="56">
        <f>IF(T$2=Payroll!$I34,Payroll!$F34,IF(T$2&gt;Payroll!$I34,Payroll!$F34*((1+Payroll!$J34)^(ROUNDDOWN(DATEDIF(Payroll!$I34,T$2,"M")/Payroll!$K34,0))),0))</f>
        <v>0</v>
      </c>
      <c r="U119" s="56">
        <f>IF(U$2=Payroll!$I34,Payroll!$F34,IF(U$2&gt;Payroll!$I34,Payroll!$F34*((1+Payroll!$J34)^(ROUNDDOWN(DATEDIF(Payroll!$I34,U$2,"M")/Payroll!$K34,0))),0))</f>
        <v>0</v>
      </c>
      <c r="V119" s="56">
        <f>IF(V$2=Payroll!$I34,Payroll!$F34,IF(V$2&gt;Payroll!$I34,Payroll!$F34*((1+Payroll!$J34)^(ROUNDDOWN(DATEDIF(Payroll!$I34,V$2,"M")/Payroll!$K34,0))),0))</f>
        <v>0</v>
      </c>
      <c r="W119" s="56">
        <f>IF(W$2=Payroll!$I34,Payroll!$F34,IF(W$2&gt;Payroll!$I34,Payroll!$F34*((1+Payroll!$J34)^(ROUNDDOWN(DATEDIF(Payroll!$I34,W$2,"M")/Payroll!$K34,0))),0))</f>
        <v>0</v>
      </c>
      <c r="X119" s="56">
        <f>IF(X$2=Payroll!$I34,Payroll!$F34,IF(X$2&gt;Payroll!$I34,Payroll!$F34*((1+Payroll!$J34)^(ROUNDDOWN(DATEDIF(Payroll!$I34,X$2,"M")/Payroll!$K34,0))),0))</f>
        <v>0</v>
      </c>
      <c r="Y119" s="56">
        <f>IF(Y$2=Payroll!$I34,Payroll!$F34,IF(Y$2&gt;Payroll!$I34,Payroll!$F34*((1+Payroll!$J34)^(ROUNDDOWN(DATEDIF(Payroll!$I34,Y$2,"M")/Payroll!$K34,0))),0))</f>
        <v>0</v>
      </c>
      <c r="Z119" s="56">
        <f>IF(Z$2=Payroll!$I34,Payroll!$F34,IF(Z$2&gt;Payroll!$I34,Payroll!$F34*((1+Payroll!$J34)^(ROUNDDOWN(DATEDIF(Payroll!$I34,Z$2,"M")/Payroll!$K34,0))),0))</f>
        <v>0</v>
      </c>
      <c r="AA119" s="56">
        <f>IF(AA$2=Payroll!$I34,Payroll!$F34,IF(AA$2&gt;Payroll!$I34,Payroll!$F34*((1+Payroll!$J34)^(ROUNDDOWN(DATEDIF(Payroll!$I34,AA$2,"M")/Payroll!$K34,0))),0))</f>
        <v>0</v>
      </c>
      <c r="AB119" s="56">
        <f>IF(AB$2=Payroll!$I34,Payroll!$F34,IF(AB$2&gt;Payroll!$I34,Payroll!$F34*((1+Payroll!$J34)^(ROUNDDOWN(DATEDIF(Payroll!$I34,AB$2,"M")/Payroll!$K34,0))),0))</f>
        <v>0</v>
      </c>
      <c r="AC119" s="56">
        <f>IF(AC$2=Payroll!$I34,Payroll!$F34,IF(AC$2&gt;Payroll!$I34,Payroll!$F34*((1+Payroll!$J34)^(ROUNDDOWN(DATEDIF(Payroll!$I34,AC$2,"M")/Payroll!$K34,0))),0))</f>
        <v>0</v>
      </c>
      <c r="AD119" s="56">
        <f>IF(AD$2=Payroll!$I34,Payroll!$F34,IF(AD$2&gt;Payroll!$I34,Payroll!$F34*((1+Payroll!$J34)^(ROUNDDOWN(DATEDIF(Payroll!$I34,AD$2,"M")/Payroll!$K34,0))),0))</f>
        <v>0</v>
      </c>
      <c r="AE119" s="56">
        <f>IF(AE$2=Payroll!$I34,Payroll!$F34,IF(AE$2&gt;Payroll!$I34,Payroll!$F34*((1+Payroll!$J34)^(ROUNDDOWN(DATEDIF(Payroll!$I34,AE$2,"M")/Payroll!$K34,0))),0))</f>
        <v>0</v>
      </c>
      <c r="AF119" s="56">
        <f>IF(AF$2=Payroll!$I34,Payroll!$F34,IF(AF$2&gt;Payroll!$I34,Payroll!$F34*((1+Payroll!$J34)^(ROUNDDOWN(DATEDIF(Payroll!$I34,AF$2,"M")/Payroll!$K34,0))),0))</f>
        <v>0</v>
      </c>
      <c r="AG119" s="56">
        <f>IF(AG$2=Payroll!$I34,Payroll!$F34,IF(AG$2&gt;Payroll!$I34,Payroll!$F34*((1+Payroll!$J34)^(ROUNDDOWN(DATEDIF(Payroll!$I34,AG$2,"M")/Payroll!$K34,0))),0))</f>
        <v>0</v>
      </c>
      <c r="AH119" s="56">
        <f>IF(AH$2=Payroll!$I34,Payroll!$F34,IF(AH$2&gt;Payroll!$I34,Payroll!$F34*((1+Payroll!$J34)^(ROUNDDOWN(DATEDIF(Payroll!$I34,AH$2,"M")/Payroll!$K34,0))),0))</f>
        <v>0</v>
      </c>
      <c r="AI119" s="56">
        <f>IF(AI$2=Payroll!$I34,Payroll!$F34,IF(AI$2&gt;Payroll!$I34,Payroll!$F34*((1+Payroll!$J34)^(ROUNDDOWN(DATEDIF(Payroll!$I34,AI$2,"M")/Payroll!$K34,0))),0))</f>
        <v>0</v>
      </c>
      <c r="AJ119" s="56">
        <f>IF(AJ$2=Payroll!$I34,Payroll!$F34,IF(AJ$2&gt;Payroll!$I34,Payroll!$F34*((1+Payroll!$J34)^(ROUNDDOWN(DATEDIF(Payroll!$I34,AJ$2,"M")/Payroll!$K34,0))),0))</f>
        <v>0</v>
      </c>
      <c r="AK119" s="56">
        <f>IF(AK$2=Payroll!$I34,Payroll!$F34,IF(AK$2&gt;Payroll!$I34,Payroll!$F34*((1+Payroll!$J34)^(ROUNDDOWN(DATEDIF(Payroll!$I34,AK$2,"M")/Payroll!$K34,0))),0))</f>
        <v>0</v>
      </c>
      <c r="AL119" s="56">
        <f>IF(AL$2=Payroll!$I34,Payroll!$F34,IF(AL$2&gt;Payroll!$I34,Payroll!$F34*((1+Payroll!$J34)^(ROUNDDOWN(DATEDIF(Payroll!$I34,AL$2,"M")/Payroll!$K34,0))),0))</f>
        <v>0</v>
      </c>
      <c r="AM119" s="56">
        <f>IF(AM$2=Payroll!$I34,Payroll!$F34,IF(AM$2&gt;Payroll!$I34,Payroll!$F34*((1+Payroll!$J34)^(ROUNDDOWN(DATEDIF(Payroll!$I34,AM$2,"M")/Payroll!$K34,0))),0))</f>
        <v>0</v>
      </c>
      <c r="AN119" s="56">
        <f>IF(AN$2=Payroll!$I34,Payroll!$F34,IF(AN$2&gt;Payroll!$I34,Payroll!$F34*((1+Payroll!$J34)^(ROUNDDOWN(DATEDIF(Payroll!$I34,AN$2,"M")/Payroll!$K34,0))),0))</f>
        <v>0</v>
      </c>
      <c r="AO119" s="56">
        <f>IF(AO$2=Payroll!$I34,Payroll!$F34,IF(AO$2&gt;Payroll!$I34,Payroll!$F34*((1+Payroll!$J34)^(ROUNDDOWN(DATEDIF(Payroll!$I34,AO$2,"M")/Payroll!$K34,0))),0))</f>
        <v>0</v>
      </c>
      <c r="AP119" s="56">
        <f>IF(AP$2=Payroll!$I34,Payroll!$F34,IF(AP$2&gt;Payroll!$I34,Payroll!$F34*((1+Payroll!$J34)^(ROUNDDOWN(DATEDIF(Payroll!$I34,AP$2,"M")/Payroll!$K34,0))),0))</f>
        <v>0</v>
      </c>
      <c r="AQ119" s="56">
        <f>IF(AQ$2=Payroll!$I34,Payroll!$F34,IF(AQ$2&gt;Payroll!$I34,Payroll!$F34*((1+Payroll!$J34)^(ROUNDDOWN(DATEDIF(Payroll!$I34,AQ$2,"M")/Payroll!$K34,0))),0))</f>
        <v>0</v>
      </c>
      <c r="AR119" s="56">
        <f>IF(AR$2=Payroll!$I34,Payroll!$F34,IF(AR$2&gt;Payroll!$I34,Payroll!$F34*((1+Payroll!$J34)^(ROUNDDOWN(DATEDIF(Payroll!$I34,AR$2,"M")/Payroll!$K34,0))),0))</f>
        <v>0</v>
      </c>
      <c r="AS119" s="56">
        <f>IF(AS$2=Payroll!$I34,Payroll!$F34,IF(AS$2&gt;Payroll!$I34,Payroll!$F34*((1+Payroll!$J34)^(ROUNDDOWN(DATEDIF(Payroll!$I34,AS$2,"M")/Payroll!$K34,0))),0))</f>
        <v>0</v>
      </c>
      <c r="AT119" s="56">
        <f>IF(AT$2=Payroll!$I34,Payroll!$F34,IF(AT$2&gt;Payroll!$I34,Payroll!$F34*((1+Payroll!$J34)^(ROUNDDOWN(DATEDIF(Payroll!$I34,AT$2,"M")/Payroll!$K34,0))),0))</f>
        <v>0</v>
      </c>
      <c r="AU119" s="56">
        <f>IF(AU$2=Payroll!$I34,Payroll!$F34,IF(AU$2&gt;Payroll!$I34,Payroll!$F34*((1+Payroll!$J34)^(ROUNDDOWN(DATEDIF(Payroll!$I34,AU$2,"M")/Payroll!$K34,0))),0))</f>
        <v>0</v>
      </c>
      <c r="AV119" s="56">
        <f>IF(AV$2=Payroll!$I34,Payroll!$F34,IF(AV$2&gt;Payroll!$I34,Payroll!$F34*((1+Payroll!$J34)^(ROUNDDOWN(DATEDIF(Payroll!$I34,AV$2,"M")/Payroll!$K34,0))),0))</f>
        <v>0</v>
      </c>
      <c r="AW119" s="56">
        <f>IF(AW$2=Payroll!$I34,Payroll!$F34,IF(AW$2&gt;Payroll!$I34,Payroll!$F34*((1+Payroll!$J34)^(ROUNDDOWN(DATEDIF(Payroll!$I34,AW$2,"M")/Payroll!$K34,0))),0))</f>
        <v>0</v>
      </c>
      <c r="AX119" s="56">
        <f>IF(AX$2=Payroll!$I34,Payroll!$F34,IF(AX$2&gt;Payroll!$I34,Payroll!$F34*((1+Payroll!$J34)^(ROUNDDOWN(DATEDIF(Payroll!$I34,AX$2,"M")/Payroll!$K34,0))),0))</f>
        <v>0</v>
      </c>
      <c r="AY119" s="56">
        <f>IF(AY$2=Payroll!$I34,Payroll!$F34,IF(AY$2&gt;Payroll!$I34,Payroll!$F34*((1+Payroll!$J34)^(ROUNDDOWN(DATEDIF(Payroll!$I34,AY$2,"M")/Payroll!$K34,0))),0))</f>
        <v>0</v>
      </c>
      <c r="AZ119" s="56">
        <f>IF(AZ$2=Payroll!$I34,Payroll!$F34,IF(AZ$2&gt;Payroll!$I34,Payroll!$F34*((1+Payroll!$J34)^(ROUNDDOWN(DATEDIF(Payroll!$I34,AZ$2,"M")/Payroll!$K34,0))),0))</f>
        <v>0</v>
      </c>
      <c r="BA119" s="56">
        <f>IF(BA$2=Payroll!$I34,Payroll!$F34,IF(BA$2&gt;Payroll!$I34,Payroll!$F34*((1+Payroll!$J34)^(ROUNDDOWN(DATEDIF(Payroll!$I34,BA$2,"M")/Payroll!$K34,0))),0))</f>
        <v>0</v>
      </c>
      <c r="BB119" s="56">
        <f>IF(BB$2=Payroll!$I34,Payroll!$F34,IF(BB$2&gt;Payroll!$I34,Payroll!$F34*((1+Payroll!$J34)^(ROUNDDOWN(DATEDIF(Payroll!$I34,BB$2,"M")/Payroll!$K34,0))),0))</f>
        <v>0</v>
      </c>
      <c r="BC119" s="56">
        <f>IF(BC$2=Payroll!$I34,Payroll!$F34,IF(BC$2&gt;Payroll!$I34,Payroll!$F34*((1+Payroll!$J34)^(ROUNDDOWN(DATEDIF(Payroll!$I34,BC$2,"M")/Payroll!$K34,0))),0))</f>
        <v>0</v>
      </c>
      <c r="BD119" s="56">
        <f>IF(BD$2=Payroll!$I34,Payroll!$F34,IF(BD$2&gt;Payroll!$I34,Payroll!$F34*((1+Payroll!$J34)^(ROUNDDOWN(DATEDIF(Payroll!$I34,BD$2,"M")/Payroll!$K34,0))),0))</f>
        <v>0</v>
      </c>
      <c r="BE119" s="56">
        <f>IF(BE$2=Payroll!$I34,Payroll!$F34,IF(BE$2&gt;Payroll!$I34,Payroll!$F34*((1+Payroll!$J34)^(ROUNDDOWN(DATEDIF(Payroll!$I34,BE$2,"M")/Payroll!$K34,0))),0))</f>
        <v>0</v>
      </c>
      <c r="BF119" s="56">
        <f>IF(BF$2=Payroll!$I34,Payroll!$F34,IF(BF$2&gt;Payroll!$I34,Payroll!$F34*((1+Payroll!$J34)^(ROUNDDOWN(DATEDIF(Payroll!$I34,BF$2,"M")/Payroll!$K34,0))),0))</f>
        <v>0</v>
      </c>
      <c r="BG119" s="56">
        <f>IF(BG$2=Payroll!$I34,Payroll!$F34,IF(BG$2&gt;Payroll!$I34,Payroll!$F34*((1+Payroll!$J34)^(ROUNDDOWN(DATEDIF(Payroll!$I34,BG$2,"M")/Payroll!$K34,0))),0))</f>
        <v>0</v>
      </c>
      <c r="BH119" s="56">
        <f>IF(BH$2=Payroll!$I34,Payroll!$F34,IF(BH$2&gt;Payroll!$I34,Payroll!$F34*((1+Payroll!$J34)^(ROUNDDOWN(DATEDIF(Payroll!$I34,BH$2,"M")/Payroll!$K34,0))),0))</f>
        <v>0</v>
      </c>
      <c r="BI119" s="56">
        <f>IF(BI$2=Payroll!$I34,Payroll!$F34,IF(BI$2&gt;Payroll!$I34,Payroll!$F34*((1+Payroll!$J34)^(ROUNDDOWN(DATEDIF(Payroll!$I34,BI$2,"M")/Payroll!$K34,0))),0))</f>
        <v>0</v>
      </c>
      <c r="BJ119" s="56">
        <f>IF(BJ$2=Payroll!$I34,Payroll!$F34,IF(BJ$2&gt;Payroll!$I34,Payroll!$F34*((1+Payroll!$J34)^(ROUNDDOWN(DATEDIF(Payroll!$I34,BJ$2,"M")/Payroll!$K34,0))),0))</f>
        <v>0</v>
      </c>
      <c r="BK119" s="56">
        <f>IF(BK$2=Payroll!$I34,Payroll!$F34,IF(BK$2&gt;Payroll!$I34,Payroll!$F34*((1+Payroll!$J34)^(ROUNDDOWN(DATEDIF(Payroll!$I34,BK$2,"M")/Payroll!$K34,0))),0))</f>
        <v>0</v>
      </c>
      <c r="BL119" s="56">
        <f>IF(BL$2=Payroll!$I34,Payroll!$F34,IF(BL$2&gt;Payroll!$I34,Payroll!$F34*((1+Payroll!$J34)^(ROUNDDOWN(DATEDIF(Payroll!$I34,BL$2,"M")/Payroll!$K34,0))),0))</f>
        <v>0</v>
      </c>
      <c r="BM119" s="56">
        <f>IF(BM$2=Payroll!$I34,Payroll!$F34,IF(BM$2&gt;Payroll!$I34,Payroll!$F34*((1+Payroll!$J34)^(ROUNDDOWN(DATEDIF(Payroll!$I34,BM$2,"M")/Payroll!$K34,0))),0))</f>
        <v>0</v>
      </c>
      <c r="BN119" s="56">
        <f>IF(BN$2=Payroll!$I34,Payroll!$F34,IF(BN$2&gt;Payroll!$I34,Payroll!$F34*((1+Payroll!$J34)^(ROUNDDOWN(DATEDIF(Payroll!$I34,BN$2,"M")/Payroll!$K34,0))),0))</f>
        <v>0</v>
      </c>
      <c r="BO119" s="56">
        <f>IF(BO$2=Payroll!$I34,Payroll!$F34,IF(BO$2&gt;Payroll!$I34,Payroll!$F34*((1+Payroll!$J34)^(ROUNDDOWN(DATEDIF(Payroll!$I34,BO$2,"M")/Payroll!$K34,0))),0))</f>
        <v>0</v>
      </c>
      <c r="BP119" s="56">
        <f>IF(BP$2=Payroll!$I34,Payroll!$F34,IF(BP$2&gt;Payroll!$I34,Payroll!$F34*((1+Payroll!$J34)^(ROUNDDOWN(DATEDIF(Payroll!$I34,BP$2,"M")/Payroll!$K34,0))),0))</f>
        <v>0</v>
      </c>
      <c r="BQ119" s="56">
        <f>IF(BQ$2=Payroll!$I34,Payroll!$F34,IF(BQ$2&gt;Payroll!$I34,Payroll!$F34*((1+Payroll!$J34)^(ROUNDDOWN(DATEDIF(Payroll!$I34,BQ$2,"M")/Payroll!$K34,0))),0))</f>
        <v>0</v>
      </c>
      <c r="BR119" s="56">
        <f>IF(BR$2=Payroll!$I34,Payroll!$F34,IF(BR$2&gt;Payroll!$I34,Payroll!$F34*((1+Payroll!$J34)^(ROUNDDOWN(DATEDIF(Payroll!$I34,BR$2,"M")/Payroll!$K34,0))),0))</f>
        <v>0</v>
      </c>
      <c r="BS119" s="56">
        <f>IF(BS$2=Payroll!$I34,Payroll!$F34,IF(BS$2&gt;Payroll!$I34,Payroll!$F34*((1+Payroll!$J34)^(ROUNDDOWN(DATEDIF(Payroll!$I34,BS$2,"M")/Payroll!$K34,0))),0))</f>
        <v>0</v>
      </c>
      <c r="BT119" s="56">
        <f>IF(BT$2=Payroll!$I34,Payroll!$F34,IF(BT$2&gt;Payroll!$I34,Payroll!$F34*((1+Payroll!$J34)^(ROUNDDOWN(DATEDIF(Payroll!$I34,BT$2,"M")/Payroll!$K34,0))),0))</f>
        <v>0</v>
      </c>
      <c r="BU119" s="56">
        <f>IF(BU$2=Payroll!$I34,Payroll!$F34,IF(BU$2&gt;Payroll!$I34,Payroll!$F34*((1+Payroll!$J34)^(ROUNDDOWN(DATEDIF(Payroll!$I34,BU$2,"M")/Payroll!$K34,0))),0))</f>
        <v>0</v>
      </c>
      <c r="BV119" s="56">
        <f>IF(BV$2=Payroll!$I34,Payroll!$F34,IF(BV$2&gt;Payroll!$I34,Payroll!$F34*((1+Payroll!$J34)^(ROUNDDOWN(DATEDIF(Payroll!$I34,BV$2,"M")/Payroll!$K34,0))),0))</f>
        <v>0</v>
      </c>
      <c r="BW119" s="56">
        <f>IF(BW$2=Payroll!$I34,Payroll!$F34,IF(BW$2&gt;Payroll!$I34,Payroll!$F34*((1+Payroll!$J34)^(ROUNDDOWN(DATEDIF(Payroll!$I34,BW$2,"M")/Payroll!$K34,0))),0))</f>
        <v>0</v>
      </c>
      <c r="BX119" s="56">
        <f>IF(BX$2=Payroll!$I34,Payroll!$F34,IF(BX$2&gt;Payroll!$I34,Payroll!$F34*((1+Payroll!$J34)^(ROUNDDOWN(DATEDIF(Payroll!$I34,BX$2,"M")/Payroll!$K34,0))),0))</f>
        <v>0</v>
      </c>
      <c r="BY119" s="56">
        <f>IF(BY$2=Payroll!$I34,Payroll!$F34,IF(BY$2&gt;Payroll!$I34,Payroll!$F34*((1+Payroll!$J34)^(ROUNDDOWN(DATEDIF(Payroll!$I34,BY$2,"M")/Payroll!$K34,0))),0))</f>
        <v>0</v>
      </c>
      <c r="BZ119" s="56">
        <f>IF(BZ$2=Payroll!$I34,Payroll!$F34,IF(BZ$2&gt;Payroll!$I34,Payroll!$F34*((1+Payroll!$J34)^(ROUNDDOWN(DATEDIF(Payroll!$I34,BZ$2,"M")/Payroll!$K34,0))),0))</f>
        <v>0</v>
      </c>
      <c r="CA119" s="56">
        <f>IF(CA$2=Payroll!$I34,Payroll!$F34,IF(CA$2&gt;Payroll!$I34,Payroll!$F34*((1+Payroll!$J34)^(ROUNDDOWN(DATEDIF(Payroll!$I34,CA$2,"M")/Payroll!$K34,0))),0))</f>
        <v>0</v>
      </c>
      <c r="CB119" s="56">
        <f>IF(CB$2=Payroll!$I34,Payroll!$F34,IF(CB$2&gt;Payroll!$I34,Payroll!$F34*((1+Payroll!$J34)^(ROUNDDOWN(DATEDIF(Payroll!$I34,CB$2,"M")/Payroll!$K34,0))),0))</f>
        <v>0</v>
      </c>
      <c r="CC119" s="56">
        <f>IF(CC$2=Payroll!$I34,Payroll!$F34,IF(CC$2&gt;Payroll!$I34,Payroll!$F34*((1+Payroll!$J34)^(ROUNDDOWN(DATEDIF(Payroll!$I34,CC$2,"M")/Payroll!$K34,0))),0))</f>
        <v>0</v>
      </c>
      <c r="CD119" s="56">
        <f>IF(CD$2=Payroll!$I34,Payroll!$F34,IF(CD$2&gt;Payroll!$I34,Payroll!$F34*((1+Payroll!$J34)^(ROUNDDOWN(DATEDIF(Payroll!$I34,CD$2,"M")/Payroll!$K34,0))),0))</f>
        <v>0</v>
      </c>
      <c r="CE119" s="56">
        <f>IF(CE$2=Payroll!$I34,Payroll!$F34,IF(CE$2&gt;Payroll!$I34,Payroll!$F34*((1+Payroll!$J34)^(ROUNDDOWN(DATEDIF(Payroll!$I34,CE$2,"M")/Payroll!$K34,0))),0))</f>
        <v>0</v>
      </c>
      <c r="CF119" s="56">
        <f>IF(CF$2=Payroll!$I34,Payroll!$F34,IF(CF$2&gt;Payroll!$I34,Payroll!$F34*((1+Payroll!$J34)^(ROUNDDOWN(DATEDIF(Payroll!$I34,CF$2,"M")/Payroll!$K34,0))),0))</f>
        <v>0</v>
      </c>
      <c r="CG119" s="56">
        <f>IF(CG$2=Payroll!$I34,Payroll!$F34,IF(CG$2&gt;Payroll!$I34,Payroll!$F34*((1+Payroll!$J34)^(ROUNDDOWN(DATEDIF(Payroll!$I34,CG$2,"M")/Payroll!$K34,0))),0))</f>
        <v>0</v>
      </c>
      <c r="CH119" s="56">
        <f>IF(CH$2=Payroll!$I34,Payroll!$F34,IF(CH$2&gt;Payroll!$I34,Payroll!$F34*((1+Payroll!$J34)^(ROUNDDOWN(DATEDIF(Payroll!$I34,CH$2,"M")/Payroll!$K34,0))),0))</f>
        <v>0</v>
      </c>
      <c r="CI119" s="56">
        <f>IF(CI$2=Payroll!$I34,Payroll!$F34,IF(CI$2&gt;Payroll!$I34,Payroll!$F34*((1+Payroll!$J34)^(ROUNDDOWN(DATEDIF(Payroll!$I34,CI$2,"M")/Payroll!$K34,0))),0))</f>
        <v>0</v>
      </c>
      <c r="CJ119" s="56">
        <f>IF(CJ$2=Payroll!$I34,Payroll!$F34,IF(CJ$2&gt;Payroll!$I34,Payroll!$F34*((1+Payroll!$J34)^(ROUNDDOWN(DATEDIF(Payroll!$I34,CJ$2,"M")/Payroll!$K34,0))),0))</f>
        <v>0</v>
      </c>
      <c r="CK119" s="56">
        <f>IF(CK$2=Payroll!$I34,Payroll!$F34,IF(CK$2&gt;Payroll!$I34,Payroll!$F34*((1+Payroll!$J34)^(ROUNDDOWN(DATEDIF(Payroll!$I34,CK$2,"M")/Payroll!$K34,0))),0))</f>
        <v>0</v>
      </c>
      <c r="CL119" s="56">
        <f>IF(CL$2=Payroll!$I34,Payroll!$F34,IF(CL$2&gt;Payroll!$I34,Payroll!$F34*((1+Payroll!$J34)^(ROUNDDOWN(DATEDIF(Payroll!$I34,CL$2,"M")/Payroll!$K34,0))),0))</f>
        <v>0</v>
      </c>
      <c r="CM119" s="56">
        <f>IF(CM$2=Payroll!$I34,Payroll!$F34,IF(CM$2&gt;Payroll!$I34,Payroll!$F34*((1+Payroll!$J34)^(ROUNDDOWN(DATEDIF(Payroll!$I34,CM$2,"M")/Payroll!$K34,0))),0))</f>
        <v>0</v>
      </c>
      <c r="CN119" s="56">
        <f>IF(CN$2=Payroll!$I34,Payroll!$F34,IF(CN$2&gt;Payroll!$I34,Payroll!$F34*((1+Payroll!$J34)^(ROUNDDOWN(DATEDIF(Payroll!$I34,CN$2,"M")/Payroll!$K34,0))),0))</f>
        <v>0</v>
      </c>
      <c r="CO119" s="56">
        <f>IF(CO$2=Payroll!$I34,Payroll!$F34,IF(CO$2&gt;Payroll!$I34,Payroll!$F34*((1+Payroll!$J34)^(ROUNDDOWN(DATEDIF(Payroll!$I34,CO$2,"M")/Payroll!$K34,0))),0))</f>
        <v>0</v>
      </c>
      <c r="CP119" s="56">
        <f>IF(CP$2=Payroll!$I34,Payroll!$F34,IF(CP$2&gt;Payroll!$I34,Payroll!$F34*((1+Payroll!$J34)^(ROUNDDOWN(DATEDIF(Payroll!$I34,CP$2,"M")/Payroll!$K34,0))),0))</f>
        <v>0</v>
      </c>
      <c r="CQ119" s="56">
        <f>IF(CQ$2=Payroll!$I34,Payroll!$F34,IF(CQ$2&gt;Payroll!$I34,Payroll!$F34*((1+Payroll!$J34)^(ROUNDDOWN(DATEDIF(Payroll!$I34,CQ$2,"M")/Payroll!$K34,0))),0))</f>
        <v>0</v>
      </c>
      <c r="CR119" s="56">
        <f>IF(CR$2=Payroll!$I34,Payroll!$F34,IF(CR$2&gt;Payroll!$I34,Payroll!$F34*((1+Payroll!$J34)^(ROUNDDOWN(DATEDIF(Payroll!$I34,CR$2,"M")/Payroll!$K34,0))),0))</f>
        <v>0</v>
      </c>
      <c r="CS119" s="56">
        <f>IF(CS$2=Payroll!$I34,Payroll!$F34,IF(CS$2&gt;Payroll!$I34,Payroll!$F34*((1+Payroll!$J34)^(ROUNDDOWN(DATEDIF(Payroll!$I34,CS$2,"M")/Payroll!$K34,0))),0))</f>
        <v>0</v>
      </c>
      <c r="CT119" s="56">
        <f>IF(CT$2=Payroll!$I34,Payroll!$F34,IF(CT$2&gt;Payroll!$I34,Payroll!$F34*((1+Payroll!$J34)^(ROUNDDOWN(DATEDIF(Payroll!$I34,CT$2,"M")/Payroll!$K34,0))),0))</f>
        <v>0</v>
      </c>
      <c r="CU119" s="56">
        <f>IF(CU$2=Payroll!$I34,Payroll!$F34,IF(CU$2&gt;Payroll!$I34,Payroll!$F34*((1+Payroll!$J34)^(ROUNDDOWN(DATEDIF(Payroll!$I34,CU$2,"M")/Payroll!$K34,0))),0))</f>
        <v>0</v>
      </c>
      <c r="CV119" s="56">
        <f>IF(CV$2=Payroll!$I34,Payroll!$F34,IF(CV$2&gt;Payroll!$I34,Payroll!$F34*((1+Payroll!$J34)^(ROUNDDOWN(DATEDIF(Payroll!$I34,CV$2,"M")/Payroll!$K34,0))),0))</f>
        <v>0</v>
      </c>
      <c r="CW119" s="56">
        <f>IF(CW$2=Payroll!$I34,Payroll!$F34,IF(CW$2&gt;Payroll!$I34,Payroll!$F34*((1+Payroll!$J34)^(ROUNDDOWN(DATEDIF(Payroll!$I34,CW$2,"M")/Payroll!$K34,0))),0))</f>
        <v>0</v>
      </c>
      <c r="CX119" s="56">
        <f>IF(CX$2=Payroll!$I34,Payroll!$F34,IF(CX$2&gt;Payroll!$I34,Payroll!$F34*((1+Payroll!$J34)^(ROUNDDOWN(DATEDIF(Payroll!$I34,CX$2,"M")/Payroll!$K34,0))),0))</f>
        <v>0</v>
      </c>
    </row>
    <row r="120" ht="15.75" customHeight="1" outlineLevel="2">
      <c r="A120" s="56" t="str">
        <f>Payroll!A35</f>
        <v>PR / Comms Manager</v>
      </c>
      <c r="B120" s="56"/>
      <c r="C120" s="56"/>
      <c r="D120" s="56"/>
      <c r="E120" s="56">
        <f>IF(E$2=Payroll!$I35,Payroll!$F35,IF(E$2&gt;Payroll!$I35,Payroll!$F35*((1+Payroll!$J35)^(ROUNDDOWN(DATEDIF(Payroll!$I35,E$2,"M")/Payroll!$K35,0))),0))</f>
        <v>0</v>
      </c>
      <c r="F120" s="56">
        <f>IF(F$2=Payroll!$I35,Payroll!$F35,IF(F$2&gt;Payroll!$I35,Payroll!$F35*((1+Payroll!$J35)^(ROUNDDOWN(DATEDIF(Payroll!$I35,F$2,"M")/Payroll!$K35,0))),0))</f>
        <v>0</v>
      </c>
      <c r="G120" s="56">
        <f>IF(G$2=Payroll!$I35,Payroll!$F35,IF(G$2&gt;Payroll!$I35,Payroll!$F35*((1+Payroll!$J35)^(ROUNDDOWN(DATEDIF(Payroll!$I35,G$2,"M")/Payroll!$K35,0))),0))</f>
        <v>0</v>
      </c>
      <c r="H120" s="56">
        <f>IF(H$2=Payroll!$I35,Payroll!$F35,IF(H$2&gt;Payroll!$I35,Payroll!$F35*((1+Payroll!$J35)^(ROUNDDOWN(DATEDIF(Payroll!$I35,H$2,"M")/Payroll!$K35,0))),0))</f>
        <v>0</v>
      </c>
      <c r="I120" s="56">
        <f>IF(I$2=Payroll!$I35,Payroll!$F35,IF(I$2&gt;Payroll!$I35,Payroll!$F35*((1+Payroll!$J35)^(ROUNDDOWN(DATEDIF(Payroll!$I35,I$2,"M")/Payroll!$K35,0))),0))</f>
        <v>0</v>
      </c>
      <c r="J120" s="56">
        <f>IF(J$2=Payroll!$I35,Payroll!$F35,IF(J$2&gt;Payroll!$I35,Payroll!$F35*((1+Payroll!$J35)^(ROUNDDOWN(DATEDIF(Payroll!$I35,J$2,"M")/Payroll!$K35,0))),0))</f>
        <v>0</v>
      </c>
      <c r="K120" s="56">
        <f>IF(K$2=Payroll!$I35,Payroll!$F35,IF(K$2&gt;Payroll!$I35,Payroll!$F35*((1+Payroll!$J35)^(ROUNDDOWN(DATEDIF(Payroll!$I35,K$2,"M")/Payroll!$K35,0))),0))</f>
        <v>0</v>
      </c>
      <c r="L120" s="56">
        <f>IF(L$2=Payroll!$I35,Payroll!$F35,IF(L$2&gt;Payroll!$I35,Payroll!$F35*((1+Payroll!$J35)^(ROUNDDOWN(DATEDIF(Payroll!$I35,L$2,"M")/Payroll!$K35,0))),0))</f>
        <v>0</v>
      </c>
      <c r="M120" s="56">
        <f>IF(M$2=Payroll!$I35,Payroll!$F35,IF(M$2&gt;Payroll!$I35,Payroll!$F35*((1+Payroll!$J35)^(ROUNDDOWN(DATEDIF(Payroll!$I35,M$2,"M")/Payroll!$K35,0))),0))</f>
        <v>0</v>
      </c>
      <c r="N120" s="56">
        <f>IF(N$2=Payroll!$I35,Payroll!$F35,IF(N$2&gt;Payroll!$I35,Payroll!$F35*((1+Payroll!$J35)^(ROUNDDOWN(DATEDIF(Payroll!$I35,N$2,"M")/Payroll!$K35,0))),0))</f>
        <v>0</v>
      </c>
      <c r="O120" s="56">
        <f>IF(O$2=Payroll!$I35,Payroll!$F35,IF(O$2&gt;Payroll!$I35,Payroll!$F35*((1+Payroll!$J35)^(ROUNDDOWN(DATEDIF(Payroll!$I35,O$2,"M")/Payroll!$K35,0))),0))</f>
        <v>0</v>
      </c>
      <c r="P120" s="56">
        <f>IF(P$2=Payroll!$I35,Payroll!$F35,IF(P$2&gt;Payroll!$I35,Payroll!$F35*((1+Payroll!$J35)^(ROUNDDOWN(DATEDIF(Payroll!$I35,P$2,"M")/Payroll!$K35,0))),0))</f>
        <v>0</v>
      </c>
      <c r="Q120" s="56">
        <f>IF(Q$2=Payroll!$I35,Payroll!$F35,IF(Q$2&gt;Payroll!$I35,Payroll!$F35*((1+Payroll!$J35)^(ROUNDDOWN(DATEDIF(Payroll!$I35,Q$2,"M")/Payroll!$K35,0))),0))</f>
        <v>0</v>
      </c>
      <c r="R120" s="56">
        <f>IF(R$2=Payroll!$I35,Payroll!$F35,IF(R$2&gt;Payroll!$I35,Payroll!$F35*((1+Payroll!$J35)^(ROUNDDOWN(DATEDIF(Payroll!$I35,R$2,"M")/Payroll!$K35,0))),0))</f>
        <v>0</v>
      </c>
      <c r="S120" s="56">
        <f>IF(S$2=Payroll!$I35,Payroll!$F35,IF(S$2&gt;Payroll!$I35,Payroll!$F35*((1+Payroll!$J35)^(ROUNDDOWN(DATEDIF(Payroll!$I35,S$2,"M")/Payroll!$K35,0))),0))</f>
        <v>0</v>
      </c>
      <c r="T120" s="56">
        <f>IF(T$2=Payroll!$I35,Payroll!$F35,IF(T$2&gt;Payroll!$I35,Payroll!$F35*((1+Payroll!$J35)^(ROUNDDOWN(DATEDIF(Payroll!$I35,T$2,"M")/Payroll!$K35,0))),0))</f>
        <v>0</v>
      </c>
      <c r="U120" s="56">
        <f>IF(U$2=Payroll!$I35,Payroll!$F35,IF(U$2&gt;Payroll!$I35,Payroll!$F35*((1+Payroll!$J35)^(ROUNDDOWN(DATEDIF(Payroll!$I35,U$2,"M")/Payroll!$K35,0))),0))</f>
        <v>0</v>
      </c>
      <c r="V120" s="56">
        <f>IF(V$2=Payroll!$I35,Payroll!$F35,IF(V$2&gt;Payroll!$I35,Payroll!$F35*((1+Payroll!$J35)^(ROUNDDOWN(DATEDIF(Payroll!$I35,V$2,"M")/Payroll!$K35,0))),0))</f>
        <v>0</v>
      </c>
      <c r="W120" s="56">
        <f>IF(W$2=Payroll!$I35,Payroll!$F35,IF(W$2&gt;Payroll!$I35,Payroll!$F35*((1+Payroll!$J35)^(ROUNDDOWN(DATEDIF(Payroll!$I35,W$2,"M")/Payroll!$K35,0))),0))</f>
        <v>0</v>
      </c>
      <c r="X120" s="56">
        <f>IF(X$2=Payroll!$I35,Payroll!$F35,IF(X$2&gt;Payroll!$I35,Payroll!$F35*((1+Payroll!$J35)^(ROUNDDOWN(DATEDIF(Payroll!$I35,X$2,"M")/Payroll!$K35,0))),0))</f>
        <v>0</v>
      </c>
      <c r="Y120" s="56">
        <f>IF(Y$2=Payroll!$I35,Payroll!$F35,IF(Y$2&gt;Payroll!$I35,Payroll!$F35*((1+Payroll!$J35)^(ROUNDDOWN(DATEDIF(Payroll!$I35,Y$2,"M")/Payroll!$K35,0))),0))</f>
        <v>0</v>
      </c>
      <c r="Z120" s="56">
        <f>IF(Z$2=Payroll!$I35,Payroll!$F35,IF(Z$2&gt;Payroll!$I35,Payroll!$F35*((1+Payroll!$J35)^(ROUNDDOWN(DATEDIF(Payroll!$I35,Z$2,"M")/Payroll!$K35,0))),0))</f>
        <v>0</v>
      </c>
      <c r="AA120" s="56">
        <f>IF(AA$2=Payroll!$I35,Payroll!$F35,IF(AA$2&gt;Payroll!$I35,Payroll!$F35*((1+Payroll!$J35)^(ROUNDDOWN(DATEDIF(Payroll!$I35,AA$2,"M")/Payroll!$K35,0))),0))</f>
        <v>0</v>
      </c>
      <c r="AB120" s="56">
        <f>IF(AB$2=Payroll!$I35,Payroll!$F35,IF(AB$2&gt;Payroll!$I35,Payroll!$F35*((1+Payroll!$J35)^(ROUNDDOWN(DATEDIF(Payroll!$I35,AB$2,"M")/Payroll!$K35,0))),0))</f>
        <v>0</v>
      </c>
      <c r="AC120" s="56">
        <f>IF(AC$2=Payroll!$I35,Payroll!$F35,IF(AC$2&gt;Payroll!$I35,Payroll!$F35*((1+Payroll!$J35)^(ROUNDDOWN(DATEDIF(Payroll!$I35,AC$2,"M")/Payroll!$K35,0))),0))</f>
        <v>0</v>
      </c>
      <c r="AD120" s="56">
        <f>IF(AD$2=Payroll!$I35,Payroll!$F35,IF(AD$2&gt;Payroll!$I35,Payroll!$F35*((1+Payroll!$J35)^(ROUNDDOWN(DATEDIF(Payroll!$I35,AD$2,"M")/Payroll!$K35,0))),0))</f>
        <v>0</v>
      </c>
      <c r="AE120" s="56">
        <f>IF(AE$2=Payroll!$I35,Payroll!$F35,IF(AE$2&gt;Payroll!$I35,Payroll!$F35*((1+Payroll!$J35)^(ROUNDDOWN(DATEDIF(Payroll!$I35,AE$2,"M")/Payroll!$K35,0))),0))</f>
        <v>0</v>
      </c>
      <c r="AF120" s="56">
        <f>IF(AF$2=Payroll!$I35,Payroll!$F35,IF(AF$2&gt;Payroll!$I35,Payroll!$F35*((1+Payroll!$J35)^(ROUNDDOWN(DATEDIF(Payroll!$I35,AF$2,"M")/Payroll!$K35,0))),0))</f>
        <v>0</v>
      </c>
      <c r="AG120" s="56">
        <f>IF(AG$2=Payroll!$I35,Payroll!$F35,IF(AG$2&gt;Payroll!$I35,Payroll!$F35*((1+Payroll!$J35)^(ROUNDDOWN(DATEDIF(Payroll!$I35,AG$2,"M")/Payroll!$K35,0))),0))</f>
        <v>0</v>
      </c>
      <c r="AH120" s="56">
        <f>IF(AH$2=Payroll!$I35,Payroll!$F35,IF(AH$2&gt;Payroll!$I35,Payroll!$F35*((1+Payroll!$J35)^(ROUNDDOWN(DATEDIF(Payroll!$I35,AH$2,"M")/Payroll!$K35,0))),0))</f>
        <v>0</v>
      </c>
      <c r="AI120" s="56">
        <f>IF(AI$2=Payroll!$I35,Payroll!$F35,IF(AI$2&gt;Payroll!$I35,Payroll!$F35*((1+Payroll!$J35)^(ROUNDDOWN(DATEDIF(Payroll!$I35,AI$2,"M")/Payroll!$K35,0))),0))</f>
        <v>0</v>
      </c>
      <c r="AJ120" s="56">
        <f>IF(AJ$2=Payroll!$I35,Payroll!$F35,IF(AJ$2&gt;Payroll!$I35,Payroll!$F35*((1+Payroll!$J35)^(ROUNDDOWN(DATEDIF(Payroll!$I35,AJ$2,"M")/Payroll!$K35,0))),0))</f>
        <v>0</v>
      </c>
      <c r="AK120" s="56">
        <f>IF(AK$2=Payroll!$I35,Payroll!$F35,IF(AK$2&gt;Payroll!$I35,Payroll!$F35*((1+Payroll!$J35)^(ROUNDDOWN(DATEDIF(Payroll!$I35,AK$2,"M")/Payroll!$K35,0))),0))</f>
        <v>0</v>
      </c>
      <c r="AL120" s="56">
        <f>IF(AL$2=Payroll!$I35,Payroll!$F35,IF(AL$2&gt;Payroll!$I35,Payroll!$F35*((1+Payroll!$J35)^(ROUNDDOWN(DATEDIF(Payroll!$I35,AL$2,"M")/Payroll!$K35,0))),0))</f>
        <v>0</v>
      </c>
      <c r="AM120" s="56">
        <f>IF(AM$2=Payroll!$I35,Payroll!$F35,IF(AM$2&gt;Payroll!$I35,Payroll!$F35*((1+Payroll!$J35)^(ROUNDDOWN(DATEDIF(Payroll!$I35,AM$2,"M")/Payroll!$K35,0))),0))</f>
        <v>0</v>
      </c>
      <c r="AN120" s="56">
        <f>IF(AN$2=Payroll!$I35,Payroll!$F35,IF(AN$2&gt;Payroll!$I35,Payroll!$F35*((1+Payroll!$J35)^(ROUNDDOWN(DATEDIF(Payroll!$I35,AN$2,"M")/Payroll!$K35,0))),0))</f>
        <v>0</v>
      </c>
      <c r="AO120" s="56">
        <f>IF(AO$2=Payroll!$I35,Payroll!$F35,IF(AO$2&gt;Payroll!$I35,Payroll!$F35*((1+Payroll!$J35)^(ROUNDDOWN(DATEDIF(Payroll!$I35,AO$2,"M")/Payroll!$K35,0))),0))</f>
        <v>0</v>
      </c>
      <c r="AP120" s="56">
        <f>IF(AP$2=Payroll!$I35,Payroll!$F35,IF(AP$2&gt;Payroll!$I35,Payroll!$F35*((1+Payroll!$J35)^(ROUNDDOWN(DATEDIF(Payroll!$I35,AP$2,"M")/Payroll!$K35,0))),0))</f>
        <v>0</v>
      </c>
      <c r="AQ120" s="56">
        <f>IF(AQ$2=Payroll!$I35,Payroll!$F35,IF(AQ$2&gt;Payroll!$I35,Payroll!$F35*((1+Payroll!$J35)^(ROUNDDOWN(DATEDIF(Payroll!$I35,AQ$2,"M")/Payroll!$K35,0))),0))</f>
        <v>0</v>
      </c>
      <c r="AR120" s="56">
        <f>IF(AR$2=Payroll!$I35,Payroll!$F35,IF(AR$2&gt;Payroll!$I35,Payroll!$F35*((1+Payroll!$J35)^(ROUNDDOWN(DATEDIF(Payroll!$I35,AR$2,"M")/Payroll!$K35,0))),0))</f>
        <v>0</v>
      </c>
      <c r="AS120" s="56">
        <f>IF(AS$2=Payroll!$I35,Payroll!$F35,IF(AS$2&gt;Payroll!$I35,Payroll!$F35*((1+Payroll!$J35)^(ROUNDDOWN(DATEDIF(Payroll!$I35,AS$2,"M")/Payroll!$K35,0))),0))</f>
        <v>0</v>
      </c>
      <c r="AT120" s="56">
        <f>IF(AT$2=Payroll!$I35,Payroll!$F35,IF(AT$2&gt;Payroll!$I35,Payroll!$F35*((1+Payroll!$J35)^(ROUNDDOWN(DATEDIF(Payroll!$I35,AT$2,"M")/Payroll!$K35,0))),0))</f>
        <v>0</v>
      </c>
      <c r="AU120" s="56">
        <f>IF(AU$2=Payroll!$I35,Payroll!$F35,IF(AU$2&gt;Payroll!$I35,Payroll!$F35*((1+Payroll!$J35)^(ROUNDDOWN(DATEDIF(Payroll!$I35,AU$2,"M")/Payroll!$K35,0))),0))</f>
        <v>0</v>
      </c>
      <c r="AV120" s="56">
        <f>IF(AV$2=Payroll!$I35,Payroll!$F35,IF(AV$2&gt;Payroll!$I35,Payroll!$F35*((1+Payroll!$J35)^(ROUNDDOWN(DATEDIF(Payroll!$I35,AV$2,"M")/Payroll!$K35,0))),0))</f>
        <v>0</v>
      </c>
      <c r="AW120" s="56">
        <f>IF(AW$2=Payroll!$I35,Payroll!$F35,IF(AW$2&gt;Payroll!$I35,Payroll!$F35*((1+Payroll!$J35)^(ROUNDDOWN(DATEDIF(Payroll!$I35,AW$2,"M")/Payroll!$K35,0))),0))</f>
        <v>0</v>
      </c>
      <c r="AX120" s="56">
        <f>IF(AX$2=Payroll!$I35,Payroll!$F35,IF(AX$2&gt;Payroll!$I35,Payroll!$F35*((1+Payroll!$J35)^(ROUNDDOWN(DATEDIF(Payroll!$I35,AX$2,"M")/Payroll!$K35,0))),0))</f>
        <v>0</v>
      </c>
      <c r="AY120" s="56">
        <f>IF(AY$2=Payroll!$I35,Payroll!$F35,IF(AY$2&gt;Payroll!$I35,Payroll!$F35*((1+Payroll!$J35)^(ROUNDDOWN(DATEDIF(Payroll!$I35,AY$2,"M")/Payroll!$K35,0))),0))</f>
        <v>0</v>
      </c>
      <c r="AZ120" s="56">
        <f>IF(AZ$2=Payroll!$I35,Payroll!$F35,IF(AZ$2&gt;Payroll!$I35,Payroll!$F35*((1+Payroll!$J35)^(ROUNDDOWN(DATEDIF(Payroll!$I35,AZ$2,"M")/Payroll!$K35,0))),0))</f>
        <v>0</v>
      </c>
      <c r="BA120" s="56">
        <f>IF(BA$2=Payroll!$I35,Payroll!$F35,IF(BA$2&gt;Payroll!$I35,Payroll!$F35*((1+Payroll!$J35)^(ROUNDDOWN(DATEDIF(Payroll!$I35,BA$2,"M")/Payroll!$K35,0))),0))</f>
        <v>0</v>
      </c>
      <c r="BB120" s="56">
        <f>IF(BB$2=Payroll!$I35,Payroll!$F35,IF(BB$2&gt;Payroll!$I35,Payroll!$F35*((1+Payroll!$J35)^(ROUNDDOWN(DATEDIF(Payroll!$I35,BB$2,"M")/Payroll!$K35,0))),0))</f>
        <v>0</v>
      </c>
      <c r="BC120" s="56">
        <f>IF(BC$2=Payroll!$I35,Payroll!$F35,IF(BC$2&gt;Payroll!$I35,Payroll!$F35*((1+Payroll!$J35)^(ROUNDDOWN(DATEDIF(Payroll!$I35,BC$2,"M")/Payroll!$K35,0))),0))</f>
        <v>0</v>
      </c>
      <c r="BD120" s="56">
        <f>IF(BD$2=Payroll!$I35,Payroll!$F35,IF(BD$2&gt;Payroll!$I35,Payroll!$F35*((1+Payroll!$J35)^(ROUNDDOWN(DATEDIF(Payroll!$I35,BD$2,"M")/Payroll!$K35,0))),0))</f>
        <v>0</v>
      </c>
      <c r="BE120" s="56">
        <f>IF(BE$2=Payroll!$I35,Payroll!$F35,IF(BE$2&gt;Payroll!$I35,Payroll!$F35*((1+Payroll!$J35)^(ROUNDDOWN(DATEDIF(Payroll!$I35,BE$2,"M")/Payroll!$K35,0))),0))</f>
        <v>0</v>
      </c>
      <c r="BF120" s="56">
        <f>IF(BF$2=Payroll!$I35,Payroll!$F35,IF(BF$2&gt;Payroll!$I35,Payroll!$F35*((1+Payroll!$J35)^(ROUNDDOWN(DATEDIF(Payroll!$I35,BF$2,"M")/Payroll!$K35,0))),0))</f>
        <v>0</v>
      </c>
      <c r="BG120" s="56">
        <f>IF(BG$2=Payroll!$I35,Payroll!$F35,IF(BG$2&gt;Payroll!$I35,Payroll!$F35*((1+Payroll!$J35)^(ROUNDDOWN(DATEDIF(Payroll!$I35,BG$2,"M")/Payroll!$K35,0))),0))</f>
        <v>0</v>
      </c>
      <c r="BH120" s="56">
        <f>IF(BH$2=Payroll!$I35,Payroll!$F35,IF(BH$2&gt;Payroll!$I35,Payroll!$F35*((1+Payroll!$J35)^(ROUNDDOWN(DATEDIF(Payroll!$I35,BH$2,"M")/Payroll!$K35,0))),0))</f>
        <v>0</v>
      </c>
      <c r="BI120" s="56">
        <f>IF(BI$2=Payroll!$I35,Payroll!$F35,IF(BI$2&gt;Payroll!$I35,Payroll!$F35*((1+Payroll!$J35)^(ROUNDDOWN(DATEDIF(Payroll!$I35,BI$2,"M")/Payroll!$K35,0))),0))</f>
        <v>0</v>
      </c>
      <c r="BJ120" s="56">
        <f>IF(BJ$2=Payroll!$I35,Payroll!$F35,IF(BJ$2&gt;Payroll!$I35,Payroll!$F35*((1+Payroll!$J35)^(ROUNDDOWN(DATEDIF(Payroll!$I35,BJ$2,"M")/Payroll!$K35,0))),0))</f>
        <v>0</v>
      </c>
      <c r="BK120" s="56">
        <f>IF(BK$2=Payroll!$I35,Payroll!$F35,IF(BK$2&gt;Payroll!$I35,Payroll!$F35*((1+Payroll!$J35)^(ROUNDDOWN(DATEDIF(Payroll!$I35,BK$2,"M")/Payroll!$K35,0))),0))</f>
        <v>0</v>
      </c>
      <c r="BL120" s="56">
        <f>IF(BL$2=Payroll!$I35,Payroll!$F35,IF(BL$2&gt;Payroll!$I35,Payroll!$F35*((1+Payroll!$J35)^(ROUNDDOWN(DATEDIF(Payroll!$I35,BL$2,"M")/Payroll!$K35,0))),0))</f>
        <v>0</v>
      </c>
      <c r="BM120" s="56">
        <f>IF(BM$2=Payroll!$I35,Payroll!$F35,IF(BM$2&gt;Payroll!$I35,Payroll!$F35*((1+Payroll!$J35)^(ROUNDDOWN(DATEDIF(Payroll!$I35,BM$2,"M")/Payroll!$K35,0))),0))</f>
        <v>0</v>
      </c>
      <c r="BN120" s="56">
        <f>IF(BN$2=Payroll!$I35,Payroll!$F35,IF(BN$2&gt;Payroll!$I35,Payroll!$F35*((1+Payroll!$J35)^(ROUNDDOWN(DATEDIF(Payroll!$I35,BN$2,"M")/Payroll!$K35,0))),0))</f>
        <v>0</v>
      </c>
      <c r="BO120" s="56">
        <f>IF(BO$2=Payroll!$I35,Payroll!$F35,IF(BO$2&gt;Payroll!$I35,Payroll!$F35*((1+Payroll!$J35)^(ROUNDDOWN(DATEDIF(Payroll!$I35,BO$2,"M")/Payroll!$K35,0))),0))</f>
        <v>0</v>
      </c>
      <c r="BP120" s="56">
        <f>IF(BP$2=Payroll!$I35,Payroll!$F35,IF(BP$2&gt;Payroll!$I35,Payroll!$F35*((1+Payroll!$J35)^(ROUNDDOWN(DATEDIF(Payroll!$I35,BP$2,"M")/Payroll!$K35,0))),0))</f>
        <v>0</v>
      </c>
      <c r="BQ120" s="56">
        <f>IF(BQ$2=Payroll!$I35,Payroll!$F35,IF(BQ$2&gt;Payroll!$I35,Payroll!$F35*((1+Payroll!$J35)^(ROUNDDOWN(DATEDIF(Payroll!$I35,BQ$2,"M")/Payroll!$K35,0))),0))</f>
        <v>0</v>
      </c>
      <c r="BR120" s="56">
        <f>IF(BR$2=Payroll!$I35,Payroll!$F35,IF(BR$2&gt;Payroll!$I35,Payroll!$F35*((1+Payroll!$J35)^(ROUNDDOWN(DATEDIF(Payroll!$I35,BR$2,"M")/Payroll!$K35,0))),0))</f>
        <v>0</v>
      </c>
      <c r="BS120" s="56">
        <f>IF(BS$2=Payroll!$I35,Payroll!$F35,IF(BS$2&gt;Payroll!$I35,Payroll!$F35*((1+Payroll!$J35)^(ROUNDDOWN(DATEDIF(Payroll!$I35,BS$2,"M")/Payroll!$K35,0))),0))</f>
        <v>0</v>
      </c>
      <c r="BT120" s="56">
        <f>IF(BT$2=Payroll!$I35,Payroll!$F35,IF(BT$2&gt;Payroll!$I35,Payroll!$F35*((1+Payroll!$J35)^(ROUNDDOWN(DATEDIF(Payroll!$I35,BT$2,"M")/Payroll!$K35,0))),0))</f>
        <v>0</v>
      </c>
      <c r="BU120" s="56">
        <f>IF(BU$2=Payroll!$I35,Payroll!$F35,IF(BU$2&gt;Payroll!$I35,Payroll!$F35*((1+Payroll!$J35)^(ROUNDDOWN(DATEDIF(Payroll!$I35,BU$2,"M")/Payroll!$K35,0))),0))</f>
        <v>0</v>
      </c>
      <c r="BV120" s="56">
        <f>IF(BV$2=Payroll!$I35,Payroll!$F35,IF(BV$2&gt;Payroll!$I35,Payroll!$F35*((1+Payroll!$J35)^(ROUNDDOWN(DATEDIF(Payroll!$I35,BV$2,"M")/Payroll!$K35,0))),0))</f>
        <v>0</v>
      </c>
      <c r="BW120" s="56">
        <f>IF(BW$2=Payroll!$I35,Payroll!$F35,IF(BW$2&gt;Payroll!$I35,Payroll!$F35*((1+Payroll!$J35)^(ROUNDDOWN(DATEDIF(Payroll!$I35,BW$2,"M")/Payroll!$K35,0))),0))</f>
        <v>0</v>
      </c>
      <c r="BX120" s="56">
        <f>IF(BX$2=Payroll!$I35,Payroll!$F35,IF(BX$2&gt;Payroll!$I35,Payroll!$F35*((1+Payroll!$J35)^(ROUNDDOWN(DATEDIF(Payroll!$I35,BX$2,"M")/Payroll!$K35,0))),0))</f>
        <v>0</v>
      </c>
      <c r="BY120" s="56">
        <f>IF(BY$2=Payroll!$I35,Payroll!$F35,IF(BY$2&gt;Payroll!$I35,Payroll!$F35*((1+Payroll!$J35)^(ROUNDDOWN(DATEDIF(Payroll!$I35,BY$2,"M")/Payroll!$K35,0))),0))</f>
        <v>0</v>
      </c>
      <c r="BZ120" s="56">
        <f>IF(BZ$2=Payroll!$I35,Payroll!$F35,IF(BZ$2&gt;Payroll!$I35,Payroll!$F35*((1+Payroll!$J35)^(ROUNDDOWN(DATEDIF(Payroll!$I35,BZ$2,"M")/Payroll!$K35,0))),0))</f>
        <v>0</v>
      </c>
      <c r="CA120" s="56">
        <f>IF(CA$2=Payroll!$I35,Payroll!$F35,IF(CA$2&gt;Payroll!$I35,Payroll!$F35*((1+Payroll!$J35)^(ROUNDDOWN(DATEDIF(Payroll!$I35,CA$2,"M")/Payroll!$K35,0))),0))</f>
        <v>0</v>
      </c>
      <c r="CB120" s="56">
        <f>IF(CB$2=Payroll!$I35,Payroll!$F35,IF(CB$2&gt;Payroll!$I35,Payroll!$F35*((1+Payroll!$J35)^(ROUNDDOWN(DATEDIF(Payroll!$I35,CB$2,"M")/Payroll!$K35,0))),0))</f>
        <v>0</v>
      </c>
      <c r="CC120" s="56">
        <f>IF(CC$2=Payroll!$I35,Payroll!$F35,IF(CC$2&gt;Payroll!$I35,Payroll!$F35*((1+Payroll!$J35)^(ROUNDDOWN(DATEDIF(Payroll!$I35,CC$2,"M")/Payroll!$K35,0))),0))</f>
        <v>0</v>
      </c>
      <c r="CD120" s="56">
        <f>IF(CD$2=Payroll!$I35,Payroll!$F35,IF(CD$2&gt;Payroll!$I35,Payroll!$F35*((1+Payroll!$J35)^(ROUNDDOWN(DATEDIF(Payroll!$I35,CD$2,"M")/Payroll!$K35,0))),0))</f>
        <v>0</v>
      </c>
      <c r="CE120" s="56">
        <f>IF(CE$2=Payroll!$I35,Payroll!$F35,IF(CE$2&gt;Payroll!$I35,Payroll!$F35*((1+Payroll!$J35)^(ROUNDDOWN(DATEDIF(Payroll!$I35,CE$2,"M")/Payroll!$K35,0))),0))</f>
        <v>0</v>
      </c>
      <c r="CF120" s="56">
        <f>IF(CF$2=Payroll!$I35,Payroll!$F35,IF(CF$2&gt;Payroll!$I35,Payroll!$F35*((1+Payroll!$J35)^(ROUNDDOWN(DATEDIF(Payroll!$I35,CF$2,"M")/Payroll!$K35,0))),0))</f>
        <v>0</v>
      </c>
      <c r="CG120" s="56">
        <f>IF(CG$2=Payroll!$I35,Payroll!$F35,IF(CG$2&gt;Payroll!$I35,Payroll!$F35*((1+Payroll!$J35)^(ROUNDDOWN(DATEDIF(Payroll!$I35,CG$2,"M")/Payroll!$K35,0))),0))</f>
        <v>0</v>
      </c>
      <c r="CH120" s="56">
        <f>IF(CH$2=Payroll!$I35,Payroll!$F35,IF(CH$2&gt;Payroll!$I35,Payroll!$F35*((1+Payroll!$J35)^(ROUNDDOWN(DATEDIF(Payroll!$I35,CH$2,"M")/Payroll!$K35,0))),0))</f>
        <v>0</v>
      </c>
      <c r="CI120" s="56">
        <f>IF(CI$2=Payroll!$I35,Payroll!$F35,IF(CI$2&gt;Payroll!$I35,Payroll!$F35*((1+Payroll!$J35)^(ROUNDDOWN(DATEDIF(Payroll!$I35,CI$2,"M")/Payroll!$K35,0))),0))</f>
        <v>0</v>
      </c>
      <c r="CJ120" s="56">
        <f>IF(CJ$2=Payroll!$I35,Payroll!$F35,IF(CJ$2&gt;Payroll!$I35,Payroll!$F35*((1+Payroll!$J35)^(ROUNDDOWN(DATEDIF(Payroll!$I35,CJ$2,"M")/Payroll!$K35,0))),0))</f>
        <v>0</v>
      </c>
      <c r="CK120" s="56">
        <f>IF(CK$2=Payroll!$I35,Payroll!$F35,IF(CK$2&gt;Payroll!$I35,Payroll!$F35*((1+Payroll!$J35)^(ROUNDDOWN(DATEDIF(Payroll!$I35,CK$2,"M")/Payroll!$K35,0))),0))</f>
        <v>0</v>
      </c>
      <c r="CL120" s="56">
        <f>IF(CL$2=Payroll!$I35,Payroll!$F35,IF(CL$2&gt;Payroll!$I35,Payroll!$F35*((1+Payroll!$J35)^(ROUNDDOWN(DATEDIF(Payroll!$I35,CL$2,"M")/Payroll!$K35,0))),0))</f>
        <v>0</v>
      </c>
      <c r="CM120" s="56">
        <f>IF(CM$2=Payroll!$I35,Payroll!$F35,IF(CM$2&gt;Payroll!$I35,Payroll!$F35*((1+Payroll!$J35)^(ROUNDDOWN(DATEDIF(Payroll!$I35,CM$2,"M")/Payroll!$K35,0))),0))</f>
        <v>0</v>
      </c>
      <c r="CN120" s="56">
        <f>IF(CN$2=Payroll!$I35,Payroll!$F35,IF(CN$2&gt;Payroll!$I35,Payroll!$F35*((1+Payroll!$J35)^(ROUNDDOWN(DATEDIF(Payroll!$I35,CN$2,"M")/Payroll!$K35,0))),0))</f>
        <v>0</v>
      </c>
      <c r="CO120" s="56">
        <f>IF(CO$2=Payroll!$I35,Payroll!$F35,IF(CO$2&gt;Payroll!$I35,Payroll!$F35*((1+Payroll!$J35)^(ROUNDDOWN(DATEDIF(Payroll!$I35,CO$2,"M")/Payroll!$K35,0))),0))</f>
        <v>0</v>
      </c>
      <c r="CP120" s="56">
        <f>IF(CP$2=Payroll!$I35,Payroll!$F35,IF(CP$2&gt;Payroll!$I35,Payroll!$F35*((1+Payroll!$J35)^(ROUNDDOWN(DATEDIF(Payroll!$I35,CP$2,"M")/Payroll!$K35,0))),0))</f>
        <v>0</v>
      </c>
      <c r="CQ120" s="56">
        <f>IF(CQ$2=Payroll!$I35,Payroll!$F35,IF(CQ$2&gt;Payroll!$I35,Payroll!$F35*((1+Payroll!$J35)^(ROUNDDOWN(DATEDIF(Payroll!$I35,CQ$2,"M")/Payroll!$K35,0))),0))</f>
        <v>0</v>
      </c>
      <c r="CR120" s="56">
        <f>IF(CR$2=Payroll!$I35,Payroll!$F35,IF(CR$2&gt;Payroll!$I35,Payroll!$F35*((1+Payroll!$J35)^(ROUNDDOWN(DATEDIF(Payroll!$I35,CR$2,"M")/Payroll!$K35,0))),0))</f>
        <v>0</v>
      </c>
      <c r="CS120" s="56">
        <f>IF(CS$2=Payroll!$I35,Payroll!$F35,IF(CS$2&gt;Payroll!$I35,Payroll!$F35*((1+Payroll!$J35)^(ROUNDDOWN(DATEDIF(Payroll!$I35,CS$2,"M")/Payroll!$K35,0))),0))</f>
        <v>0</v>
      </c>
      <c r="CT120" s="56">
        <f>IF(CT$2=Payroll!$I35,Payroll!$F35,IF(CT$2&gt;Payroll!$I35,Payroll!$F35*((1+Payroll!$J35)^(ROUNDDOWN(DATEDIF(Payroll!$I35,CT$2,"M")/Payroll!$K35,0))),0))</f>
        <v>0</v>
      </c>
      <c r="CU120" s="56">
        <f>IF(CU$2=Payroll!$I35,Payroll!$F35,IF(CU$2&gt;Payroll!$I35,Payroll!$F35*((1+Payroll!$J35)^(ROUNDDOWN(DATEDIF(Payroll!$I35,CU$2,"M")/Payroll!$K35,0))),0))</f>
        <v>0</v>
      </c>
      <c r="CV120" s="56">
        <f>IF(CV$2=Payroll!$I35,Payroll!$F35,IF(CV$2&gt;Payroll!$I35,Payroll!$F35*((1+Payroll!$J35)^(ROUNDDOWN(DATEDIF(Payroll!$I35,CV$2,"M")/Payroll!$K35,0))),0))</f>
        <v>0</v>
      </c>
      <c r="CW120" s="56">
        <f>IF(CW$2=Payroll!$I35,Payroll!$F35,IF(CW$2&gt;Payroll!$I35,Payroll!$F35*((1+Payroll!$J35)^(ROUNDDOWN(DATEDIF(Payroll!$I35,CW$2,"M")/Payroll!$K35,0))),0))</f>
        <v>0</v>
      </c>
      <c r="CX120" s="56">
        <f>IF(CX$2=Payroll!$I35,Payroll!$F35,IF(CX$2&gt;Payroll!$I35,Payroll!$F35*((1+Payroll!$J35)^(ROUNDDOWN(DATEDIF(Payroll!$I35,CX$2,"M")/Payroll!$K35,0))),0))</f>
        <v>0</v>
      </c>
    </row>
    <row r="121" ht="15.75" customHeight="1" outlineLevel="2">
      <c r="A121" s="56" t="str">
        <f>Payroll!A36</f>
        <v>Marketing Designer</v>
      </c>
      <c r="B121" s="56"/>
      <c r="C121" s="56"/>
      <c r="D121" s="56"/>
      <c r="E121" s="56">
        <f>IF(E$2=Payroll!$I36,Payroll!$F36,IF(E$2&gt;Payroll!$I36,Payroll!$F36*((1+Payroll!$J36)^(ROUNDDOWN(DATEDIF(Payroll!$I36,E$2,"M")/Payroll!$K36,0))),0))</f>
        <v>0</v>
      </c>
      <c r="F121" s="56">
        <f>IF(F$2=Payroll!$I36,Payroll!$F36,IF(F$2&gt;Payroll!$I36,Payroll!$F36*((1+Payroll!$J36)^(ROUNDDOWN(DATEDIF(Payroll!$I36,F$2,"M")/Payroll!$K36,0))),0))</f>
        <v>0</v>
      </c>
      <c r="G121" s="56">
        <f>IF(G$2=Payroll!$I36,Payroll!$F36,IF(G$2&gt;Payroll!$I36,Payroll!$F36*((1+Payroll!$J36)^(ROUNDDOWN(DATEDIF(Payroll!$I36,G$2,"M")/Payroll!$K36,0))),0))</f>
        <v>0</v>
      </c>
      <c r="H121" s="56">
        <f>IF(H$2=Payroll!$I36,Payroll!$F36,IF(H$2&gt;Payroll!$I36,Payroll!$F36*((1+Payroll!$J36)^(ROUNDDOWN(DATEDIF(Payroll!$I36,H$2,"M")/Payroll!$K36,0))),0))</f>
        <v>0</v>
      </c>
      <c r="I121" s="56">
        <f>IF(I$2=Payroll!$I36,Payroll!$F36,IF(I$2&gt;Payroll!$I36,Payroll!$F36*((1+Payroll!$J36)^(ROUNDDOWN(DATEDIF(Payroll!$I36,I$2,"M")/Payroll!$K36,0))),0))</f>
        <v>0</v>
      </c>
      <c r="J121" s="56">
        <f>IF(J$2=Payroll!$I36,Payroll!$F36,IF(J$2&gt;Payroll!$I36,Payroll!$F36*((1+Payroll!$J36)^(ROUNDDOWN(DATEDIF(Payroll!$I36,J$2,"M")/Payroll!$K36,0))),0))</f>
        <v>0</v>
      </c>
      <c r="K121" s="56">
        <f>IF(K$2=Payroll!$I36,Payroll!$F36,IF(K$2&gt;Payroll!$I36,Payroll!$F36*((1+Payroll!$J36)^(ROUNDDOWN(DATEDIF(Payroll!$I36,K$2,"M")/Payroll!$K36,0))),0))</f>
        <v>0</v>
      </c>
      <c r="L121" s="56">
        <f>IF(L$2=Payroll!$I36,Payroll!$F36,IF(L$2&gt;Payroll!$I36,Payroll!$F36*((1+Payroll!$J36)^(ROUNDDOWN(DATEDIF(Payroll!$I36,L$2,"M")/Payroll!$K36,0))),0))</f>
        <v>0</v>
      </c>
      <c r="M121" s="56">
        <f>IF(M$2=Payroll!$I36,Payroll!$F36,IF(M$2&gt;Payroll!$I36,Payroll!$F36*((1+Payroll!$J36)^(ROUNDDOWN(DATEDIF(Payroll!$I36,M$2,"M")/Payroll!$K36,0))),0))</f>
        <v>0</v>
      </c>
      <c r="N121" s="56">
        <f>IF(N$2=Payroll!$I36,Payroll!$F36,IF(N$2&gt;Payroll!$I36,Payroll!$F36*((1+Payroll!$J36)^(ROUNDDOWN(DATEDIF(Payroll!$I36,N$2,"M")/Payroll!$K36,0))),0))</f>
        <v>0</v>
      </c>
      <c r="O121" s="56">
        <f>IF(O$2=Payroll!$I36,Payroll!$F36,IF(O$2&gt;Payroll!$I36,Payroll!$F36*((1+Payroll!$J36)^(ROUNDDOWN(DATEDIF(Payroll!$I36,O$2,"M")/Payroll!$K36,0))),0))</f>
        <v>0</v>
      </c>
      <c r="P121" s="56">
        <f>IF(P$2=Payroll!$I36,Payroll!$F36,IF(P$2&gt;Payroll!$I36,Payroll!$F36*((1+Payroll!$J36)^(ROUNDDOWN(DATEDIF(Payroll!$I36,P$2,"M")/Payroll!$K36,0))),0))</f>
        <v>0</v>
      </c>
      <c r="Q121" s="56">
        <f>IF(Q$2=Payroll!$I36,Payroll!$F36,IF(Q$2&gt;Payroll!$I36,Payroll!$F36*((1+Payroll!$J36)^(ROUNDDOWN(DATEDIF(Payroll!$I36,Q$2,"M")/Payroll!$K36,0))),0))</f>
        <v>0</v>
      </c>
      <c r="R121" s="56">
        <f>IF(R$2=Payroll!$I36,Payroll!$F36,IF(R$2&gt;Payroll!$I36,Payroll!$F36*((1+Payroll!$J36)^(ROUNDDOWN(DATEDIF(Payroll!$I36,R$2,"M")/Payroll!$K36,0))),0))</f>
        <v>0</v>
      </c>
      <c r="S121" s="56">
        <f>IF(S$2=Payroll!$I36,Payroll!$F36,IF(S$2&gt;Payroll!$I36,Payroll!$F36*((1+Payroll!$J36)^(ROUNDDOWN(DATEDIF(Payroll!$I36,S$2,"M")/Payroll!$K36,0))),0))</f>
        <v>0</v>
      </c>
      <c r="T121" s="56">
        <f>IF(T$2=Payroll!$I36,Payroll!$F36,IF(T$2&gt;Payroll!$I36,Payroll!$F36*((1+Payroll!$J36)^(ROUNDDOWN(DATEDIF(Payroll!$I36,T$2,"M")/Payroll!$K36,0))),0))</f>
        <v>0</v>
      </c>
      <c r="U121" s="56">
        <f>IF(U$2=Payroll!$I36,Payroll!$F36,IF(U$2&gt;Payroll!$I36,Payroll!$F36*((1+Payroll!$J36)^(ROUNDDOWN(DATEDIF(Payroll!$I36,U$2,"M")/Payroll!$K36,0))),0))</f>
        <v>0</v>
      </c>
      <c r="V121" s="56">
        <f>IF(V$2=Payroll!$I36,Payroll!$F36,IF(V$2&gt;Payroll!$I36,Payroll!$F36*((1+Payroll!$J36)^(ROUNDDOWN(DATEDIF(Payroll!$I36,V$2,"M")/Payroll!$K36,0))),0))</f>
        <v>0</v>
      </c>
      <c r="W121" s="56">
        <f>IF(W$2=Payroll!$I36,Payroll!$F36,IF(W$2&gt;Payroll!$I36,Payroll!$F36*((1+Payroll!$J36)^(ROUNDDOWN(DATEDIF(Payroll!$I36,W$2,"M")/Payroll!$K36,0))),0))</f>
        <v>0</v>
      </c>
      <c r="X121" s="56">
        <f>IF(X$2=Payroll!$I36,Payroll!$F36,IF(X$2&gt;Payroll!$I36,Payroll!$F36*((1+Payroll!$J36)^(ROUNDDOWN(DATEDIF(Payroll!$I36,X$2,"M")/Payroll!$K36,0))),0))</f>
        <v>0</v>
      </c>
      <c r="Y121" s="56">
        <f>IF(Y$2=Payroll!$I36,Payroll!$F36,IF(Y$2&gt;Payroll!$I36,Payroll!$F36*((1+Payroll!$J36)^(ROUNDDOWN(DATEDIF(Payroll!$I36,Y$2,"M")/Payroll!$K36,0))),0))</f>
        <v>0</v>
      </c>
      <c r="Z121" s="56">
        <f>IF(Z$2=Payroll!$I36,Payroll!$F36,IF(Z$2&gt;Payroll!$I36,Payroll!$F36*((1+Payroll!$J36)^(ROUNDDOWN(DATEDIF(Payroll!$I36,Z$2,"M")/Payroll!$K36,0))),0))</f>
        <v>0</v>
      </c>
      <c r="AA121" s="56">
        <f>IF(AA$2=Payroll!$I36,Payroll!$F36,IF(AA$2&gt;Payroll!$I36,Payroll!$F36*((1+Payroll!$J36)^(ROUNDDOWN(DATEDIF(Payroll!$I36,AA$2,"M")/Payroll!$K36,0))),0))</f>
        <v>0</v>
      </c>
      <c r="AB121" s="56">
        <f>IF(AB$2=Payroll!$I36,Payroll!$F36,IF(AB$2&gt;Payroll!$I36,Payroll!$F36*((1+Payroll!$J36)^(ROUNDDOWN(DATEDIF(Payroll!$I36,AB$2,"M")/Payroll!$K36,0))),0))</f>
        <v>0</v>
      </c>
      <c r="AC121" s="56">
        <f>IF(AC$2=Payroll!$I36,Payroll!$F36,IF(AC$2&gt;Payroll!$I36,Payroll!$F36*((1+Payroll!$J36)^(ROUNDDOWN(DATEDIF(Payroll!$I36,AC$2,"M")/Payroll!$K36,0))),0))</f>
        <v>0</v>
      </c>
      <c r="AD121" s="56">
        <f>IF(AD$2=Payroll!$I36,Payroll!$F36,IF(AD$2&gt;Payroll!$I36,Payroll!$F36*((1+Payroll!$J36)^(ROUNDDOWN(DATEDIF(Payroll!$I36,AD$2,"M")/Payroll!$K36,0))),0))</f>
        <v>0</v>
      </c>
      <c r="AE121" s="56">
        <f>IF(AE$2=Payroll!$I36,Payroll!$F36,IF(AE$2&gt;Payroll!$I36,Payroll!$F36*((1+Payroll!$J36)^(ROUNDDOWN(DATEDIF(Payroll!$I36,AE$2,"M")/Payroll!$K36,0))),0))</f>
        <v>0</v>
      </c>
      <c r="AF121" s="56">
        <f>IF(AF$2=Payroll!$I36,Payroll!$F36,IF(AF$2&gt;Payroll!$I36,Payroll!$F36*((1+Payroll!$J36)^(ROUNDDOWN(DATEDIF(Payroll!$I36,AF$2,"M")/Payroll!$K36,0))),0))</f>
        <v>0</v>
      </c>
      <c r="AG121" s="56">
        <f>IF(AG$2=Payroll!$I36,Payroll!$F36,IF(AG$2&gt;Payroll!$I36,Payroll!$F36*((1+Payroll!$J36)^(ROUNDDOWN(DATEDIF(Payroll!$I36,AG$2,"M")/Payroll!$K36,0))),0))</f>
        <v>0</v>
      </c>
      <c r="AH121" s="56">
        <f>IF(AH$2=Payroll!$I36,Payroll!$F36,IF(AH$2&gt;Payroll!$I36,Payroll!$F36*((1+Payroll!$J36)^(ROUNDDOWN(DATEDIF(Payroll!$I36,AH$2,"M")/Payroll!$K36,0))),0))</f>
        <v>0</v>
      </c>
      <c r="AI121" s="56">
        <f>IF(AI$2=Payroll!$I36,Payroll!$F36,IF(AI$2&gt;Payroll!$I36,Payroll!$F36*((1+Payroll!$J36)^(ROUNDDOWN(DATEDIF(Payroll!$I36,AI$2,"M")/Payroll!$K36,0))),0))</f>
        <v>0</v>
      </c>
      <c r="AJ121" s="56">
        <f>IF(AJ$2=Payroll!$I36,Payroll!$F36,IF(AJ$2&gt;Payroll!$I36,Payroll!$F36*((1+Payroll!$J36)^(ROUNDDOWN(DATEDIF(Payroll!$I36,AJ$2,"M")/Payroll!$K36,0))),0))</f>
        <v>0</v>
      </c>
      <c r="AK121" s="56">
        <f>IF(AK$2=Payroll!$I36,Payroll!$F36,IF(AK$2&gt;Payroll!$I36,Payroll!$F36*((1+Payroll!$J36)^(ROUNDDOWN(DATEDIF(Payroll!$I36,AK$2,"M")/Payroll!$K36,0))),0))</f>
        <v>0</v>
      </c>
      <c r="AL121" s="56">
        <f>IF(AL$2=Payroll!$I36,Payroll!$F36,IF(AL$2&gt;Payroll!$I36,Payroll!$F36*((1+Payroll!$J36)^(ROUNDDOWN(DATEDIF(Payroll!$I36,AL$2,"M")/Payroll!$K36,0))),0))</f>
        <v>0</v>
      </c>
      <c r="AM121" s="56">
        <f>IF(AM$2=Payroll!$I36,Payroll!$F36,IF(AM$2&gt;Payroll!$I36,Payroll!$F36*((1+Payroll!$J36)^(ROUNDDOWN(DATEDIF(Payroll!$I36,AM$2,"M")/Payroll!$K36,0))),0))</f>
        <v>0</v>
      </c>
      <c r="AN121" s="56">
        <f>IF(AN$2=Payroll!$I36,Payroll!$F36,IF(AN$2&gt;Payroll!$I36,Payroll!$F36*((1+Payroll!$J36)^(ROUNDDOWN(DATEDIF(Payroll!$I36,AN$2,"M")/Payroll!$K36,0))),0))</f>
        <v>0</v>
      </c>
      <c r="AO121" s="56">
        <f>IF(AO$2=Payroll!$I36,Payroll!$F36,IF(AO$2&gt;Payroll!$I36,Payroll!$F36*((1+Payroll!$J36)^(ROUNDDOWN(DATEDIF(Payroll!$I36,AO$2,"M")/Payroll!$K36,0))),0))</f>
        <v>0</v>
      </c>
      <c r="AP121" s="56">
        <f>IF(AP$2=Payroll!$I36,Payroll!$F36,IF(AP$2&gt;Payroll!$I36,Payroll!$F36*((1+Payroll!$J36)^(ROUNDDOWN(DATEDIF(Payroll!$I36,AP$2,"M")/Payroll!$K36,0))),0))</f>
        <v>0</v>
      </c>
      <c r="AQ121" s="56">
        <f>IF(AQ$2=Payroll!$I36,Payroll!$F36,IF(AQ$2&gt;Payroll!$I36,Payroll!$F36*((1+Payroll!$J36)^(ROUNDDOWN(DATEDIF(Payroll!$I36,AQ$2,"M")/Payroll!$K36,0))),0))</f>
        <v>0</v>
      </c>
      <c r="AR121" s="56">
        <f>IF(AR$2=Payroll!$I36,Payroll!$F36,IF(AR$2&gt;Payroll!$I36,Payroll!$F36*((1+Payroll!$J36)^(ROUNDDOWN(DATEDIF(Payroll!$I36,AR$2,"M")/Payroll!$K36,0))),0))</f>
        <v>0</v>
      </c>
      <c r="AS121" s="56">
        <f>IF(AS$2=Payroll!$I36,Payroll!$F36,IF(AS$2&gt;Payroll!$I36,Payroll!$F36*((1+Payroll!$J36)^(ROUNDDOWN(DATEDIF(Payroll!$I36,AS$2,"M")/Payroll!$K36,0))),0))</f>
        <v>0</v>
      </c>
      <c r="AT121" s="56">
        <f>IF(AT$2=Payroll!$I36,Payroll!$F36,IF(AT$2&gt;Payroll!$I36,Payroll!$F36*((1+Payroll!$J36)^(ROUNDDOWN(DATEDIF(Payroll!$I36,AT$2,"M")/Payroll!$K36,0))),0))</f>
        <v>0</v>
      </c>
      <c r="AU121" s="56">
        <f>IF(AU$2=Payroll!$I36,Payroll!$F36,IF(AU$2&gt;Payroll!$I36,Payroll!$F36*((1+Payroll!$J36)^(ROUNDDOWN(DATEDIF(Payroll!$I36,AU$2,"M")/Payroll!$K36,0))),0))</f>
        <v>0</v>
      </c>
      <c r="AV121" s="56">
        <f>IF(AV$2=Payroll!$I36,Payroll!$F36,IF(AV$2&gt;Payroll!$I36,Payroll!$F36*((1+Payroll!$J36)^(ROUNDDOWN(DATEDIF(Payroll!$I36,AV$2,"M")/Payroll!$K36,0))),0))</f>
        <v>0</v>
      </c>
      <c r="AW121" s="56">
        <f>IF(AW$2=Payroll!$I36,Payroll!$F36,IF(AW$2&gt;Payroll!$I36,Payroll!$F36*((1+Payroll!$J36)^(ROUNDDOWN(DATEDIF(Payroll!$I36,AW$2,"M")/Payroll!$K36,0))),0))</f>
        <v>0</v>
      </c>
      <c r="AX121" s="56">
        <f>IF(AX$2=Payroll!$I36,Payroll!$F36,IF(AX$2&gt;Payroll!$I36,Payroll!$F36*((1+Payroll!$J36)^(ROUNDDOWN(DATEDIF(Payroll!$I36,AX$2,"M")/Payroll!$K36,0))),0))</f>
        <v>0</v>
      </c>
      <c r="AY121" s="56">
        <f>IF(AY$2=Payroll!$I36,Payroll!$F36,IF(AY$2&gt;Payroll!$I36,Payroll!$F36*((1+Payroll!$J36)^(ROUNDDOWN(DATEDIF(Payroll!$I36,AY$2,"M")/Payroll!$K36,0))),0))</f>
        <v>0</v>
      </c>
      <c r="AZ121" s="56">
        <f>IF(AZ$2=Payroll!$I36,Payroll!$F36,IF(AZ$2&gt;Payroll!$I36,Payroll!$F36*((1+Payroll!$J36)^(ROUNDDOWN(DATEDIF(Payroll!$I36,AZ$2,"M")/Payroll!$K36,0))),0))</f>
        <v>0</v>
      </c>
      <c r="BA121" s="56">
        <f>IF(BA$2=Payroll!$I36,Payroll!$F36,IF(BA$2&gt;Payroll!$I36,Payroll!$F36*((1+Payroll!$J36)^(ROUNDDOWN(DATEDIF(Payroll!$I36,BA$2,"M")/Payroll!$K36,0))),0))</f>
        <v>0</v>
      </c>
      <c r="BB121" s="56">
        <f>IF(BB$2=Payroll!$I36,Payroll!$F36,IF(BB$2&gt;Payroll!$I36,Payroll!$F36*((1+Payroll!$J36)^(ROUNDDOWN(DATEDIF(Payroll!$I36,BB$2,"M")/Payroll!$K36,0))),0))</f>
        <v>0</v>
      </c>
      <c r="BC121" s="56">
        <f>IF(BC$2=Payroll!$I36,Payroll!$F36,IF(BC$2&gt;Payroll!$I36,Payroll!$F36*((1+Payroll!$J36)^(ROUNDDOWN(DATEDIF(Payroll!$I36,BC$2,"M")/Payroll!$K36,0))),0))</f>
        <v>0</v>
      </c>
      <c r="BD121" s="56">
        <f>IF(BD$2=Payroll!$I36,Payroll!$F36,IF(BD$2&gt;Payroll!$I36,Payroll!$F36*((1+Payroll!$J36)^(ROUNDDOWN(DATEDIF(Payroll!$I36,BD$2,"M")/Payroll!$K36,0))),0))</f>
        <v>0</v>
      </c>
      <c r="BE121" s="56">
        <f>IF(BE$2=Payroll!$I36,Payroll!$F36,IF(BE$2&gt;Payroll!$I36,Payroll!$F36*((1+Payroll!$J36)^(ROUNDDOWN(DATEDIF(Payroll!$I36,BE$2,"M")/Payroll!$K36,0))),0))</f>
        <v>0</v>
      </c>
      <c r="BF121" s="56">
        <f>IF(BF$2=Payroll!$I36,Payroll!$F36,IF(BF$2&gt;Payroll!$I36,Payroll!$F36*((1+Payroll!$J36)^(ROUNDDOWN(DATEDIF(Payroll!$I36,BF$2,"M")/Payroll!$K36,0))),0))</f>
        <v>0</v>
      </c>
      <c r="BG121" s="56">
        <f>IF(BG$2=Payroll!$I36,Payroll!$F36,IF(BG$2&gt;Payroll!$I36,Payroll!$F36*((1+Payroll!$J36)^(ROUNDDOWN(DATEDIF(Payroll!$I36,BG$2,"M")/Payroll!$K36,0))),0))</f>
        <v>0</v>
      </c>
      <c r="BH121" s="56">
        <f>IF(BH$2=Payroll!$I36,Payroll!$F36,IF(BH$2&gt;Payroll!$I36,Payroll!$F36*((1+Payroll!$J36)^(ROUNDDOWN(DATEDIF(Payroll!$I36,BH$2,"M")/Payroll!$K36,0))),0))</f>
        <v>0</v>
      </c>
      <c r="BI121" s="56">
        <f>IF(BI$2=Payroll!$I36,Payroll!$F36,IF(BI$2&gt;Payroll!$I36,Payroll!$F36*((1+Payroll!$J36)^(ROUNDDOWN(DATEDIF(Payroll!$I36,BI$2,"M")/Payroll!$K36,0))),0))</f>
        <v>0</v>
      </c>
      <c r="BJ121" s="56">
        <f>IF(BJ$2=Payroll!$I36,Payroll!$F36,IF(BJ$2&gt;Payroll!$I36,Payroll!$F36*((1+Payroll!$J36)^(ROUNDDOWN(DATEDIF(Payroll!$I36,BJ$2,"M")/Payroll!$K36,0))),0))</f>
        <v>0</v>
      </c>
      <c r="BK121" s="56">
        <f>IF(BK$2=Payroll!$I36,Payroll!$F36,IF(BK$2&gt;Payroll!$I36,Payroll!$F36*((1+Payroll!$J36)^(ROUNDDOWN(DATEDIF(Payroll!$I36,BK$2,"M")/Payroll!$K36,0))),0))</f>
        <v>0</v>
      </c>
      <c r="BL121" s="56">
        <f>IF(BL$2=Payroll!$I36,Payroll!$F36,IF(BL$2&gt;Payroll!$I36,Payroll!$F36*((1+Payroll!$J36)^(ROUNDDOWN(DATEDIF(Payroll!$I36,BL$2,"M")/Payroll!$K36,0))),0))</f>
        <v>0</v>
      </c>
      <c r="BM121" s="56">
        <f>IF(BM$2=Payroll!$I36,Payroll!$F36,IF(BM$2&gt;Payroll!$I36,Payroll!$F36*((1+Payroll!$J36)^(ROUNDDOWN(DATEDIF(Payroll!$I36,BM$2,"M")/Payroll!$K36,0))),0))</f>
        <v>0</v>
      </c>
      <c r="BN121" s="56">
        <f>IF(BN$2=Payroll!$I36,Payroll!$F36,IF(BN$2&gt;Payroll!$I36,Payroll!$F36*((1+Payroll!$J36)^(ROUNDDOWN(DATEDIF(Payroll!$I36,BN$2,"M")/Payroll!$K36,0))),0))</f>
        <v>0</v>
      </c>
      <c r="BO121" s="56">
        <f>IF(BO$2=Payroll!$I36,Payroll!$F36,IF(BO$2&gt;Payroll!$I36,Payroll!$F36*((1+Payroll!$J36)^(ROUNDDOWN(DATEDIF(Payroll!$I36,BO$2,"M")/Payroll!$K36,0))),0))</f>
        <v>0</v>
      </c>
      <c r="BP121" s="56">
        <f>IF(BP$2=Payroll!$I36,Payroll!$F36,IF(BP$2&gt;Payroll!$I36,Payroll!$F36*((1+Payroll!$J36)^(ROUNDDOWN(DATEDIF(Payroll!$I36,BP$2,"M")/Payroll!$K36,0))),0))</f>
        <v>0</v>
      </c>
      <c r="BQ121" s="56">
        <f>IF(BQ$2=Payroll!$I36,Payroll!$F36,IF(BQ$2&gt;Payroll!$I36,Payroll!$F36*((1+Payroll!$J36)^(ROUNDDOWN(DATEDIF(Payroll!$I36,BQ$2,"M")/Payroll!$K36,0))),0))</f>
        <v>0</v>
      </c>
      <c r="BR121" s="56">
        <f>IF(BR$2=Payroll!$I36,Payroll!$F36,IF(BR$2&gt;Payroll!$I36,Payroll!$F36*((1+Payroll!$J36)^(ROUNDDOWN(DATEDIF(Payroll!$I36,BR$2,"M")/Payroll!$K36,0))),0))</f>
        <v>0</v>
      </c>
      <c r="BS121" s="56">
        <f>IF(BS$2=Payroll!$I36,Payroll!$F36,IF(BS$2&gt;Payroll!$I36,Payroll!$F36*((1+Payroll!$J36)^(ROUNDDOWN(DATEDIF(Payroll!$I36,BS$2,"M")/Payroll!$K36,0))),0))</f>
        <v>0</v>
      </c>
      <c r="BT121" s="56">
        <f>IF(BT$2=Payroll!$I36,Payroll!$F36,IF(BT$2&gt;Payroll!$I36,Payroll!$F36*((1+Payroll!$J36)^(ROUNDDOWN(DATEDIF(Payroll!$I36,BT$2,"M")/Payroll!$K36,0))),0))</f>
        <v>0</v>
      </c>
      <c r="BU121" s="56">
        <f>IF(BU$2=Payroll!$I36,Payroll!$F36,IF(BU$2&gt;Payroll!$I36,Payroll!$F36*((1+Payroll!$J36)^(ROUNDDOWN(DATEDIF(Payroll!$I36,BU$2,"M")/Payroll!$K36,0))),0))</f>
        <v>0</v>
      </c>
      <c r="BV121" s="56">
        <f>IF(BV$2=Payroll!$I36,Payroll!$F36,IF(BV$2&gt;Payroll!$I36,Payroll!$F36*((1+Payroll!$J36)^(ROUNDDOWN(DATEDIF(Payroll!$I36,BV$2,"M")/Payroll!$K36,0))),0))</f>
        <v>0</v>
      </c>
      <c r="BW121" s="56">
        <f>IF(BW$2=Payroll!$I36,Payroll!$F36,IF(BW$2&gt;Payroll!$I36,Payroll!$F36*((1+Payroll!$J36)^(ROUNDDOWN(DATEDIF(Payroll!$I36,BW$2,"M")/Payroll!$K36,0))),0))</f>
        <v>0</v>
      </c>
      <c r="BX121" s="56">
        <f>IF(BX$2=Payroll!$I36,Payroll!$F36,IF(BX$2&gt;Payroll!$I36,Payroll!$F36*((1+Payroll!$J36)^(ROUNDDOWN(DATEDIF(Payroll!$I36,BX$2,"M")/Payroll!$K36,0))),0))</f>
        <v>0</v>
      </c>
      <c r="BY121" s="56">
        <f>IF(BY$2=Payroll!$I36,Payroll!$F36,IF(BY$2&gt;Payroll!$I36,Payroll!$F36*((1+Payroll!$J36)^(ROUNDDOWN(DATEDIF(Payroll!$I36,BY$2,"M")/Payroll!$K36,0))),0))</f>
        <v>0</v>
      </c>
      <c r="BZ121" s="56">
        <f>IF(BZ$2=Payroll!$I36,Payroll!$F36,IF(BZ$2&gt;Payroll!$I36,Payroll!$F36*((1+Payroll!$J36)^(ROUNDDOWN(DATEDIF(Payroll!$I36,BZ$2,"M")/Payroll!$K36,0))),0))</f>
        <v>0</v>
      </c>
      <c r="CA121" s="56">
        <f>IF(CA$2=Payroll!$I36,Payroll!$F36,IF(CA$2&gt;Payroll!$I36,Payroll!$F36*((1+Payroll!$J36)^(ROUNDDOWN(DATEDIF(Payroll!$I36,CA$2,"M")/Payroll!$K36,0))),0))</f>
        <v>0</v>
      </c>
      <c r="CB121" s="56">
        <f>IF(CB$2=Payroll!$I36,Payroll!$F36,IF(CB$2&gt;Payroll!$I36,Payroll!$F36*((1+Payroll!$J36)^(ROUNDDOWN(DATEDIF(Payroll!$I36,CB$2,"M")/Payroll!$K36,0))),0))</f>
        <v>0</v>
      </c>
      <c r="CC121" s="56">
        <f>IF(CC$2=Payroll!$I36,Payroll!$F36,IF(CC$2&gt;Payroll!$I36,Payroll!$F36*((1+Payroll!$J36)^(ROUNDDOWN(DATEDIF(Payroll!$I36,CC$2,"M")/Payroll!$K36,0))),0))</f>
        <v>0</v>
      </c>
      <c r="CD121" s="56">
        <f>IF(CD$2=Payroll!$I36,Payroll!$F36,IF(CD$2&gt;Payroll!$I36,Payroll!$F36*((1+Payroll!$J36)^(ROUNDDOWN(DATEDIF(Payroll!$I36,CD$2,"M")/Payroll!$K36,0))),0))</f>
        <v>0</v>
      </c>
      <c r="CE121" s="56">
        <f>IF(CE$2=Payroll!$I36,Payroll!$F36,IF(CE$2&gt;Payroll!$I36,Payroll!$F36*((1+Payroll!$J36)^(ROUNDDOWN(DATEDIF(Payroll!$I36,CE$2,"M")/Payroll!$K36,0))),0))</f>
        <v>0</v>
      </c>
      <c r="CF121" s="56">
        <f>IF(CF$2=Payroll!$I36,Payroll!$F36,IF(CF$2&gt;Payroll!$I36,Payroll!$F36*((1+Payroll!$J36)^(ROUNDDOWN(DATEDIF(Payroll!$I36,CF$2,"M")/Payroll!$K36,0))),0))</f>
        <v>0</v>
      </c>
      <c r="CG121" s="56">
        <f>IF(CG$2=Payroll!$I36,Payroll!$F36,IF(CG$2&gt;Payroll!$I36,Payroll!$F36*((1+Payroll!$J36)^(ROUNDDOWN(DATEDIF(Payroll!$I36,CG$2,"M")/Payroll!$K36,0))),0))</f>
        <v>0</v>
      </c>
      <c r="CH121" s="56">
        <f>IF(CH$2=Payroll!$I36,Payroll!$F36,IF(CH$2&gt;Payroll!$I36,Payroll!$F36*((1+Payroll!$J36)^(ROUNDDOWN(DATEDIF(Payroll!$I36,CH$2,"M")/Payroll!$K36,0))),0))</f>
        <v>0</v>
      </c>
      <c r="CI121" s="56">
        <f>IF(CI$2=Payroll!$I36,Payroll!$F36,IF(CI$2&gt;Payroll!$I36,Payroll!$F36*((1+Payroll!$J36)^(ROUNDDOWN(DATEDIF(Payroll!$I36,CI$2,"M")/Payroll!$K36,0))),0))</f>
        <v>0</v>
      </c>
      <c r="CJ121" s="56">
        <f>IF(CJ$2=Payroll!$I36,Payroll!$F36,IF(CJ$2&gt;Payroll!$I36,Payroll!$F36*((1+Payroll!$J36)^(ROUNDDOWN(DATEDIF(Payroll!$I36,CJ$2,"M")/Payroll!$K36,0))),0))</f>
        <v>0</v>
      </c>
      <c r="CK121" s="56">
        <f>IF(CK$2=Payroll!$I36,Payroll!$F36,IF(CK$2&gt;Payroll!$I36,Payroll!$F36*((1+Payroll!$J36)^(ROUNDDOWN(DATEDIF(Payroll!$I36,CK$2,"M")/Payroll!$K36,0))),0))</f>
        <v>0</v>
      </c>
      <c r="CL121" s="56">
        <f>IF(CL$2=Payroll!$I36,Payroll!$F36,IF(CL$2&gt;Payroll!$I36,Payroll!$F36*((1+Payroll!$J36)^(ROUNDDOWN(DATEDIF(Payroll!$I36,CL$2,"M")/Payroll!$K36,0))),0))</f>
        <v>0</v>
      </c>
      <c r="CM121" s="56">
        <f>IF(CM$2=Payroll!$I36,Payroll!$F36,IF(CM$2&gt;Payroll!$I36,Payroll!$F36*((1+Payroll!$J36)^(ROUNDDOWN(DATEDIF(Payroll!$I36,CM$2,"M")/Payroll!$K36,0))),0))</f>
        <v>0</v>
      </c>
      <c r="CN121" s="56">
        <f>IF(CN$2=Payroll!$I36,Payroll!$F36,IF(CN$2&gt;Payroll!$I36,Payroll!$F36*((1+Payroll!$J36)^(ROUNDDOWN(DATEDIF(Payroll!$I36,CN$2,"M")/Payroll!$K36,0))),0))</f>
        <v>0</v>
      </c>
      <c r="CO121" s="56">
        <f>IF(CO$2=Payroll!$I36,Payroll!$F36,IF(CO$2&gt;Payroll!$I36,Payroll!$F36*((1+Payroll!$J36)^(ROUNDDOWN(DATEDIF(Payroll!$I36,CO$2,"M")/Payroll!$K36,0))),0))</f>
        <v>0</v>
      </c>
      <c r="CP121" s="56">
        <f>IF(CP$2=Payroll!$I36,Payroll!$F36,IF(CP$2&gt;Payroll!$I36,Payroll!$F36*((1+Payroll!$J36)^(ROUNDDOWN(DATEDIF(Payroll!$I36,CP$2,"M")/Payroll!$K36,0))),0))</f>
        <v>0</v>
      </c>
      <c r="CQ121" s="56">
        <f>IF(CQ$2=Payroll!$I36,Payroll!$F36,IF(CQ$2&gt;Payroll!$I36,Payroll!$F36*((1+Payroll!$J36)^(ROUNDDOWN(DATEDIF(Payroll!$I36,CQ$2,"M")/Payroll!$K36,0))),0))</f>
        <v>0</v>
      </c>
      <c r="CR121" s="56">
        <f>IF(CR$2=Payroll!$I36,Payroll!$F36,IF(CR$2&gt;Payroll!$I36,Payroll!$F36*((1+Payroll!$J36)^(ROUNDDOWN(DATEDIF(Payroll!$I36,CR$2,"M")/Payroll!$K36,0))),0))</f>
        <v>0</v>
      </c>
      <c r="CS121" s="56">
        <f>IF(CS$2=Payroll!$I36,Payroll!$F36,IF(CS$2&gt;Payroll!$I36,Payroll!$F36*((1+Payroll!$J36)^(ROUNDDOWN(DATEDIF(Payroll!$I36,CS$2,"M")/Payroll!$K36,0))),0))</f>
        <v>0</v>
      </c>
      <c r="CT121" s="56">
        <f>IF(CT$2=Payroll!$I36,Payroll!$F36,IF(CT$2&gt;Payroll!$I36,Payroll!$F36*((1+Payroll!$J36)^(ROUNDDOWN(DATEDIF(Payroll!$I36,CT$2,"M")/Payroll!$K36,0))),0))</f>
        <v>0</v>
      </c>
      <c r="CU121" s="56">
        <f>IF(CU$2=Payroll!$I36,Payroll!$F36,IF(CU$2&gt;Payroll!$I36,Payroll!$F36*((1+Payroll!$J36)^(ROUNDDOWN(DATEDIF(Payroll!$I36,CU$2,"M")/Payroll!$K36,0))),0))</f>
        <v>0</v>
      </c>
      <c r="CV121" s="56">
        <f>IF(CV$2=Payroll!$I36,Payroll!$F36,IF(CV$2&gt;Payroll!$I36,Payroll!$F36*((1+Payroll!$J36)^(ROUNDDOWN(DATEDIF(Payroll!$I36,CV$2,"M")/Payroll!$K36,0))),0))</f>
        <v>0</v>
      </c>
      <c r="CW121" s="56">
        <f>IF(CW$2=Payroll!$I36,Payroll!$F36,IF(CW$2&gt;Payroll!$I36,Payroll!$F36*((1+Payroll!$J36)^(ROUNDDOWN(DATEDIF(Payroll!$I36,CW$2,"M")/Payroll!$K36,0))),0))</f>
        <v>0</v>
      </c>
      <c r="CX121" s="56">
        <f>IF(CX$2=Payroll!$I36,Payroll!$F36,IF(CX$2&gt;Payroll!$I36,Payroll!$F36*((1+Payroll!$J36)^(ROUNDDOWN(DATEDIF(Payroll!$I36,CX$2,"M")/Payroll!$K36,0))),0))</f>
        <v>0</v>
      </c>
    </row>
    <row r="122" ht="15.75" customHeight="1" outlineLevel="2">
      <c r="A122" s="56" t="str">
        <f>Payroll!A37</f>
        <v>Employee 3</v>
      </c>
      <c r="B122" s="56"/>
      <c r="C122" s="56"/>
      <c r="D122" s="56"/>
      <c r="E122" s="56">
        <f>IF(E$2=Payroll!$I37,Payroll!$F37,IF(E$2&gt;Payroll!$I37,Payroll!$F37*((1+Payroll!$J37)^(ROUNDDOWN(DATEDIF(Payroll!$I37,E$2,"M")/Payroll!$K37,0))),0))</f>
        <v>0</v>
      </c>
      <c r="F122" s="56">
        <f>IF(F$2=Payroll!$I37,Payroll!$F37,IF(F$2&gt;Payroll!$I37,Payroll!$F37*((1+Payroll!$J37)^(ROUNDDOWN(DATEDIF(Payroll!$I37,F$2,"M")/Payroll!$K37,0))),0))</f>
        <v>0</v>
      </c>
      <c r="G122" s="56">
        <f>IF(G$2=Payroll!$I37,Payroll!$F37,IF(G$2&gt;Payroll!$I37,Payroll!$F37*((1+Payroll!$J37)^(ROUNDDOWN(DATEDIF(Payroll!$I37,G$2,"M")/Payroll!$K37,0))),0))</f>
        <v>0</v>
      </c>
      <c r="H122" s="56">
        <f>IF(H$2=Payroll!$I37,Payroll!$F37,IF(H$2&gt;Payroll!$I37,Payroll!$F37*((1+Payroll!$J37)^(ROUNDDOWN(DATEDIF(Payroll!$I37,H$2,"M")/Payroll!$K37,0))),0))</f>
        <v>0</v>
      </c>
      <c r="I122" s="56">
        <f>IF(I$2=Payroll!$I37,Payroll!$F37,IF(I$2&gt;Payroll!$I37,Payroll!$F37*((1+Payroll!$J37)^(ROUNDDOWN(DATEDIF(Payroll!$I37,I$2,"M")/Payroll!$K37,0))),0))</f>
        <v>0</v>
      </c>
      <c r="J122" s="56">
        <f>IF(J$2=Payroll!$I37,Payroll!$F37,IF(J$2&gt;Payroll!$I37,Payroll!$F37*((1+Payroll!$J37)^(ROUNDDOWN(DATEDIF(Payroll!$I37,J$2,"M")/Payroll!$K37,0))),0))</f>
        <v>0</v>
      </c>
      <c r="K122" s="56">
        <f>IF(K$2=Payroll!$I37,Payroll!$F37,IF(K$2&gt;Payroll!$I37,Payroll!$F37*((1+Payroll!$J37)^(ROUNDDOWN(DATEDIF(Payroll!$I37,K$2,"M")/Payroll!$K37,0))),0))</f>
        <v>0</v>
      </c>
      <c r="L122" s="56">
        <f>IF(L$2=Payroll!$I37,Payroll!$F37,IF(L$2&gt;Payroll!$I37,Payroll!$F37*((1+Payroll!$J37)^(ROUNDDOWN(DATEDIF(Payroll!$I37,L$2,"M")/Payroll!$K37,0))),0))</f>
        <v>0</v>
      </c>
      <c r="M122" s="56">
        <f>IF(M$2=Payroll!$I37,Payroll!$F37,IF(M$2&gt;Payroll!$I37,Payroll!$F37*((1+Payroll!$J37)^(ROUNDDOWN(DATEDIF(Payroll!$I37,M$2,"M")/Payroll!$K37,0))),0))</f>
        <v>0</v>
      </c>
      <c r="N122" s="56">
        <f>IF(N$2=Payroll!$I37,Payroll!$F37,IF(N$2&gt;Payroll!$I37,Payroll!$F37*((1+Payroll!$J37)^(ROUNDDOWN(DATEDIF(Payroll!$I37,N$2,"M")/Payroll!$K37,0))),0))</f>
        <v>0</v>
      </c>
      <c r="O122" s="56">
        <f>IF(O$2=Payroll!$I37,Payroll!$F37,IF(O$2&gt;Payroll!$I37,Payroll!$F37*((1+Payroll!$J37)^(ROUNDDOWN(DATEDIF(Payroll!$I37,O$2,"M")/Payroll!$K37,0))),0))</f>
        <v>0</v>
      </c>
      <c r="P122" s="56">
        <f>IF(P$2=Payroll!$I37,Payroll!$F37,IF(P$2&gt;Payroll!$I37,Payroll!$F37*((1+Payroll!$J37)^(ROUNDDOWN(DATEDIF(Payroll!$I37,P$2,"M")/Payroll!$K37,0))),0))</f>
        <v>0</v>
      </c>
      <c r="Q122" s="56">
        <f>IF(Q$2=Payroll!$I37,Payroll!$F37,IF(Q$2&gt;Payroll!$I37,Payroll!$F37*((1+Payroll!$J37)^(ROUNDDOWN(DATEDIF(Payroll!$I37,Q$2,"M")/Payroll!$K37,0))),0))</f>
        <v>0</v>
      </c>
      <c r="R122" s="56">
        <f>IF(R$2=Payroll!$I37,Payroll!$F37,IF(R$2&gt;Payroll!$I37,Payroll!$F37*((1+Payroll!$J37)^(ROUNDDOWN(DATEDIF(Payroll!$I37,R$2,"M")/Payroll!$K37,0))),0))</f>
        <v>0</v>
      </c>
      <c r="S122" s="56">
        <f>IF(S$2=Payroll!$I37,Payroll!$F37,IF(S$2&gt;Payroll!$I37,Payroll!$F37*((1+Payroll!$J37)^(ROUNDDOWN(DATEDIF(Payroll!$I37,S$2,"M")/Payroll!$K37,0))),0))</f>
        <v>0</v>
      </c>
      <c r="T122" s="56">
        <f>IF(T$2=Payroll!$I37,Payroll!$F37,IF(T$2&gt;Payroll!$I37,Payroll!$F37*((1+Payroll!$J37)^(ROUNDDOWN(DATEDIF(Payroll!$I37,T$2,"M")/Payroll!$K37,0))),0))</f>
        <v>0</v>
      </c>
      <c r="U122" s="56">
        <f>IF(U$2=Payroll!$I37,Payroll!$F37,IF(U$2&gt;Payroll!$I37,Payroll!$F37*((1+Payroll!$J37)^(ROUNDDOWN(DATEDIF(Payroll!$I37,U$2,"M")/Payroll!$K37,0))),0))</f>
        <v>0</v>
      </c>
      <c r="V122" s="56">
        <f>IF(V$2=Payroll!$I37,Payroll!$F37,IF(V$2&gt;Payroll!$I37,Payroll!$F37*((1+Payroll!$J37)^(ROUNDDOWN(DATEDIF(Payroll!$I37,V$2,"M")/Payroll!$K37,0))),0))</f>
        <v>0</v>
      </c>
      <c r="W122" s="56">
        <f>IF(W$2=Payroll!$I37,Payroll!$F37,IF(W$2&gt;Payroll!$I37,Payroll!$F37*((1+Payroll!$J37)^(ROUNDDOWN(DATEDIF(Payroll!$I37,W$2,"M")/Payroll!$K37,0))),0))</f>
        <v>0</v>
      </c>
      <c r="X122" s="56">
        <f>IF(X$2=Payroll!$I37,Payroll!$F37,IF(X$2&gt;Payroll!$I37,Payroll!$F37*((1+Payroll!$J37)^(ROUNDDOWN(DATEDIF(Payroll!$I37,X$2,"M")/Payroll!$K37,0))),0))</f>
        <v>0</v>
      </c>
      <c r="Y122" s="56">
        <f>IF(Y$2=Payroll!$I37,Payroll!$F37,IF(Y$2&gt;Payroll!$I37,Payroll!$F37*((1+Payroll!$J37)^(ROUNDDOWN(DATEDIF(Payroll!$I37,Y$2,"M")/Payroll!$K37,0))),0))</f>
        <v>0</v>
      </c>
      <c r="Z122" s="56">
        <f>IF(Z$2=Payroll!$I37,Payroll!$F37,IF(Z$2&gt;Payroll!$I37,Payroll!$F37*((1+Payroll!$J37)^(ROUNDDOWN(DATEDIF(Payroll!$I37,Z$2,"M")/Payroll!$K37,0))),0))</f>
        <v>0</v>
      </c>
      <c r="AA122" s="56">
        <f>IF(AA$2=Payroll!$I37,Payroll!$F37,IF(AA$2&gt;Payroll!$I37,Payroll!$F37*((1+Payroll!$J37)^(ROUNDDOWN(DATEDIF(Payroll!$I37,AA$2,"M")/Payroll!$K37,0))),0))</f>
        <v>0</v>
      </c>
      <c r="AB122" s="56">
        <f>IF(AB$2=Payroll!$I37,Payroll!$F37,IF(AB$2&gt;Payroll!$I37,Payroll!$F37*((1+Payroll!$J37)^(ROUNDDOWN(DATEDIF(Payroll!$I37,AB$2,"M")/Payroll!$K37,0))),0))</f>
        <v>0</v>
      </c>
      <c r="AC122" s="56">
        <f>IF(AC$2=Payroll!$I37,Payroll!$F37,IF(AC$2&gt;Payroll!$I37,Payroll!$F37*((1+Payroll!$J37)^(ROUNDDOWN(DATEDIF(Payroll!$I37,AC$2,"M")/Payroll!$K37,0))),0))</f>
        <v>0</v>
      </c>
      <c r="AD122" s="56">
        <f>IF(AD$2=Payroll!$I37,Payroll!$F37,IF(AD$2&gt;Payroll!$I37,Payroll!$F37*((1+Payroll!$J37)^(ROUNDDOWN(DATEDIF(Payroll!$I37,AD$2,"M")/Payroll!$K37,0))),0))</f>
        <v>0</v>
      </c>
      <c r="AE122" s="56">
        <f>IF(AE$2=Payroll!$I37,Payroll!$F37,IF(AE$2&gt;Payroll!$I37,Payroll!$F37*((1+Payroll!$J37)^(ROUNDDOWN(DATEDIF(Payroll!$I37,AE$2,"M")/Payroll!$K37,0))),0))</f>
        <v>0</v>
      </c>
      <c r="AF122" s="56">
        <f>IF(AF$2=Payroll!$I37,Payroll!$F37,IF(AF$2&gt;Payroll!$I37,Payroll!$F37*((1+Payroll!$J37)^(ROUNDDOWN(DATEDIF(Payroll!$I37,AF$2,"M")/Payroll!$K37,0))),0))</f>
        <v>0</v>
      </c>
      <c r="AG122" s="56">
        <f>IF(AG$2=Payroll!$I37,Payroll!$F37,IF(AG$2&gt;Payroll!$I37,Payroll!$F37*((1+Payroll!$J37)^(ROUNDDOWN(DATEDIF(Payroll!$I37,AG$2,"M")/Payroll!$K37,0))),0))</f>
        <v>0</v>
      </c>
      <c r="AH122" s="56">
        <f>IF(AH$2=Payroll!$I37,Payroll!$F37,IF(AH$2&gt;Payroll!$I37,Payroll!$F37*((1+Payroll!$J37)^(ROUNDDOWN(DATEDIF(Payroll!$I37,AH$2,"M")/Payroll!$K37,0))),0))</f>
        <v>0</v>
      </c>
      <c r="AI122" s="56">
        <f>IF(AI$2=Payroll!$I37,Payroll!$F37,IF(AI$2&gt;Payroll!$I37,Payroll!$F37*((1+Payroll!$J37)^(ROUNDDOWN(DATEDIF(Payroll!$I37,AI$2,"M")/Payroll!$K37,0))),0))</f>
        <v>0</v>
      </c>
      <c r="AJ122" s="56">
        <f>IF(AJ$2=Payroll!$I37,Payroll!$F37,IF(AJ$2&gt;Payroll!$I37,Payroll!$F37*((1+Payroll!$J37)^(ROUNDDOWN(DATEDIF(Payroll!$I37,AJ$2,"M")/Payroll!$K37,0))),0))</f>
        <v>0</v>
      </c>
      <c r="AK122" s="56">
        <f>IF(AK$2=Payroll!$I37,Payroll!$F37,IF(AK$2&gt;Payroll!$I37,Payroll!$F37*((1+Payroll!$J37)^(ROUNDDOWN(DATEDIF(Payroll!$I37,AK$2,"M")/Payroll!$K37,0))),0))</f>
        <v>0</v>
      </c>
      <c r="AL122" s="56">
        <f>IF(AL$2=Payroll!$I37,Payroll!$F37,IF(AL$2&gt;Payroll!$I37,Payroll!$F37*((1+Payroll!$J37)^(ROUNDDOWN(DATEDIF(Payroll!$I37,AL$2,"M")/Payroll!$K37,0))),0))</f>
        <v>0</v>
      </c>
      <c r="AM122" s="56">
        <f>IF(AM$2=Payroll!$I37,Payroll!$F37,IF(AM$2&gt;Payroll!$I37,Payroll!$F37*((1+Payroll!$J37)^(ROUNDDOWN(DATEDIF(Payroll!$I37,AM$2,"M")/Payroll!$K37,0))),0))</f>
        <v>0</v>
      </c>
      <c r="AN122" s="56">
        <f>IF(AN$2=Payroll!$I37,Payroll!$F37,IF(AN$2&gt;Payroll!$I37,Payroll!$F37*((1+Payroll!$J37)^(ROUNDDOWN(DATEDIF(Payroll!$I37,AN$2,"M")/Payroll!$K37,0))),0))</f>
        <v>0</v>
      </c>
      <c r="AO122" s="56">
        <f>IF(AO$2=Payroll!$I37,Payroll!$F37,IF(AO$2&gt;Payroll!$I37,Payroll!$F37*((1+Payroll!$J37)^(ROUNDDOWN(DATEDIF(Payroll!$I37,AO$2,"M")/Payroll!$K37,0))),0))</f>
        <v>0</v>
      </c>
      <c r="AP122" s="56">
        <f>IF(AP$2=Payroll!$I37,Payroll!$F37,IF(AP$2&gt;Payroll!$I37,Payroll!$F37*((1+Payroll!$J37)^(ROUNDDOWN(DATEDIF(Payroll!$I37,AP$2,"M")/Payroll!$K37,0))),0))</f>
        <v>0</v>
      </c>
      <c r="AQ122" s="56">
        <f>IF(AQ$2=Payroll!$I37,Payroll!$F37,IF(AQ$2&gt;Payroll!$I37,Payroll!$F37*((1+Payroll!$J37)^(ROUNDDOWN(DATEDIF(Payroll!$I37,AQ$2,"M")/Payroll!$K37,0))),0))</f>
        <v>0</v>
      </c>
      <c r="AR122" s="56">
        <f>IF(AR$2=Payroll!$I37,Payroll!$F37,IF(AR$2&gt;Payroll!$I37,Payroll!$F37*((1+Payroll!$J37)^(ROUNDDOWN(DATEDIF(Payroll!$I37,AR$2,"M")/Payroll!$K37,0))),0))</f>
        <v>0</v>
      </c>
      <c r="AS122" s="56">
        <f>IF(AS$2=Payroll!$I37,Payroll!$F37,IF(AS$2&gt;Payroll!$I37,Payroll!$F37*((1+Payroll!$J37)^(ROUNDDOWN(DATEDIF(Payroll!$I37,AS$2,"M")/Payroll!$K37,0))),0))</f>
        <v>0</v>
      </c>
      <c r="AT122" s="56">
        <f>IF(AT$2=Payroll!$I37,Payroll!$F37,IF(AT$2&gt;Payroll!$I37,Payroll!$F37*((1+Payroll!$J37)^(ROUNDDOWN(DATEDIF(Payroll!$I37,AT$2,"M")/Payroll!$K37,0))),0))</f>
        <v>0</v>
      </c>
      <c r="AU122" s="56">
        <f>IF(AU$2=Payroll!$I37,Payroll!$F37,IF(AU$2&gt;Payroll!$I37,Payroll!$F37*((1+Payroll!$J37)^(ROUNDDOWN(DATEDIF(Payroll!$I37,AU$2,"M")/Payroll!$K37,0))),0))</f>
        <v>0</v>
      </c>
      <c r="AV122" s="56">
        <f>IF(AV$2=Payroll!$I37,Payroll!$F37,IF(AV$2&gt;Payroll!$I37,Payroll!$F37*((1+Payroll!$J37)^(ROUNDDOWN(DATEDIF(Payroll!$I37,AV$2,"M")/Payroll!$K37,0))),0))</f>
        <v>0</v>
      </c>
      <c r="AW122" s="56">
        <f>IF(AW$2=Payroll!$I37,Payroll!$F37,IF(AW$2&gt;Payroll!$I37,Payroll!$F37*((1+Payroll!$J37)^(ROUNDDOWN(DATEDIF(Payroll!$I37,AW$2,"M")/Payroll!$K37,0))),0))</f>
        <v>0</v>
      </c>
      <c r="AX122" s="56">
        <f>IF(AX$2=Payroll!$I37,Payroll!$F37,IF(AX$2&gt;Payroll!$I37,Payroll!$F37*((1+Payroll!$J37)^(ROUNDDOWN(DATEDIF(Payroll!$I37,AX$2,"M")/Payroll!$K37,0))),0))</f>
        <v>0</v>
      </c>
      <c r="AY122" s="56">
        <f>IF(AY$2=Payroll!$I37,Payroll!$F37,IF(AY$2&gt;Payroll!$I37,Payroll!$F37*((1+Payroll!$J37)^(ROUNDDOWN(DATEDIF(Payroll!$I37,AY$2,"M")/Payroll!$K37,0))),0))</f>
        <v>0</v>
      </c>
      <c r="AZ122" s="56">
        <f>IF(AZ$2=Payroll!$I37,Payroll!$F37,IF(AZ$2&gt;Payroll!$I37,Payroll!$F37*((1+Payroll!$J37)^(ROUNDDOWN(DATEDIF(Payroll!$I37,AZ$2,"M")/Payroll!$K37,0))),0))</f>
        <v>0</v>
      </c>
      <c r="BA122" s="56">
        <f>IF(BA$2=Payroll!$I37,Payroll!$F37,IF(BA$2&gt;Payroll!$I37,Payroll!$F37*((1+Payroll!$J37)^(ROUNDDOWN(DATEDIF(Payroll!$I37,BA$2,"M")/Payroll!$K37,0))),0))</f>
        <v>0</v>
      </c>
      <c r="BB122" s="56">
        <f>IF(BB$2=Payroll!$I37,Payroll!$F37,IF(BB$2&gt;Payroll!$I37,Payroll!$F37*((1+Payroll!$J37)^(ROUNDDOWN(DATEDIF(Payroll!$I37,BB$2,"M")/Payroll!$K37,0))),0))</f>
        <v>0</v>
      </c>
      <c r="BC122" s="56">
        <f>IF(BC$2=Payroll!$I37,Payroll!$F37,IF(BC$2&gt;Payroll!$I37,Payroll!$F37*((1+Payroll!$J37)^(ROUNDDOWN(DATEDIF(Payroll!$I37,BC$2,"M")/Payroll!$K37,0))),0))</f>
        <v>0</v>
      </c>
      <c r="BD122" s="56">
        <f>IF(BD$2=Payroll!$I37,Payroll!$F37,IF(BD$2&gt;Payroll!$I37,Payroll!$F37*((1+Payroll!$J37)^(ROUNDDOWN(DATEDIF(Payroll!$I37,BD$2,"M")/Payroll!$K37,0))),0))</f>
        <v>0</v>
      </c>
      <c r="BE122" s="56">
        <f>IF(BE$2=Payroll!$I37,Payroll!$F37,IF(BE$2&gt;Payroll!$I37,Payroll!$F37*((1+Payroll!$J37)^(ROUNDDOWN(DATEDIF(Payroll!$I37,BE$2,"M")/Payroll!$K37,0))),0))</f>
        <v>0</v>
      </c>
      <c r="BF122" s="56">
        <f>IF(BF$2=Payroll!$I37,Payroll!$F37,IF(BF$2&gt;Payroll!$I37,Payroll!$F37*((1+Payroll!$J37)^(ROUNDDOWN(DATEDIF(Payroll!$I37,BF$2,"M")/Payroll!$K37,0))),0))</f>
        <v>0</v>
      </c>
      <c r="BG122" s="56">
        <f>IF(BG$2=Payroll!$I37,Payroll!$F37,IF(BG$2&gt;Payroll!$I37,Payroll!$F37*((1+Payroll!$J37)^(ROUNDDOWN(DATEDIF(Payroll!$I37,BG$2,"M")/Payroll!$K37,0))),0))</f>
        <v>0</v>
      </c>
      <c r="BH122" s="56">
        <f>IF(BH$2=Payroll!$I37,Payroll!$F37,IF(BH$2&gt;Payroll!$I37,Payroll!$F37*((1+Payroll!$J37)^(ROUNDDOWN(DATEDIF(Payroll!$I37,BH$2,"M")/Payroll!$K37,0))),0))</f>
        <v>0</v>
      </c>
      <c r="BI122" s="56">
        <f>IF(BI$2=Payroll!$I37,Payroll!$F37,IF(BI$2&gt;Payroll!$I37,Payroll!$F37*((1+Payroll!$J37)^(ROUNDDOWN(DATEDIF(Payroll!$I37,BI$2,"M")/Payroll!$K37,0))),0))</f>
        <v>0</v>
      </c>
      <c r="BJ122" s="56">
        <f>IF(BJ$2=Payroll!$I37,Payroll!$F37,IF(BJ$2&gt;Payroll!$I37,Payroll!$F37*((1+Payroll!$J37)^(ROUNDDOWN(DATEDIF(Payroll!$I37,BJ$2,"M")/Payroll!$K37,0))),0))</f>
        <v>0</v>
      </c>
      <c r="BK122" s="56">
        <f>IF(BK$2=Payroll!$I37,Payroll!$F37,IF(BK$2&gt;Payroll!$I37,Payroll!$F37*((1+Payroll!$J37)^(ROUNDDOWN(DATEDIF(Payroll!$I37,BK$2,"M")/Payroll!$K37,0))),0))</f>
        <v>0</v>
      </c>
      <c r="BL122" s="56">
        <f>IF(BL$2=Payroll!$I37,Payroll!$F37,IF(BL$2&gt;Payroll!$I37,Payroll!$F37*((1+Payroll!$J37)^(ROUNDDOWN(DATEDIF(Payroll!$I37,BL$2,"M")/Payroll!$K37,0))),0))</f>
        <v>0</v>
      </c>
      <c r="BM122" s="56">
        <f>IF(BM$2=Payroll!$I37,Payroll!$F37,IF(BM$2&gt;Payroll!$I37,Payroll!$F37*((1+Payroll!$J37)^(ROUNDDOWN(DATEDIF(Payroll!$I37,BM$2,"M")/Payroll!$K37,0))),0))</f>
        <v>0</v>
      </c>
      <c r="BN122" s="56">
        <f>IF(BN$2=Payroll!$I37,Payroll!$F37,IF(BN$2&gt;Payroll!$I37,Payroll!$F37*((1+Payroll!$J37)^(ROUNDDOWN(DATEDIF(Payroll!$I37,BN$2,"M")/Payroll!$K37,0))),0))</f>
        <v>0</v>
      </c>
      <c r="BO122" s="56">
        <f>IF(BO$2=Payroll!$I37,Payroll!$F37,IF(BO$2&gt;Payroll!$I37,Payroll!$F37*((1+Payroll!$J37)^(ROUNDDOWN(DATEDIF(Payroll!$I37,BO$2,"M")/Payroll!$K37,0))),0))</f>
        <v>0</v>
      </c>
      <c r="BP122" s="56">
        <f>IF(BP$2=Payroll!$I37,Payroll!$F37,IF(BP$2&gt;Payroll!$I37,Payroll!$F37*((1+Payroll!$J37)^(ROUNDDOWN(DATEDIF(Payroll!$I37,BP$2,"M")/Payroll!$K37,0))),0))</f>
        <v>0</v>
      </c>
      <c r="BQ122" s="56">
        <f>IF(BQ$2=Payroll!$I37,Payroll!$F37,IF(BQ$2&gt;Payroll!$I37,Payroll!$F37*((1+Payroll!$J37)^(ROUNDDOWN(DATEDIF(Payroll!$I37,BQ$2,"M")/Payroll!$K37,0))),0))</f>
        <v>0</v>
      </c>
      <c r="BR122" s="56">
        <f>IF(BR$2=Payroll!$I37,Payroll!$F37,IF(BR$2&gt;Payroll!$I37,Payroll!$F37*((1+Payroll!$J37)^(ROUNDDOWN(DATEDIF(Payroll!$I37,BR$2,"M")/Payroll!$K37,0))),0))</f>
        <v>0</v>
      </c>
      <c r="BS122" s="56">
        <f>IF(BS$2=Payroll!$I37,Payroll!$F37,IF(BS$2&gt;Payroll!$I37,Payroll!$F37*((1+Payroll!$J37)^(ROUNDDOWN(DATEDIF(Payroll!$I37,BS$2,"M")/Payroll!$K37,0))),0))</f>
        <v>0</v>
      </c>
      <c r="BT122" s="56">
        <f>IF(BT$2=Payroll!$I37,Payroll!$F37,IF(BT$2&gt;Payroll!$I37,Payroll!$F37*((1+Payroll!$J37)^(ROUNDDOWN(DATEDIF(Payroll!$I37,BT$2,"M")/Payroll!$K37,0))),0))</f>
        <v>0</v>
      </c>
      <c r="BU122" s="56">
        <f>IF(BU$2=Payroll!$I37,Payroll!$F37,IF(BU$2&gt;Payroll!$I37,Payroll!$F37*((1+Payroll!$J37)^(ROUNDDOWN(DATEDIF(Payroll!$I37,BU$2,"M")/Payroll!$K37,0))),0))</f>
        <v>0</v>
      </c>
      <c r="BV122" s="56">
        <f>IF(BV$2=Payroll!$I37,Payroll!$F37,IF(BV$2&gt;Payroll!$I37,Payroll!$F37*((1+Payroll!$J37)^(ROUNDDOWN(DATEDIF(Payroll!$I37,BV$2,"M")/Payroll!$K37,0))),0))</f>
        <v>0</v>
      </c>
      <c r="BW122" s="56">
        <f>IF(BW$2=Payroll!$I37,Payroll!$F37,IF(BW$2&gt;Payroll!$I37,Payroll!$F37*((1+Payroll!$J37)^(ROUNDDOWN(DATEDIF(Payroll!$I37,BW$2,"M")/Payroll!$K37,0))),0))</f>
        <v>0</v>
      </c>
      <c r="BX122" s="56">
        <f>IF(BX$2=Payroll!$I37,Payroll!$F37,IF(BX$2&gt;Payroll!$I37,Payroll!$F37*((1+Payroll!$J37)^(ROUNDDOWN(DATEDIF(Payroll!$I37,BX$2,"M")/Payroll!$K37,0))),0))</f>
        <v>0</v>
      </c>
      <c r="BY122" s="56">
        <f>IF(BY$2=Payroll!$I37,Payroll!$F37,IF(BY$2&gt;Payroll!$I37,Payroll!$F37*((1+Payroll!$J37)^(ROUNDDOWN(DATEDIF(Payroll!$I37,BY$2,"M")/Payroll!$K37,0))),0))</f>
        <v>0</v>
      </c>
      <c r="BZ122" s="56">
        <f>IF(BZ$2=Payroll!$I37,Payroll!$F37,IF(BZ$2&gt;Payroll!$I37,Payroll!$F37*((1+Payroll!$J37)^(ROUNDDOWN(DATEDIF(Payroll!$I37,BZ$2,"M")/Payroll!$K37,0))),0))</f>
        <v>0</v>
      </c>
      <c r="CA122" s="56">
        <f>IF(CA$2=Payroll!$I37,Payroll!$F37,IF(CA$2&gt;Payroll!$I37,Payroll!$F37*((1+Payroll!$J37)^(ROUNDDOWN(DATEDIF(Payroll!$I37,CA$2,"M")/Payroll!$K37,0))),0))</f>
        <v>0</v>
      </c>
      <c r="CB122" s="56">
        <f>IF(CB$2=Payroll!$I37,Payroll!$F37,IF(CB$2&gt;Payroll!$I37,Payroll!$F37*((1+Payroll!$J37)^(ROUNDDOWN(DATEDIF(Payroll!$I37,CB$2,"M")/Payroll!$K37,0))),0))</f>
        <v>0</v>
      </c>
      <c r="CC122" s="56">
        <f>IF(CC$2=Payroll!$I37,Payroll!$F37,IF(CC$2&gt;Payroll!$I37,Payroll!$F37*((1+Payroll!$J37)^(ROUNDDOWN(DATEDIF(Payroll!$I37,CC$2,"M")/Payroll!$K37,0))),0))</f>
        <v>0</v>
      </c>
      <c r="CD122" s="56">
        <f>IF(CD$2=Payroll!$I37,Payroll!$F37,IF(CD$2&gt;Payroll!$I37,Payroll!$F37*((1+Payroll!$J37)^(ROUNDDOWN(DATEDIF(Payroll!$I37,CD$2,"M")/Payroll!$K37,0))),0))</f>
        <v>0</v>
      </c>
      <c r="CE122" s="56">
        <f>IF(CE$2=Payroll!$I37,Payroll!$F37,IF(CE$2&gt;Payroll!$I37,Payroll!$F37*((1+Payroll!$J37)^(ROUNDDOWN(DATEDIF(Payroll!$I37,CE$2,"M")/Payroll!$K37,0))),0))</f>
        <v>0</v>
      </c>
      <c r="CF122" s="56">
        <f>IF(CF$2=Payroll!$I37,Payroll!$F37,IF(CF$2&gt;Payroll!$I37,Payroll!$F37*((1+Payroll!$J37)^(ROUNDDOWN(DATEDIF(Payroll!$I37,CF$2,"M")/Payroll!$K37,0))),0))</f>
        <v>0</v>
      </c>
      <c r="CG122" s="56">
        <f>IF(CG$2=Payroll!$I37,Payroll!$F37,IF(CG$2&gt;Payroll!$I37,Payroll!$F37*((1+Payroll!$J37)^(ROUNDDOWN(DATEDIF(Payroll!$I37,CG$2,"M")/Payroll!$K37,0))),0))</f>
        <v>0</v>
      </c>
      <c r="CH122" s="56">
        <f>IF(CH$2=Payroll!$I37,Payroll!$F37,IF(CH$2&gt;Payroll!$I37,Payroll!$F37*((1+Payroll!$J37)^(ROUNDDOWN(DATEDIF(Payroll!$I37,CH$2,"M")/Payroll!$K37,0))),0))</f>
        <v>0</v>
      </c>
      <c r="CI122" s="56">
        <f>IF(CI$2=Payroll!$I37,Payroll!$F37,IF(CI$2&gt;Payroll!$I37,Payroll!$F37*((1+Payroll!$J37)^(ROUNDDOWN(DATEDIF(Payroll!$I37,CI$2,"M")/Payroll!$K37,0))),0))</f>
        <v>0</v>
      </c>
      <c r="CJ122" s="56">
        <f>IF(CJ$2=Payroll!$I37,Payroll!$F37,IF(CJ$2&gt;Payroll!$I37,Payroll!$F37*((1+Payroll!$J37)^(ROUNDDOWN(DATEDIF(Payroll!$I37,CJ$2,"M")/Payroll!$K37,0))),0))</f>
        <v>0</v>
      </c>
      <c r="CK122" s="56">
        <f>IF(CK$2=Payroll!$I37,Payroll!$F37,IF(CK$2&gt;Payroll!$I37,Payroll!$F37*((1+Payroll!$J37)^(ROUNDDOWN(DATEDIF(Payroll!$I37,CK$2,"M")/Payroll!$K37,0))),0))</f>
        <v>0</v>
      </c>
      <c r="CL122" s="56">
        <f>IF(CL$2=Payroll!$I37,Payroll!$F37,IF(CL$2&gt;Payroll!$I37,Payroll!$F37*((1+Payroll!$J37)^(ROUNDDOWN(DATEDIF(Payroll!$I37,CL$2,"M")/Payroll!$K37,0))),0))</f>
        <v>0</v>
      </c>
      <c r="CM122" s="56">
        <f>IF(CM$2=Payroll!$I37,Payroll!$F37,IF(CM$2&gt;Payroll!$I37,Payroll!$F37*((1+Payroll!$J37)^(ROUNDDOWN(DATEDIF(Payroll!$I37,CM$2,"M")/Payroll!$K37,0))),0))</f>
        <v>0</v>
      </c>
      <c r="CN122" s="56">
        <f>IF(CN$2=Payroll!$I37,Payroll!$F37,IF(CN$2&gt;Payroll!$I37,Payroll!$F37*((1+Payroll!$J37)^(ROUNDDOWN(DATEDIF(Payroll!$I37,CN$2,"M")/Payroll!$K37,0))),0))</f>
        <v>0</v>
      </c>
      <c r="CO122" s="56">
        <f>IF(CO$2=Payroll!$I37,Payroll!$F37,IF(CO$2&gt;Payroll!$I37,Payroll!$F37*((1+Payroll!$J37)^(ROUNDDOWN(DATEDIF(Payroll!$I37,CO$2,"M")/Payroll!$K37,0))),0))</f>
        <v>0</v>
      </c>
      <c r="CP122" s="56">
        <f>IF(CP$2=Payroll!$I37,Payroll!$F37,IF(CP$2&gt;Payroll!$I37,Payroll!$F37*((1+Payroll!$J37)^(ROUNDDOWN(DATEDIF(Payroll!$I37,CP$2,"M")/Payroll!$K37,0))),0))</f>
        <v>0</v>
      </c>
      <c r="CQ122" s="56">
        <f>IF(CQ$2=Payroll!$I37,Payroll!$F37,IF(CQ$2&gt;Payroll!$I37,Payroll!$F37*((1+Payroll!$J37)^(ROUNDDOWN(DATEDIF(Payroll!$I37,CQ$2,"M")/Payroll!$K37,0))),0))</f>
        <v>0</v>
      </c>
      <c r="CR122" s="56">
        <f>IF(CR$2=Payroll!$I37,Payroll!$F37,IF(CR$2&gt;Payroll!$I37,Payroll!$F37*((1+Payroll!$J37)^(ROUNDDOWN(DATEDIF(Payroll!$I37,CR$2,"M")/Payroll!$K37,0))),0))</f>
        <v>0</v>
      </c>
      <c r="CS122" s="56">
        <f>IF(CS$2=Payroll!$I37,Payroll!$F37,IF(CS$2&gt;Payroll!$I37,Payroll!$F37*((1+Payroll!$J37)^(ROUNDDOWN(DATEDIF(Payroll!$I37,CS$2,"M")/Payroll!$K37,0))),0))</f>
        <v>0</v>
      </c>
      <c r="CT122" s="56">
        <f>IF(CT$2=Payroll!$I37,Payroll!$F37,IF(CT$2&gt;Payroll!$I37,Payroll!$F37*((1+Payroll!$J37)^(ROUNDDOWN(DATEDIF(Payroll!$I37,CT$2,"M")/Payroll!$K37,0))),0))</f>
        <v>0</v>
      </c>
      <c r="CU122" s="56">
        <f>IF(CU$2=Payroll!$I37,Payroll!$F37,IF(CU$2&gt;Payroll!$I37,Payroll!$F37*((1+Payroll!$J37)^(ROUNDDOWN(DATEDIF(Payroll!$I37,CU$2,"M")/Payroll!$K37,0))),0))</f>
        <v>0</v>
      </c>
      <c r="CV122" s="56">
        <f>IF(CV$2=Payroll!$I37,Payroll!$F37,IF(CV$2&gt;Payroll!$I37,Payroll!$F37*((1+Payroll!$J37)^(ROUNDDOWN(DATEDIF(Payroll!$I37,CV$2,"M")/Payroll!$K37,0))),0))</f>
        <v>0</v>
      </c>
      <c r="CW122" s="56">
        <f>IF(CW$2=Payroll!$I37,Payroll!$F37,IF(CW$2&gt;Payroll!$I37,Payroll!$F37*((1+Payroll!$J37)^(ROUNDDOWN(DATEDIF(Payroll!$I37,CW$2,"M")/Payroll!$K37,0))),0))</f>
        <v>0</v>
      </c>
      <c r="CX122" s="56">
        <f>IF(CX$2=Payroll!$I37,Payroll!$F37,IF(CX$2&gt;Payroll!$I37,Payroll!$F37*((1+Payroll!$J37)^(ROUNDDOWN(DATEDIF(Payroll!$I37,CX$2,"M")/Payroll!$K37,0))),0))</f>
        <v>0</v>
      </c>
    </row>
    <row r="123" ht="15.75" customHeight="1" outlineLevel="2">
      <c r="A123" s="56" t="str">
        <f>Payroll!A38</f>
        <v>Employee 4</v>
      </c>
      <c r="B123" s="56"/>
      <c r="C123" s="56"/>
      <c r="D123" s="56"/>
      <c r="E123" s="56">
        <f>IF(E$2=Payroll!$I38,Payroll!$F38,IF(E$2&gt;Payroll!$I38,Payroll!$F38*((1+Payroll!$J38)^(ROUNDDOWN(DATEDIF(Payroll!$I38,E$2,"M")/Payroll!$K38,0))),0))</f>
        <v>0</v>
      </c>
      <c r="F123" s="56">
        <f>IF(F$2=Payroll!$I38,Payroll!$F38,IF(F$2&gt;Payroll!$I38,Payroll!$F38*((1+Payroll!$J38)^(ROUNDDOWN(DATEDIF(Payroll!$I38,F$2,"M")/Payroll!$K38,0))),0))</f>
        <v>0</v>
      </c>
      <c r="G123" s="56">
        <f>IF(G$2=Payroll!$I38,Payroll!$F38,IF(G$2&gt;Payroll!$I38,Payroll!$F38*((1+Payroll!$J38)^(ROUNDDOWN(DATEDIF(Payroll!$I38,G$2,"M")/Payroll!$K38,0))),0))</f>
        <v>0</v>
      </c>
      <c r="H123" s="56">
        <f>IF(H$2=Payroll!$I38,Payroll!$F38,IF(H$2&gt;Payroll!$I38,Payroll!$F38*((1+Payroll!$J38)^(ROUNDDOWN(DATEDIF(Payroll!$I38,H$2,"M")/Payroll!$K38,0))),0))</f>
        <v>0</v>
      </c>
      <c r="I123" s="56">
        <f>IF(I$2=Payroll!$I38,Payroll!$F38,IF(I$2&gt;Payroll!$I38,Payroll!$F38*((1+Payroll!$J38)^(ROUNDDOWN(DATEDIF(Payroll!$I38,I$2,"M")/Payroll!$K38,0))),0))</f>
        <v>0</v>
      </c>
      <c r="J123" s="56">
        <f>IF(J$2=Payroll!$I38,Payroll!$F38,IF(J$2&gt;Payroll!$I38,Payroll!$F38*((1+Payroll!$J38)^(ROUNDDOWN(DATEDIF(Payroll!$I38,J$2,"M")/Payroll!$K38,0))),0))</f>
        <v>0</v>
      </c>
      <c r="K123" s="56">
        <f>IF(K$2=Payroll!$I38,Payroll!$F38,IF(K$2&gt;Payroll!$I38,Payroll!$F38*((1+Payroll!$J38)^(ROUNDDOWN(DATEDIF(Payroll!$I38,K$2,"M")/Payroll!$K38,0))),0))</f>
        <v>0</v>
      </c>
      <c r="L123" s="56">
        <f>IF(L$2=Payroll!$I38,Payroll!$F38,IF(L$2&gt;Payroll!$I38,Payroll!$F38*((1+Payroll!$J38)^(ROUNDDOWN(DATEDIF(Payroll!$I38,L$2,"M")/Payroll!$K38,0))),0))</f>
        <v>0</v>
      </c>
      <c r="M123" s="56">
        <f>IF(M$2=Payroll!$I38,Payroll!$F38,IF(M$2&gt;Payroll!$I38,Payroll!$F38*((1+Payroll!$J38)^(ROUNDDOWN(DATEDIF(Payroll!$I38,M$2,"M")/Payroll!$K38,0))),0))</f>
        <v>0</v>
      </c>
      <c r="N123" s="56">
        <f>IF(N$2=Payroll!$I38,Payroll!$F38,IF(N$2&gt;Payroll!$I38,Payroll!$F38*((1+Payroll!$J38)^(ROUNDDOWN(DATEDIF(Payroll!$I38,N$2,"M")/Payroll!$K38,0))),0))</f>
        <v>0</v>
      </c>
      <c r="O123" s="56">
        <f>IF(O$2=Payroll!$I38,Payroll!$F38,IF(O$2&gt;Payroll!$I38,Payroll!$F38*((1+Payroll!$J38)^(ROUNDDOWN(DATEDIF(Payroll!$I38,O$2,"M")/Payroll!$K38,0))),0))</f>
        <v>0</v>
      </c>
      <c r="P123" s="56">
        <f>IF(P$2=Payroll!$I38,Payroll!$F38,IF(P$2&gt;Payroll!$I38,Payroll!$F38*((1+Payroll!$J38)^(ROUNDDOWN(DATEDIF(Payroll!$I38,P$2,"M")/Payroll!$K38,0))),0))</f>
        <v>0</v>
      </c>
      <c r="Q123" s="56">
        <f>IF(Q$2=Payroll!$I38,Payroll!$F38,IF(Q$2&gt;Payroll!$I38,Payroll!$F38*((1+Payroll!$J38)^(ROUNDDOWN(DATEDIF(Payroll!$I38,Q$2,"M")/Payroll!$K38,0))),0))</f>
        <v>0</v>
      </c>
      <c r="R123" s="56">
        <f>IF(R$2=Payroll!$I38,Payroll!$F38,IF(R$2&gt;Payroll!$I38,Payroll!$F38*((1+Payroll!$J38)^(ROUNDDOWN(DATEDIF(Payroll!$I38,R$2,"M")/Payroll!$K38,0))),0))</f>
        <v>0</v>
      </c>
      <c r="S123" s="56">
        <f>IF(S$2=Payroll!$I38,Payroll!$F38,IF(S$2&gt;Payroll!$I38,Payroll!$F38*((1+Payroll!$J38)^(ROUNDDOWN(DATEDIF(Payroll!$I38,S$2,"M")/Payroll!$K38,0))),0))</f>
        <v>0</v>
      </c>
      <c r="T123" s="56">
        <f>IF(T$2=Payroll!$I38,Payroll!$F38,IF(T$2&gt;Payroll!$I38,Payroll!$F38*((1+Payroll!$J38)^(ROUNDDOWN(DATEDIF(Payroll!$I38,T$2,"M")/Payroll!$K38,0))),0))</f>
        <v>0</v>
      </c>
      <c r="U123" s="56">
        <f>IF(U$2=Payroll!$I38,Payroll!$F38,IF(U$2&gt;Payroll!$I38,Payroll!$F38*((1+Payroll!$J38)^(ROUNDDOWN(DATEDIF(Payroll!$I38,U$2,"M")/Payroll!$K38,0))),0))</f>
        <v>0</v>
      </c>
      <c r="V123" s="56">
        <f>IF(V$2=Payroll!$I38,Payroll!$F38,IF(V$2&gt;Payroll!$I38,Payroll!$F38*((1+Payroll!$J38)^(ROUNDDOWN(DATEDIF(Payroll!$I38,V$2,"M")/Payroll!$K38,0))),0))</f>
        <v>0</v>
      </c>
      <c r="W123" s="56">
        <f>IF(W$2=Payroll!$I38,Payroll!$F38,IF(W$2&gt;Payroll!$I38,Payroll!$F38*((1+Payroll!$J38)^(ROUNDDOWN(DATEDIF(Payroll!$I38,W$2,"M")/Payroll!$K38,0))),0))</f>
        <v>0</v>
      </c>
      <c r="X123" s="56">
        <f>IF(X$2=Payroll!$I38,Payroll!$F38,IF(X$2&gt;Payroll!$I38,Payroll!$F38*((1+Payroll!$J38)^(ROUNDDOWN(DATEDIF(Payroll!$I38,X$2,"M")/Payroll!$K38,0))),0))</f>
        <v>0</v>
      </c>
      <c r="Y123" s="56">
        <f>IF(Y$2=Payroll!$I38,Payroll!$F38,IF(Y$2&gt;Payroll!$I38,Payroll!$F38*((1+Payroll!$J38)^(ROUNDDOWN(DATEDIF(Payroll!$I38,Y$2,"M")/Payroll!$K38,0))),0))</f>
        <v>0</v>
      </c>
      <c r="Z123" s="56">
        <f>IF(Z$2=Payroll!$I38,Payroll!$F38,IF(Z$2&gt;Payroll!$I38,Payroll!$F38*((1+Payroll!$J38)^(ROUNDDOWN(DATEDIF(Payroll!$I38,Z$2,"M")/Payroll!$K38,0))),0))</f>
        <v>0</v>
      </c>
      <c r="AA123" s="56">
        <f>IF(AA$2=Payroll!$I38,Payroll!$F38,IF(AA$2&gt;Payroll!$I38,Payroll!$F38*((1+Payroll!$J38)^(ROUNDDOWN(DATEDIF(Payroll!$I38,AA$2,"M")/Payroll!$K38,0))),0))</f>
        <v>0</v>
      </c>
      <c r="AB123" s="56">
        <f>IF(AB$2=Payroll!$I38,Payroll!$F38,IF(AB$2&gt;Payroll!$I38,Payroll!$F38*((1+Payroll!$J38)^(ROUNDDOWN(DATEDIF(Payroll!$I38,AB$2,"M")/Payroll!$K38,0))),0))</f>
        <v>0</v>
      </c>
      <c r="AC123" s="56">
        <f>IF(AC$2=Payroll!$I38,Payroll!$F38,IF(AC$2&gt;Payroll!$I38,Payroll!$F38*((1+Payroll!$J38)^(ROUNDDOWN(DATEDIF(Payroll!$I38,AC$2,"M")/Payroll!$K38,0))),0))</f>
        <v>0</v>
      </c>
      <c r="AD123" s="56">
        <f>IF(AD$2=Payroll!$I38,Payroll!$F38,IF(AD$2&gt;Payroll!$I38,Payroll!$F38*((1+Payroll!$J38)^(ROUNDDOWN(DATEDIF(Payroll!$I38,AD$2,"M")/Payroll!$K38,0))),0))</f>
        <v>0</v>
      </c>
      <c r="AE123" s="56">
        <f>IF(AE$2=Payroll!$I38,Payroll!$F38,IF(AE$2&gt;Payroll!$I38,Payroll!$F38*((1+Payroll!$J38)^(ROUNDDOWN(DATEDIF(Payroll!$I38,AE$2,"M")/Payroll!$K38,0))),0))</f>
        <v>0</v>
      </c>
      <c r="AF123" s="56">
        <f>IF(AF$2=Payroll!$I38,Payroll!$F38,IF(AF$2&gt;Payroll!$I38,Payroll!$F38*((1+Payroll!$J38)^(ROUNDDOWN(DATEDIF(Payroll!$I38,AF$2,"M")/Payroll!$K38,0))),0))</f>
        <v>0</v>
      </c>
      <c r="AG123" s="56">
        <f>IF(AG$2=Payroll!$I38,Payroll!$F38,IF(AG$2&gt;Payroll!$I38,Payroll!$F38*((1+Payroll!$J38)^(ROUNDDOWN(DATEDIF(Payroll!$I38,AG$2,"M")/Payroll!$K38,0))),0))</f>
        <v>0</v>
      </c>
      <c r="AH123" s="56">
        <f>IF(AH$2=Payroll!$I38,Payroll!$F38,IF(AH$2&gt;Payroll!$I38,Payroll!$F38*((1+Payroll!$J38)^(ROUNDDOWN(DATEDIF(Payroll!$I38,AH$2,"M")/Payroll!$K38,0))),0))</f>
        <v>0</v>
      </c>
      <c r="AI123" s="56">
        <f>IF(AI$2=Payroll!$I38,Payroll!$F38,IF(AI$2&gt;Payroll!$I38,Payroll!$F38*((1+Payroll!$J38)^(ROUNDDOWN(DATEDIF(Payroll!$I38,AI$2,"M")/Payroll!$K38,0))),0))</f>
        <v>0</v>
      </c>
      <c r="AJ123" s="56">
        <f>IF(AJ$2=Payroll!$I38,Payroll!$F38,IF(AJ$2&gt;Payroll!$I38,Payroll!$F38*((1+Payroll!$J38)^(ROUNDDOWN(DATEDIF(Payroll!$I38,AJ$2,"M")/Payroll!$K38,0))),0))</f>
        <v>0</v>
      </c>
      <c r="AK123" s="56">
        <f>IF(AK$2=Payroll!$I38,Payroll!$F38,IF(AK$2&gt;Payroll!$I38,Payroll!$F38*((1+Payroll!$J38)^(ROUNDDOWN(DATEDIF(Payroll!$I38,AK$2,"M")/Payroll!$K38,0))),0))</f>
        <v>0</v>
      </c>
      <c r="AL123" s="56">
        <f>IF(AL$2=Payroll!$I38,Payroll!$F38,IF(AL$2&gt;Payroll!$I38,Payroll!$F38*((1+Payroll!$J38)^(ROUNDDOWN(DATEDIF(Payroll!$I38,AL$2,"M")/Payroll!$K38,0))),0))</f>
        <v>0</v>
      </c>
      <c r="AM123" s="56">
        <f>IF(AM$2=Payroll!$I38,Payroll!$F38,IF(AM$2&gt;Payroll!$I38,Payroll!$F38*((1+Payroll!$J38)^(ROUNDDOWN(DATEDIF(Payroll!$I38,AM$2,"M")/Payroll!$K38,0))),0))</f>
        <v>0</v>
      </c>
      <c r="AN123" s="56">
        <f>IF(AN$2=Payroll!$I38,Payroll!$F38,IF(AN$2&gt;Payroll!$I38,Payroll!$F38*((1+Payroll!$J38)^(ROUNDDOWN(DATEDIF(Payroll!$I38,AN$2,"M")/Payroll!$K38,0))),0))</f>
        <v>0</v>
      </c>
      <c r="AO123" s="56">
        <f>IF(AO$2=Payroll!$I38,Payroll!$F38,IF(AO$2&gt;Payroll!$I38,Payroll!$F38*((1+Payroll!$J38)^(ROUNDDOWN(DATEDIF(Payroll!$I38,AO$2,"M")/Payroll!$K38,0))),0))</f>
        <v>0</v>
      </c>
      <c r="AP123" s="56">
        <f>IF(AP$2=Payroll!$I38,Payroll!$F38,IF(AP$2&gt;Payroll!$I38,Payroll!$F38*((1+Payroll!$J38)^(ROUNDDOWN(DATEDIF(Payroll!$I38,AP$2,"M")/Payroll!$K38,0))),0))</f>
        <v>0</v>
      </c>
      <c r="AQ123" s="56">
        <f>IF(AQ$2=Payroll!$I38,Payroll!$F38,IF(AQ$2&gt;Payroll!$I38,Payroll!$F38*((1+Payroll!$J38)^(ROUNDDOWN(DATEDIF(Payroll!$I38,AQ$2,"M")/Payroll!$K38,0))),0))</f>
        <v>0</v>
      </c>
      <c r="AR123" s="56">
        <f>IF(AR$2=Payroll!$I38,Payroll!$F38,IF(AR$2&gt;Payroll!$I38,Payroll!$F38*((1+Payroll!$J38)^(ROUNDDOWN(DATEDIF(Payroll!$I38,AR$2,"M")/Payroll!$K38,0))),0))</f>
        <v>0</v>
      </c>
      <c r="AS123" s="56">
        <f>IF(AS$2=Payroll!$I38,Payroll!$F38,IF(AS$2&gt;Payroll!$I38,Payroll!$F38*((1+Payroll!$J38)^(ROUNDDOWN(DATEDIF(Payroll!$I38,AS$2,"M")/Payroll!$K38,0))),0))</f>
        <v>0</v>
      </c>
      <c r="AT123" s="56">
        <f>IF(AT$2=Payroll!$I38,Payroll!$F38,IF(AT$2&gt;Payroll!$I38,Payroll!$F38*((1+Payroll!$J38)^(ROUNDDOWN(DATEDIF(Payroll!$I38,AT$2,"M")/Payroll!$K38,0))),0))</f>
        <v>0</v>
      </c>
      <c r="AU123" s="56">
        <f>IF(AU$2=Payroll!$I38,Payroll!$F38,IF(AU$2&gt;Payroll!$I38,Payroll!$F38*((1+Payroll!$J38)^(ROUNDDOWN(DATEDIF(Payroll!$I38,AU$2,"M")/Payroll!$K38,0))),0))</f>
        <v>0</v>
      </c>
      <c r="AV123" s="56">
        <f>IF(AV$2=Payroll!$I38,Payroll!$F38,IF(AV$2&gt;Payroll!$I38,Payroll!$F38*((1+Payroll!$J38)^(ROUNDDOWN(DATEDIF(Payroll!$I38,AV$2,"M")/Payroll!$K38,0))),0))</f>
        <v>0</v>
      </c>
      <c r="AW123" s="56">
        <f>IF(AW$2=Payroll!$I38,Payroll!$F38,IF(AW$2&gt;Payroll!$I38,Payroll!$F38*((1+Payroll!$J38)^(ROUNDDOWN(DATEDIF(Payroll!$I38,AW$2,"M")/Payroll!$K38,0))),0))</f>
        <v>0</v>
      </c>
      <c r="AX123" s="56">
        <f>IF(AX$2=Payroll!$I38,Payroll!$F38,IF(AX$2&gt;Payroll!$I38,Payroll!$F38*((1+Payroll!$J38)^(ROUNDDOWN(DATEDIF(Payroll!$I38,AX$2,"M")/Payroll!$K38,0))),0))</f>
        <v>0</v>
      </c>
      <c r="AY123" s="56">
        <f>IF(AY$2=Payroll!$I38,Payroll!$F38,IF(AY$2&gt;Payroll!$I38,Payroll!$F38*((1+Payroll!$J38)^(ROUNDDOWN(DATEDIF(Payroll!$I38,AY$2,"M")/Payroll!$K38,0))),0))</f>
        <v>0</v>
      </c>
      <c r="AZ123" s="56">
        <f>IF(AZ$2=Payroll!$I38,Payroll!$F38,IF(AZ$2&gt;Payroll!$I38,Payroll!$F38*((1+Payroll!$J38)^(ROUNDDOWN(DATEDIF(Payroll!$I38,AZ$2,"M")/Payroll!$K38,0))),0))</f>
        <v>0</v>
      </c>
      <c r="BA123" s="56">
        <f>IF(BA$2=Payroll!$I38,Payroll!$F38,IF(BA$2&gt;Payroll!$I38,Payroll!$F38*((1+Payroll!$J38)^(ROUNDDOWN(DATEDIF(Payroll!$I38,BA$2,"M")/Payroll!$K38,0))),0))</f>
        <v>0</v>
      </c>
      <c r="BB123" s="56">
        <f>IF(BB$2=Payroll!$I38,Payroll!$F38,IF(BB$2&gt;Payroll!$I38,Payroll!$F38*((1+Payroll!$J38)^(ROUNDDOWN(DATEDIF(Payroll!$I38,BB$2,"M")/Payroll!$K38,0))),0))</f>
        <v>0</v>
      </c>
      <c r="BC123" s="56">
        <f>IF(BC$2=Payroll!$I38,Payroll!$F38,IF(BC$2&gt;Payroll!$I38,Payroll!$F38*((1+Payroll!$J38)^(ROUNDDOWN(DATEDIF(Payroll!$I38,BC$2,"M")/Payroll!$K38,0))),0))</f>
        <v>0</v>
      </c>
      <c r="BD123" s="56">
        <f>IF(BD$2=Payroll!$I38,Payroll!$F38,IF(BD$2&gt;Payroll!$I38,Payroll!$F38*((1+Payroll!$J38)^(ROUNDDOWN(DATEDIF(Payroll!$I38,BD$2,"M")/Payroll!$K38,0))),0))</f>
        <v>0</v>
      </c>
      <c r="BE123" s="56">
        <f>IF(BE$2=Payroll!$I38,Payroll!$F38,IF(BE$2&gt;Payroll!$I38,Payroll!$F38*((1+Payroll!$J38)^(ROUNDDOWN(DATEDIF(Payroll!$I38,BE$2,"M")/Payroll!$K38,0))),0))</f>
        <v>0</v>
      </c>
      <c r="BF123" s="56">
        <f>IF(BF$2=Payroll!$I38,Payroll!$F38,IF(BF$2&gt;Payroll!$I38,Payroll!$F38*((1+Payroll!$J38)^(ROUNDDOWN(DATEDIF(Payroll!$I38,BF$2,"M")/Payroll!$K38,0))),0))</f>
        <v>0</v>
      </c>
      <c r="BG123" s="56">
        <f>IF(BG$2=Payroll!$I38,Payroll!$F38,IF(BG$2&gt;Payroll!$I38,Payroll!$F38*((1+Payroll!$J38)^(ROUNDDOWN(DATEDIF(Payroll!$I38,BG$2,"M")/Payroll!$K38,0))),0))</f>
        <v>0</v>
      </c>
      <c r="BH123" s="56">
        <f>IF(BH$2=Payroll!$I38,Payroll!$F38,IF(BH$2&gt;Payroll!$I38,Payroll!$F38*((1+Payroll!$J38)^(ROUNDDOWN(DATEDIF(Payroll!$I38,BH$2,"M")/Payroll!$K38,0))),0))</f>
        <v>0</v>
      </c>
      <c r="BI123" s="56">
        <f>IF(BI$2=Payroll!$I38,Payroll!$F38,IF(BI$2&gt;Payroll!$I38,Payroll!$F38*((1+Payroll!$J38)^(ROUNDDOWN(DATEDIF(Payroll!$I38,BI$2,"M")/Payroll!$K38,0))),0))</f>
        <v>0</v>
      </c>
      <c r="BJ123" s="56">
        <f>IF(BJ$2=Payroll!$I38,Payroll!$F38,IF(BJ$2&gt;Payroll!$I38,Payroll!$F38*((1+Payroll!$J38)^(ROUNDDOWN(DATEDIF(Payroll!$I38,BJ$2,"M")/Payroll!$K38,0))),0))</f>
        <v>0</v>
      </c>
      <c r="BK123" s="56">
        <f>IF(BK$2=Payroll!$I38,Payroll!$F38,IF(BK$2&gt;Payroll!$I38,Payroll!$F38*((1+Payroll!$J38)^(ROUNDDOWN(DATEDIF(Payroll!$I38,BK$2,"M")/Payroll!$K38,0))),0))</f>
        <v>0</v>
      </c>
      <c r="BL123" s="56">
        <f>IF(BL$2=Payroll!$I38,Payroll!$F38,IF(BL$2&gt;Payroll!$I38,Payroll!$F38*((1+Payroll!$J38)^(ROUNDDOWN(DATEDIF(Payroll!$I38,BL$2,"M")/Payroll!$K38,0))),0))</f>
        <v>0</v>
      </c>
      <c r="BM123" s="56">
        <f>IF(BM$2=Payroll!$I38,Payroll!$F38,IF(BM$2&gt;Payroll!$I38,Payroll!$F38*((1+Payroll!$J38)^(ROUNDDOWN(DATEDIF(Payroll!$I38,BM$2,"M")/Payroll!$K38,0))),0))</f>
        <v>0</v>
      </c>
      <c r="BN123" s="56">
        <f>IF(BN$2=Payroll!$I38,Payroll!$F38,IF(BN$2&gt;Payroll!$I38,Payroll!$F38*((1+Payroll!$J38)^(ROUNDDOWN(DATEDIF(Payroll!$I38,BN$2,"M")/Payroll!$K38,0))),0))</f>
        <v>0</v>
      </c>
      <c r="BO123" s="56">
        <f>IF(BO$2=Payroll!$I38,Payroll!$F38,IF(BO$2&gt;Payroll!$I38,Payroll!$F38*((1+Payroll!$J38)^(ROUNDDOWN(DATEDIF(Payroll!$I38,BO$2,"M")/Payroll!$K38,0))),0))</f>
        <v>0</v>
      </c>
      <c r="BP123" s="56">
        <f>IF(BP$2=Payroll!$I38,Payroll!$F38,IF(BP$2&gt;Payroll!$I38,Payroll!$F38*((1+Payroll!$J38)^(ROUNDDOWN(DATEDIF(Payroll!$I38,BP$2,"M")/Payroll!$K38,0))),0))</f>
        <v>0</v>
      </c>
      <c r="BQ123" s="56">
        <f>IF(BQ$2=Payroll!$I38,Payroll!$F38,IF(BQ$2&gt;Payroll!$I38,Payroll!$F38*((1+Payroll!$J38)^(ROUNDDOWN(DATEDIF(Payroll!$I38,BQ$2,"M")/Payroll!$K38,0))),0))</f>
        <v>0</v>
      </c>
      <c r="BR123" s="56">
        <f>IF(BR$2=Payroll!$I38,Payroll!$F38,IF(BR$2&gt;Payroll!$I38,Payroll!$F38*((1+Payroll!$J38)^(ROUNDDOWN(DATEDIF(Payroll!$I38,BR$2,"M")/Payroll!$K38,0))),0))</f>
        <v>0</v>
      </c>
      <c r="BS123" s="56">
        <f>IF(BS$2=Payroll!$I38,Payroll!$F38,IF(BS$2&gt;Payroll!$I38,Payroll!$F38*((1+Payroll!$J38)^(ROUNDDOWN(DATEDIF(Payroll!$I38,BS$2,"M")/Payroll!$K38,0))),0))</f>
        <v>0</v>
      </c>
      <c r="BT123" s="56">
        <f>IF(BT$2=Payroll!$I38,Payroll!$F38,IF(BT$2&gt;Payroll!$I38,Payroll!$F38*((1+Payroll!$J38)^(ROUNDDOWN(DATEDIF(Payroll!$I38,BT$2,"M")/Payroll!$K38,0))),0))</f>
        <v>0</v>
      </c>
      <c r="BU123" s="56">
        <f>IF(BU$2=Payroll!$I38,Payroll!$F38,IF(BU$2&gt;Payroll!$I38,Payroll!$F38*((1+Payroll!$J38)^(ROUNDDOWN(DATEDIF(Payroll!$I38,BU$2,"M")/Payroll!$K38,0))),0))</f>
        <v>0</v>
      </c>
      <c r="BV123" s="56">
        <f>IF(BV$2=Payroll!$I38,Payroll!$F38,IF(BV$2&gt;Payroll!$I38,Payroll!$F38*((1+Payroll!$J38)^(ROUNDDOWN(DATEDIF(Payroll!$I38,BV$2,"M")/Payroll!$K38,0))),0))</f>
        <v>0</v>
      </c>
      <c r="BW123" s="56">
        <f>IF(BW$2=Payroll!$I38,Payroll!$F38,IF(BW$2&gt;Payroll!$I38,Payroll!$F38*((1+Payroll!$J38)^(ROUNDDOWN(DATEDIF(Payroll!$I38,BW$2,"M")/Payroll!$K38,0))),0))</f>
        <v>0</v>
      </c>
      <c r="BX123" s="56">
        <f>IF(BX$2=Payroll!$I38,Payroll!$F38,IF(BX$2&gt;Payroll!$I38,Payroll!$F38*((1+Payroll!$J38)^(ROUNDDOWN(DATEDIF(Payroll!$I38,BX$2,"M")/Payroll!$K38,0))),0))</f>
        <v>0</v>
      </c>
      <c r="BY123" s="56">
        <f>IF(BY$2=Payroll!$I38,Payroll!$F38,IF(BY$2&gt;Payroll!$I38,Payroll!$F38*((1+Payroll!$J38)^(ROUNDDOWN(DATEDIF(Payroll!$I38,BY$2,"M")/Payroll!$K38,0))),0))</f>
        <v>0</v>
      </c>
      <c r="BZ123" s="56">
        <f>IF(BZ$2=Payroll!$I38,Payroll!$F38,IF(BZ$2&gt;Payroll!$I38,Payroll!$F38*((1+Payroll!$J38)^(ROUNDDOWN(DATEDIF(Payroll!$I38,BZ$2,"M")/Payroll!$K38,0))),0))</f>
        <v>0</v>
      </c>
      <c r="CA123" s="56">
        <f>IF(CA$2=Payroll!$I38,Payroll!$F38,IF(CA$2&gt;Payroll!$I38,Payroll!$F38*((1+Payroll!$J38)^(ROUNDDOWN(DATEDIF(Payroll!$I38,CA$2,"M")/Payroll!$K38,0))),0))</f>
        <v>0</v>
      </c>
      <c r="CB123" s="56">
        <f>IF(CB$2=Payroll!$I38,Payroll!$F38,IF(CB$2&gt;Payroll!$I38,Payroll!$F38*((1+Payroll!$J38)^(ROUNDDOWN(DATEDIF(Payroll!$I38,CB$2,"M")/Payroll!$K38,0))),0))</f>
        <v>0</v>
      </c>
      <c r="CC123" s="56">
        <f>IF(CC$2=Payroll!$I38,Payroll!$F38,IF(CC$2&gt;Payroll!$I38,Payroll!$F38*((1+Payroll!$J38)^(ROUNDDOWN(DATEDIF(Payroll!$I38,CC$2,"M")/Payroll!$K38,0))),0))</f>
        <v>0</v>
      </c>
      <c r="CD123" s="56">
        <f>IF(CD$2=Payroll!$I38,Payroll!$F38,IF(CD$2&gt;Payroll!$I38,Payroll!$F38*((1+Payroll!$J38)^(ROUNDDOWN(DATEDIF(Payroll!$I38,CD$2,"M")/Payroll!$K38,0))),0))</f>
        <v>0</v>
      </c>
      <c r="CE123" s="56">
        <f>IF(CE$2=Payroll!$I38,Payroll!$F38,IF(CE$2&gt;Payroll!$I38,Payroll!$F38*((1+Payroll!$J38)^(ROUNDDOWN(DATEDIF(Payroll!$I38,CE$2,"M")/Payroll!$K38,0))),0))</f>
        <v>0</v>
      </c>
      <c r="CF123" s="56">
        <f>IF(CF$2=Payroll!$I38,Payroll!$F38,IF(CF$2&gt;Payroll!$I38,Payroll!$F38*((1+Payroll!$J38)^(ROUNDDOWN(DATEDIF(Payroll!$I38,CF$2,"M")/Payroll!$K38,0))),0))</f>
        <v>0</v>
      </c>
      <c r="CG123" s="56">
        <f>IF(CG$2=Payroll!$I38,Payroll!$F38,IF(CG$2&gt;Payroll!$I38,Payroll!$F38*((1+Payroll!$J38)^(ROUNDDOWN(DATEDIF(Payroll!$I38,CG$2,"M")/Payroll!$K38,0))),0))</f>
        <v>0</v>
      </c>
      <c r="CH123" s="56">
        <f>IF(CH$2=Payroll!$I38,Payroll!$F38,IF(CH$2&gt;Payroll!$I38,Payroll!$F38*((1+Payroll!$J38)^(ROUNDDOWN(DATEDIF(Payroll!$I38,CH$2,"M")/Payroll!$K38,0))),0))</f>
        <v>0</v>
      </c>
      <c r="CI123" s="56">
        <f>IF(CI$2=Payroll!$I38,Payroll!$F38,IF(CI$2&gt;Payroll!$I38,Payroll!$F38*((1+Payroll!$J38)^(ROUNDDOWN(DATEDIF(Payroll!$I38,CI$2,"M")/Payroll!$K38,0))),0))</f>
        <v>0</v>
      </c>
      <c r="CJ123" s="56">
        <f>IF(CJ$2=Payroll!$I38,Payroll!$F38,IF(CJ$2&gt;Payroll!$I38,Payroll!$F38*((1+Payroll!$J38)^(ROUNDDOWN(DATEDIF(Payroll!$I38,CJ$2,"M")/Payroll!$K38,0))),0))</f>
        <v>0</v>
      </c>
      <c r="CK123" s="56">
        <f>IF(CK$2=Payroll!$I38,Payroll!$F38,IF(CK$2&gt;Payroll!$I38,Payroll!$F38*((1+Payroll!$J38)^(ROUNDDOWN(DATEDIF(Payroll!$I38,CK$2,"M")/Payroll!$K38,0))),0))</f>
        <v>0</v>
      </c>
      <c r="CL123" s="56">
        <f>IF(CL$2=Payroll!$I38,Payroll!$F38,IF(CL$2&gt;Payroll!$I38,Payroll!$F38*((1+Payroll!$J38)^(ROUNDDOWN(DATEDIF(Payroll!$I38,CL$2,"M")/Payroll!$K38,0))),0))</f>
        <v>0</v>
      </c>
      <c r="CM123" s="56">
        <f>IF(CM$2=Payroll!$I38,Payroll!$F38,IF(CM$2&gt;Payroll!$I38,Payroll!$F38*((1+Payroll!$J38)^(ROUNDDOWN(DATEDIF(Payroll!$I38,CM$2,"M")/Payroll!$K38,0))),0))</f>
        <v>0</v>
      </c>
      <c r="CN123" s="56">
        <f>IF(CN$2=Payroll!$I38,Payroll!$F38,IF(CN$2&gt;Payroll!$I38,Payroll!$F38*((1+Payroll!$J38)^(ROUNDDOWN(DATEDIF(Payroll!$I38,CN$2,"M")/Payroll!$K38,0))),0))</f>
        <v>0</v>
      </c>
      <c r="CO123" s="56">
        <f>IF(CO$2=Payroll!$I38,Payroll!$F38,IF(CO$2&gt;Payroll!$I38,Payroll!$F38*((1+Payroll!$J38)^(ROUNDDOWN(DATEDIF(Payroll!$I38,CO$2,"M")/Payroll!$K38,0))),0))</f>
        <v>0</v>
      </c>
      <c r="CP123" s="56">
        <f>IF(CP$2=Payroll!$I38,Payroll!$F38,IF(CP$2&gt;Payroll!$I38,Payroll!$F38*((1+Payroll!$J38)^(ROUNDDOWN(DATEDIF(Payroll!$I38,CP$2,"M")/Payroll!$K38,0))),0))</f>
        <v>0</v>
      </c>
      <c r="CQ123" s="56">
        <f>IF(CQ$2=Payroll!$I38,Payroll!$F38,IF(CQ$2&gt;Payroll!$I38,Payroll!$F38*((1+Payroll!$J38)^(ROUNDDOWN(DATEDIF(Payroll!$I38,CQ$2,"M")/Payroll!$K38,0))),0))</f>
        <v>0</v>
      </c>
      <c r="CR123" s="56">
        <f>IF(CR$2=Payroll!$I38,Payroll!$F38,IF(CR$2&gt;Payroll!$I38,Payroll!$F38*((1+Payroll!$J38)^(ROUNDDOWN(DATEDIF(Payroll!$I38,CR$2,"M")/Payroll!$K38,0))),0))</f>
        <v>0</v>
      </c>
      <c r="CS123" s="56">
        <f>IF(CS$2=Payroll!$I38,Payroll!$F38,IF(CS$2&gt;Payroll!$I38,Payroll!$F38*((1+Payroll!$J38)^(ROUNDDOWN(DATEDIF(Payroll!$I38,CS$2,"M")/Payroll!$K38,0))),0))</f>
        <v>0</v>
      </c>
      <c r="CT123" s="56">
        <f>IF(CT$2=Payroll!$I38,Payroll!$F38,IF(CT$2&gt;Payroll!$I38,Payroll!$F38*((1+Payroll!$J38)^(ROUNDDOWN(DATEDIF(Payroll!$I38,CT$2,"M")/Payroll!$K38,0))),0))</f>
        <v>0</v>
      </c>
      <c r="CU123" s="56">
        <f>IF(CU$2=Payroll!$I38,Payroll!$F38,IF(CU$2&gt;Payroll!$I38,Payroll!$F38*((1+Payroll!$J38)^(ROUNDDOWN(DATEDIF(Payroll!$I38,CU$2,"M")/Payroll!$K38,0))),0))</f>
        <v>0</v>
      </c>
      <c r="CV123" s="56">
        <f>IF(CV$2=Payroll!$I38,Payroll!$F38,IF(CV$2&gt;Payroll!$I38,Payroll!$F38*((1+Payroll!$J38)^(ROUNDDOWN(DATEDIF(Payroll!$I38,CV$2,"M")/Payroll!$K38,0))),0))</f>
        <v>0</v>
      </c>
      <c r="CW123" s="56">
        <f>IF(CW$2=Payroll!$I38,Payroll!$F38,IF(CW$2&gt;Payroll!$I38,Payroll!$F38*((1+Payroll!$J38)^(ROUNDDOWN(DATEDIF(Payroll!$I38,CW$2,"M")/Payroll!$K38,0))),0))</f>
        <v>0</v>
      </c>
      <c r="CX123" s="56">
        <f>IF(CX$2=Payroll!$I38,Payroll!$F38,IF(CX$2&gt;Payroll!$I38,Payroll!$F38*((1+Payroll!$J38)^(ROUNDDOWN(DATEDIF(Payroll!$I38,CX$2,"M")/Payroll!$K38,0))),0))</f>
        <v>0</v>
      </c>
    </row>
    <row r="124" ht="15.75" customHeight="1" outlineLevel="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</row>
    <row r="125" ht="15.75" customHeight="1" outlineLevel="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</row>
    <row r="126" ht="15.75" customHeight="1" outlineLevel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</row>
    <row r="127" ht="15.75" customHeight="1" outlineLevel="1">
      <c r="A127" s="60" t="str">
        <f>Payroll!A48</f>
        <v>Customer Success &amp; Support</v>
      </c>
      <c r="B127" s="60"/>
      <c r="C127" s="60"/>
      <c r="D127" s="60"/>
      <c r="E127" s="60">
        <f t="shared" ref="E127:CX127" si="24">SUM(E128:E133)</f>
        <v>0</v>
      </c>
      <c r="F127" s="60">
        <f t="shared" si="24"/>
        <v>0</v>
      </c>
      <c r="G127" s="60">
        <f t="shared" si="24"/>
        <v>0</v>
      </c>
      <c r="H127" s="60">
        <f t="shared" si="24"/>
        <v>0</v>
      </c>
      <c r="I127" s="60">
        <f t="shared" si="24"/>
        <v>0</v>
      </c>
      <c r="J127" s="60">
        <f t="shared" si="24"/>
        <v>0</v>
      </c>
      <c r="K127" s="60">
        <f t="shared" si="24"/>
        <v>0</v>
      </c>
      <c r="L127" s="60">
        <f t="shared" si="24"/>
        <v>0</v>
      </c>
      <c r="M127" s="60">
        <f t="shared" si="24"/>
        <v>0</v>
      </c>
      <c r="N127" s="60">
        <f t="shared" si="24"/>
        <v>0</v>
      </c>
      <c r="O127" s="60">
        <f t="shared" si="24"/>
        <v>0</v>
      </c>
      <c r="P127" s="60">
        <f t="shared" si="24"/>
        <v>0</v>
      </c>
      <c r="Q127" s="60">
        <f t="shared" si="24"/>
        <v>0</v>
      </c>
      <c r="R127" s="60">
        <f t="shared" si="24"/>
        <v>0</v>
      </c>
      <c r="S127" s="60">
        <f t="shared" si="24"/>
        <v>0</v>
      </c>
      <c r="T127" s="60">
        <f t="shared" si="24"/>
        <v>0</v>
      </c>
      <c r="U127" s="60">
        <f t="shared" si="24"/>
        <v>0</v>
      </c>
      <c r="V127" s="60">
        <f t="shared" si="24"/>
        <v>0</v>
      </c>
      <c r="W127" s="60">
        <f t="shared" si="24"/>
        <v>0</v>
      </c>
      <c r="X127" s="60">
        <f t="shared" si="24"/>
        <v>0</v>
      </c>
      <c r="Y127" s="60">
        <f t="shared" si="24"/>
        <v>0</v>
      </c>
      <c r="Z127" s="60">
        <f t="shared" si="24"/>
        <v>0</v>
      </c>
      <c r="AA127" s="60">
        <f t="shared" si="24"/>
        <v>0</v>
      </c>
      <c r="AB127" s="60">
        <f t="shared" si="24"/>
        <v>0</v>
      </c>
      <c r="AC127" s="60">
        <f t="shared" si="24"/>
        <v>0</v>
      </c>
      <c r="AD127" s="60">
        <f t="shared" si="24"/>
        <v>0</v>
      </c>
      <c r="AE127" s="60">
        <f t="shared" si="24"/>
        <v>0</v>
      </c>
      <c r="AF127" s="60">
        <f t="shared" si="24"/>
        <v>0</v>
      </c>
      <c r="AG127" s="60">
        <f t="shared" si="24"/>
        <v>0</v>
      </c>
      <c r="AH127" s="60">
        <f t="shared" si="24"/>
        <v>0</v>
      </c>
      <c r="AI127" s="60">
        <f t="shared" si="24"/>
        <v>0</v>
      </c>
      <c r="AJ127" s="60">
        <f t="shared" si="24"/>
        <v>0</v>
      </c>
      <c r="AK127" s="60">
        <f t="shared" si="24"/>
        <v>0</v>
      </c>
      <c r="AL127" s="60">
        <f t="shared" si="24"/>
        <v>12307.69231</v>
      </c>
      <c r="AM127" s="60">
        <f t="shared" si="24"/>
        <v>12307.69231</v>
      </c>
      <c r="AN127" s="60">
        <f t="shared" si="24"/>
        <v>12307.69231</v>
      </c>
      <c r="AO127" s="60">
        <f t="shared" si="24"/>
        <v>12307.69231</v>
      </c>
      <c r="AP127" s="60">
        <f t="shared" si="24"/>
        <v>13846.15385</v>
      </c>
      <c r="AQ127" s="60">
        <f t="shared" si="24"/>
        <v>13846.15385</v>
      </c>
      <c r="AR127" s="60">
        <f t="shared" si="24"/>
        <v>13846.15385</v>
      </c>
      <c r="AS127" s="60">
        <f t="shared" si="24"/>
        <v>13846.15385</v>
      </c>
      <c r="AT127" s="60">
        <f t="shared" si="24"/>
        <v>13846.15385</v>
      </c>
      <c r="AU127" s="60">
        <f t="shared" si="24"/>
        <v>13846.15385</v>
      </c>
      <c r="AV127" s="60">
        <f t="shared" si="24"/>
        <v>13846.15385</v>
      </c>
      <c r="AW127" s="60">
        <f t="shared" si="24"/>
        <v>13846.15385</v>
      </c>
      <c r="AX127" s="60">
        <f t="shared" si="24"/>
        <v>13846.15385</v>
      </c>
      <c r="AY127" s="60">
        <f t="shared" si="24"/>
        <v>13846.15385</v>
      </c>
      <c r="AZ127" s="60">
        <f t="shared" si="24"/>
        <v>13846.15385</v>
      </c>
      <c r="BA127" s="60">
        <f t="shared" si="24"/>
        <v>13846.15385</v>
      </c>
      <c r="BB127" s="60">
        <f t="shared" si="24"/>
        <v>13846.15385</v>
      </c>
      <c r="BC127" s="60">
        <f t="shared" si="24"/>
        <v>13846.15385</v>
      </c>
      <c r="BD127" s="60">
        <f t="shared" si="24"/>
        <v>13846.15385</v>
      </c>
      <c r="BE127" s="60">
        <f t="shared" si="24"/>
        <v>13846.15385</v>
      </c>
      <c r="BF127" s="60">
        <f t="shared" si="24"/>
        <v>13846.15385</v>
      </c>
      <c r="BG127" s="60">
        <f t="shared" si="24"/>
        <v>13846.15385</v>
      </c>
      <c r="BH127" s="60">
        <f t="shared" si="24"/>
        <v>13846.15385</v>
      </c>
      <c r="BI127" s="60">
        <f t="shared" si="24"/>
        <v>13846.15385</v>
      </c>
      <c r="BJ127" s="60">
        <f t="shared" si="24"/>
        <v>13846.15385</v>
      </c>
      <c r="BK127" s="60">
        <f t="shared" si="24"/>
        <v>13846.15385</v>
      </c>
      <c r="BL127" s="60">
        <f t="shared" si="24"/>
        <v>13846.15385</v>
      </c>
      <c r="BM127" s="60">
        <f t="shared" si="24"/>
        <v>13846.15385</v>
      </c>
      <c r="BN127" s="60">
        <f t="shared" si="24"/>
        <v>13846.15385</v>
      </c>
      <c r="BO127" s="60">
        <f t="shared" si="24"/>
        <v>13846.15385</v>
      </c>
      <c r="BP127" s="60">
        <f t="shared" si="24"/>
        <v>13846.15385</v>
      </c>
      <c r="BQ127" s="60">
        <f t="shared" si="24"/>
        <v>13846.15385</v>
      </c>
      <c r="BR127" s="60">
        <f t="shared" si="24"/>
        <v>13846.15385</v>
      </c>
      <c r="BS127" s="60">
        <f t="shared" si="24"/>
        <v>13846.15385</v>
      </c>
      <c r="BT127" s="60">
        <f t="shared" si="24"/>
        <v>13846.15385</v>
      </c>
      <c r="BU127" s="60">
        <f t="shared" si="24"/>
        <v>13846.15385</v>
      </c>
      <c r="BV127" s="60">
        <f t="shared" si="24"/>
        <v>13846.15385</v>
      </c>
      <c r="BW127" s="60">
        <f t="shared" si="24"/>
        <v>13846.15385</v>
      </c>
      <c r="BX127" s="60">
        <f t="shared" si="24"/>
        <v>13846.15385</v>
      </c>
      <c r="BY127" s="60">
        <f t="shared" si="24"/>
        <v>13846.15385</v>
      </c>
      <c r="BZ127" s="60">
        <f t="shared" si="24"/>
        <v>13846.15385</v>
      </c>
      <c r="CA127" s="60">
        <f t="shared" si="24"/>
        <v>13846.15385</v>
      </c>
      <c r="CB127" s="60">
        <f t="shared" si="24"/>
        <v>13846.15385</v>
      </c>
      <c r="CC127" s="60">
        <f t="shared" si="24"/>
        <v>13846.15385</v>
      </c>
      <c r="CD127" s="60">
        <f t="shared" si="24"/>
        <v>13846.15385</v>
      </c>
      <c r="CE127" s="60">
        <f t="shared" si="24"/>
        <v>13846.15385</v>
      </c>
      <c r="CF127" s="60">
        <f t="shared" si="24"/>
        <v>13846.15385</v>
      </c>
      <c r="CG127" s="60">
        <f t="shared" si="24"/>
        <v>13846.15385</v>
      </c>
      <c r="CH127" s="60">
        <f t="shared" si="24"/>
        <v>13846.15385</v>
      </c>
      <c r="CI127" s="60">
        <f t="shared" si="24"/>
        <v>13846.15385</v>
      </c>
      <c r="CJ127" s="60">
        <f t="shared" si="24"/>
        <v>13846.15385</v>
      </c>
      <c r="CK127" s="60">
        <f t="shared" si="24"/>
        <v>13846.15385</v>
      </c>
      <c r="CL127" s="60">
        <f t="shared" si="24"/>
        <v>13846.15385</v>
      </c>
      <c r="CM127" s="60">
        <f t="shared" si="24"/>
        <v>13846.15385</v>
      </c>
      <c r="CN127" s="60">
        <f t="shared" si="24"/>
        <v>13846.15385</v>
      </c>
      <c r="CO127" s="60">
        <f t="shared" si="24"/>
        <v>13846.15385</v>
      </c>
      <c r="CP127" s="60">
        <f t="shared" si="24"/>
        <v>13846.15385</v>
      </c>
      <c r="CQ127" s="60">
        <f t="shared" si="24"/>
        <v>13846.15385</v>
      </c>
      <c r="CR127" s="60">
        <f t="shared" si="24"/>
        <v>13846.15385</v>
      </c>
      <c r="CS127" s="60">
        <f t="shared" si="24"/>
        <v>13846.15385</v>
      </c>
      <c r="CT127" s="60">
        <f t="shared" si="24"/>
        <v>13846.15385</v>
      </c>
      <c r="CU127" s="60">
        <f t="shared" si="24"/>
        <v>13846.15385</v>
      </c>
      <c r="CV127" s="60">
        <f t="shared" si="24"/>
        <v>13846.15385</v>
      </c>
      <c r="CW127" s="60">
        <f t="shared" si="24"/>
        <v>13846.15385</v>
      </c>
      <c r="CX127" s="60">
        <f t="shared" si="24"/>
        <v>13846.15385</v>
      </c>
    </row>
    <row r="128" ht="15.75" customHeight="1" outlineLevel="2">
      <c r="A128" s="56" t="str">
        <f>Payroll!A49</f>
        <v>Head of Customer Success </v>
      </c>
      <c r="B128" s="56"/>
      <c r="C128" s="56"/>
      <c r="D128" s="56"/>
      <c r="E128" s="56">
        <f>IF(E$2=Payroll!$I49,Payroll!$F49,IF(E$2&gt;Payroll!$I49,Payroll!$F49*((1+Payroll!$J49)^(ROUNDDOWN(DATEDIF(Payroll!$I49,E$2,"M")/Payroll!$K49,0))),0))</f>
        <v>0</v>
      </c>
      <c r="F128" s="56">
        <f>IF(F$2=Payroll!$I49,Payroll!$F49,IF(F$2&gt;Payroll!$I49,Payroll!$F49*((1+Payroll!$J49)^(ROUNDDOWN(DATEDIF(Payroll!$I49,F$2,"M")/Payroll!$K49,0))),0))</f>
        <v>0</v>
      </c>
      <c r="G128" s="56">
        <f>IF(G$2=Payroll!$I49,Payroll!$F49,IF(G$2&gt;Payroll!$I49,Payroll!$F49*((1+Payroll!$J49)^(ROUNDDOWN(DATEDIF(Payroll!$I49,G$2,"M")/Payroll!$K49,0))),0))</f>
        <v>0</v>
      </c>
      <c r="H128" s="56">
        <f>IF(H$2=Payroll!$I49,Payroll!$F49,IF(H$2&gt;Payroll!$I49,Payroll!$F49*((1+Payroll!$J49)^(ROUNDDOWN(DATEDIF(Payroll!$I49,H$2,"M")/Payroll!$K49,0))),0))</f>
        <v>0</v>
      </c>
      <c r="I128" s="56">
        <f>IF(I$2=Payroll!$I49,Payroll!$F49,IF(I$2&gt;Payroll!$I49,Payroll!$F49*((1+Payroll!$J49)^(ROUNDDOWN(DATEDIF(Payroll!$I49,I$2,"M")/Payroll!$K49,0))),0))</f>
        <v>0</v>
      </c>
      <c r="J128" s="56">
        <f>IF(J$2=Payroll!$I49,Payroll!$F49,IF(J$2&gt;Payroll!$I49,Payroll!$F49*((1+Payroll!$J49)^(ROUNDDOWN(DATEDIF(Payroll!$I49,J$2,"M")/Payroll!$K49,0))),0))</f>
        <v>0</v>
      </c>
      <c r="K128" s="56">
        <f>IF(K$2=Payroll!$I49,Payroll!$F49,IF(K$2&gt;Payroll!$I49,Payroll!$F49*((1+Payroll!$J49)^(ROUNDDOWN(DATEDIF(Payroll!$I49,K$2,"M")/Payroll!$K49,0))),0))</f>
        <v>0</v>
      </c>
      <c r="L128" s="56">
        <f>IF(L$2=Payroll!$I49,Payroll!$F49,IF(L$2&gt;Payroll!$I49,Payroll!$F49*((1+Payroll!$J49)^(ROUNDDOWN(DATEDIF(Payroll!$I49,L$2,"M")/Payroll!$K49,0))),0))</f>
        <v>0</v>
      </c>
      <c r="M128" s="56">
        <f>IF(M$2=Payroll!$I49,Payroll!$F49,IF(M$2&gt;Payroll!$I49,Payroll!$F49*((1+Payroll!$J49)^(ROUNDDOWN(DATEDIF(Payroll!$I49,M$2,"M")/Payroll!$K49,0))),0))</f>
        <v>0</v>
      </c>
      <c r="N128" s="56">
        <f>IF(N$2=Payroll!$I49,Payroll!$F49,IF(N$2&gt;Payroll!$I49,Payroll!$F49*((1+Payroll!$J49)^(ROUNDDOWN(DATEDIF(Payroll!$I49,N$2,"M")/Payroll!$K49,0))),0))</f>
        <v>0</v>
      </c>
      <c r="O128" s="56">
        <f>IF(O$2=Payroll!$I49,Payroll!$F49,IF(O$2&gt;Payroll!$I49,Payroll!$F49*((1+Payroll!$J49)^(ROUNDDOWN(DATEDIF(Payroll!$I49,O$2,"M")/Payroll!$K49,0))),0))</f>
        <v>0</v>
      </c>
      <c r="P128" s="56">
        <f>IF(P$2=Payroll!$I49,Payroll!$F49,IF(P$2&gt;Payroll!$I49,Payroll!$F49*((1+Payroll!$J49)^(ROUNDDOWN(DATEDIF(Payroll!$I49,P$2,"M")/Payroll!$K49,0))),0))</f>
        <v>0</v>
      </c>
      <c r="Q128" s="56">
        <f>IF(Q$2=Payroll!$I49,Payroll!$F49,IF(Q$2&gt;Payroll!$I49,Payroll!$F49*((1+Payroll!$J49)^(ROUNDDOWN(DATEDIF(Payroll!$I49,Q$2,"M")/Payroll!$K49,0))),0))</f>
        <v>0</v>
      </c>
      <c r="R128" s="56">
        <f>IF(R$2=Payroll!$I49,Payroll!$F49,IF(R$2&gt;Payroll!$I49,Payroll!$F49*((1+Payroll!$J49)^(ROUNDDOWN(DATEDIF(Payroll!$I49,R$2,"M")/Payroll!$K49,0))),0))</f>
        <v>0</v>
      </c>
      <c r="S128" s="56">
        <f>IF(S$2=Payroll!$I49,Payroll!$F49,IF(S$2&gt;Payroll!$I49,Payroll!$F49*((1+Payroll!$J49)^(ROUNDDOWN(DATEDIF(Payroll!$I49,S$2,"M")/Payroll!$K49,0))),0))</f>
        <v>0</v>
      </c>
      <c r="T128" s="56">
        <f>IF(T$2=Payroll!$I49,Payroll!$F49,IF(T$2&gt;Payroll!$I49,Payroll!$F49*((1+Payroll!$J49)^(ROUNDDOWN(DATEDIF(Payroll!$I49,T$2,"M")/Payroll!$K49,0))),0))</f>
        <v>0</v>
      </c>
      <c r="U128" s="56">
        <f>IF(U$2=Payroll!$I49,Payroll!$F49,IF(U$2&gt;Payroll!$I49,Payroll!$F49*((1+Payroll!$J49)^(ROUNDDOWN(DATEDIF(Payroll!$I49,U$2,"M")/Payroll!$K49,0))),0))</f>
        <v>0</v>
      </c>
      <c r="V128" s="56">
        <f>IF(V$2=Payroll!$I49,Payroll!$F49,IF(V$2&gt;Payroll!$I49,Payroll!$F49*((1+Payroll!$J49)^(ROUNDDOWN(DATEDIF(Payroll!$I49,V$2,"M")/Payroll!$K49,0))),0))</f>
        <v>0</v>
      </c>
      <c r="W128" s="56">
        <f>IF(W$2=Payroll!$I49,Payroll!$F49,IF(W$2&gt;Payroll!$I49,Payroll!$F49*((1+Payroll!$J49)^(ROUNDDOWN(DATEDIF(Payroll!$I49,W$2,"M")/Payroll!$K49,0))),0))</f>
        <v>0</v>
      </c>
      <c r="X128" s="56">
        <f>IF(X$2=Payroll!$I49,Payroll!$F49,IF(X$2&gt;Payroll!$I49,Payroll!$F49*((1+Payroll!$J49)^(ROUNDDOWN(DATEDIF(Payroll!$I49,X$2,"M")/Payroll!$K49,0))),0))</f>
        <v>0</v>
      </c>
      <c r="Y128" s="56">
        <f>IF(Y$2=Payroll!$I49,Payroll!$F49,IF(Y$2&gt;Payroll!$I49,Payroll!$F49*((1+Payroll!$J49)^(ROUNDDOWN(DATEDIF(Payroll!$I49,Y$2,"M")/Payroll!$K49,0))),0))</f>
        <v>0</v>
      </c>
      <c r="Z128" s="56">
        <f>IF(Z$2=Payroll!$I49,Payroll!$F49,IF(Z$2&gt;Payroll!$I49,Payroll!$F49*((1+Payroll!$J49)^(ROUNDDOWN(DATEDIF(Payroll!$I49,Z$2,"M")/Payroll!$K49,0))),0))</f>
        <v>0</v>
      </c>
      <c r="AA128" s="56">
        <f>IF(AA$2=Payroll!$I49,Payroll!$F49,IF(AA$2&gt;Payroll!$I49,Payroll!$F49*((1+Payroll!$J49)^(ROUNDDOWN(DATEDIF(Payroll!$I49,AA$2,"M")/Payroll!$K49,0))),0))</f>
        <v>0</v>
      </c>
      <c r="AB128" s="56">
        <f>IF(AB$2=Payroll!$I49,Payroll!$F49,IF(AB$2&gt;Payroll!$I49,Payroll!$F49*((1+Payroll!$J49)^(ROUNDDOWN(DATEDIF(Payroll!$I49,AB$2,"M")/Payroll!$K49,0))),0))</f>
        <v>0</v>
      </c>
      <c r="AC128" s="56">
        <f>IF(AC$2=Payroll!$I49,Payroll!$F49,IF(AC$2&gt;Payroll!$I49,Payroll!$F49*((1+Payroll!$J49)^(ROUNDDOWN(DATEDIF(Payroll!$I49,AC$2,"M")/Payroll!$K49,0))),0))</f>
        <v>0</v>
      </c>
      <c r="AD128" s="56">
        <f>IF(AD$2=Payroll!$I49,Payroll!$F49,IF(AD$2&gt;Payroll!$I49,Payroll!$F49*((1+Payroll!$J49)^(ROUNDDOWN(DATEDIF(Payroll!$I49,AD$2,"M")/Payroll!$K49,0))),0))</f>
        <v>0</v>
      </c>
      <c r="AE128" s="56">
        <f>IF(AE$2=Payroll!$I49,Payroll!$F49,IF(AE$2&gt;Payroll!$I49,Payroll!$F49*((1+Payroll!$J49)^(ROUNDDOWN(DATEDIF(Payroll!$I49,AE$2,"M")/Payroll!$K49,0))),0))</f>
        <v>0</v>
      </c>
      <c r="AF128" s="56">
        <f>IF(AF$2=Payroll!$I49,Payroll!$F49,IF(AF$2&gt;Payroll!$I49,Payroll!$F49*((1+Payroll!$J49)^(ROUNDDOWN(DATEDIF(Payroll!$I49,AF$2,"M")/Payroll!$K49,0))),0))</f>
        <v>0</v>
      </c>
      <c r="AG128" s="56">
        <f>IF(AG$2=Payroll!$I49,Payroll!$F49,IF(AG$2&gt;Payroll!$I49,Payroll!$F49*((1+Payroll!$J49)^(ROUNDDOWN(DATEDIF(Payroll!$I49,AG$2,"M")/Payroll!$K49,0))),0))</f>
        <v>0</v>
      </c>
      <c r="AH128" s="56">
        <f>IF(AH$2=Payroll!$I49,Payroll!$F49,IF(AH$2&gt;Payroll!$I49,Payroll!$F49*((1+Payroll!$J49)^(ROUNDDOWN(DATEDIF(Payroll!$I49,AH$2,"M")/Payroll!$K49,0))),0))</f>
        <v>0</v>
      </c>
      <c r="AI128" s="56">
        <f>IF(AI$2=Payroll!$I49,Payroll!$F49,IF(AI$2&gt;Payroll!$I49,Payroll!$F49*((1+Payroll!$J49)^(ROUNDDOWN(DATEDIF(Payroll!$I49,AI$2,"M")/Payroll!$K49,0))),0))</f>
        <v>0</v>
      </c>
      <c r="AJ128" s="56">
        <f>IF(AJ$2=Payroll!$I49,Payroll!$F49,IF(AJ$2&gt;Payroll!$I49,Payroll!$F49*((1+Payroll!$J49)^(ROUNDDOWN(DATEDIF(Payroll!$I49,AJ$2,"M")/Payroll!$K49,0))),0))</f>
        <v>0</v>
      </c>
      <c r="AK128" s="56">
        <f>IF(AK$2=Payroll!$I49,Payroll!$F49,IF(AK$2&gt;Payroll!$I49,Payroll!$F49*((1+Payroll!$J49)^(ROUNDDOWN(DATEDIF(Payroll!$I49,AK$2,"M")/Payroll!$K49,0))),0))</f>
        <v>0</v>
      </c>
      <c r="AL128" s="56">
        <f>IF(AL$2=Payroll!$I49,Payroll!$F49,IF(AL$2&gt;Payroll!$I49,Payroll!$F49*((1+Payroll!$J49)^(ROUNDDOWN(DATEDIF(Payroll!$I49,AL$2,"M")/Payroll!$K49,0))),0))</f>
        <v>0</v>
      </c>
      <c r="AM128" s="56">
        <f>IF(AM$2=Payroll!$I49,Payroll!$F49,IF(AM$2&gt;Payroll!$I49,Payroll!$F49*((1+Payroll!$J49)^(ROUNDDOWN(DATEDIF(Payroll!$I49,AM$2,"M")/Payroll!$K49,0))),0))</f>
        <v>0</v>
      </c>
      <c r="AN128" s="56">
        <f>IF(AN$2=Payroll!$I49,Payroll!$F49,IF(AN$2&gt;Payroll!$I49,Payroll!$F49*((1+Payroll!$J49)^(ROUNDDOWN(DATEDIF(Payroll!$I49,AN$2,"M")/Payroll!$K49,0))),0))</f>
        <v>0</v>
      </c>
      <c r="AO128" s="56">
        <f>IF(AO$2=Payroll!$I49,Payroll!$F49,IF(AO$2&gt;Payroll!$I49,Payroll!$F49*((1+Payroll!$J49)^(ROUNDDOWN(DATEDIF(Payroll!$I49,AO$2,"M")/Payroll!$K49,0))),0))</f>
        <v>0</v>
      </c>
      <c r="AP128" s="56">
        <f>IF(AP$2=Payroll!$I49,Payroll!$F49,IF(AP$2&gt;Payroll!$I49,Payroll!$F49*((1+Payroll!$J49)^(ROUNDDOWN(DATEDIF(Payroll!$I49,AP$2,"M")/Payroll!$K49,0))),0))</f>
        <v>1538.461538</v>
      </c>
      <c r="AQ128" s="56">
        <f>IF(AQ$2=Payroll!$I49,Payroll!$F49,IF(AQ$2&gt;Payroll!$I49,Payroll!$F49*((1+Payroll!$J49)^(ROUNDDOWN(DATEDIF(Payroll!$I49,AQ$2,"M")/Payroll!$K49,0))),0))</f>
        <v>1538.461538</v>
      </c>
      <c r="AR128" s="56">
        <f>IF(AR$2=Payroll!$I49,Payroll!$F49,IF(AR$2&gt;Payroll!$I49,Payroll!$F49*((1+Payroll!$J49)^(ROUNDDOWN(DATEDIF(Payroll!$I49,AR$2,"M")/Payroll!$K49,0))),0))</f>
        <v>1538.461538</v>
      </c>
      <c r="AS128" s="56">
        <f>IF(AS$2=Payroll!$I49,Payroll!$F49,IF(AS$2&gt;Payroll!$I49,Payroll!$F49*((1+Payroll!$J49)^(ROUNDDOWN(DATEDIF(Payroll!$I49,AS$2,"M")/Payroll!$K49,0))),0))</f>
        <v>1538.461538</v>
      </c>
      <c r="AT128" s="56">
        <f>IF(AT$2=Payroll!$I49,Payroll!$F49,IF(AT$2&gt;Payroll!$I49,Payroll!$F49*((1+Payroll!$J49)^(ROUNDDOWN(DATEDIF(Payroll!$I49,AT$2,"M")/Payroll!$K49,0))),0))</f>
        <v>1538.461538</v>
      </c>
      <c r="AU128" s="56">
        <f>IF(AU$2=Payroll!$I49,Payroll!$F49,IF(AU$2&gt;Payroll!$I49,Payroll!$F49*((1+Payroll!$J49)^(ROUNDDOWN(DATEDIF(Payroll!$I49,AU$2,"M")/Payroll!$K49,0))),0))</f>
        <v>1538.461538</v>
      </c>
      <c r="AV128" s="56">
        <f>IF(AV$2=Payroll!$I49,Payroll!$F49,IF(AV$2&gt;Payroll!$I49,Payroll!$F49*((1+Payroll!$J49)^(ROUNDDOWN(DATEDIF(Payroll!$I49,AV$2,"M")/Payroll!$K49,0))),0))</f>
        <v>1538.461538</v>
      </c>
      <c r="AW128" s="56">
        <f>IF(AW$2=Payroll!$I49,Payroll!$F49,IF(AW$2&gt;Payroll!$I49,Payroll!$F49*((1+Payroll!$J49)^(ROUNDDOWN(DATEDIF(Payroll!$I49,AW$2,"M")/Payroll!$K49,0))),0))</f>
        <v>1538.461538</v>
      </c>
      <c r="AX128" s="56">
        <f>IF(AX$2=Payroll!$I49,Payroll!$F49,IF(AX$2&gt;Payroll!$I49,Payroll!$F49*((1+Payroll!$J49)^(ROUNDDOWN(DATEDIF(Payroll!$I49,AX$2,"M")/Payroll!$K49,0))),0))</f>
        <v>1538.461538</v>
      </c>
      <c r="AY128" s="56">
        <f>IF(AY$2=Payroll!$I49,Payroll!$F49,IF(AY$2&gt;Payroll!$I49,Payroll!$F49*((1+Payroll!$J49)^(ROUNDDOWN(DATEDIF(Payroll!$I49,AY$2,"M")/Payroll!$K49,0))),0))</f>
        <v>1538.461538</v>
      </c>
      <c r="AZ128" s="56">
        <f>IF(AZ$2=Payroll!$I49,Payroll!$F49,IF(AZ$2&gt;Payroll!$I49,Payroll!$F49*((1+Payroll!$J49)^(ROUNDDOWN(DATEDIF(Payroll!$I49,AZ$2,"M")/Payroll!$K49,0))),0))</f>
        <v>1538.461538</v>
      </c>
      <c r="BA128" s="56">
        <f>IF(BA$2=Payroll!$I49,Payroll!$F49,IF(BA$2&gt;Payroll!$I49,Payroll!$F49*((1+Payroll!$J49)^(ROUNDDOWN(DATEDIF(Payroll!$I49,BA$2,"M")/Payroll!$K49,0))),0))</f>
        <v>1538.461538</v>
      </c>
      <c r="BB128" s="56">
        <f>IF(BB$2=Payroll!$I49,Payroll!$F49,IF(BB$2&gt;Payroll!$I49,Payroll!$F49*((1+Payroll!$J49)^(ROUNDDOWN(DATEDIF(Payroll!$I49,BB$2,"M")/Payroll!$K49,0))),0))</f>
        <v>1538.461538</v>
      </c>
      <c r="BC128" s="56">
        <f>IF(BC$2=Payroll!$I49,Payroll!$F49,IF(BC$2&gt;Payroll!$I49,Payroll!$F49*((1+Payroll!$J49)^(ROUNDDOWN(DATEDIF(Payroll!$I49,BC$2,"M")/Payroll!$K49,0))),0))</f>
        <v>1538.461538</v>
      </c>
      <c r="BD128" s="56">
        <f>IF(BD$2=Payroll!$I49,Payroll!$F49,IF(BD$2&gt;Payroll!$I49,Payroll!$F49*((1+Payroll!$J49)^(ROUNDDOWN(DATEDIF(Payroll!$I49,BD$2,"M")/Payroll!$K49,0))),0))</f>
        <v>1538.461538</v>
      </c>
      <c r="BE128" s="56">
        <f>IF(BE$2=Payroll!$I49,Payroll!$F49,IF(BE$2&gt;Payroll!$I49,Payroll!$F49*((1+Payroll!$J49)^(ROUNDDOWN(DATEDIF(Payroll!$I49,BE$2,"M")/Payroll!$K49,0))),0))</f>
        <v>1538.461538</v>
      </c>
      <c r="BF128" s="56">
        <f>IF(BF$2=Payroll!$I49,Payroll!$F49,IF(BF$2&gt;Payroll!$I49,Payroll!$F49*((1+Payroll!$J49)^(ROUNDDOWN(DATEDIF(Payroll!$I49,BF$2,"M")/Payroll!$K49,0))),0))</f>
        <v>1538.461538</v>
      </c>
      <c r="BG128" s="56">
        <f>IF(BG$2=Payroll!$I49,Payroll!$F49,IF(BG$2&gt;Payroll!$I49,Payroll!$F49*((1+Payroll!$J49)^(ROUNDDOWN(DATEDIF(Payroll!$I49,BG$2,"M")/Payroll!$K49,0))),0))</f>
        <v>1538.461538</v>
      </c>
      <c r="BH128" s="56">
        <f>IF(BH$2=Payroll!$I49,Payroll!$F49,IF(BH$2&gt;Payroll!$I49,Payroll!$F49*((1+Payroll!$J49)^(ROUNDDOWN(DATEDIF(Payroll!$I49,BH$2,"M")/Payroll!$K49,0))),0))</f>
        <v>1538.461538</v>
      </c>
      <c r="BI128" s="56">
        <f>IF(BI$2=Payroll!$I49,Payroll!$F49,IF(BI$2&gt;Payroll!$I49,Payroll!$F49*((1+Payroll!$J49)^(ROUNDDOWN(DATEDIF(Payroll!$I49,BI$2,"M")/Payroll!$K49,0))),0))</f>
        <v>1538.461538</v>
      </c>
      <c r="BJ128" s="56">
        <f>IF(BJ$2=Payroll!$I49,Payroll!$F49,IF(BJ$2&gt;Payroll!$I49,Payroll!$F49*((1+Payroll!$J49)^(ROUNDDOWN(DATEDIF(Payroll!$I49,BJ$2,"M")/Payroll!$K49,0))),0))</f>
        <v>1538.461538</v>
      </c>
      <c r="BK128" s="56">
        <f>IF(BK$2=Payroll!$I49,Payroll!$F49,IF(BK$2&gt;Payroll!$I49,Payroll!$F49*((1+Payroll!$J49)^(ROUNDDOWN(DATEDIF(Payroll!$I49,BK$2,"M")/Payroll!$K49,0))),0))</f>
        <v>1538.461538</v>
      </c>
      <c r="BL128" s="56">
        <f>IF(BL$2=Payroll!$I49,Payroll!$F49,IF(BL$2&gt;Payroll!$I49,Payroll!$F49*((1+Payroll!$J49)^(ROUNDDOWN(DATEDIF(Payroll!$I49,BL$2,"M")/Payroll!$K49,0))),0))</f>
        <v>1538.461538</v>
      </c>
      <c r="BM128" s="56">
        <f>IF(BM$2=Payroll!$I49,Payroll!$F49,IF(BM$2&gt;Payroll!$I49,Payroll!$F49*((1+Payroll!$J49)^(ROUNDDOWN(DATEDIF(Payroll!$I49,BM$2,"M")/Payroll!$K49,0))),0))</f>
        <v>1538.461538</v>
      </c>
      <c r="BN128" s="56">
        <f>IF(BN$2=Payroll!$I49,Payroll!$F49,IF(BN$2&gt;Payroll!$I49,Payroll!$F49*((1+Payroll!$J49)^(ROUNDDOWN(DATEDIF(Payroll!$I49,BN$2,"M")/Payroll!$K49,0))),0))</f>
        <v>1538.461538</v>
      </c>
      <c r="BO128" s="56">
        <f>IF(BO$2=Payroll!$I49,Payroll!$F49,IF(BO$2&gt;Payroll!$I49,Payroll!$F49*((1+Payroll!$J49)^(ROUNDDOWN(DATEDIF(Payroll!$I49,BO$2,"M")/Payroll!$K49,0))),0))</f>
        <v>1538.461538</v>
      </c>
      <c r="BP128" s="56">
        <f>IF(BP$2=Payroll!$I49,Payroll!$F49,IF(BP$2&gt;Payroll!$I49,Payroll!$F49*((1+Payroll!$J49)^(ROUNDDOWN(DATEDIF(Payroll!$I49,BP$2,"M")/Payroll!$K49,0))),0))</f>
        <v>1538.461538</v>
      </c>
      <c r="BQ128" s="56">
        <f>IF(BQ$2=Payroll!$I49,Payroll!$F49,IF(BQ$2&gt;Payroll!$I49,Payroll!$F49*((1+Payroll!$J49)^(ROUNDDOWN(DATEDIF(Payroll!$I49,BQ$2,"M")/Payroll!$K49,0))),0))</f>
        <v>1538.461538</v>
      </c>
      <c r="BR128" s="56">
        <f>IF(BR$2=Payroll!$I49,Payroll!$F49,IF(BR$2&gt;Payroll!$I49,Payroll!$F49*((1+Payroll!$J49)^(ROUNDDOWN(DATEDIF(Payroll!$I49,BR$2,"M")/Payroll!$K49,0))),0))</f>
        <v>1538.461538</v>
      </c>
      <c r="BS128" s="56">
        <f>IF(BS$2=Payroll!$I49,Payroll!$F49,IF(BS$2&gt;Payroll!$I49,Payroll!$F49*((1+Payroll!$J49)^(ROUNDDOWN(DATEDIF(Payroll!$I49,BS$2,"M")/Payroll!$K49,0))),0))</f>
        <v>1538.461538</v>
      </c>
      <c r="BT128" s="56">
        <f>IF(BT$2=Payroll!$I49,Payroll!$F49,IF(BT$2&gt;Payroll!$I49,Payroll!$F49*((1+Payroll!$J49)^(ROUNDDOWN(DATEDIF(Payroll!$I49,BT$2,"M")/Payroll!$K49,0))),0))</f>
        <v>1538.461538</v>
      </c>
      <c r="BU128" s="56">
        <f>IF(BU$2=Payroll!$I49,Payroll!$F49,IF(BU$2&gt;Payroll!$I49,Payroll!$F49*((1+Payroll!$J49)^(ROUNDDOWN(DATEDIF(Payroll!$I49,BU$2,"M")/Payroll!$K49,0))),0))</f>
        <v>1538.461538</v>
      </c>
      <c r="BV128" s="56">
        <f>IF(BV$2=Payroll!$I49,Payroll!$F49,IF(BV$2&gt;Payroll!$I49,Payroll!$F49*((1+Payroll!$J49)^(ROUNDDOWN(DATEDIF(Payroll!$I49,BV$2,"M")/Payroll!$K49,0))),0))</f>
        <v>1538.461538</v>
      </c>
      <c r="BW128" s="56">
        <f>IF(BW$2=Payroll!$I49,Payroll!$F49,IF(BW$2&gt;Payroll!$I49,Payroll!$F49*((1+Payroll!$J49)^(ROUNDDOWN(DATEDIF(Payroll!$I49,BW$2,"M")/Payroll!$K49,0))),0))</f>
        <v>1538.461538</v>
      </c>
      <c r="BX128" s="56">
        <f>IF(BX$2=Payroll!$I49,Payroll!$F49,IF(BX$2&gt;Payroll!$I49,Payroll!$F49*((1+Payroll!$J49)^(ROUNDDOWN(DATEDIF(Payroll!$I49,BX$2,"M")/Payroll!$K49,0))),0))</f>
        <v>1538.461538</v>
      </c>
      <c r="BY128" s="56">
        <f>IF(BY$2=Payroll!$I49,Payroll!$F49,IF(BY$2&gt;Payroll!$I49,Payroll!$F49*((1+Payroll!$J49)^(ROUNDDOWN(DATEDIF(Payroll!$I49,BY$2,"M")/Payroll!$K49,0))),0))</f>
        <v>1538.461538</v>
      </c>
      <c r="BZ128" s="56">
        <f>IF(BZ$2=Payroll!$I49,Payroll!$F49,IF(BZ$2&gt;Payroll!$I49,Payroll!$F49*((1+Payroll!$J49)^(ROUNDDOWN(DATEDIF(Payroll!$I49,BZ$2,"M")/Payroll!$K49,0))),0))</f>
        <v>1538.461538</v>
      </c>
      <c r="CA128" s="56">
        <f>IF(CA$2=Payroll!$I49,Payroll!$F49,IF(CA$2&gt;Payroll!$I49,Payroll!$F49*((1+Payroll!$J49)^(ROUNDDOWN(DATEDIF(Payroll!$I49,CA$2,"M")/Payroll!$K49,0))),0))</f>
        <v>1538.461538</v>
      </c>
      <c r="CB128" s="56">
        <f>IF(CB$2=Payroll!$I49,Payroll!$F49,IF(CB$2&gt;Payroll!$I49,Payroll!$F49*((1+Payroll!$J49)^(ROUNDDOWN(DATEDIF(Payroll!$I49,CB$2,"M")/Payroll!$K49,0))),0))</f>
        <v>1538.461538</v>
      </c>
      <c r="CC128" s="56">
        <f>IF(CC$2=Payroll!$I49,Payroll!$F49,IF(CC$2&gt;Payroll!$I49,Payroll!$F49*((1+Payroll!$J49)^(ROUNDDOWN(DATEDIF(Payroll!$I49,CC$2,"M")/Payroll!$K49,0))),0))</f>
        <v>1538.461538</v>
      </c>
      <c r="CD128" s="56">
        <f>IF(CD$2=Payroll!$I49,Payroll!$F49,IF(CD$2&gt;Payroll!$I49,Payroll!$F49*((1+Payroll!$J49)^(ROUNDDOWN(DATEDIF(Payroll!$I49,CD$2,"M")/Payroll!$K49,0))),0))</f>
        <v>1538.461538</v>
      </c>
      <c r="CE128" s="56">
        <f>IF(CE$2=Payroll!$I49,Payroll!$F49,IF(CE$2&gt;Payroll!$I49,Payroll!$F49*((1+Payroll!$J49)^(ROUNDDOWN(DATEDIF(Payroll!$I49,CE$2,"M")/Payroll!$K49,0))),0))</f>
        <v>1538.461538</v>
      </c>
      <c r="CF128" s="56">
        <f>IF(CF$2=Payroll!$I49,Payroll!$F49,IF(CF$2&gt;Payroll!$I49,Payroll!$F49*((1+Payroll!$J49)^(ROUNDDOWN(DATEDIF(Payroll!$I49,CF$2,"M")/Payroll!$K49,0))),0))</f>
        <v>1538.461538</v>
      </c>
      <c r="CG128" s="56">
        <f>IF(CG$2=Payroll!$I49,Payroll!$F49,IF(CG$2&gt;Payroll!$I49,Payroll!$F49*((1+Payroll!$J49)^(ROUNDDOWN(DATEDIF(Payroll!$I49,CG$2,"M")/Payroll!$K49,0))),0))</f>
        <v>1538.461538</v>
      </c>
      <c r="CH128" s="56">
        <f>IF(CH$2=Payroll!$I49,Payroll!$F49,IF(CH$2&gt;Payroll!$I49,Payroll!$F49*((1+Payroll!$J49)^(ROUNDDOWN(DATEDIF(Payroll!$I49,CH$2,"M")/Payroll!$K49,0))),0))</f>
        <v>1538.461538</v>
      </c>
      <c r="CI128" s="56">
        <f>IF(CI$2=Payroll!$I49,Payroll!$F49,IF(CI$2&gt;Payroll!$I49,Payroll!$F49*((1+Payroll!$J49)^(ROUNDDOWN(DATEDIF(Payroll!$I49,CI$2,"M")/Payroll!$K49,0))),0))</f>
        <v>1538.461538</v>
      </c>
      <c r="CJ128" s="56">
        <f>IF(CJ$2=Payroll!$I49,Payroll!$F49,IF(CJ$2&gt;Payroll!$I49,Payroll!$F49*((1+Payroll!$J49)^(ROUNDDOWN(DATEDIF(Payroll!$I49,CJ$2,"M")/Payroll!$K49,0))),0))</f>
        <v>1538.461538</v>
      </c>
      <c r="CK128" s="56">
        <f>IF(CK$2=Payroll!$I49,Payroll!$F49,IF(CK$2&gt;Payroll!$I49,Payroll!$F49*((1+Payroll!$J49)^(ROUNDDOWN(DATEDIF(Payroll!$I49,CK$2,"M")/Payroll!$K49,0))),0))</f>
        <v>1538.461538</v>
      </c>
      <c r="CL128" s="56">
        <f>IF(CL$2=Payroll!$I49,Payroll!$F49,IF(CL$2&gt;Payroll!$I49,Payroll!$F49*((1+Payroll!$J49)^(ROUNDDOWN(DATEDIF(Payroll!$I49,CL$2,"M")/Payroll!$K49,0))),0))</f>
        <v>1538.461538</v>
      </c>
      <c r="CM128" s="56">
        <f>IF(CM$2=Payroll!$I49,Payroll!$F49,IF(CM$2&gt;Payroll!$I49,Payroll!$F49*((1+Payroll!$J49)^(ROUNDDOWN(DATEDIF(Payroll!$I49,CM$2,"M")/Payroll!$K49,0))),0))</f>
        <v>1538.461538</v>
      </c>
      <c r="CN128" s="56">
        <f>IF(CN$2=Payroll!$I49,Payroll!$F49,IF(CN$2&gt;Payroll!$I49,Payroll!$F49*((1+Payroll!$J49)^(ROUNDDOWN(DATEDIF(Payroll!$I49,CN$2,"M")/Payroll!$K49,0))),0))</f>
        <v>1538.461538</v>
      </c>
      <c r="CO128" s="56">
        <f>IF(CO$2=Payroll!$I49,Payroll!$F49,IF(CO$2&gt;Payroll!$I49,Payroll!$F49*((1+Payroll!$J49)^(ROUNDDOWN(DATEDIF(Payroll!$I49,CO$2,"M")/Payroll!$K49,0))),0))</f>
        <v>1538.461538</v>
      </c>
      <c r="CP128" s="56">
        <f>IF(CP$2=Payroll!$I49,Payroll!$F49,IF(CP$2&gt;Payroll!$I49,Payroll!$F49*((1+Payroll!$J49)^(ROUNDDOWN(DATEDIF(Payroll!$I49,CP$2,"M")/Payroll!$K49,0))),0))</f>
        <v>1538.461538</v>
      </c>
      <c r="CQ128" s="56">
        <f>IF(CQ$2=Payroll!$I49,Payroll!$F49,IF(CQ$2&gt;Payroll!$I49,Payroll!$F49*((1+Payroll!$J49)^(ROUNDDOWN(DATEDIF(Payroll!$I49,CQ$2,"M")/Payroll!$K49,0))),0))</f>
        <v>1538.461538</v>
      </c>
      <c r="CR128" s="56">
        <f>IF(CR$2=Payroll!$I49,Payroll!$F49,IF(CR$2&gt;Payroll!$I49,Payroll!$F49*((1+Payroll!$J49)^(ROUNDDOWN(DATEDIF(Payroll!$I49,CR$2,"M")/Payroll!$K49,0))),0))</f>
        <v>1538.461538</v>
      </c>
      <c r="CS128" s="56">
        <f>IF(CS$2=Payroll!$I49,Payroll!$F49,IF(CS$2&gt;Payroll!$I49,Payroll!$F49*((1+Payroll!$J49)^(ROUNDDOWN(DATEDIF(Payroll!$I49,CS$2,"M")/Payroll!$K49,0))),0))</f>
        <v>1538.461538</v>
      </c>
      <c r="CT128" s="56">
        <f>IF(CT$2=Payroll!$I49,Payroll!$F49,IF(CT$2&gt;Payroll!$I49,Payroll!$F49*((1+Payroll!$J49)^(ROUNDDOWN(DATEDIF(Payroll!$I49,CT$2,"M")/Payroll!$K49,0))),0))</f>
        <v>1538.461538</v>
      </c>
      <c r="CU128" s="56">
        <f>IF(CU$2=Payroll!$I49,Payroll!$F49,IF(CU$2&gt;Payroll!$I49,Payroll!$F49*((1+Payroll!$J49)^(ROUNDDOWN(DATEDIF(Payroll!$I49,CU$2,"M")/Payroll!$K49,0))),0))</f>
        <v>1538.461538</v>
      </c>
      <c r="CV128" s="56">
        <f>IF(CV$2=Payroll!$I49,Payroll!$F49,IF(CV$2&gt;Payroll!$I49,Payroll!$F49*((1+Payroll!$J49)^(ROUNDDOWN(DATEDIF(Payroll!$I49,CV$2,"M")/Payroll!$K49,0))),0))</f>
        <v>1538.461538</v>
      </c>
      <c r="CW128" s="56">
        <f>IF(CW$2=Payroll!$I49,Payroll!$F49,IF(CW$2&gt;Payroll!$I49,Payroll!$F49*((1+Payroll!$J49)^(ROUNDDOWN(DATEDIF(Payroll!$I49,CW$2,"M")/Payroll!$K49,0))),0))</f>
        <v>1538.461538</v>
      </c>
      <c r="CX128" s="56">
        <f>IF(CX$2=Payroll!$I49,Payroll!$F49,IF(CX$2&gt;Payroll!$I49,Payroll!$F49*((1+Payroll!$J49)^(ROUNDDOWN(DATEDIF(Payroll!$I49,CX$2,"M")/Payroll!$K49,0))),0))</f>
        <v>1538.461538</v>
      </c>
    </row>
    <row r="129" ht="15.75" customHeight="1" outlineLevel="2">
      <c r="A129" s="56" t="str">
        <f>Payroll!A52</f>
        <v>Technical Support Specialist 1</v>
      </c>
      <c r="B129" s="56"/>
      <c r="C129" s="56"/>
      <c r="D129" s="56"/>
      <c r="E129" s="56">
        <f>IF(E$2=Payroll!$I52,Payroll!$F52,IF(E$2&gt;Payroll!$I52,Payroll!$F52*((1+Payroll!$J52)^(ROUNDDOWN(DATEDIF(Payroll!$I52,E$2,"M")/Payroll!$K52,0))),0))</f>
        <v>0</v>
      </c>
      <c r="F129" s="56">
        <f>IF(F$2=Payroll!$I52,Payroll!$F52,IF(F$2&gt;Payroll!$I52,Payroll!$F52*((1+Payroll!$J52)^(ROUNDDOWN(DATEDIF(Payroll!$I52,F$2,"M")/Payroll!$K52,0))),0))</f>
        <v>0</v>
      </c>
      <c r="G129" s="56">
        <f>IF(G$2=Payroll!$I52,Payroll!$F52,IF(G$2&gt;Payroll!$I52,Payroll!$F52*((1+Payroll!$J52)^(ROUNDDOWN(DATEDIF(Payroll!$I52,G$2,"M")/Payroll!$K52,0))),0))</f>
        <v>0</v>
      </c>
      <c r="H129" s="56">
        <f>IF(H$2=Payroll!$I52,Payroll!$F52,IF(H$2&gt;Payroll!$I52,Payroll!$F52*((1+Payroll!$J52)^(ROUNDDOWN(DATEDIF(Payroll!$I52,H$2,"M")/Payroll!$K52,0))),0))</f>
        <v>0</v>
      </c>
      <c r="I129" s="56">
        <f>IF(I$2=Payroll!$I52,Payroll!$F52,IF(I$2&gt;Payroll!$I52,Payroll!$F52*((1+Payroll!$J52)^(ROUNDDOWN(DATEDIF(Payroll!$I52,I$2,"M")/Payroll!$K52,0))),0))</f>
        <v>0</v>
      </c>
      <c r="J129" s="56">
        <f>IF(J$2=Payroll!$I52,Payroll!$F52,IF(J$2&gt;Payroll!$I52,Payroll!$F52*((1+Payroll!$J52)^(ROUNDDOWN(DATEDIF(Payroll!$I52,J$2,"M")/Payroll!$K52,0))),0))</f>
        <v>0</v>
      </c>
      <c r="K129" s="56">
        <f>IF(K$2=Payroll!$I52,Payroll!$F52,IF(K$2&gt;Payroll!$I52,Payroll!$F52*((1+Payroll!$J52)^(ROUNDDOWN(DATEDIF(Payroll!$I52,K$2,"M")/Payroll!$K52,0))),0))</f>
        <v>0</v>
      </c>
      <c r="L129" s="56">
        <f>IF(L$2=Payroll!$I52,Payroll!$F52,IF(L$2&gt;Payroll!$I52,Payroll!$F52*((1+Payroll!$J52)^(ROUNDDOWN(DATEDIF(Payroll!$I52,L$2,"M")/Payroll!$K52,0))),0))</f>
        <v>0</v>
      </c>
      <c r="M129" s="56">
        <f>IF(M$2=Payroll!$I52,Payroll!$F52,IF(M$2&gt;Payroll!$I52,Payroll!$F52*((1+Payroll!$J52)^(ROUNDDOWN(DATEDIF(Payroll!$I52,M$2,"M")/Payroll!$K52,0))),0))</f>
        <v>0</v>
      </c>
      <c r="N129" s="56">
        <f>IF(N$2=Payroll!$I52,Payroll!$F52,IF(N$2&gt;Payroll!$I52,Payroll!$F52*((1+Payroll!$J52)^(ROUNDDOWN(DATEDIF(Payroll!$I52,N$2,"M")/Payroll!$K52,0))),0))</f>
        <v>0</v>
      </c>
      <c r="O129" s="56">
        <f>IF(O$2=Payroll!$I52,Payroll!$F52,IF(O$2&gt;Payroll!$I52,Payroll!$F52*((1+Payroll!$J52)^(ROUNDDOWN(DATEDIF(Payroll!$I52,O$2,"M")/Payroll!$K52,0))),0))</f>
        <v>0</v>
      </c>
      <c r="P129" s="56">
        <f>IF(P$2=Payroll!$I52,Payroll!$F52,IF(P$2&gt;Payroll!$I52,Payroll!$F52*((1+Payroll!$J52)^(ROUNDDOWN(DATEDIF(Payroll!$I52,P$2,"M")/Payroll!$K52,0))),0))</f>
        <v>0</v>
      </c>
      <c r="Q129" s="56">
        <f>IF(Q$2=Payroll!$I52,Payroll!$F52,IF(Q$2&gt;Payroll!$I52,Payroll!$F52*((1+Payroll!$J52)^(ROUNDDOWN(DATEDIF(Payroll!$I52,Q$2,"M")/Payroll!$K52,0))),0))</f>
        <v>0</v>
      </c>
      <c r="R129" s="56">
        <f>IF(R$2=Payroll!$I52,Payroll!$F52,IF(R$2&gt;Payroll!$I52,Payroll!$F52*((1+Payroll!$J52)^(ROUNDDOWN(DATEDIF(Payroll!$I52,R$2,"M")/Payroll!$K52,0))),0))</f>
        <v>0</v>
      </c>
      <c r="S129" s="56">
        <f>IF(S$2=Payroll!$I52,Payroll!$F52,IF(S$2&gt;Payroll!$I52,Payroll!$F52*((1+Payroll!$J52)^(ROUNDDOWN(DATEDIF(Payroll!$I52,S$2,"M")/Payroll!$K52,0))),0))</f>
        <v>0</v>
      </c>
      <c r="T129" s="56">
        <f>IF(T$2=Payroll!$I52,Payroll!$F52,IF(T$2&gt;Payroll!$I52,Payroll!$F52*((1+Payroll!$J52)^(ROUNDDOWN(DATEDIF(Payroll!$I52,T$2,"M")/Payroll!$K52,0))),0))</f>
        <v>0</v>
      </c>
      <c r="U129" s="56">
        <f>IF(U$2=Payroll!$I52,Payroll!$F52,IF(U$2&gt;Payroll!$I52,Payroll!$F52*((1+Payroll!$J52)^(ROUNDDOWN(DATEDIF(Payroll!$I52,U$2,"M")/Payroll!$K52,0))),0))</f>
        <v>0</v>
      </c>
      <c r="V129" s="56">
        <f>IF(V$2=Payroll!$I52,Payroll!$F52,IF(V$2&gt;Payroll!$I52,Payroll!$F52*((1+Payroll!$J52)^(ROUNDDOWN(DATEDIF(Payroll!$I52,V$2,"M")/Payroll!$K52,0))),0))</f>
        <v>0</v>
      </c>
      <c r="W129" s="56">
        <f>IF(W$2=Payroll!$I52,Payroll!$F52,IF(W$2&gt;Payroll!$I52,Payroll!$F52*((1+Payroll!$J52)^(ROUNDDOWN(DATEDIF(Payroll!$I52,W$2,"M")/Payroll!$K52,0))),0))</f>
        <v>0</v>
      </c>
      <c r="X129" s="56">
        <f>IF(X$2=Payroll!$I52,Payroll!$F52,IF(X$2&gt;Payroll!$I52,Payroll!$F52*((1+Payroll!$J52)^(ROUNDDOWN(DATEDIF(Payroll!$I52,X$2,"M")/Payroll!$K52,0))),0))</f>
        <v>0</v>
      </c>
      <c r="Y129" s="56">
        <f>IF(Y$2=Payroll!$I52,Payroll!$F52,IF(Y$2&gt;Payroll!$I52,Payroll!$F52*((1+Payroll!$J52)^(ROUNDDOWN(DATEDIF(Payroll!$I52,Y$2,"M")/Payroll!$K52,0))),0))</f>
        <v>0</v>
      </c>
      <c r="Z129" s="56">
        <f>IF(Z$2=Payroll!$I52,Payroll!$F52,IF(Z$2&gt;Payroll!$I52,Payroll!$F52*((1+Payroll!$J52)^(ROUNDDOWN(DATEDIF(Payroll!$I52,Z$2,"M")/Payroll!$K52,0))),0))</f>
        <v>0</v>
      </c>
      <c r="AA129" s="56">
        <f>IF(AA$2=Payroll!$I52,Payroll!$F52,IF(AA$2&gt;Payroll!$I52,Payroll!$F52*((1+Payroll!$J52)^(ROUNDDOWN(DATEDIF(Payroll!$I52,AA$2,"M")/Payroll!$K52,0))),0))</f>
        <v>0</v>
      </c>
      <c r="AB129" s="56">
        <f>IF(AB$2=Payroll!$I52,Payroll!$F52,IF(AB$2&gt;Payroll!$I52,Payroll!$F52*((1+Payroll!$J52)^(ROUNDDOWN(DATEDIF(Payroll!$I52,AB$2,"M")/Payroll!$K52,0))),0))</f>
        <v>0</v>
      </c>
      <c r="AC129" s="56">
        <f>IF(AC$2=Payroll!$I52,Payroll!$F52,IF(AC$2&gt;Payroll!$I52,Payroll!$F52*((1+Payroll!$J52)^(ROUNDDOWN(DATEDIF(Payroll!$I52,AC$2,"M")/Payroll!$K52,0))),0))</f>
        <v>0</v>
      </c>
      <c r="AD129" s="56">
        <f>IF(AD$2=Payroll!$I52,Payroll!$F52,IF(AD$2&gt;Payroll!$I52,Payroll!$F52*((1+Payroll!$J52)^(ROUNDDOWN(DATEDIF(Payroll!$I52,AD$2,"M")/Payroll!$K52,0))),0))</f>
        <v>0</v>
      </c>
      <c r="AE129" s="56">
        <f>IF(AE$2=Payroll!$I52,Payroll!$F52,IF(AE$2&gt;Payroll!$I52,Payroll!$F52*((1+Payroll!$J52)^(ROUNDDOWN(DATEDIF(Payroll!$I52,AE$2,"M")/Payroll!$K52,0))),0))</f>
        <v>0</v>
      </c>
      <c r="AF129" s="56">
        <f>IF(AF$2=Payroll!$I52,Payroll!$F52,IF(AF$2&gt;Payroll!$I52,Payroll!$F52*((1+Payroll!$J52)^(ROUNDDOWN(DATEDIF(Payroll!$I52,AF$2,"M")/Payroll!$K52,0))),0))</f>
        <v>0</v>
      </c>
      <c r="AG129" s="56">
        <f>IF(AG$2=Payroll!$I52,Payroll!$F52,IF(AG$2&gt;Payroll!$I52,Payroll!$F52*((1+Payroll!$J52)^(ROUNDDOWN(DATEDIF(Payroll!$I52,AG$2,"M")/Payroll!$K52,0))),0))</f>
        <v>0</v>
      </c>
      <c r="AH129" s="56">
        <f>IF(AH$2=Payroll!$I52,Payroll!$F52,IF(AH$2&gt;Payroll!$I52,Payroll!$F52*((1+Payroll!$J52)^(ROUNDDOWN(DATEDIF(Payroll!$I52,AH$2,"M")/Payroll!$K52,0))),0))</f>
        <v>0</v>
      </c>
      <c r="AI129" s="56">
        <f>IF(AI$2=Payroll!$I52,Payroll!$F52,IF(AI$2&gt;Payroll!$I52,Payroll!$F52*((1+Payroll!$J52)^(ROUNDDOWN(DATEDIF(Payroll!$I52,AI$2,"M")/Payroll!$K52,0))),0))</f>
        <v>0</v>
      </c>
      <c r="AJ129" s="56">
        <f>IF(AJ$2=Payroll!$I52,Payroll!$F52,IF(AJ$2&gt;Payroll!$I52,Payroll!$F52*((1+Payroll!$J52)^(ROUNDDOWN(DATEDIF(Payroll!$I52,AJ$2,"M")/Payroll!$K52,0))),0))</f>
        <v>0</v>
      </c>
      <c r="AK129" s="56">
        <f>IF(AK$2=Payroll!$I52,Payroll!$F52,IF(AK$2&gt;Payroll!$I52,Payroll!$F52*((1+Payroll!$J52)^(ROUNDDOWN(DATEDIF(Payroll!$I52,AK$2,"M")/Payroll!$K52,0))),0))</f>
        <v>0</v>
      </c>
      <c r="AL129" s="56">
        <f>IF(AL$2=Payroll!$I52,Payroll!$F52,IF(AL$2&gt;Payroll!$I52,Payroll!$F52*((1+Payroll!$J52)^(ROUNDDOWN(DATEDIF(Payroll!$I52,AL$2,"M")/Payroll!$K52,0))),0))</f>
        <v>0</v>
      </c>
      <c r="AM129" s="56">
        <f>IF(AM$2=Payroll!$I52,Payroll!$F52,IF(AM$2&gt;Payroll!$I52,Payroll!$F52*((1+Payroll!$J52)^(ROUNDDOWN(DATEDIF(Payroll!$I52,AM$2,"M")/Payroll!$K52,0))),0))</f>
        <v>0</v>
      </c>
      <c r="AN129" s="56">
        <f>IF(AN$2=Payroll!$I52,Payroll!$F52,IF(AN$2&gt;Payroll!$I52,Payroll!$F52*((1+Payroll!$J52)^(ROUNDDOWN(DATEDIF(Payroll!$I52,AN$2,"M")/Payroll!$K52,0))),0))</f>
        <v>0</v>
      </c>
      <c r="AO129" s="56">
        <f>IF(AO$2=Payroll!$I52,Payroll!$F52,IF(AO$2&gt;Payroll!$I52,Payroll!$F52*((1+Payroll!$J52)^(ROUNDDOWN(DATEDIF(Payroll!$I52,AO$2,"M")/Payroll!$K52,0))),0))</f>
        <v>0</v>
      </c>
      <c r="AP129" s="56">
        <f>IF(AP$2=Payroll!$I52,Payroll!$F52,IF(AP$2&gt;Payroll!$I52,Payroll!$F52*((1+Payroll!$J52)^(ROUNDDOWN(DATEDIF(Payroll!$I52,AP$2,"M")/Payroll!$K52,0))),0))</f>
        <v>0</v>
      </c>
      <c r="AQ129" s="56">
        <f>IF(AQ$2=Payroll!$I52,Payroll!$F52,IF(AQ$2&gt;Payroll!$I52,Payroll!$F52*((1+Payroll!$J52)^(ROUNDDOWN(DATEDIF(Payroll!$I52,AQ$2,"M")/Payroll!$K52,0))),0))</f>
        <v>0</v>
      </c>
      <c r="AR129" s="56">
        <f>IF(AR$2=Payroll!$I52,Payroll!$F52,IF(AR$2&gt;Payroll!$I52,Payroll!$F52*((1+Payroll!$J52)^(ROUNDDOWN(DATEDIF(Payroll!$I52,AR$2,"M")/Payroll!$K52,0))),0))</f>
        <v>0</v>
      </c>
      <c r="AS129" s="56">
        <f>IF(AS$2=Payroll!$I52,Payroll!$F52,IF(AS$2&gt;Payroll!$I52,Payroll!$F52*((1+Payroll!$J52)^(ROUNDDOWN(DATEDIF(Payroll!$I52,AS$2,"M")/Payroll!$K52,0))),0))</f>
        <v>0</v>
      </c>
      <c r="AT129" s="56">
        <f>IF(AT$2=Payroll!$I52,Payroll!$F52,IF(AT$2&gt;Payroll!$I52,Payroll!$F52*((1+Payroll!$J52)^(ROUNDDOWN(DATEDIF(Payroll!$I52,AT$2,"M")/Payroll!$K52,0))),0))</f>
        <v>0</v>
      </c>
      <c r="AU129" s="56">
        <f>IF(AU$2=Payroll!$I52,Payroll!$F52,IF(AU$2&gt;Payroll!$I52,Payroll!$F52*((1+Payroll!$J52)^(ROUNDDOWN(DATEDIF(Payroll!$I52,AU$2,"M")/Payroll!$K52,0))),0))</f>
        <v>0</v>
      </c>
      <c r="AV129" s="56">
        <f>IF(AV$2=Payroll!$I52,Payroll!$F52,IF(AV$2&gt;Payroll!$I52,Payroll!$F52*((1+Payroll!$J52)^(ROUNDDOWN(DATEDIF(Payroll!$I52,AV$2,"M")/Payroll!$K52,0))),0))</f>
        <v>0</v>
      </c>
      <c r="AW129" s="56">
        <f>IF(AW$2=Payroll!$I52,Payroll!$F52,IF(AW$2&gt;Payroll!$I52,Payroll!$F52*((1+Payroll!$J52)^(ROUNDDOWN(DATEDIF(Payroll!$I52,AW$2,"M")/Payroll!$K52,0))),0))</f>
        <v>0</v>
      </c>
      <c r="AX129" s="56">
        <f>IF(AX$2=Payroll!$I52,Payroll!$F52,IF(AX$2&gt;Payroll!$I52,Payroll!$F52*((1+Payroll!$J52)^(ROUNDDOWN(DATEDIF(Payroll!$I52,AX$2,"M")/Payroll!$K52,0))),0))</f>
        <v>0</v>
      </c>
      <c r="AY129" s="56">
        <f>IF(AY$2=Payroll!$I52,Payroll!$F52,IF(AY$2&gt;Payroll!$I52,Payroll!$F52*((1+Payroll!$J52)^(ROUNDDOWN(DATEDIF(Payroll!$I52,AY$2,"M")/Payroll!$K52,0))),0))</f>
        <v>0</v>
      </c>
      <c r="AZ129" s="56">
        <f>IF(AZ$2=Payroll!$I52,Payroll!$F52,IF(AZ$2&gt;Payroll!$I52,Payroll!$F52*((1+Payroll!$J52)^(ROUNDDOWN(DATEDIF(Payroll!$I52,AZ$2,"M")/Payroll!$K52,0))),0))</f>
        <v>0</v>
      </c>
      <c r="BA129" s="56">
        <f>IF(BA$2=Payroll!$I52,Payroll!$F52,IF(BA$2&gt;Payroll!$I52,Payroll!$F52*((1+Payroll!$J52)^(ROUNDDOWN(DATEDIF(Payroll!$I52,BA$2,"M")/Payroll!$K52,0))),0))</f>
        <v>0</v>
      </c>
      <c r="BB129" s="56">
        <f>IF(BB$2=Payroll!$I52,Payroll!$F52,IF(BB$2&gt;Payroll!$I52,Payroll!$F52*((1+Payroll!$J52)^(ROUNDDOWN(DATEDIF(Payroll!$I52,BB$2,"M")/Payroll!$K52,0))),0))</f>
        <v>0</v>
      </c>
      <c r="BC129" s="56">
        <f>IF(BC$2=Payroll!$I52,Payroll!$F52,IF(BC$2&gt;Payroll!$I52,Payroll!$F52*((1+Payroll!$J52)^(ROUNDDOWN(DATEDIF(Payroll!$I52,BC$2,"M")/Payroll!$K52,0))),0))</f>
        <v>0</v>
      </c>
      <c r="BD129" s="56">
        <f>IF(BD$2=Payroll!$I52,Payroll!$F52,IF(BD$2&gt;Payroll!$I52,Payroll!$F52*((1+Payroll!$J52)^(ROUNDDOWN(DATEDIF(Payroll!$I52,BD$2,"M")/Payroll!$K52,0))),0))</f>
        <v>0</v>
      </c>
      <c r="BE129" s="56">
        <f>IF(BE$2=Payroll!$I52,Payroll!$F52,IF(BE$2&gt;Payroll!$I52,Payroll!$F52*((1+Payroll!$J52)^(ROUNDDOWN(DATEDIF(Payroll!$I52,BE$2,"M")/Payroll!$K52,0))),0))</f>
        <v>0</v>
      </c>
      <c r="BF129" s="56">
        <f>IF(BF$2=Payroll!$I52,Payroll!$F52,IF(BF$2&gt;Payroll!$I52,Payroll!$F52*((1+Payroll!$J52)^(ROUNDDOWN(DATEDIF(Payroll!$I52,BF$2,"M")/Payroll!$K52,0))),0))</f>
        <v>0</v>
      </c>
      <c r="BG129" s="56">
        <f>IF(BG$2=Payroll!$I52,Payroll!$F52,IF(BG$2&gt;Payroll!$I52,Payroll!$F52*((1+Payroll!$J52)^(ROUNDDOWN(DATEDIF(Payroll!$I52,BG$2,"M")/Payroll!$K52,0))),0))</f>
        <v>0</v>
      </c>
      <c r="BH129" s="56">
        <f>IF(BH$2=Payroll!$I52,Payroll!$F52,IF(BH$2&gt;Payroll!$I52,Payroll!$F52*((1+Payroll!$J52)^(ROUNDDOWN(DATEDIF(Payroll!$I52,BH$2,"M")/Payroll!$K52,0))),0))</f>
        <v>0</v>
      </c>
      <c r="BI129" s="56">
        <f>IF(BI$2=Payroll!$I52,Payroll!$F52,IF(BI$2&gt;Payroll!$I52,Payroll!$F52*((1+Payroll!$J52)^(ROUNDDOWN(DATEDIF(Payroll!$I52,BI$2,"M")/Payroll!$K52,0))),0))</f>
        <v>0</v>
      </c>
      <c r="BJ129" s="56">
        <f>IF(BJ$2=Payroll!$I52,Payroll!$F52,IF(BJ$2&gt;Payroll!$I52,Payroll!$F52*((1+Payroll!$J52)^(ROUNDDOWN(DATEDIF(Payroll!$I52,BJ$2,"M")/Payroll!$K52,0))),0))</f>
        <v>0</v>
      </c>
      <c r="BK129" s="56">
        <f>IF(BK$2=Payroll!$I52,Payroll!$F52,IF(BK$2&gt;Payroll!$I52,Payroll!$F52*((1+Payroll!$J52)^(ROUNDDOWN(DATEDIF(Payroll!$I52,BK$2,"M")/Payroll!$K52,0))),0))</f>
        <v>0</v>
      </c>
      <c r="BL129" s="56">
        <f>IF(BL$2=Payroll!$I52,Payroll!$F52,IF(BL$2&gt;Payroll!$I52,Payroll!$F52*((1+Payroll!$J52)^(ROUNDDOWN(DATEDIF(Payroll!$I52,BL$2,"M")/Payroll!$K52,0))),0))</f>
        <v>0</v>
      </c>
      <c r="BM129" s="56">
        <f>IF(BM$2=Payroll!$I52,Payroll!$F52,IF(BM$2&gt;Payroll!$I52,Payroll!$F52*((1+Payroll!$J52)^(ROUNDDOWN(DATEDIF(Payroll!$I52,BM$2,"M")/Payroll!$K52,0))),0))</f>
        <v>0</v>
      </c>
      <c r="BN129" s="56">
        <f>IF(BN$2=Payroll!$I52,Payroll!$F52,IF(BN$2&gt;Payroll!$I52,Payroll!$F52*((1+Payroll!$J52)^(ROUNDDOWN(DATEDIF(Payroll!$I52,BN$2,"M")/Payroll!$K52,0))),0))</f>
        <v>0</v>
      </c>
      <c r="BO129" s="56">
        <f>IF(BO$2=Payroll!$I52,Payroll!$F52,IF(BO$2&gt;Payroll!$I52,Payroll!$F52*((1+Payroll!$J52)^(ROUNDDOWN(DATEDIF(Payroll!$I52,BO$2,"M")/Payroll!$K52,0))),0))</f>
        <v>0</v>
      </c>
      <c r="BP129" s="56">
        <f>IF(BP$2=Payroll!$I52,Payroll!$F52,IF(BP$2&gt;Payroll!$I52,Payroll!$F52*((1+Payroll!$J52)^(ROUNDDOWN(DATEDIF(Payroll!$I52,BP$2,"M")/Payroll!$K52,0))),0))</f>
        <v>0</v>
      </c>
      <c r="BQ129" s="56">
        <f>IF(BQ$2=Payroll!$I52,Payroll!$F52,IF(BQ$2&gt;Payroll!$I52,Payroll!$F52*((1+Payroll!$J52)^(ROUNDDOWN(DATEDIF(Payroll!$I52,BQ$2,"M")/Payroll!$K52,0))),0))</f>
        <v>0</v>
      </c>
      <c r="BR129" s="56">
        <f>IF(BR$2=Payroll!$I52,Payroll!$F52,IF(BR$2&gt;Payroll!$I52,Payroll!$F52*((1+Payroll!$J52)^(ROUNDDOWN(DATEDIF(Payroll!$I52,BR$2,"M")/Payroll!$K52,0))),0))</f>
        <v>0</v>
      </c>
      <c r="BS129" s="56">
        <f>IF(BS$2=Payroll!$I52,Payroll!$F52,IF(BS$2&gt;Payroll!$I52,Payroll!$F52*((1+Payroll!$J52)^(ROUNDDOWN(DATEDIF(Payroll!$I52,BS$2,"M")/Payroll!$K52,0))),0))</f>
        <v>0</v>
      </c>
      <c r="BT129" s="56">
        <f>IF(BT$2=Payroll!$I52,Payroll!$F52,IF(BT$2&gt;Payroll!$I52,Payroll!$F52*((1+Payroll!$J52)^(ROUNDDOWN(DATEDIF(Payroll!$I52,BT$2,"M")/Payroll!$K52,0))),0))</f>
        <v>0</v>
      </c>
      <c r="BU129" s="56">
        <f>IF(BU$2=Payroll!$I52,Payroll!$F52,IF(BU$2&gt;Payroll!$I52,Payroll!$F52*((1+Payroll!$J52)^(ROUNDDOWN(DATEDIF(Payroll!$I52,BU$2,"M")/Payroll!$K52,0))),0))</f>
        <v>0</v>
      </c>
      <c r="BV129" s="56">
        <f>IF(BV$2=Payroll!$I52,Payroll!$F52,IF(BV$2&gt;Payroll!$I52,Payroll!$F52*((1+Payroll!$J52)^(ROUNDDOWN(DATEDIF(Payroll!$I52,BV$2,"M")/Payroll!$K52,0))),0))</f>
        <v>0</v>
      </c>
      <c r="BW129" s="56">
        <f>IF(BW$2=Payroll!$I52,Payroll!$F52,IF(BW$2&gt;Payroll!$I52,Payroll!$F52*((1+Payroll!$J52)^(ROUNDDOWN(DATEDIF(Payroll!$I52,BW$2,"M")/Payroll!$K52,0))),0))</f>
        <v>0</v>
      </c>
      <c r="BX129" s="56">
        <f>IF(BX$2=Payroll!$I52,Payroll!$F52,IF(BX$2&gt;Payroll!$I52,Payroll!$F52*((1+Payroll!$J52)^(ROUNDDOWN(DATEDIF(Payroll!$I52,BX$2,"M")/Payroll!$K52,0))),0))</f>
        <v>0</v>
      </c>
      <c r="BY129" s="56">
        <f>IF(BY$2=Payroll!$I52,Payroll!$F52,IF(BY$2&gt;Payroll!$I52,Payroll!$F52*((1+Payroll!$J52)^(ROUNDDOWN(DATEDIF(Payroll!$I52,BY$2,"M")/Payroll!$K52,0))),0))</f>
        <v>0</v>
      </c>
      <c r="BZ129" s="56">
        <f>IF(BZ$2=Payroll!$I52,Payroll!$F52,IF(BZ$2&gt;Payroll!$I52,Payroll!$F52*((1+Payroll!$J52)^(ROUNDDOWN(DATEDIF(Payroll!$I52,BZ$2,"M")/Payroll!$K52,0))),0))</f>
        <v>0</v>
      </c>
      <c r="CA129" s="56">
        <f>IF(CA$2=Payroll!$I52,Payroll!$F52,IF(CA$2&gt;Payroll!$I52,Payroll!$F52*((1+Payroll!$J52)^(ROUNDDOWN(DATEDIF(Payroll!$I52,CA$2,"M")/Payroll!$K52,0))),0))</f>
        <v>0</v>
      </c>
      <c r="CB129" s="56">
        <f>IF(CB$2=Payroll!$I52,Payroll!$F52,IF(CB$2&gt;Payroll!$I52,Payroll!$F52*((1+Payroll!$J52)^(ROUNDDOWN(DATEDIF(Payroll!$I52,CB$2,"M")/Payroll!$K52,0))),0))</f>
        <v>0</v>
      </c>
      <c r="CC129" s="56">
        <f>IF(CC$2=Payroll!$I52,Payroll!$F52,IF(CC$2&gt;Payroll!$I52,Payroll!$F52*((1+Payroll!$J52)^(ROUNDDOWN(DATEDIF(Payroll!$I52,CC$2,"M")/Payroll!$K52,0))),0))</f>
        <v>0</v>
      </c>
      <c r="CD129" s="56">
        <f>IF(CD$2=Payroll!$I52,Payroll!$F52,IF(CD$2&gt;Payroll!$I52,Payroll!$F52*((1+Payroll!$J52)^(ROUNDDOWN(DATEDIF(Payroll!$I52,CD$2,"M")/Payroll!$K52,0))),0))</f>
        <v>0</v>
      </c>
      <c r="CE129" s="56">
        <f>IF(CE$2=Payroll!$I52,Payroll!$F52,IF(CE$2&gt;Payroll!$I52,Payroll!$F52*((1+Payroll!$J52)^(ROUNDDOWN(DATEDIF(Payroll!$I52,CE$2,"M")/Payroll!$K52,0))),0))</f>
        <v>0</v>
      </c>
      <c r="CF129" s="56">
        <f>IF(CF$2=Payroll!$I52,Payroll!$F52,IF(CF$2&gt;Payroll!$I52,Payroll!$F52*((1+Payroll!$J52)^(ROUNDDOWN(DATEDIF(Payroll!$I52,CF$2,"M")/Payroll!$K52,0))),0))</f>
        <v>0</v>
      </c>
      <c r="CG129" s="56">
        <f>IF(CG$2=Payroll!$I52,Payroll!$F52,IF(CG$2&gt;Payroll!$I52,Payroll!$F52*((1+Payroll!$J52)^(ROUNDDOWN(DATEDIF(Payroll!$I52,CG$2,"M")/Payroll!$K52,0))),0))</f>
        <v>0</v>
      </c>
      <c r="CH129" s="56">
        <f>IF(CH$2=Payroll!$I52,Payroll!$F52,IF(CH$2&gt;Payroll!$I52,Payroll!$F52*((1+Payroll!$J52)^(ROUNDDOWN(DATEDIF(Payroll!$I52,CH$2,"M")/Payroll!$K52,0))),0))</f>
        <v>0</v>
      </c>
      <c r="CI129" s="56">
        <f>IF(CI$2=Payroll!$I52,Payroll!$F52,IF(CI$2&gt;Payroll!$I52,Payroll!$F52*((1+Payroll!$J52)^(ROUNDDOWN(DATEDIF(Payroll!$I52,CI$2,"M")/Payroll!$K52,0))),0))</f>
        <v>0</v>
      </c>
      <c r="CJ129" s="56">
        <f>IF(CJ$2=Payroll!$I52,Payroll!$F52,IF(CJ$2&gt;Payroll!$I52,Payroll!$F52*((1+Payroll!$J52)^(ROUNDDOWN(DATEDIF(Payroll!$I52,CJ$2,"M")/Payroll!$K52,0))),0))</f>
        <v>0</v>
      </c>
      <c r="CK129" s="56">
        <f>IF(CK$2=Payroll!$I52,Payroll!$F52,IF(CK$2&gt;Payroll!$I52,Payroll!$F52*((1+Payroll!$J52)^(ROUNDDOWN(DATEDIF(Payroll!$I52,CK$2,"M")/Payroll!$K52,0))),0))</f>
        <v>0</v>
      </c>
      <c r="CL129" s="56">
        <f>IF(CL$2=Payroll!$I52,Payroll!$F52,IF(CL$2&gt;Payroll!$I52,Payroll!$F52*((1+Payroll!$J52)^(ROUNDDOWN(DATEDIF(Payroll!$I52,CL$2,"M")/Payroll!$K52,0))),0))</f>
        <v>0</v>
      </c>
      <c r="CM129" s="56">
        <f>IF(CM$2=Payroll!$I52,Payroll!$F52,IF(CM$2&gt;Payroll!$I52,Payroll!$F52*((1+Payroll!$J52)^(ROUNDDOWN(DATEDIF(Payroll!$I52,CM$2,"M")/Payroll!$K52,0))),0))</f>
        <v>0</v>
      </c>
      <c r="CN129" s="56">
        <f>IF(CN$2=Payroll!$I52,Payroll!$F52,IF(CN$2&gt;Payroll!$I52,Payroll!$F52*((1+Payroll!$J52)^(ROUNDDOWN(DATEDIF(Payroll!$I52,CN$2,"M")/Payroll!$K52,0))),0))</f>
        <v>0</v>
      </c>
      <c r="CO129" s="56">
        <f>IF(CO$2=Payroll!$I52,Payroll!$F52,IF(CO$2&gt;Payroll!$I52,Payroll!$F52*((1+Payroll!$J52)^(ROUNDDOWN(DATEDIF(Payroll!$I52,CO$2,"M")/Payroll!$K52,0))),0))</f>
        <v>0</v>
      </c>
      <c r="CP129" s="56">
        <f>IF(CP$2=Payroll!$I52,Payroll!$F52,IF(CP$2&gt;Payroll!$I52,Payroll!$F52*((1+Payroll!$J52)^(ROUNDDOWN(DATEDIF(Payroll!$I52,CP$2,"M")/Payroll!$K52,0))),0))</f>
        <v>0</v>
      </c>
      <c r="CQ129" s="56">
        <f>IF(CQ$2=Payroll!$I52,Payroll!$F52,IF(CQ$2&gt;Payroll!$I52,Payroll!$F52*((1+Payroll!$J52)^(ROUNDDOWN(DATEDIF(Payroll!$I52,CQ$2,"M")/Payroll!$K52,0))),0))</f>
        <v>0</v>
      </c>
      <c r="CR129" s="56">
        <f>IF(CR$2=Payroll!$I52,Payroll!$F52,IF(CR$2&gt;Payroll!$I52,Payroll!$F52*((1+Payroll!$J52)^(ROUNDDOWN(DATEDIF(Payroll!$I52,CR$2,"M")/Payroll!$K52,0))),0))</f>
        <v>0</v>
      </c>
      <c r="CS129" s="56">
        <f>IF(CS$2=Payroll!$I52,Payroll!$F52,IF(CS$2&gt;Payroll!$I52,Payroll!$F52*((1+Payroll!$J52)^(ROUNDDOWN(DATEDIF(Payroll!$I52,CS$2,"M")/Payroll!$K52,0))),0))</f>
        <v>0</v>
      </c>
      <c r="CT129" s="56">
        <f>IF(CT$2=Payroll!$I52,Payroll!$F52,IF(CT$2&gt;Payroll!$I52,Payroll!$F52*((1+Payroll!$J52)^(ROUNDDOWN(DATEDIF(Payroll!$I52,CT$2,"M")/Payroll!$K52,0))),0))</f>
        <v>0</v>
      </c>
      <c r="CU129" s="56">
        <f>IF(CU$2=Payroll!$I52,Payroll!$F52,IF(CU$2&gt;Payroll!$I52,Payroll!$F52*((1+Payroll!$J52)^(ROUNDDOWN(DATEDIF(Payroll!$I52,CU$2,"M")/Payroll!$K52,0))),0))</f>
        <v>0</v>
      </c>
      <c r="CV129" s="56">
        <f>IF(CV$2=Payroll!$I52,Payroll!$F52,IF(CV$2&gt;Payroll!$I52,Payroll!$F52*((1+Payroll!$J52)^(ROUNDDOWN(DATEDIF(Payroll!$I52,CV$2,"M")/Payroll!$K52,0))),0))</f>
        <v>0</v>
      </c>
      <c r="CW129" s="56">
        <f>IF(CW$2=Payroll!$I52,Payroll!$F52,IF(CW$2&gt;Payroll!$I52,Payroll!$F52*((1+Payroll!$J52)^(ROUNDDOWN(DATEDIF(Payroll!$I52,CW$2,"M")/Payroll!$K52,0))),0))</f>
        <v>0</v>
      </c>
      <c r="CX129" s="56">
        <f>IF(CX$2=Payroll!$I52,Payroll!$F52,IF(CX$2&gt;Payroll!$I52,Payroll!$F52*((1+Payroll!$J52)^(ROUNDDOWN(DATEDIF(Payroll!$I52,CX$2,"M")/Payroll!$K52,0))),0))</f>
        <v>0</v>
      </c>
    </row>
    <row r="130" ht="15.75" customHeight="1" outlineLevel="2">
      <c r="A130" s="56" t="str">
        <f>Payroll!A53</f>
        <v>Technical Support Specialist 2</v>
      </c>
      <c r="B130" s="56"/>
      <c r="C130" s="56"/>
      <c r="D130" s="56"/>
      <c r="E130" s="56">
        <f>IF(E$2=Payroll!$I53,Payroll!$F53,IF(E$2&gt;Payroll!$I53,Payroll!$F53*((1+Payroll!$J53)^(ROUNDDOWN(DATEDIF(Payroll!$I53,E$2,"M")/Payroll!$K53,0))),0))</f>
        <v>0</v>
      </c>
      <c r="F130" s="56">
        <f>IF(F$2=Payroll!$I53,Payroll!$F53,IF(F$2&gt;Payroll!$I53,Payroll!$F53*((1+Payroll!$J53)^(ROUNDDOWN(DATEDIF(Payroll!$I53,F$2,"M")/Payroll!$K53,0))),0))</f>
        <v>0</v>
      </c>
      <c r="G130" s="56">
        <f>IF(G$2=Payroll!$I53,Payroll!$F53,IF(G$2&gt;Payroll!$I53,Payroll!$F53*((1+Payroll!$J53)^(ROUNDDOWN(DATEDIF(Payroll!$I53,G$2,"M")/Payroll!$K53,0))),0))</f>
        <v>0</v>
      </c>
      <c r="H130" s="56">
        <f>IF(H$2=Payroll!$I53,Payroll!$F53,IF(H$2&gt;Payroll!$I53,Payroll!$F53*((1+Payroll!$J53)^(ROUNDDOWN(DATEDIF(Payroll!$I53,H$2,"M")/Payroll!$K53,0))),0))</f>
        <v>0</v>
      </c>
      <c r="I130" s="56">
        <f>IF(I$2=Payroll!$I53,Payroll!$F53,IF(I$2&gt;Payroll!$I53,Payroll!$F53*((1+Payroll!$J53)^(ROUNDDOWN(DATEDIF(Payroll!$I53,I$2,"M")/Payroll!$K53,0))),0))</f>
        <v>0</v>
      </c>
      <c r="J130" s="56">
        <f>IF(J$2=Payroll!$I53,Payroll!$F53,IF(J$2&gt;Payroll!$I53,Payroll!$F53*((1+Payroll!$J53)^(ROUNDDOWN(DATEDIF(Payroll!$I53,J$2,"M")/Payroll!$K53,0))),0))</f>
        <v>0</v>
      </c>
      <c r="K130" s="56">
        <f>IF(K$2=Payroll!$I53,Payroll!$F53,IF(K$2&gt;Payroll!$I53,Payroll!$F53*((1+Payroll!$J53)^(ROUNDDOWN(DATEDIF(Payroll!$I53,K$2,"M")/Payroll!$K53,0))),0))</f>
        <v>0</v>
      </c>
      <c r="L130" s="56">
        <f>IF(L$2=Payroll!$I53,Payroll!$F53,IF(L$2&gt;Payroll!$I53,Payroll!$F53*((1+Payroll!$J53)^(ROUNDDOWN(DATEDIF(Payroll!$I53,L$2,"M")/Payroll!$K53,0))),0))</f>
        <v>0</v>
      </c>
      <c r="M130" s="56">
        <f>IF(M$2=Payroll!$I53,Payroll!$F53,IF(M$2&gt;Payroll!$I53,Payroll!$F53*((1+Payroll!$J53)^(ROUNDDOWN(DATEDIF(Payroll!$I53,M$2,"M")/Payroll!$K53,0))),0))</f>
        <v>0</v>
      </c>
      <c r="N130" s="56">
        <f>IF(N$2=Payroll!$I53,Payroll!$F53,IF(N$2&gt;Payroll!$I53,Payroll!$F53*((1+Payroll!$J53)^(ROUNDDOWN(DATEDIF(Payroll!$I53,N$2,"M")/Payroll!$K53,0))),0))</f>
        <v>0</v>
      </c>
      <c r="O130" s="56">
        <f>IF(O$2=Payroll!$I53,Payroll!$F53,IF(O$2&gt;Payroll!$I53,Payroll!$F53*((1+Payroll!$J53)^(ROUNDDOWN(DATEDIF(Payroll!$I53,O$2,"M")/Payroll!$K53,0))),0))</f>
        <v>0</v>
      </c>
      <c r="P130" s="56">
        <f>IF(P$2=Payroll!$I53,Payroll!$F53,IF(P$2&gt;Payroll!$I53,Payroll!$F53*((1+Payroll!$J53)^(ROUNDDOWN(DATEDIF(Payroll!$I53,P$2,"M")/Payroll!$K53,0))),0))</f>
        <v>0</v>
      </c>
      <c r="Q130" s="56">
        <f>IF(Q$2=Payroll!$I53,Payroll!$F53,IF(Q$2&gt;Payroll!$I53,Payroll!$F53*((1+Payroll!$J53)^(ROUNDDOWN(DATEDIF(Payroll!$I53,Q$2,"M")/Payroll!$K53,0))),0))</f>
        <v>0</v>
      </c>
      <c r="R130" s="56">
        <f>IF(R$2=Payroll!$I53,Payroll!$F53,IF(R$2&gt;Payroll!$I53,Payroll!$F53*((1+Payroll!$J53)^(ROUNDDOWN(DATEDIF(Payroll!$I53,R$2,"M")/Payroll!$K53,0))),0))</f>
        <v>0</v>
      </c>
      <c r="S130" s="56">
        <f>IF(S$2=Payroll!$I53,Payroll!$F53,IF(S$2&gt;Payroll!$I53,Payroll!$F53*((1+Payroll!$J53)^(ROUNDDOWN(DATEDIF(Payroll!$I53,S$2,"M")/Payroll!$K53,0))),0))</f>
        <v>0</v>
      </c>
      <c r="T130" s="56">
        <f>IF(T$2=Payroll!$I53,Payroll!$F53,IF(T$2&gt;Payroll!$I53,Payroll!$F53*((1+Payroll!$J53)^(ROUNDDOWN(DATEDIF(Payroll!$I53,T$2,"M")/Payroll!$K53,0))),0))</f>
        <v>0</v>
      </c>
      <c r="U130" s="56">
        <f>IF(U$2=Payroll!$I53,Payroll!$F53,IF(U$2&gt;Payroll!$I53,Payroll!$F53*((1+Payroll!$J53)^(ROUNDDOWN(DATEDIF(Payroll!$I53,U$2,"M")/Payroll!$K53,0))),0))</f>
        <v>0</v>
      </c>
      <c r="V130" s="56">
        <f>IF(V$2=Payroll!$I53,Payroll!$F53,IF(V$2&gt;Payroll!$I53,Payroll!$F53*((1+Payroll!$J53)^(ROUNDDOWN(DATEDIF(Payroll!$I53,V$2,"M")/Payroll!$K53,0))),0))</f>
        <v>0</v>
      </c>
      <c r="W130" s="56">
        <f>IF(W$2=Payroll!$I53,Payroll!$F53,IF(W$2&gt;Payroll!$I53,Payroll!$F53*((1+Payroll!$J53)^(ROUNDDOWN(DATEDIF(Payroll!$I53,W$2,"M")/Payroll!$K53,0))),0))</f>
        <v>0</v>
      </c>
      <c r="X130" s="56">
        <f>IF(X$2=Payroll!$I53,Payroll!$F53,IF(X$2&gt;Payroll!$I53,Payroll!$F53*((1+Payroll!$J53)^(ROUNDDOWN(DATEDIF(Payroll!$I53,X$2,"M")/Payroll!$K53,0))),0))</f>
        <v>0</v>
      </c>
      <c r="Y130" s="56">
        <f>IF(Y$2=Payroll!$I53,Payroll!$F53,IF(Y$2&gt;Payroll!$I53,Payroll!$F53*((1+Payroll!$J53)^(ROUNDDOWN(DATEDIF(Payroll!$I53,Y$2,"M")/Payroll!$K53,0))),0))</f>
        <v>0</v>
      </c>
      <c r="Z130" s="56">
        <f>IF(Z$2=Payroll!$I53,Payroll!$F53,IF(Z$2&gt;Payroll!$I53,Payroll!$F53*((1+Payroll!$J53)^(ROUNDDOWN(DATEDIF(Payroll!$I53,Z$2,"M")/Payroll!$K53,0))),0))</f>
        <v>0</v>
      </c>
      <c r="AA130" s="56">
        <f>IF(AA$2=Payroll!$I53,Payroll!$F53,IF(AA$2&gt;Payroll!$I53,Payroll!$F53*((1+Payroll!$J53)^(ROUNDDOWN(DATEDIF(Payroll!$I53,AA$2,"M")/Payroll!$K53,0))),0))</f>
        <v>0</v>
      </c>
      <c r="AB130" s="56">
        <f>IF(AB$2=Payroll!$I53,Payroll!$F53,IF(AB$2&gt;Payroll!$I53,Payroll!$F53*((1+Payroll!$J53)^(ROUNDDOWN(DATEDIF(Payroll!$I53,AB$2,"M")/Payroll!$K53,0))),0))</f>
        <v>0</v>
      </c>
      <c r="AC130" s="56">
        <f>IF(AC$2=Payroll!$I53,Payroll!$F53,IF(AC$2&gt;Payroll!$I53,Payroll!$F53*((1+Payroll!$J53)^(ROUNDDOWN(DATEDIF(Payroll!$I53,AC$2,"M")/Payroll!$K53,0))),0))</f>
        <v>0</v>
      </c>
      <c r="AD130" s="56">
        <f>IF(AD$2=Payroll!$I53,Payroll!$F53,IF(AD$2&gt;Payroll!$I53,Payroll!$F53*((1+Payroll!$J53)^(ROUNDDOWN(DATEDIF(Payroll!$I53,AD$2,"M")/Payroll!$K53,0))),0))</f>
        <v>0</v>
      </c>
      <c r="AE130" s="56">
        <f>IF(AE$2=Payroll!$I53,Payroll!$F53,IF(AE$2&gt;Payroll!$I53,Payroll!$F53*((1+Payroll!$J53)^(ROUNDDOWN(DATEDIF(Payroll!$I53,AE$2,"M")/Payroll!$K53,0))),0))</f>
        <v>0</v>
      </c>
      <c r="AF130" s="56">
        <f>IF(AF$2=Payroll!$I53,Payroll!$F53,IF(AF$2&gt;Payroll!$I53,Payroll!$F53*((1+Payroll!$J53)^(ROUNDDOWN(DATEDIF(Payroll!$I53,AF$2,"M")/Payroll!$K53,0))),0))</f>
        <v>0</v>
      </c>
      <c r="AG130" s="56">
        <f>IF(AG$2=Payroll!$I53,Payroll!$F53,IF(AG$2&gt;Payroll!$I53,Payroll!$F53*((1+Payroll!$J53)^(ROUNDDOWN(DATEDIF(Payroll!$I53,AG$2,"M")/Payroll!$K53,0))),0))</f>
        <v>0</v>
      </c>
      <c r="AH130" s="56">
        <f>IF(AH$2=Payroll!$I53,Payroll!$F53,IF(AH$2&gt;Payroll!$I53,Payroll!$F53*((1+Payroll!$J53)^(ROUNDDOWN(DATEDIF(Payroll!$I53,AH$2,"M")/Payroll!$K53,0))),0))</f>
        <v>0</v>
      </c>
      <c r="AI130" s="56">
        <f>IF(AI$2=Payroll!$I53,Payroll!$F53,IF(AI$2&gt;Payroll!$I53,Payroll!$F53*((1+Payroll!$J53)^(ROUNDDOWN(DATEDIF(Payroll!$I53,AI$2,"M")/Payroll!$K53,0))),0))</f>
        <v>0</v>
      </c>
      <c r="AJ130" s="56">
        <f>IF(AJ$2=Payroll!$I53,Payroll!$F53,IF(AJ$2&gt;Payroll!$I53,Payroll!$F53*((1+Payroll!$J53)^(ROUNDDOWN(DATEDIF(Payroll!$I53,AJ$2,"M")/Payroll!$K53,0))),0))</f>
        <v>0</v>
      </c>
      <c r="AK130" s="56">
        <f>IF(AK$2=Payroll!$I53,Payroll!$F53,IF(AK$2&gt;Payroll!$I53,Payroll!$F53*((1+Payroll!$J53)^(ROUNDDOWN(DATEDIF(Payroll!$I53,AK$2,"M")/Payroll!$K53,0))),0))</f>
        <v>0</v>
      </c>
      <c r="AL130" s="56">
        <f>IF(AL$2=Payroll!$I53,Payroll!$F53,IF(AL$2&gt;Payroll!$I53,Payroll!$F53*((1+Payroll!$J53)^(ROUNDDOWN(DATEDIF(Payroll!$I53,AL$2,"M")/Payroll!$K53,0))),0))</f>
        <v>0</v>
      </c>
      <c r="AM130" s="56">
        <f>IF(AM$2=Payroll!$I53,Payroll!$F53,IF(AM$2&gt;Payroll!$I53,Payroll!$F53*((1+Payroll!$J53)^(ROUNDDOWN(DATEDIF(Payroll!$I53,AM$2,"M")/Payroll!$K53,0))),0))</f>
        <v>0</v>
      </c>
      <c r="AN130" s="56">
        <f>IF(AN$2=Payroll!$I53,Payroll!$F53,IF(AN$2&gt;Payroll!$I53,Payroll!$F53*((1+Payroll!$J53)^(ROUNDDOWN(DATEDIF(Payroll!$I53,AN$2,"M")/Payroll!$K53,0))),0))</f>
        <v>0</v>
      </c>
      <c r="AO130" s="56">
        <f>IF(AO$2=Payroll!$I53,Payroll!$F53,IF(AO$2&gt;Payroll!$I53,Payroll!$F53*((1+Payroll!$J53)^(ROUNDDOWN(DATEDIF(Payroll!$I53,AO$2,"M")/Payroll!$K53,0))),0))</f>
        <v>0</v>
      </c>
      <c r="AP130" s="56">
        <f>IF(AP$2=Payroll!$I53,Payroll!$F53,IF(AP$2&gt;Payroll!$I53,Payroll!$F53*((1+Payroll!$J53)^(ROUNDDOWN(DATEDIF(Payroll!$I53,AP$2,"M")/Payroll!$K53,0))),0))</f>
        <v>0</v>
      </c>
      <c r="AQ130" s="56">
        <f>IF(AQ$2=Payroll!$I53,Payroll!$F53,IF(AQ$2&gt;Payroll!$I53,Payroll!$F53*((1+Payroll!$J53)^(ROUNDDOWN(DATEDIF(Payroll!$I53,AQ$2,"M")/Payroll!$K53,0))),0))</f>
        <v>0</v>
      </c>
      <c r="AR130" s="56">
        <f>IF(AR$2=Payroll!$I53,Payroll!$F53,IF(AR$2&gt;Payroll!$I53,Payroll!$F53*((1+Payroll!$J53)^(ROUNDDOWN(DATEDIF(Payroll!$I53,AR$2,"M")/Payroll!$K53,0))),0))</f>
        <v>0</v>
      </c>
      <c r="AS130" s="56">
        <f>IF(AS$2=Payroll!$I53,Payroll!$F53,IF(AS$2&gt;Payroll!$I53,Payroll!$F53*((1+Payroll!$J53)^(ROUNDDOWN(DATEDIF(Payroll!$I53,AS$2,"M")/Payroll!$K53,0))),0))</f>
        <v>0</v>
      </c>
      <c r="AT130" s="56">
        <f>IF(AT$2=Payroll!$I53,Payroll!$F53,IF(AT$2&gt;Payroll!$I53,Payroll!$F53*((1+Payroll!$J53)^(ROUNDDOWN(DATEDIF(Payroll!$I53,AT$2,"M")/Payroll!$K53,0))),0))</f>
        <v>0</v>
      </c>
      <c r="AU130" s="56">
        <f>IF(AU$2=Payroll!$I53,Payroll!$F53,IF(AU$2&gt;Payroll!$I53,Payroll!$F53*((1+Payroll!$J53)^(ROUNDDOWN(DATEDIF(Payroll!$I53,AU$2,"M")/Payroll!$K53,0))),0))</f>
        <v>0</v>
      </c>
      <c r="AV130" s="56">
        <f>IF(AV$2=Payroll!$I53,Payroll!$F53,IF(AV$2&gt;Payroll!$I53,Payroll!$F53*((1+Payroll!$J53)^(ROUNDDOWN(DATEDIF(Payroll!$I53,AV$2,"M")/Payroll!$K53,0))),0))</f>
        <v>0</v>
      </c>
      <c r="AW130" s="56">
        <f>IF(AW$2=Payroll!$I53,Payroll!$F53,IF(AW$2&gt;Payroll!$I53,Payroll!$F53*((1+Payroll!$J53)^(ROUNDDOWN(DATEDIF(Payroll!$I53,AW$2,"M")/Payroll!$K53,0))),0))</f>
        <v>0</v>
      </c>
      <c r="AX130" s="56">
        <f>IF(AX$2=Payroll!$I53,Payroll!$F53,IF(AX$2&gt;Payroll!$I53,Payroll!$F53*((1+Payroll!$J53)^(ROUNDDOWN(DATEDIF(Payroll!$I53,AX$2,"M")/Payroll!$K53,0))),0))</f>
        <v>0</v>
      </c>
      <c r="AY130" s="56">
        <f>IF(AY$2=Payroll!$I53,Payroll!$F53,IF(AY$2&gt;Payroll!$I53,Payroll!$F53*((1+Payroll!$J53)^(ROUNDDOWN(DATEDIF(Payroll!$I53,AY$2,"M")/Payroll!$K53,0))),0))</f>
        <v>0</v>
      </c>
      <c r="AZ130" s="56">
        <f>IF(AZ$2=Payroll!$I53,Payroll!$F53,IF(AZ$2&gt;Payroll!$I53,Payroll!$F53*((1+Payroll!$J53)^(ROUNDDOWN(DATEDIF(Payroll!$I53,AZ$2,"M")/Payroll!$K53,0))),0))</f>
        <v>0</v>
      </c>
      <c r="BA130" s="56">
        <f>IF(BA$2=Payroll!$I53,Payroll!$F53,IF(BA$2&gt;Payroll!$I53,Payroll!$F53*((1+Payroll!$J53)^(ROUNDDOWN(DATEDIF(Payroll!$I53,BA$2,"M")/Payroll!$K53,0))),0))</f>
        <v>0</v>
      </c>
      <c r="BB130" s="56">
        <f>IF(BB$2=Payroll!$I53,Payroll!$F53,IF(BB$2&gt;Payroll!$I53,Payroll!$F53*((1+Payroll!$J53)^(ROUNDDOWN(DATEDIF(Payroll!$I53,BB$2,"M")/Payroll!$K53,0))),0))</f>
        <v>0</v>
      </c>
      <c r="BC130" s="56">
        <f>IF(BC$2=Payroll!$I53,Payroll!$F53,IF(BC$2&gt;Payroll!$I53,Payroll!$F53*((1+Payroll!$J53)^(ROUNDDOWN(DATEDIF(Payroll!$I53,BC$2,"M")/Payroll!$K53,0))),0))</f>
        <v>0</v>
      </c>
      <c r="BD130" s="56">
        <f>IF(BD$2=Payroll!$I53,Payroll!$F53,IF(BD$2&gt;Payroll!$I53,Payroll!$F53*((1+Payroll!$J53)^(ROUNDDOWN(DATEDIF(Payroll!$I53,BD$2,"M")/Payroll!$K53,0))),0))</f>
        <v>0</v>
      </c>
      <c r="BE130" s="56">
        <f>IF(BE$2=Payroll!$I53,Payroll!$F53,IF(BE$2&gt;Payroll!$I53,Payroll!$F53*((1+Payroll!$J53)^(ROUNDDOWN(DATEDIF(Payroll!$I53,BE$2,"M")/Payroll!$K53,0))),0))</f>
        <v>0</v>
      </c>
      <c r="BF130" s="56">
        <f>IF(BF$2=Payroll!$I53,Payroll!$F53,IF(BF$2&gt;Payroll!$I53,Payroll!$F53*((1+Payroll!$J53)^(ROUNDDOWN(DATEDIF(Payroll!$I53,BF$2,"M")/Payroll!$K53,0))),0))</f>
        <v>0</v>
      </c>
      <c r="BG130" s="56">
        <f>IF(BG$2=Payroll!$I53,Payroll!$F53,IF(BG$2&gt;Payroll!$I53,Payroll!$F53*((1+Payroll!$J53)^(ROUNDDOWN(DATEDIF(Payroll!$I53,BG$2,"M")/Payroll!$K53,0))),0))</f>
        <v>0</v>
      </c>
      <c r="BH130" s="56">
        <f>IF(BH$2=Payroll!$I53,Payroll!$F53,IF(BH$2&gt;Payroll!$I53,Payroll!$F53*((1+Payroll!$J53)^(ROUNDDOWN(DATEDIF(Payroll!$I53,BH$2,"M")/Payroll!$K53,0))),0))</f>
        <v>0</v>
      </c>
      <c r="BI130" s="56">
        <f>IF(BI$2=Payroll!$I53,Payroll!$F53,IF(BI$2&gt;Payroll!$I53,Payroll!$F53*((1+Payroll!$J53)^(ROUNDDOWN(DATEDIF(Payroll!$I53,BI$2,"M")/Payroll!$K53,0))),0))</f>
        <v>0</v>
      </c>
      <c r="BJ130" s="56">
        <f>IF(BJ$2=Payroll!$I53,Payroll!$F53,IF(BJ$2&gt;Payroll!$I53,Payroll!$F53*((1+Payroll!$J53)^(ROUNDDOWN(DATEDIF(Payroll!$I53,BJ$2,"M")/Payroll!$K53,0))),0))</f>
        <v>0</v>
      </c>
      <c r="BK130" s="56">
        <f>IF(BK$2=Payroll!$I53,Payroll!$F53,IF(BK$2&gt;Payroll!$I53,Payroll!$F53*((1+Payroll!$J53)^(ROUNDDOWN(DATEDIF(Payroll!$I53,BK$2,"M")/Payroll!$K53,0))),0))</f>
        <v>0</v>
      </c>
      <c r="BL130" s="56">
        <f>IF(BL$2=Payroll!$I53,Payroll!$F53,IF(BL$2&gt;Payroll!$I53,Payroll!$F53*((1+Payroll!$J53)^(ROUNDDOWN(DATEDIF(Payroll!$I53,BL$2,"M")/Payroll!$K53,0))),0))</f>
        <v>0</v>
      </c>
      <c r="BM130" s="56">
        <f>IF(BM$2=Payroll!$I53,Payroll!$F53,IF(BM$2&gt;Payroll!$I53,Payroll!$F53*((1+Payroll!$J53)^(ROUNDDOWN(DATEDIF(Payroll!$I53,BM$2,"M")/Payroll!$K53,0))),0))</f>
        <v>0</v>
      </c>
      <c r="BN130" s="56">
        <f>IF(BN$2=Payroll!$I53,Payroll!$F53,IF(BN$2&gt;Payroll!$I53,Payroll!$F53*((1+Payroll!$J53)^(ROUNDDOWN(DATEDIF(Payroll!$I53,BN$2,"M")/Payroll!$K53,0))),0))</f>
        <v>0</v>
      </c>
      <c r="BO130" s="56">
        <f>IF(BO$2=Payroll!$I53,Payroll!$F53,IF(BO$2&gt;Payroll!$I53,Payroll!$F53*((1+Payroll!$J53)^(ROUNDDOWN(DATEDIF(Payroll!$I53,BO$2,"M")/Payroll!$K53,0))),0))</f>
        <v>0</v>
      </c>
      <c r="BP130" s="56">
        <f>IF(BP$2=Payroll!$I53,Payroll!$F53,IF(BP$2&gt;Payroll!$I53,Payroll!$F53*((1+Payroll!$J53)^(ROUNDDOWN(DATEDIF(Payroll!$I53,BP$2,"M")/Payroll!$K53,0))),0))</f>
        <v>0</v>
      </c>
      <c r="BQ130" s="56">
        <f>IF(BQ$2=Payroll!$I53,Payroll!$F53,IF(BQ$2&gt;Payroll!$I53,Payroll!$F53*((1+Payroll!$J53)^(ROUNDDOWN(DATEDIF(Payroll!$I53,BQ$2,"M")/Payroll!$K53,0))),0))</f>
        <v>0</v>
      </c>
      <c r="BR130" s="56">
        <f>IF(BR$2=Payroll!$I53,Payroll!$F53,IF(BR$2&gt;Payroll!$I53,Payroll!$F53*((1+Payroll!$J53)^(ROUNDDOWN(DATEDIF(Payroll!$I53,BR$2,"M")/Payroll!$K53,0))),0))</f>
        <v>0</v>
      </c>
      <c r="BS130" s="56">
        <f>IF(BS$2=Payroll!$I53,Payroll!$F53,IF(BS$2&gt;Payroll!$I53,Payroll!$F53*((1+Payroll!$J53)^(ROUNDDOWN(DATEDIF(Payroll!$I53,BS$2,"M")/Payroll!$K53,0))),0))</f>
        <v>0</v>
      </c>
      <c r="BT130" s="56">
        <f>IF(BT$2=Payroll!$I53,Payroll!$F53,IF(BT$2&gt;Payroll!$I53,Payroll!$F53*((1+Payroll!$J53)^(ROUNDDOWN(DATEDIF(Payroll!$I53,BT$2,"M")/Payroll!$K53,0))),0))</f>
        <v>0</v>
      </c>
      <c r="BU130" s="56">
        <f>IF(BU$2=Payroll!$I53,Payroll!$F53,IF(BU$2&gt;Payroll!$I53,Payroll!$F53*((1+Payroll!$J53)^(ROUNDDOWN(DATEDIF(Payroll!$I53,BU$2,"M")/Payroll!$K53,0))),0))</f>
        <v>0</v>
      </c>
      <c r="BV130" s="56">
        <f>IF(BV$2=Payroll!$I53,Payroll!$F53,IF(BV$2&gt;Payroll!$I53,Payroll!$F53*((1+Payroll!$J53)^(ROUNDDOWN(DATEDIF(Payroll!$I53,BV$2,"M")/Payroll!$K53,0))),0))</f>
        <v>0</v>
      </c>
      <c r="BW130" s="56">
        <f>IF(BW$2=Payroll!$I53,Payroll!$F53,IF(BW$2&gt;Payroll!$I53,Payroll!$F53*((1+Payroll!$J53)^(ROUNDDOWN(DATEDIF(Payroll!$I53,BW$2,"M")/Payroll!$K53,0))),0))</f>
        <v>0</v>
      </c>
      <c r="BX130" s="56">
        <f>IF(BX$2=Payroll!$I53,Payroll!$F53,IF(BX$2&gt;Payroll!$I53,Payroll!$F53*((1+Payroll!$J53)^(ROUNDDOWN(DATEDIF(Payroll!$I53,BX$2,"M")/Payroll!$K53,0))),0))</f>
        <v>0</v>
      </c>
      <c r="BY130" s="56">
        <f>IF(BY$2=Payroll!$I53,Payroll!$F53,IF(BY$2&gt;Payroll!$I53,Payroll!$F53*((1+Payroll!$J53)^(ROUNDDOWN(DATEDIF(Payroll!$I53,BY$2,"M")/Payroll!$K53,0))),0))</f>
        <v>0</v>
      </c>
      <c r="BZ130" s="56">
        <f>IF(BZ$2=Payroll!$I53,Payroll!$F53,IF(BZ$2&gt;Payroll!$I53,Payroll!$F53*((1+Payroll!$J53)^(ROUNDDOWN(DATEDIF(Payroll!$I53,BZ$2,"M")/Payroll!$K53,0))),0))</f>
        <v>0</v>
      </c>
      <c r="CA130" s="56">
        <f>IF(CA$2=Payroll!$I53,Payroll!$F53,IF(CA$2&gt;Payroll!$I53,Payroll!$F53*((1+Payroll!$J53)^(ROUNDDOWN(DATEDIF(Payroll!$I53,CA$2,"M")/Payroll!$K53,0))),0))</f>
        <v>0</v>
      </c>
      <c r="CB130" s="56">
        <f>IF(CB$2=Payroll!$I53,Payroll!$F53,IF(CB$2&gt;Payroll!$I53,Payroll!$F53*((1+Payroll!$J53)^(ROUNDDOWN(DATEDIF(Payroll!$I53,CB$2,"M")/Payroll!$K53,0))),0))</f>
        <v>0</v>
      </c>
      <c r="CC130" s="56">
        <f>IF(CC$2=Payroll!$I53,Payroll!$F53,IF(CC$2&gt;Payroll!$I53,Payroll!$F53*((1+Payroll!$J53)^(ROUNDDOWN(DATEDIF(Payroll!$I53,CC$2,"M")/Payroll!$K53,0))),0))</f>
        <v>0</v>
      </c>
      <c r="CD130" s="56">
        <f>IF(CD$2=Payroll!$I53,Payroll!$F53,IF(CD$2&gt;Payroll!$I53,Payroll!$F53*((1+Payroll!$J53)^(ROUNDDOWN(DATEDIF(Payroll!$I53,CD$2,"M")/Payroll!$K53,0))),0))</f>
        <v>0</v>
      </c>
      <c r="CE130" s="56">
        <f>IF(CE$2=Payroll!$I53,Payroll!$F53,IF(CE$2&gt;Payroll!$I53,Payroll!$F53*((1+Payroll!$J53)^(ROUNDDOWN(DATEDIF(Payroll!$I53,CE$2,"M")/Payroll!$K53,0))),0))</f>
        <v>0</v>
      </c>
      <c r="CF130" s="56">
        <f>IF(CF$2=Payroll!$I53,Payroll!$F53,IF(CF$2&gt;Payroll!$I53,Payroll!$F53*((1+Payroll!$J53)^(ROUNDDOWN(DATEDIF(Payroll!$I53,CF$2,"M")/Payroll!$K53,0))),0))</f>
        <v>0</v>
      </c>
      <c r="CG130" s="56">
        <f>IF(CG$2=Payroll!$I53,Payroll!$F53,IF(CG$2&gt;Payroll!$I53,Payroll!$F53*((1+Payroll!$J53)^(ROUNDDOWN(DATEDIF(Payroll!$I53,CG$2,"M")/Payroll!$K53,0))),0))</f>
        <v>0</v>
      </c>
      <c r="CH130" s="56">
        <f>IF(CH$2=Payroll!$I53,Payroll!$F53,IF(CH$2&gt;Payroll!$I53,Payroll!$F53*((1+Payroll!$J53)^(ROUNDDOWN(DATEDIF(Payroll!$I53,CH$2,"M")/Payroll!$K53,0))),0))</f>
        <v>0</v>
      </c>
      <c r="CI130" s="56">
        <f>IF(CI$2=Payroll!$I53,Payroll!$F53,IF(CI$2&gt;Payroll!$I53,Payroll!$F53*((1+Payroll!$J53)^(ROUNDDOWN(DATEDIF(Payroll!$I53,CI$2,"M")/Payroll!$K53,0))),0))</f>
        <v>0</v>
      </c>
      <c r="CJ130" s="56">
        <f>IF(CJ$2=Payroll!$I53,Payroll!$F53,IF(CJ$2&gt;Payroll!$I53,Payroll!$F53*((1+Payroll!$J53)^(ROUNDDOWN(DATEDIF(Payroll!$I53,CJ$2,"M")/Payroll!$K53,0))),0))</f>
        <v>0</v>
      </c>
      <c r="CK130" s="56">
        <f>IF(CK$2=Payroll!$I53,Payroll!$F53,IF(CK$2&gt;Payroll!$I53,Payroll!$F53*((1+Payroll!$J53)^(ROUNDDOWN(DATEDIF(Payroll!$I53,CK$2,"M")/Payroll!$K53,0))),0))</f>
        <v>0</v>
      </c>
      <c r="CL130" s="56">
        <f>IF(CL$2=Payroll!$I53,Payroll!$F53,IF(CL$2&gt;Payroll!$I53,Payroll!$F53*((1+Payroll!$J53)^(ROUNDDOWN(DATEDIF(Payroll!$I53,CL$2,"M")/Payroll!$K53,0))),0))</f>
        <v>0</v>
      </c>
      <c r="CM130" s="56">
        <f>IF(CM$2=Payroll!$I53,Payroll!$F53,IF(CM$2&gt;Payroll!$I53,Payroll!$F53*((1+Payroll!$J53)^(ROUNDDOWN(DATEDIF(Payroll!$I53,CM$2,"M")/Payroll!$K53,0))),0))</f>
        <v>0</v>
      </c>
      <c r="CN130" s="56">
        <f>IF(CN$2=Payroll!$I53,Payroll!$F53,IF(CN$2&gt;Payroll!$I53,Payroll!$F53*((1+Payroll!$J53)^(ROUNDDOWN(DATEDIF(Payroll!$I53,CN$2,"M")/Payroll!$K53,0))),0))</f>
        <v>0</v>
      </c>
      <c r="CO130" s="56">
        <f>IF(CO$2=Payroll!$I53,Payroll!$F53,IF(CO$2&gt;Payroll!$I53,Payroll!$F53*((1+Payroll!$J53)^(ROUNDDOWN(DATEDIF(Payroll!$I53,CO$2,"M")/Payroll!$K53,0))),0))</f>
        <v>0</v>
      </c>
      <c r="CP130" s="56">
        <f>IF(CP$2=Payroll!$I53,Payroll!$F53,IF(CP$2&gt;Payroll!$I53,Payroll!$F53*((1+Payroll!$J53)^(ROUNDDOWN(DATEDIF(Payroll!$I53,CP$2,"M")/Payroll!$K53,0))),0))</f>
        <v>0</v>
      </c>
      <c r="CQ130" s="56">
        <f>IF(CQ$2=Payroll!$I53,Payroll!$F53,IF(CQ$2&gt;Payroll!$I53,Payroll!$F53*((1+Payroll!$J53)^(ROUNDDOWN(DATEDIF(Payroll!$I53,CQ$2,"M")/Payroll!$K53,0))),0))</f>
        <v>0</v>
      </c>
      <c r="CR130" s="56">
        <f>IF(CR$2=Payroll!$I53,Payroll!$F53,IF(CR$2&gt;Payroll!$I53,Payroll!$F53*((1+Payroll!$J53)^(ROUNDDOWN(DATEDIF(Payroll!$I53,CR$2,"M")/Payroll!$K53,0))),0))</f>
        <v>0</v>
      </c>
      <c r="CS130" s="56">
        <f>IF(CS$2=Payroll!$I53,Payroll!$F53,IF(CS$2&gt;Payroll!$I53,Payroll!$F53*((1+Payroll!$J53)^(ROUNDDOWN(DATEDIF(Payroll!$I53,CS$2,"M")/Payroll!$K53,0))),0))</f>
        <v>0</v>
      </c>
      <c r="CT130" s="56">
        <f>IF(CT$2=Payroll!$I53,Payroll!$F53,IF(CT$2&gt;Payroll!$I53,Payroll!$F53*((1+Payroll!$J53)^(ROUNDDOWN(DATEDIF(Payroll!$I53,CT$2,"M")/Payroll!$K53,0))),0))</f>
        <v>0</v>
      </c>
      <c r="CU130" s="56">
        <f>IF(CU$2=Payroll!$I53,Payroll!$F53,IF(CU$2&gt;Payroll!$I53,Payroll!$F53*((1+Payroll!$J53)^(ROUNDDOWN(DATEDIF(Payroll!$I53,CU$2,"M")/Payroll!$K53,0))),0))</f>
        <v>0</v>
      </c>
      <c r="CV130" s="56">
        <f>IF(CV$2=Payroll!$I53,Payroll!$F53,IF(CV$2&gt;Payroll!$I53,Payroll!$F53*((1+Payroll!$J53)^(ROUNDDOWN(DATEDIF(Payroll!$I53,CV$2,"M")/Payroll!$K53,0))),0))</f>
        <v>0</v>
      </c>
      <c r="CW130" s="56">
        <f>IF(CW$2=Payroll!$I53,Payroll!$F53,IF(CW$2&gt;Payroll!$I53,Payroll!$F53*((1+Payroll!$J53)^(ROUNDDOWN(DATEDIF(Payroll!$I53,CW$2,"M")/Payroll!$K53,0))),0))</f>
        <v>0</v>
      </c>
      <c r="CX130" s="56">
        <f>IF(CX$2=Payroll!$I53,Payroll!$F53,IF(CX$2&gt;Payroll!$I53,Payroll!$F53*((1+Payroll!$J53)^(ROUNDDOWN(DATEDIF(Payroll!$I53,CX$2,"M")/Payroll!$K53,0))),0))</f>
        <v>0</v>
      </c>
    </row>
    <row r="131" ht="15.75" customHeight="1" outlineLevel="2">
      <c r="A131" s="56" t="str">
        <f>Payroll!A54</f>
        <v>Project manager CS</v>
      </c>
      <c r="B131" s="56"/>
      <c r="C131" s="56"/>
      <c r="D131" s="56"/>
      <c r="E131" s="56">
        <f>IF(E$2=Payroll!$I54,Payroll!$F54,IF(E$2&gt;Payroll!$I54,Payroll!$F54*((1+Payroll!$J54)^(ROUNDDOWN(DATEDIF(Payroll!$I54,E$2,"M")/Payroll!$K54,0))),0))</f>
        <v>0</v>
      </c>
      <c r="F131" s="56">
        <f>IF(F$2=Payroll!$I54,Payroll!$F54,IF(F$2&gt;Payroll!$I54,Payroll!$F54*((1+Payroll!$J54)^(ROUNDDOWN(DATEDIF(Payroll!$I54,F$2,"M")/Payroll!$K54,0))),0))</f>
        <v>0</v>
      </c>
      <c r="G131" s="56">
        <f>IF(G$2=Payroll!$I54,Payroll!$F54,IF(G$2&gt;Payroll!$I54,Payroll!$F54*((1+Payroll!$J54)^(ROUNDDOWN(DATEDIF(Payroll!$I54,G$2,"M")/Payroll!$K54,0))),0))</f>
        <v>0</v>
      </c>
      <c r="H131" s="56">
        <f>IF(H$2=Payroll!$I54,Payroll!$F54,IF(H$2&gt;Payroll!$I54,Payroll!$F54*((1+Payroll!$J54)^(ROUNDDOWN(DATEDIF(Payroll!$I54,H$2,"M")/Payroll!$K54,0))),0))</f>
        <v>0</v>
      </c>
      <c r="I131" s="56">
        <f>IF(I$2=Payroll!$I54,Payroll!$F54,IF(I$2&gt;Payroll!$I54,Payroll!$F54*((1+Payroll!$J54)^(ROUNDDOWN(DATEDIF(Payroll!$I54,I$2,"M")/Payroll!$K54,0))),0))</f>
        <v>0</v>
      </c>
      <c r="J131" s="56">
        <f>IF(J$2=Payroll!$I54,Payroll!$F54,IF(J$2&gt;Payroll!$I54,Payroll!$F54*((1+Payroll!$J54)^(ROUNDDOWN(DATEDIF(Payroll!$I54,J$2,"M")/Payroll!$K54,0))),0))</f>
        <v>0</v>
      </c>
      <c r="K131" s="56">
        <f>IF(K$2=Payroll!$I54,Payroll!$F54,IF(K$2&gt;Payroll!$I54,Payroll!$F54*((1+Payroll!$J54)^(ROUNDDOWN(DATEDIF(Payroll!$I54,K$2,"M")/Payroll!$K54,0))),0))</f>
        <v>0</v>
      </c>
      <c r="L131" s="56">
        <f>IF(L$2=Payroll!$I54,Payroll!$F54,IF(L$2&gt;Payroll!$I54,Payroll!$F54*((1+Payroll!$J54)^(ROUNDDOWN(DATEDIF(Payroll!$I54,L$2,"M")/Payroll!$K54,0))),0))</f>
        <v>0</v>
      </c>
      <c r="M131" s="56">
        <f>IF(M$2=Payroll!$I54,Payroll!$F54,IF(M$2&gt;Payroll!$I54,Payroll!$F54*((1+Payroll!$J54)^(ROUNDDOWN(DATEDIF(Payroll!$I54,M$2,"M")/Payroll!$K54,0))),0))</f>
        <v>0</v>
      </c>
      <c r="N131" s="56">
        <f>IF(N$2=Payroll!$I54,Payroll!$F54,IF(N$2&gt;Payroll!$I54,Payroll!$F54*((1+Payroll!$J54)^(ROUNDDOWN(DATEDIF(Payroll!$I54,N$2,"M")/Payroll!$K54,0))),0))</f>
        <v>0</v>
      </c>
      <c r="O131" s="56">
        <f>IF(O$2=Payroll!$I54,Payroll!$F54,IF(O$2&gt;Payroll!$I54,Payroll!$F54*((1+Payroll!$J54)^(ROUNDDOWN(DATEDIF(Payroll!$I54,O$2,"M")/Payroll!$K54,0))),0))</f>
        <v>0</v>
      </c>
      <c r="P131" s="56">
        <f>IF(P$2=Payroll!$I54,Payroll!$F54,IF(P$2&gt;Payroll!$I54,Payroll!$F54*((1+Payroll!$J54)^(ROUNDDOWN(DATEDIF(Payroll!$I54,P$2,"M")/Payroll!$K54,0))),0))</f>
        <v>0</v>
      </c>
      <c r="Q131" s="56">
        <f>IF(Q$2=Payroll!$I54,Payroll!$F54,IF(Q$2&gt;Payroll!$I54,Payroll!$F54*((1+Payroll!$J54)^(ROUNDDOWN(DATEDIF(Payroll!$I54,Q$2,"M")/Payroll!$K54,0))),0))</f>
        <v>0</v>
      </c>
      <c r="R131" s="56">
        <f>IF(R$2=Payroll!$I54,Payroll!$F54,IF(R$2&gt;Payroll!$I54,Payroll!$F54*((1+Payroll!$J54)^(ROUNDDOWN(DATEDIF(Payroll!$I54,R$2,"M")/Payroll!$K54,0))),0))</f>
        <v>0</v>
      </c>
      <c r="S131" s="56">
        <f>IF(S$2=Payroll!$I54,Payroll!$F54,IF(S$2&gt;Payroll!$I54,Payroll!$F54*((1+Payroll!$J54)^(ROUNDDOWN(DATEDIF(Payroll!$I54,S$2,"M")/Payroll!$K54,0))),0))</f>
        <v>0</v>
      </c>
      <c r="T131" s="56">
        <f>IF(T$2=Payroll!$I54,Payroll!$F54,IF(T$2&gt;Payroll!$I54,Payroll!$F54*((1+Payroll!$J54)^(ROUNDDOWN(DATEDIF(Payroll!$I54,T$2,"M")/Payroll!$K54,0))),0))</f>
        <v>0</v>
      </c>
      <c r="U131" s="56">
        <f>IF(U$2=Payroll!$I54,Payroll!$F54,IF(U$2&gt;Payroll!$I54,Payroll!$F54*((1+Payroll!$J54)^(ROUNDDOWN(DATEDIF(Payroll!$I54,U$2,"M")/Payroll!$K54,0))),0))</f>
        <v>0</v>
      </c>
      <c r="V131" s="56">
        <f>IF(V$2=Payroll!$I54,Payroll!$F54,IF(V$2&gt;Payroll!$I54,Payroll!$F54*((1+Payroll!$J54)^(ROUNDDOWN(DATEDIF(Payroll!$I54,V$2,"M")/Payroll!$K54,0))),0))</f>
        <v>0</v>
      </c>
      <c r="W131" s="56">
        <f>IF(W$2=Payroll!$I54,Payroll!$F54,IF(W$2&gt;Payroll!$I54,Payroll!$F54*((1+Payroll!$J54)^(ROUNDDOWN(DATEDIF(Payroll!$I54,W$2,"M")/Payroll!$K54,0))),0))</f>
        <v>0</v>
      </c>
      <c r="X131" s="56">
        <f>IF(X$2=Payroll!$I54,Payroll!$F54,IF(X$2&gt;Payroll!$I54,Payroll!$F54*((1+Payroll!$J54)^(ROUNDDOWN(DATEDIF(Payroll!$I54,X$2,"M")/Payroll!$K54,0))),0))</f>
        <v>0</v>
      </c>
      <c r="Y131" s="56">
        <f>IF(Y$2=Payroll!$I54,Payroll!$F54,IF(Y$2&gt;Payroll!$I54,Payroll!$F54*((1+Payroll!$J54)^(ROUNDDOWN(DATEDIF(Payroll!$I54,Y$2,"M")/Payroll!$K54,0))),0))</f>
        <v>0</v>
      </c>
      <c r="Z131" s="56">
        <f>IF(Z$2=Payroll!$I54,Payroll!$F54,IF(Z$2&gt;Payroll!$I54,Payroll!$F54*((1+Payroll!$J54)^(ROUNDDOWN(DATEDIF(Payroll!$I54,Z$2,"M")/Payroll!$K54,0))),0))</f>
        <v>0</v>
      </c>
      <c r="AA131" s="56">
        <f>IF(AA$2=Payroll!$I54,Payroll!$F54,IF(AA$2&gt;Payroll!$I54,Payroll!$F54*((1+Payroll!$J54)^(ROUNDDOWN(DATEDIF(Payroll!$I54,AA$2,"M")/Payroll!$K54,0))),0))</f>
        <v>0</v>
      </c>
      <c r="AB131" s="56">
        <f>IF(AB$2=Payroll!$I54,Payroll!$F54,IF(AB$2&gt;Payroll!$I54,Payroll!$F54*((1+Payroll!$J54)^(ROUNDDOWN(DATEDIF(Payroll!$I54,AB$2,"M")/Payroll!$K54,0))),0))</f>
        <v>0</v>
      </c>
      <c r="AC131" s="56">
        <f>IF(AC$2=Payroll!$I54,Payroll!$F54,IF(AC$2&gt;Payroll!$I54,Payroll!$F54*((1+Payroll!$J54)^(ROUNDDOWN(DATEDIF(Payroll!$I54,AC$2,"M")/Payroll!$K54,0))),0))</f>
        <v>0</v>
      </c>
      <c r="AD131" s="56">
        <f>IF(AD$2=Payroll!$I54,Payroll!$F54,IF(AD$2&gt;Payroll!$I54,Payroll!$F54*((1+Payroll!$J54)^(ROUNDDOWN(DATEDIF(Payroll!$I54,AD$2,"M")/Payroll!$K54,0))),0))</f>
        <v>0</v>
      </c>
      <c r="AE131" s="56">
        <f>IF(AE$2=Payroll!$I54,Payroll!$F54,IF(AE$2&gt;Payroll!$I54,Payroll!$F54*((1+Payroll!$J54)^(ROUNDDOWN(DATEDIF(Payroll!$I54,AE$2,"M")/Payroll!$K54,0))),0))</f>
        <v>0</v>
      </c>
      <c r="AF131" s="56">
        <f>IF(AF$2=Payroll!$I54,Payroll!$F54,IF(AF$2&gt;Payroll!$I54,Payroll!$F54*((1+Payroll!$J54)^(ROUNDDOWN(DATEDIF(Payroll!$I54,AF$2,"M")/Payroll!$K54,0))),0))</f>
        <v>0</v>
      </c>
      <c r="AG131" s="56">
        <f>IF(AG$2=Payroll!$I54,Payroll!$F54,IF(AG$2&gt;Payroll!$I54,Payroll!$F54*((1+Payroll!$J54)^(ROUNDDOWN(DATEDIF(Payroll!$I54,AG$2,"M")/Payroll!$K54,0))),0))</f>
        <v>0</v>
      </c>
      <c r="AH131" s="56">
        <f>IF(AH$2=Payroll!$I54,Payroll!$F54,IF(AH$2&gt;Payroll!$I54,Payroll!$F54*((1+Payroll!$J54)^(ROUNDDOWN(DATEDIF(Payroll!$I54,AH$2,"M")/Payroll!$K54,0))),0))</f>
        <v>0</v>
      </c>
      <c r="AI131" s="56">
        <f>IF(AI$2=Payroll!$I54,Payroll!$F54,IF(AI$2&gt;Payroll!$I54,Payroll!$F54*((1+Payroll!$J54)^(ROUNDDOWN(DATEDIF(Payroll!$I54,AI$2,"M")/Payroll!$K54,0))),0))</f>
        <v>0</v>
      </c>
      <c r="AJ131" s="56">
        <f>IF(AJ$2=Payroll!$I54,Payroll!$F54,IF(AJ$2&gt;Payroll!$I54,Payroll!$F54*((1+Payroll!$J54)^(ROUNDDOWN(DATEDIF(Payroll!$I54,AJ$2,"M")/Payroll!$K54,0))),0))</f>
        <v>0</v>
      </c>
      <c r="AK131" s="56">
        <f>IF(AK$2=Payroll!$I54,Payroll!$F54,IF(AK$2&gt;Payroll!$I54,Payroll!$F54*((1+Payroll!$J54)^(ROUNDDOWN(DATEDIF(Payroll!$I54,AK$2,"M")/Payroll!$K54,0))),0))</f>
        <v>0</v>
      </c>
      <c r="AL131" s="56">
        <f>IF(AL$2=Payroll!$I54,Payroll!$F54,IF(AL$2&gt;Payroll!$I54,Payroll!$F54*((1+Payroll!$J54)^(ROUNDDOWN(DATEDIF(Payroll!$I54,AL$2,"M")/Payroll!$K54,0))),0))</f>
        <v>0</v>
      </c>
      <c r="AM131" s="56">
        <f>IF(AM$2=Payroll!$I54,Payroll!$F54,IF(AM$2&gt;Payroll!$I54,Payroll!$F54*((1+Payroll!$J54)^(ROUNDDOWN(DATEDIF(Payroll!$I54,AM$2,"M")/Payroll!$K54,0))),0))</f>
        <v>0</v>
      </c>
      <c r="AN131" s="56">
        <f>IF(AN$2=Payroll!$I54,Payroll!$F54,IF(AN$2&gt;Payroll!$I54,Payroll!$F54*((1+Payroll!$J54)^(ROUNDDOWN(DATEDIF(Payroll!$I54,AN$2,"M")/Payroll!$K54,0))),0))</f>
        <v>0</v>
      </c>
      <c r="AO131" s="56">
        <f>IF(AO$2=Payroll!$I54,Payroll!$F54,IF(AO$2&gt;Payroll!$I54,Payroll!$F54*((1+Payroll!$J54)^(ROUNDDOWN(DATEDIF(Payroll!$I54,AO$2,"M")/Payroll!$K54,0))),0))</f>
        <v>0</v>
      </c>
      <c r="AP131" s="56">
        <f>IF(AP$2=Payroll!$I54,Payroll!$F54,IF(AP$2&gt;Payroll!$I54,Payroll!$F54*((1+Payroll!$J54)^(ROUNDDOWN(DATEDIF(Payroll!$I54,AP$2,"M")/Payroll!$K54,0))),0))</f>
        <v>0</v>
      </c>
      <c r="AQ131" s="56">
        <f>IF(AQ$2=Payroll!$I54,Payroll!$F54,IF(AQ$2&gt;Payroll!$I54,Payroll!$F54*((1+Payroll!$J54)^(ROUNDDOWN(DATEDIF(Payroll!$I54,AQ$2,"M")/Payroll!$K54,0))),0))</f>
        <v>0</v>
      </c>
      <c r="AR131" s="56">
        <f>IF(AR$2=Payroll!$I54,Payroll!$F54,IF(AR$2&gt;Payroll!$I54,Payroll!$F54*((1+Payroll!$J54)^(ROUNDDOWN(DATEDIF(Payroll!$I54,AR$2,"M")/Payroll!$K54,0))),0))</f>
        <v>0</v>
      </c>
      <c r="AS131" s="56">
        <f>IF(AS$2=Payroll!$I54,Payroll!$F54,IF(AS$2&gt;Payroll!$I54,Payroll!$F54*((1+Payroll!$J54)^(ROUNDDOWN(DATEDIF(Payroll!$I54,AS$2,"M")/Payroll!$K54,0))),0))</f>
        <v>0</v>
      </c>
      <c r="AT131" s="56">
        <f>IF(AT$2=Payroll!$I54,Payroll!$F54,IF(AT$2&gt;Payroll!$I54,Payroll!$F54*((1+Payroll!$J54)^(ROUNDDOWN(DATEDIF(Payroll!$I54,AT$2,"M")/Payroll!$K54,0))),0))</f>
        <v>0</v>
      </c>
      <c r="AU131" s="56">
        <f>IF(AU$2=Payroll!$I54,Payroll!$F54,IF(AU$2&gt;Payroll!$I54,Payroll!$F54*((1+Payroll!$J54)^(ROUNDDOWN(DATEDIF(Payroll!$I54,AU$2,"M")/Payroll!$K54,0))),0))</f>
        <v>0</v>
      </c>
      <c r="AV131" s="56">
        <f>IF(AV$2=Payroll!$I54,Payroll!$F54,IF(AV$2&gt;Payroll!$I54,Payroll!$F54*((1+Payroll!$J54)^(ROUNDDOWN(DATEDIF(Payroll!$I54,AV$2,"M")/Payroll!$K54,0))),0))</f>
        <v>0</v>
      </c>
      <c r="AW131" s="56">
        <f>IF(AW$2=Payroll!$I54,Payroll!$F54,IF(AW$2&gt;Payroll!$I54,Payroll!$F54*((1+Payroll!$J54)^(ROUNDDOWN(DATEDIF(Payroll!$I54,AW$2,"M")/Payroll!$K54,0))),0))</f>
        <v>0</v>
      </c>
      <c r="AX131" s="56">
        <f>IF(AX$2=Payroll!$I54,Payroll!$F54,IF(AX$2&gt;Payroll!$I54,Payroll!$F54*((1+Payroll!$J54)^(ROUNDDOWN(DATEDIF(Payroll!$I54,AX$2,"M")/Payroll!$K54,0))),0))</f>
        <v>0</v>
      </c>
      <c r="AY131" s="56">
        <f>IF(AY$2=Payroll!$I54,Payroll!$F54,IF(AY$2&gt;Payroll!$I54,Payroll!$F54*((1+Payroll!$J54)^(ROUNDDOWN(DATEDIF(Payroll!$I54,AY$2,"M")/Payroll!$K54,0))),0))</f>
        <v>0</v>
      </c>
      <c r="AZ131" s="56">
        <f>IF(AZ$2=Payroll!$I54,Payroll!$F54,IF(AZ$2&gt;Payroll!$I54,Payroll!$F54*((1+Payroll!$J54)^(ROUNDDOWN(DATEDIF(Payroll!$I54,AZ$2,"M")/Payroll!$K54,0))),0))</f>
        <v>0</v>
      </c>
      <c r="BA131" s="56">
        <f>IF(BA$2=Payroll!$I54,Payroll!$F54,IF(BA$2&gt;Payroll!$I54,Payroll!$F54*((1+Payroll!$J54)^(ROUNDDOWN(DATEDIF(Payroll!$I54,BA$2,"M")/Payroll!$K54,0))),0))</f>
        <v>0</v>
      </c>
      <c r="BB131" s="56">
        <f>IF(BB$2=Payroll!$I54,Payroll!$F54,IF(BB$2&gt;Payroll!$I54,Payroll!$F54*((1+Payroll!$J54)^(ROUNDDOWN(DATEDIF(Payroll!$I54,BB$2,"M")/Payroll!$K54,0))),0))</f>
        <v>0</v>
      </c>
      <c r="BC131" s="56">
        <f>IF(BC$2=Payroll!$I54,Payroll!$F54,IF(BC$2&gt;Payroll!$I54,Payroll!$F54*((1+Payroll!$J54)^(ROUNDDOWN(DATEDIF(Payroll!$I54,BC$2,"M")/Payroll!$K54,0))),0))</f>
        <v>0</v>
      </c>
      <c r="BD131" s="56">
        <f>IF(BD$2=Payroll!$I54,Payroll!$F54,IF(BD$2&gt;Payroll!$I54,Payroll!$F54*((1+Payroll!$J54)^(ROUNDDOWN(DATEDIF(Payroll!$I54,BD$2,"M")/Payroll!$K54,0))),0))</f>
        <v>0</v>
      </c>
      <c r="BE131" s="56">
        <f>IF(BE$2=Payroll!$I54,Payroll!$F54,IF(BE$2&gt;Payroll!$I54,Payroll!$F54*((1+Payroll!$J54)^(ROUNDDOWN(DATEDIF(Payroll!$I54,BE$2,"M")/Payroll!$K54,0))),0))</f>
        <v>0</v>
      </c>
      <c r="BF131" s="56">
        <f>IF(BF$2=Payroll!$I54,Payroll!$F54,IF(BF$2&gt;Payroll!$I54,Payroll!$F54*((1+Payroll!$J54)^(ROUNDDOWN(DATEDIF(Payroll!$I54,BF$2,"M")/Payroll!$K54,0))),0))</f>
        <v>0</v>
      </c>
      <c r="BG131" s="56">
        <f>IF(BG$2=Payroll!$I54,Payroll!$F54,IF(BG$2&gt;Payroll!$I54,Payroll!$F54*((1+Payroll!$J54)^(ROUNDDOWN(DATEDIF(Payroll!$I54,BG$2,"M")/Payroll!$K54,0))),0))</f>
        <v>0</v>
      </c>
      <c r="BH131" s="56">
        <f>IF(BH$2=Payroll!$I54,Payroll!$F54,IF(BH$2&gt;Payroll!$I54,Payroll!$F54*((1+Payroll!$J54)^(ROUNDDOWN(DATEDIF(Payroll!$I54,BH$2,"M")/Payroll!$K54,0))),0))</f>
        <v>0</v>
      </c>
      <c r="BI131" s="56">
        <f>IF(BI$2=Payroll!$I54,Payroll!$F54,IF(BI$2&gt;Payroll!$I54,Payroll!$F54*((1+Payroll!$J54)^(ROUNDDOWN(DATEDIF(Payroll!$I54,BI$2,"M")/Payroll!$K54,0))),0))</f>
        <v>0</v>
      </c>
      <c r="BJ131" s="56">
        <f>IF(BJ$2=Payroll!$I54,Payroll!$F54,IF(BJ$2&gt;Payroll!$I54,Payroll!$F54*((1+Payroll!$J54)^(ROUNDDOWN(DATEDIF(Payroll!$I54,BJ$2,"M")/Payroll!$K54,0))),0))</f>
        <v>0</v>
      </c>
      <c r="BK131" s="56">
        <f>IF(BK$2=Payroll!$I54,Payroll!$F54,IF(BK$2&gt;Payroll!$I54,Payroll!$F54*((1+Payroll!$J54)^(ROUNDDOWN(DATEDIF(Payroll!$I54,BK$2,"M")/Payroll!$K54,0))),0))</f>
        <v>0</v>
      </c>
      <c r="BL131" s="56">
        <f>IF(BL$2=Payroll!$I54,Payroll!$F54,IF(BL$2&gt;Payroll!$I54,Payroll!$F54*((1+Payroll!$J54)^(ROUNDDOWN(DATEDIF(Payroll!$I54,BL$2,"M")/Payroll!$K54,0))),0))</f>
        <v>0</v>
      </c>
      <c r="BM131" s="56">
        <f>IF(BM$2=Payroll!$I54,Payroll!$F54,IF(BM$2&gt;Payroll!$I54,Payroll!$F54*((1+Payroll!$J54)^(ROUNDDOWN(DATEDIF(Payroll!$I54,BM$2,"M")/Payroll!$K54,0))),0))</f>
        <v>0</v>
      </c>
      <c r="BN131" s="56">
        <f>IF(BN$2=Payroll!$I54,Payroll!$F54,IF(BN$2&gt;Payroll!$I54,Payroll!$F54*((1+Payroll!$J54)^(ROUNDDOWN(DATEDIF(Payroll!$I54,BN$2,"M")/Payroll!$K54,0))),0))</f>
        <v>0</v>
      </c>
      <c r="BO131" s="56">
        <f>IF(BO$2=Payroll!$I54,Payroll!$F54,IF(BO$2&gt;Payroll!$I54,Payroll!$F54*((1+Payroll!$J54)^(ROUNDDOWN(DATEDIF(Payroll!$I54,BO$2,"M")/Payroll!$K54,0))),0))</f>
        <v>0</v>
      </c>
      <c r="BP131" s="56">
        <f>IF(BP$2=Payroll!$I54,Payroll!$F54,IF(BP$2&gt;Payroll!$I54,Payroll!$F54*((1+Payroll!$J54)^(ROUNDDOWN(DATEDIF(Payroll!$I54,BP$2,"M")/Payroll!$K54,0))),0))</f>
        <v>0</v>
      </c>
      <c r="BQ131" s="56">
        <f>IF(BQ$2=Payroll!$I54,Payroll!$F54,IF(BQ$2&gt;Payroll!$I54,Payroll!$F54*((1+Payroll!$J54)^(ROUNDDOWN(DATEDIF(Payroll!$I54,BQ$2,"M")/Payroll!$K54,0))),0))</f>
        <v>0</v>
      </c>
      <c r="BR131" s="56">
        <f>IF(BR$2=Payroll!$I54,Payroll!$F54,IF(BR$2&gt;Payroll!$I54,Payroll!$F54*((1+Payroll!$J54)^(ROUNDDOWN(DATEDIF(Payroll!$I54,BR$2,"M")/Payroll!$K54,0))),0))</f>
        <v>0</v>
      </c>
      <c r="BS131" s="56">
        <f>IF(BS$2=Payroll!$I54,Payroll!$F54,IF(BS$2&gt;Payroll!$I54,Payroll!$F54*((1+Payroll!$J54)^(ROUNDDOWN(DATEDIF(Payroll!$I54,BS$2,"M")/Payroll!$K54,0))),0))</f>
        <v>0</v>
      </c>
      <c r="BT131" s="56">
        <f>IF(BT$2=Payroll!$I54,Payroll!$F54,IF(BT$2&gt;Payroll!$I54,Payroll!$F54*((1+Payroll!$J54)^(ROUNDDOWN(DATEDIF(Payroll!$I54,BT$2,"M")/Payroll!$K54,0))),0))</f>
        <v>0</v>
      </c>
      <c r="BU131" s="56">
        <f>IF(BU$2=Payroll!$I54,Payroll!$F54,IF(BU$2&gt;Payroll!$I54,Payroll!$F54*((1+Payroll!$J54)^(ROUNDDOWN(DATEDIF(Payroll!$I54,BU$2,"M")/Payroll!$K54,0))),0))</f>
        <v>0</v>
      </c>
      <c r="BV131" s="56">
        <f>IF(BV$2=Payroll!$I54,Payroll!$F54,IF(BV$2&gt;Payroll!$I54,Payroll!$F54*((1+Payroll!$J54)^(ROUNDDOWN(DATEDIF(Payroll!$I54,BV$2,"M")/Payroll!$K54,0))),0))</f>
        <v>0</v>
      </c>
      <c r="BW131" s="56">
        <f>IF(BW$2=Payroll!$I54,Payroll!$F54,IF(BW$2&gt;Payroll!$I54,Payroll!$F54*((1+Payroll!$J54)^(ROUNDDOWN(DATEDIF(Payroll!$I54,BW$2,"M")/Payroll!$K54,0))),0))</f>
        <v>0</v>
      </c>
      <c r="BX131" s="56">
        <f>IF(BX$2=Payroll!$I54,Payroll!$F54,IF(BX$2&gt;Payroll!$I54,Payroll!$F54*((1+Payroll!$J54)^(ROUNDDOWN(DATEDIF(Payroll!$I54,BX$2,"M")/Payroll!$K54,0))),0))</f>
        <v>0</v>
      </c>
      <c r="BY131" s="56">
        <f>IF(BY$2=Payroll!$I54,Payroll!$F54,IF(BY$2&gt;Payroll!$I54,Payroll!$F54*((1+Payroll!$J54)^(ROUNDDOWN(DATEDIF(Payroll!$I54,BY$2,"M")/Payroll!$K54,0))),0))</f>
        <v>0</v>
      </c>
      <c r="BZ131" s="56">
        <f>IF(BZ$2=Payroll!$I54,Payroll!$F54,IF(BZ$2&gt;Payroll!$I54,Payroll!$F54*((1+Payroll!$J54)^(ROUNDDOWN(DATEDIF(Payroll!$I54,BZ$2,"M")/Payroll!$K54,0))),0))</f>
        <v>0</v>
      </c>
      <c r="CA131" s="56">
        <f>IF(CA$2=Payroll!$I54,Payroll!$F54,IF(CA$2&gt;Payroll!$I54,Payroll!$F54*((1+Payroll!$J54)^(ROUNDDOWN(DATEDIF(Payroll!$I54,CA$2,"M")/Payroll!$K54,0))),0))</f>
        <v>0</v>
      </c>
      <c r="CB131" s="56">
        <f>IF(CB$2=Payroll!$I54,Payroll!$F54,IF(CB$2&gt;Payroll!$I54,Payroll!$F54*((1+Payroll!$J54)^(ROUNDDOWN(DATEDIF(Payroll!$I54,CB$2,"M")/Payroll!$K54,0))),0))</f>
        <v>0</v>
      </c>
      <c r="CC131" s="56">
        <f>IF(CC$2=Payroll!$I54,Payroll!$F54,IF(CC$2&gt;Payroll!$I54,Payroll!$F54*((1+Payroll!$J54)^(ROUNDDOWN(DATEDIF(Payroll!$I54,CC$2,"M")/Payroll!$K54,0))),0))</f>
        <v>0</v>
      </c>
      <c r="CD131" s="56">
        <f>IF(CD$2=Payroll!$I54,Payroll!$F54,IF(CD$2&gt;Payroll!$I54,Payroll!$F54*((1+Payroll!$J54)^(ROUNDDOWN(DATEDIF(Payroll!$I54,CD$2,"M")/Payroll!$K54,0))),0))</f>
        <v>0</v>
      </c>
      <c r="CE131" s="56">
        <f>IF(CE$2=Payroll!$I54,Payroll!$F54,IF(CE$2&gt;Payroll!$I54,Payroll!$F54*((1+Payroll!$J54)^(ROUNDDOWN(DATEDIF(Payroll!$I54,CE$2,"M")/Payroll!$K54,0))),0))</f>
        <v>0</v>
      </c>
      <c r="CF131" s="56">
        <f>IF(CF$2=Payroll!$I54,Payroll!$F54,IF(CF$2&gt;Payroll!$I54,Payroll!$F54*((1+Payroll!$J54)^(ROUNDDOWN(DATEDIF(Payroll!$I54,CF$2,"M")/Payroll!$K54,0))),0))</f>
        <v>0</v>
      </c>
      <c r="CG131" s="56">
        <f>IF(CG$2=Payroll!$I54,Payroll!$F54,IF(CG$2&gt;Payroll!$I54,Payroll!$F54*((1+Payroll!$J54)^(ROUNDDOWN(DATEDIF(Payroll!$I54,CG$2,"M")/Payroll!$K54,0))),0))</f>
        <v>0</v>
      </c>
      <c r="CH131" s="56">
        <f>IF(CH$2=Payroll!$I54,Payroll!$F54,IF(CH$2&gt;Payroll!$I54,Payroll!$F54*((1+Payroll!$J54)^(ROUNDDOWN(DATEDIF(Payroll!$I54,CH$2,"M")/Payroll!$K54,0))),0))</f>
        <v>0</v>
      </c>
      <c r="CI131" s="56">
        <f>IF(CI$2=Payroll!$I54,Payroll!$F54,IF(CI$2&gt;Payroll!$I54,Payroll!$F54*((1+Payroll!$J54)^(ROUNDDOWN(DATEDIF(Payroll!$I54,CI$2,"M")/Payroll!$K54,0))),0))</f>
        <v>0</v>
      </c>
      <c r="CJ131" s="56">
        <f>IF(CJ$2=Payroll!$I54,Payroll!$F54,IF(CJ$2&gt;Payroll!$I54,Payroll!$F54*((1+Payroll!$J54)^(ROUNDDOWN(DATEDIF(Payroll!$I54,CJ$2,"M")/Payroll!$K54,0))),0))</f>
        <v>0</v>
      </c>
      <c r="CK131" s="56">
        <f>IF(CK$2=Payroll!$I54,Payroll!$F54,IF(CK$2&gt;Payroll!$I54,Payroll!$F54*((1+Payroll!$J54)^(ROUNDDOWN(DATEDIF(Payroll!$I54,CK$2,"M")/Payroll!$K54,0))),0))</f>
        <v>0</v>
      </c>
      <c r="CL131" s="56">
        <f>IF(CL$2=Payroll!$I54,Payroll!$F54,IF(CL$2&gt;Payroll!$I54,Payroll!$F54*((1+Payroll!$J54)^(ROUNDDOWN(DATEDIF(Payroll!$I54,CL$2,"M")/Payroll!$K54,0))),0))</f>
        <v>0</v>
      </c>
      <c r="CM131" s="56">
        <f>IF(CM$2=Payroll!$I54,Payroll!$F54,IF(CM$2&gt;Payroll!$I54,Payroll!$F54*((1+Payroll!$J54)^(ROUNDDOWN(DATEDIF(Payroll!$I54,CM$2,"M")/Payroll!$K54,0))),0))</f>
        <v>0</v>
      </c>
      <c r="CN131" s="56">
        <f>IF(CN$2=Payroll!$I54,Payroll!$F54,IF(CN$2&gt;Payroll!$I54,Payroll!$F54*((1+Payroll!$J54)^(ROUNDDOWN(DATEDIF(Payroll!$I54,CN$2,"M")/Payroll!$K54,0))),0))</f>
        <v>0</v>
      </c>
      <c r="CO131" s="56">
        <f>IF(CO$2=Payroll!$I54,Payroll!$F54,IF(CO$2&gt;Payroll!$I54,Payroll!$F54*((1+Payroll!$J54)^(ROUNDDOWN(DATEDIF(Payroll!$I54,CO$2,"M")/Payroll!$K54,0))),0))</f>
        <v>0</v>
      </c>
      <c r="CP131" s="56">
        <f>IF(CP$2=Payroll!$I54,Payroll!$F54,IF(CP$2&gt;Payroll!$I54,Payroll!$F54*((1+Payroll!$J54)^(ROUNDDOWN(DATEDIF(Payroll!$I54,CP$2,"M")/Payroll!$K54,0))),0))</f>
        <v>0</v>
      </c>
      <c r="CQ131" s="56">
        <f>IF(CQ$2=Payroll!$I54,Payroll!$F54,IF(CQ$2&gt;Payroll!$I54,Payroll!$F54*((1+Payroll!$J54)^(ROUNDDOWN(DATEDIF(Payroll!$I54,CQ$2,"M")/Payroll!$K54,0))),0))</f>
        <v>0</v>
      </c>
      <c r="CR131" s="56">
        <f>IF(CR$2=Payroll!$I54,Payroll!$F54,IF(CR$2&gt;Payroll!$I54,Payroll!$F54*((1+Payroll!$J54)^(ROUNDDOWN(DATEDIF(Payroll!$I54,CR$2,"M")/Payroll!$K54,0))),0))</f>
        <v>0</v>
      </c>
      <c r="CS131" s="56">
        <f>IF(CS$2=Payroll!$I54,Payroll!$F54,IF(CS$2&gt;Payroll!$I54,Payroll!$F54*((1+Payroll!$J54)^(ROUNDDOWN(DATEDIF(Payroll!$I54,CS$2,"M")/Payroll!$K54,0))),0))</f>
        <v>0</v>
      </c>
      <c r="CT131" s="56">
        <f>IF(CT$2=Payroll!$I54,Payroll!$F54,IF(CT$2&gt;Payroll!$I54,Payroll!$F54*((1+Payroll!$J54)^(ROUNDDOWN(DATEDIF(Payroll!$I54,CT$2,"M")/Payroll!$K54,0))),0))</f>
        <v>0</v>
      </c>
      <c r="CU131" s="56">
        <f>IF(CU$2=Payroll!$I54,Payroll!$F54,IF(CU$2&gt;Payroll!$I54,Payroll!$F54*((1+Payroll!$J54)^(ROUNDDOWN(DATEDIF(Payroll!$I54,CU$2,"M")/Payroll!$K54,0))),0))</f>
        <v>0</v>
      </c>
      <c r="CV131" s="56">
        <f>IF(CV$2=Payroll!$I54,Payroll!$F54,IF(CV$2&gt;Payroll!$I54,Payroll!$F54*((1+Payroll!$J54)^(ROUNDDOWN(DATEDIF(Payroll!$I54,CV$2,"M")/Payroll!$K54,0))),0))</f>
        <v>0</v>
      </c>
      <c r="CW131" s="56">
        <f>IF(CW$2=Payroll!$I54,Payroll!$F54,IF(CW$2&gt;Payroll!$I54,Payroll!$F54*((1+Payroll!$J54)^(ROUNDDOWN(DATEDIF(Payroll!$I54,CW$2,"M")/Payroll!$K54,0))),0))</f>
        <v>0</v>
      </c>
      <c r="CX131" s="56">
        <f>IF(CX$2=Payroll!$I54,Payroll!$F54,IF(CX$2&gt;Payroll!$I54,Payroll!$F54*((1+Payroll!$J54)^(ROUNDDOWN(DATEDIF(Payroll!$I54,CX$2,"M")/Payroll!$K54,0))),0))</f>
        <v>0</v>
      </c>
    </row>
    <row r="132" ht="15.75" customHeight="1" outlineLevel="2">
      <c r="A132" s="56" t="str">
        <f>Payroll!A55</f>
        <v>Account Manager </v>
      </c>
      <c r="B132" s="56"/>
      <c r="C132" s="56"/>
      <c r="D132" s="56"/>
      <c r="E132" s="56">
        <f>IF(E$2=Payroll!$I55,Payroll!$F55,IF(E$2&gt;Payroll!$I55,Payroll!$F55*((1+Payroll!$J55)^(ROUNDDOWN(DATEDIF(Payroll!$I55,E$2,"M")/Payroll!$K55,0))),0))</f>
        <v>0</v>
      </c>
      <c r="F132" s="56">
        <f>IF(F$2=Payroll!$I55,Payroll!$F55,IF(F$2&gt;Payroll!$I55,Payroll!$F55*((1+Payroll!$J55)^(ROUNDDOWN(DATEDIF(Payroll!$I55,F$2,"M")/Payroll!$K55,0))),0))</f>
        <v>0</v>
      </c>
      <c r="G132" s="56">
        <f>IF(G$2=Payroll!$I55,Payroll!$F55,IF(G$2&gt;Payroll!$I55,Payroll!$F55*((1+Payroll!$J55)^(ROUNDDOWN(DATEDIF(Payroll!$I55,G$2,"M")/Payroll!$K55,0))),0))</f>
        <v>0</v>
      </c>
      <c r="H132" s="56">
        <f>IF(H$2=Payroll!$I55,Payroll!$F55,IF(H$2&gt;Payroll!$I55,Payroll!$F55*((1+Payroll!$J55)^(ROUNDDOWN(DATEDIF(Payroll!$I55,H$2,"M")/Payroll!$K55,0))),0))</f>
        <v>0</v>
      </c>
      <c r="I132" s="56">
        <f>IF(I$2=Payroll!$I55,Payroll!$F55,IF(I$2&gt;Payroll!$I55,Payroll!$F55*((1+Payroll!$J55)^(ROUNDDOWN(DATEDIF(Payroll!$I55,I$2,"M")/Payroll!$K55,0))),0))</f>
        <v>0</v>
      </c>
      <c r="J132" s="56">
        <f>IF(J$2=Payroll!$I55,Payroll!$F55,IF(J$2&gt;Payroll!$I55,Payroll!$F55*((1+Payroll!$J55)^(ROUNDDOWN(DATEDIF(Payroll!$I55,J$2,"M")/Payroll!$K55,0))),0))</f>
        <v>0</v>
      </c>
      <c r="K132" s="56">
        <f>IF(K$2=Payroll!$I55,Payroll!$F55,IF(K$2&gt;Payroll!$I55,Payroll!$F55*((1+Payroll!$J55)^(ROUNDDOWN(DATEDIF(Payroll!$I55,K$2,"M")/Payroll!$K55,0))),0))</f>
        <v>0</v>
      </c>
      <c r="L132" s="56">
        <f>IF(L$2=Payroll!$I55,Payroll!$F55,IF(L$2&gt;Payroll!$I55,Payroll!$F55*((1+Payroll!$J55)^(ROUNDDOWN(DATEDIF(Payroll!$I55,L$2,"M")/Payroll!$K55,0))),0))</f>
        <v>0</v>
      </c>
      <c r="M132" s="56">
        <f>IF(M$2=Payroll!$I55,Payroll!$F55,IF(M$2&gt;Payroll!$I55,Payroll!$F55*((1+Payroll!$J55)^(ROUNDDOWN(DATEDIF(Payroll!$I55,M$2,"M")/Payroll!$K55,0))),0))</f>
        <v>0</v>
      </c>
      <c r="N132" s="56">
        <f>IF(N$2=Payroll!$I55,Payroll!$F55,IF(N$2&gt;Payroll!$I55,Payroll!$F55*((1+Payroll!$J55)^(ROUNDDOWN(DATEDIF(Payroll!$I55,N$2,"M")/Payroll!$K55,0))),0))</f>
        <v>0</v>
      </c>
      <c r="O132" s="56">
        <f>IF(O$2=Payroll!$I55,Payroll!$F55,IF(O$2&gt;Payroll!$I55,Payroll!$F55*((1+Payroll!$J55)^(ROUNDDOWN(DATEDIF(Payroll!$I55,O$2,"M")/Payroll!$K55,0))),0))</f>
        <v>0</v>
      </c>
      <c r="P132" s="56">
        <f>IF(P$2=Payroll!$I55,Payroll!$F55,IF(P$2&gt;Payroll!$I55,Payroll!$F55*((1+Payroll!$J55)^(ROUNDDOWN(DATEDIF(Payroll!$I55,P$2,"M")/Payroll!$K55,0))),0))</f>
        <v>0</v>
      </c>
      <c r="Q132" s="56">
        <f>IF(Q$2=Payroll!$I55,Payroll!$F55,IF(Q$2&gt;Payroll!$I55,Payroll!$F55*((1+Payroll!$J55)^(ROUNDDOWN(DATEDIF(Payroll!$I55,Q$2,"M")/Payroll!$K55,0))),0))</f>
        <v>0</v>
      </c>
      <c r="R132" s="56">
        <f>IF(R$2=Payroll!$I55,Payroll!$F55,IF(R$2&gt;Payroll!$I55,Payroll!$F55*((1+Payroll!$J55)^(ROUNDDOWN(DATEDIF(Payroll!$I55,R$2,"M")/Payroll!$K55,0))),0))</f>
        <v>0</v>
      </c>
      <c r="S132" s="56">
        <f>IF(S$2=Payroll!$I55,Payroll!$F55,IF(S$2&gt;Payroll!$I55,Payroll!$F55*((1+Payroll!$J55)^(ROUNDDOWN(DATEDIF(Payroll!$I55,S$2,"M")/Payroll!$K55,0))),0))</f>
        <v>0</v>
      </c>
      <c r="T132" s="56">
        <f>IF(T$2=Payroll!$I55,Payroll!$F55,IF(T$2&gt;Payroll!$I55,Payroll!$F55*((1+Payroll!$J55)^(ROUNDDOWN(DATEDIF(Payroll!$I55,T$2,"M")/Payroll!$K55,0))),0))</f>
        <v>0</v>
      </c>
      <c r="U132" s="56">
        <f>IF(U$2=Payroll!$I55,Payroll!$F55,IF(U$2&gt;Payroll!$I55,Payroll!$F55*((1+Payroll!$J55)^(ROUNDDOWN(DATEDIF(Payroll!$I55,U$2,"M")/Payroll!$K55,0))),0))</f>
        <v>0</v>
      </c>
      <c r="V132" s="56">
        <f>IF(V$2=Payroll!$I55,Payroll!$F55,IF(V$2&gt;Payroll!$I55,Payroll!$F55*((1+Payroll!$J55)^(ROUNDDOWN(DATEDIF(Payroll!$I55,V$2,"M")/Payroll!$K55,0))),0))</f>
        <v>0</v>
      </c>
      <c r="W132" s="56">
        <f>IF(W$2=Payroll!$I55,Payroll!$F55,IF(W$2&gt;Payroll!$I55,Payroll!$F55*((1+Payroll!$J55)^(ROUNDDOWN(DATEDIF(Payroll!$I55,W$2,"M")/Payroll!$K55,0))),0))</f>
        <v>0</v>
      </c>
      <c r="X132" s="56">
        <f>IF(X$2=Payroll!$I55,Payroll!$F55,IF(X$2&gt;Payroll!$I55,Payroll!$F55*((1+Payroll!$J55)^(ROUNDDOWN(DATEDIF(Payroll!$I55,X$2,"M")/Payroll!$K55,0))),0))</f>
        <v>0</v>
      </c>
      <c r="Y132" s="56">
        <f>IF(Y$2=Payroll!$I55,Payroll!$F55,IF(Y$2&gt;Payroll!$I55,Payroll!$F55*((1+Payroll!$J55)^(ROUNDDOWN(DATEDIF(Payroll!$I55,Y$2,"M")/Payroll!$K55,0))),0))</f>
        <v>0</v>
      </c>
      <c r="Z132" s="56">
        <f>IF(Z$2=Payroll!$I55,Payroll!$F55,IF(Z$2&gt;Payroll!$I55,Payroll!$F55*((1+Payroll!$J55)^(ROUNDDOWN(DATEDIF(Payroll!$I55,Z$2,"M")/Payroll!$K55,0))),0))</f>
        <v>0</v>
      </c>
      <c r="AA132" s="56">
        <f>IF(AA$2=Payroll!$I55,Payroll!$F55,IF(AA$2&gt;Payroll!$I55,Payroll!$F55*((1+Payroll!$J55)^(ROUNDDOWN(DATEDIF(Payroll!$I55,AA$2,"M")/Payroll!$K55,0))),0))</f>
        <v>0</v>
      </c>
      <c r="AB132" s="56">
        <f>IF(AB$2=Payroll!$I55,Payroll!$F55,IF(AB$2&gt;Payroll!$I55,Payroll!$F55*((1+Payroll!$J55)^(ROUNDDOWN(DATEDIF(Payroll!$I55,AB$2,"M")/Payroll!$K55,0))),0))</f>
        <v>0</v>
      </c>
      <c r="AC132" s="56">
        <f>IF(AC$2=Payroll!$I55,Payroll!$F55,IF(AC$2&gt;Payroll!$I55,Payroll!$F55*((1+Payroll!$J55)^(ROUNDDOWN(DATEDIF(Payroll!$I55,AC$2,"M")/Payroll!$K55,0))),0))</f>
        <v>0</v>
      </c>
      <c r="AD132" s="56">
        <f>IF(AD$2=Payroll!$I55,Payroll!$F55,IF(AD$2&gt;Payroll!$I55,Payroll!$F55*((1+Payroll!$J55)^(ROUNDDOWN(DATEDIF(Payroll!$I55,AD$2,"M")/Payroll!$K55,0))),0))</f>
        <v>0</v>
      </c>
      <c r="AE132" s="56">
        <f>IF(AE$2=Payroll!$I55,Payroll!$F55,IF(AE$2&gt;Payroll!$I55,Payroll!$F55*((1+Payroll!$J55)^(ROUNDDOWN(DATEDIF(Payroll!$I55,AE$2,"M")/Payroll!$K55,0))),0))</f>
        <v>0</v>
      </c>
      <c r="AF132" s="56">
        <f>IF(AF$2=Payroll!$I55,Payroll!$F55,IF(AF$2&gt;Payroll!$I55,Payroll!$F55*((1+Payroll!$J55)^(ROUNDDOWN(DATEDIF(Payroll!$I55,AF$2,"M")/Payroll!$K55,0))),0))</f>
        <v>0</v>
      </c>
      <c r="AG132" s="56">
        <f>IF(AG$2=Payroll!$I55,Payroll!$F55,IF(AG$2&gt;Payroll!$I55,Payroll!$F55*((1+Payroll!$J55)^(ROUNDDOWN(DATEDIF(Payroll!$I55,AG$2,"M")/Payroll!$K55,0))),0))</f>
        <v>0</v>
      </c>
      <c r="AH132" s="56">
        <f>IF(AH$2=Payroll!$I55,Payroll!$F55,IF(AH$2&gt;Payroll!$I55,Payroll!$F55*((1+Payroll!$J55)^(ROUNDDOWN(DATEDIF(Payroll!$I55,AH$2,"M")/Payroll!$K55,0))),0))</f>
        <v>0</v>
      </c>
      <c r="AI132" s="56">
        <f>IF(AI$2=Payroll!$I55,Payroll!$F55,IF(AI$2&gt;Payroll!$I55,Payroll!$F55*((1+Payroll!$J55)^(ROUNDDOWN(DATEDIF(Payroll!$I55,AI$2,"M")/Payroll!$K55,0))),0))</f>
        <v>0</v>
      </c>
      <c r="AJ132" s="56">
        <f>IF(AJ$2=Payroll!$I55,Payroll!$F55,IF(AJ$2&gt;Payroll!$I55,Payroll!$F55*((1+Payroll!$J55)^(ROUNDDOWN(DATEDIF(Payroll!$I55,AJ$2,"M")/Payroll!$K55,0))),0))</f>
        <v>0</v>
      </c>
      <c r="AK132" s="56">
        <f>IF(AK$2=Payroll!$I55,Payroll!$F55,IF(AK$2&gt;Payroll!$I55,Payroll!$F55*((1+Payroll!$J55)^(ROUNDDOWN(DATEDIF(Payroll!$I55,AK$2,"M")/Payroll!$K55,0))),0))</f>
        <v>0</v>
      </c>
      <c r="AL132" s="56">
        <f>IF(AL$2=Payroll!$I55,Payroll!$F55,IF(AL$2&gt;Payroll!$I55,Payroll!$F55*((1+Payroll!$J55)^(ROUNDDOWN(DATEDIF(Payroll!$I55,AL$2,"M")/Payroll!$K55,0))),0))</f>
        <v>12307.69231</v>
      </c>
      <c r="AM132" s="56">
        <f>IF(AM$2=Payroll!$I55,Payroll!$F55,IF(AM$2&gt;Payroll!$I55,Payroll!$F55*((1+Payroll!$J55)^(ROUNDDOWN(DATEDIF(Payroll!$I55,AM$2,"M")/Payroll!$K55,0))),0))</f>
        <v>12307.69231</v>
      </c>
      <c r="AN132" s="56">
        <f>IF(AN$2=Payroll!$I55,Payroll!$F55,IF(AN$2&gt;Payroll!$I55,Payroll!$F55*((1+Payroll!$J55)^(ROUNDDOWN(DATEDIF(Payroll!$I55,AN$2,"M")/Payroll!$K55,0))),0))</f>
        <v>12307.69231</v>
      </c>
      <c r="AO132" s="56">
        <f>IF(AO$2=Payroll!$I55,Payroll!$F55,IF(AO$2&gt;Payroll!$I55,Payroll!$F55*((1+Payroll!$J55)^(ROUNDDOWN(DATEDIF(Payroll!$I55,AO$2,"M")/Payroll!$K55,0))),0))</f>
        <v>12307.69231</v>
      </c>
      <c r="AP132" s="56">
        <f>IF(AP$2=Payroll!$I55,Payroll!$F55,IF(AP$2&gt;Payroll!$I55,Payroll!$F55*((1+Payroll!$J55)^(ROUNDDOWN(DATEDIF(Payroll!$I55,AP$2,"M")/Payroll!$K55,0))),0))</f>
        <v>12307.69231</v>
      </c>
      <c r="AQ132" s="56">
        <f>IF(AQ$2=Payroll!$I55,Payroll!$F55,IF(AQ$2&gt;Payroll!$I55,Payroll!$F55*((1+Payroll!$J55)^(ROUNDDOWN(DATEDIF(Payroll!$I55,AQ$2,"M")/Payroll!$K55,0))),0))</f>
        <v>12307.69231</v>
      </c>
      <c r="AR132" s="56">
        <f>IF(AR$2=Payroll!$I55,Payroll!$F55,IF(AR$2&gt;Payroll!$I55,Payroll!$F55*((1+Payroll!$J55)^(ROUNDDOWN(DATEDIF(Payroll!$I55,AR$2,"M")/Payroll!$K55,0))),0))</f>
        <v>12307.69231</v>
      </c>
      <c r="AS132" s="56">
        <f>IF(AS$2=Payroll!$I55,Payroll!$F55,IF(AS$2&gt;Payroll!$I55,Payroll!$F55*((1+Payroll!$J55)^(ROUNDDOWN(DATEDIF(Payroll!$I55,AS$2,"M")/Payroll!$K55,0))),0))</f>
        <v>12307.69231</v>
      </c>
      <c r="AT132" s="56">
        <f>IF(AT$2=Payroll!$I55,Payroll!$F55,IF(AT$2&gt;Payroll!$I55,Payroll!$F55*((1+Payroll!$J55)^(ROUNDDOWN(DATEDIF(Payroll!$I55,AT$2,"M")/Payroll!$K55,0))),0))</f>
        <v>12307.69231</v>
      </c>
      <c r="AU132" s="56">
        <f>IF(AU$2=Payroll!$I55,Payroll!$F55,IF(AU$2&gt;Payroll!$I55,Payroll!$F55*((1+Payroll!$J55)^(ROUNDDOWN(DATEDIF(Payroll!$I55,AU$2,"M")/Payroll!$K55,0))),0))</f>
        <v>12307.69231</v>
      </c>
      <c r="AV132" s="56">
        <f>IF(AV$2=Payroll!$I55,Payroll!$F55,IF(AV$2&gt;Payroll!$I55,Payroll!$F55*((1+Payroll!$J55)^(ROUNDDOWN(DATEDIF(Payroll!$I55,AV$2,"M")/Payroll!$K55,0))),0))</f>
        <v>12307.69231</v>
      </c>
      <c r="AW132" s="56">
        <f>IF(AW$2=Payroll!$I55,Payroll!$F55,IF(AW$2&gt;Payroll!$I55,Payroll!$F55*((1+Payroll!$J55)^(ROUNDDOWN(DATEDIF(Payroll!$I55,AW$2,"M")/Payroll!$K55,0))),0))</f>
        <v>12307.69231</v>
      </c>
      <c r="AX132" s="56">
        <f>IF(AX$2=Payroll!$I55,Payroll!$F55,IF(AX$2&gt;Payroll!$I55,Payroll!$F55*((1+Payroll!$J55)^(ROUNDDOWN(DATEDIF(Payroll!$I55,AX$2,"M")/Payroll!$K55,0))),0))</f>
        <v>12307.69231</v>
      </c>
      <c r="AY132" s="56">
        <f>IF(AY$2=Payroll!$I55,Payroll!$F55,IF(AY$2&gt;Payroll!$I55,Payroll!$F55*((1+Payroll!$J55)^(ROUNDDOWN(DATEDIF(Payroll!$I55,AY$2,"M")/Payroll!$K55,0))),0))</f>
        <v>12307.69231</v>
      </c>
      <c r="AZ132" s="56">
        <f>IF(AZ$2=Payroll!$I55,Payroll!$F55,IF(AZ$2&gt;Payroll!$I55,Payroll!$F55*((1+Payroll!$J55)^(ROUNDDOWN(DATEDIF(Payroll!$I55,AZ$2,"M")/Payroll!$K55,0))),0))</f>
        <v>12307.69231</v>
      </c>
      <c r="BA132" s="56">
        <f>IF(BA$2=Payroll!$I55,Payroll!$F55,IF(BA$2&gt;Payroll!$I55,Payroll!$F55*((1+Payroll!$J55)^(ROUNDDOWN(DATEDIF(Payroll!$I55,BA$2,"M")/Payroll!$K55,0))),0))</f>
        <v>12307.69231</v>
      </c>
      <c r="BB132" s="56">
        <f>IF(BB$2=Payroll!$I55,Payroll!$F55,IF(BB$2&gt;Payroll!$I55,Payroll!$F55*((1+Payroll!$J55)^(ROUNDDOWN(DATEDIF(Payroll!$I55,BB$2,"M")/Payroll!$K55,0))),0))</f>
        <v>12307.69231</v>
      </c>
      <c r="BC132" s="56">
        <f>IF(BC$2=Payroll!$I55,Payroll!$F55,IF(BC$2&gt;Payroll!$I55,Payroll!$F55*((1+Payroll!$J55)^(ROUNDDOWN(DATEDIF(Payroll!$I55,BC$2,"M")/Payroll!$K55,0))),0))</f>
        <v>12307.69231</v>
      </c>
      <c r="BD132" s="56">
        <f>IF(BD$2=Payroll!$I55,Payroll!$F55,IF(BD$2&gt;Payroll!$I55,Payroll!$F55*((1+Payroll!$J55)^(ROUNDDOWN(DATEDIF(Payroll!$I55,BD$2,"M")/Payroll!$K55,0))),0))</f>
        <v>12307.69231</v>
      </c>
      <c r="BE132" s="56">
        <f>IF(BE$2=Payroll!$I55,Payroll!$F55,IF(BE$2&gt;Payroll!$I55,Payroll!$F55*((1+Payroll!$J55)^(ROUNDDOWN(DATEDIF(Payroll!$I55,BE$2,"M")/Payroll!$K55,0))),0))</f>
        <v>12307.69231</v>
      </c>
      <c r="BF132" s="56">
        <f>IF(BF$2=Payroll!$I55,Payroll!$F55,IF(BF$2&gt;Payroll!$I55,Payroll!$F55*((1+Payroll!$J55)^(ROUNDDOWN(DATEDIF(Payroll!$I55,BF$2,"M")/Payroll!$K55,0))),0))</f>
        <v>12307.69231</v>
      </c>
      <c r="BG132" s="56">
        <f>IF(BG$2=Payroll!$I55,Payroll!$F55,IF(BG$2&gt;Payroll!$I55,Payroll!$F55*((1+Payroll!$J55)^(ROUNDDOWN(DATEDIF(Payroll!$I55,BG$2,"M")/Payroll!$K55,0))),0))</f>
        <v>12307.69231</v>
      </c>
      <c r="BH132" s="56">
        <f>IF(BH$2=Payroll!$I55,Payroll!$F55,IF(BH$2&gt;Payroll!$I55,Payroll!$F55*((1+Payroll!$J55)^(ROUNDDOWN(DATEDIF(Payroll!$I55,BH$2,"M")/Payroll!$K55,0))),0))</f>
        <v>12307.69231</v>
      </c>
      <c r="BI132" s="56">
        <f>IF(BI$2=Payroll!$I55,Payroll!$F55,IF(BI$2&gt;Payroll!$I55,Payroll!$F55*((1+Payroll!$J55)^(ROUNDDOWN(DATEDIF(Payroll!$I55,BI$2,"M")/Payroll!$K55,0))),0))</f>
        <v>12307.69231</v>
      </c>
      <c r="BJ132" s="56">
        <f>IF(BJ$2=Payroll!$I55,Payroll!$F55,IF(BJ$2&gt;Payroll!$I55,Payroll!$F55*((1+Payroll!$J55)^(ROUNDDOWN(DATEDIF(Payroll!$I55,BJ$2,"M")/Payroll!$K55,0))),0))</f>
        <v>12307.69231</v>
      </c>
      <c r="BK132" s="56">
        <f>IF(BK$2=Payroll!$I55,Payroll!$F55,IF(BK$2&gt;Payroll!$I55,Payroll!$F55*((1+Payroll!$J55)^(ROUNDDOWN(DATEDIF(Payroll!$I55,BK$2,"M")/Payroll!$K55,0))),0))</f>
        <v>12307.69231</v>
      </c>
      <c r="BL132" s="56">
        <f>IF(BL$2=Payroll!$I55,Payroll!$F55,IF(BL$2&gt;Payroll!$I55,Payroll!$F55*((1+Payroll!$J55)^(ROUNDDOWN(DATEDIF(Payroll!$I55,BL$2,"M")/Payroll!$K55,0))),0))</f>
        <v>12307.69231</v>
      </c>
      <c r="BM132" s="56">
        <f>IF(BM$2=Payroll!$I55,Payroll!$F55,IF(BM$2&gt;Payroll!$I55,Payroll!$F55*((1+Payroll!$J55)^(ROUNDDOWN(DATEDIF(Payroll!$I55,BM$2,"M")/Payroll!$K55,0))),0))</f>
        <v>12307.69231</v>
      </c>
      <c r="BN132" s="56">
        <f>IF(BN$2=Payroll!$I55,Payroll!$F55,IF(BN$2&gt;Payroll!$I55,Payroll!$F55*((1+Payroll!$J55)^(ROUNDDOWN(DATEDIF(Payroll!$I55,BN$2,"M")/Payroll!$K55,0))),0))</f>
        <v>12307.69231</v>
      </c>
      <c r="BO132" s="56">
        <f>IF(BO$2=Payroll!$I55,Payroll!$F55,IF(BO$2&gt;Payroll!$I55,Payroll!$F55*((1+Payroll!$J55)^(ROUNDDOWN(DATEDIF(Payroll!$I55,BO$2,"M")/Payroll!$K55,0))),0))</f>
        <v>12307.69231</v>
      </c>
      <c r="BP132" s="56">
        <f>IF(BP$2=Payroll!$I55,Payroll!$F55,IF(BP$2&gt;Payroll!$I55,Payroll!$F55*((1+Payroll!$J55)^(ROUNDDOWN(DATEDIF(Payroll!$I55,BP$2,"M")/Payroll!$K55,0))),0))</f>
        <v>12307.69231</v>
      </c>
      <c r="BQ132" s="56">
        <f>IF(BQ$2=Payroll!$I55,Payroll!$F55,IF(BQ$2&gt;Payroll!$I55,Payroll!$F55*((1+Payroll!$J55)^(ROUNDDOWN(DATEDIF(Payroll!$I55,BQ$2,"M")/Payroll!$K55,0))),0))</f>
        <v>12307.69231</v>
      </c>
      <c r="BR132" s="56">
        <f>IF(BR$2=Payroll!$I55,Payroll!$F55,IF(BR$2&gt;Payroll!$I55,Payroll!$F55*((1+Payroll!$J55)^(ROUNDDOWN(DATEDIF(Payroll!$I55,BR$2,"M")/Payroll!$K55,0))),0))</f>
        <v>12307.69231</v>
      </c>
      <c r="BS132" s="56">
        <f>IF(BS$2=Payroll!$I55,Payroll!$F55,IF(BS$2&gt;Payroll!$I55,Payroll!$F55*((1+Payroll!$J55)^(ROUNDDOWN(DATEDIF(Payroll!$I55,BS$2,"M")/Payroll!$K55,0))),0))</f>
        <v>12307.69231</v>
      </c>
      <c r="BT132" s="56">
        <f>IF(BT$2=Payroll!$I55,Payroll!$F55,IF(BT$2&gt;Payroll!$I55,Payroll!$F55*((1+Payroll!$J55)^(ROUNDDOWN(DATEDIF(Payroll!$I55,BT$2,"M")/Payroll!$K55,0))),0))</f>
        <v>12307.69231</v>
      </c>
      <c r="BU132" s="56">
        <f>IF(BU$2=Payroll!$I55,Payroll!$F55,IF(BU$2&gt;Payroll!$I55,Payroll!$F55*((1+Payroll!$J55)^(ROUNDDOWN(DATEDIF(Payroll!$I55,BU$2,"M")/Payroll!$K55,0))),0))</f>
        <v>12307.69231</v>
      </c>
      <c r="BV132" s="56">
        <f>IF(BV$2=Payroll!$I55,Payroll!$F55,IF(BV$2&gt;Payroll!$I55,Payroll!$F55*((1+Payroll!$J55)^(ROUNDDOWN(DATEDIF(Payroll!$I55,BV$2,"M")/Payroll!$K55,0))),0))</f>
        <v>12307.69231</v>
      </c>
      <c r="BW132" s="56">
        <f>IF(BW$2=Payroll!$I55,Payroll!$F55,IF(BW$2&gt;Payroll!$I55,Payroll!$F55*((1+Payroll!$J55)^(ROUNDDOWN(DATEDIF(Payroll!$I55,BW$2,"M")/Payroll!$K55,0))),0))</f>
        <v>12307.69231</v>
      </c>
      <c r="BX132" s="56">
        <f>IF(BX$2=Payroll!$I55,Payroll!$F55,IF(BX$2&gt;Payroll!$I55,Payroll!$F55*((1+Payroll!$J55)^(ROUNDDOWN(DATEDIF(Payroll!$I55,BX$2,"M")/Payroll!$K55,0))),0))</f>
        <v>12307.69231</v>
      </c>
      <c r="BY132" s="56">
        <f>IF(BY$2=Payroll!$I55,Payroll!$F55,IF(BY$2&gt;Payroll!$I55,Payroll!$F55*((1+Payroll!$J55)^(ROUNDDOWN(DATEDIF(Payroll!$I55,BY$2,"M")/Payroll!$K55,0))),0))</f>
        <v>12307.69231</v>
      </c>
      <c r="BZ132" s="56">
        <f>IF(BZ$2=Payroll!$I55,Payroll!$F55,IF(BZ$2&gt;Payroll!$I55,Payroll!$F55*((1+Payroll!$J55)^(ROUNDDOWN(DATEDIF(Payroll!$I55,BZ$2,"M")/Payroll!$K55,0))),0))</f>
        <v>12307.69231</v>
      </c>
      <c r="CA132" s="56">
        <f>IF(CA$2=Payroll!$I55,Payroll!$F55,IF(CA$2&gt;Payroll!$I55,Payroll!$F55*((1+Payroll!$J55)^(ROUNDDOWN(DATEDIF(Payroll!$I55,CA$2,"M")/Payroll!$K55,0))),0))</f>
        <v>12307.69231</v>
      </c>
      <c r="CB132" s="56">
        <f>IF(CB$2=Payroll!$I55,Payroll!$F55,IF(CB$2&gt;Payroll!$I55,Payroll!$F55*((1+Payroll!$J55)^(ROUNDDOWN(DATEDIF(Payroll!$I55,CB$2,"M")/Payroll!$K55,0))),0))</f>
        <v>12307.69231</v>
      </c>
      <c r="CC132" s="56">
        <f>IF(CC$2=Payroll!$I55,Payroll!$F55,IF(CC$2&gt;Payroll!$I55,Payroll!$F55*((1+Payroll!$J55)^(ROUNDDOWN(DATEDIF(Payroll!$I55,CC$2,"M")/Payroll!$K55,0))),0))</f>
        <v>12307.69231</v>
      </c>
      <c r="CD132" s="56">
        <f>IF(CD$2=Payroll!$I55,Payroll!$F55,IF(CD$2&gt;Payroll!$I55,Payroll!$F55*((1+Payroll!$J55)^(ROUNDDOWN(DATEDIF(Payroll!$I55,CD$2,"M")/Payroll!$K55,0))),0))</f>
        <v>12307.69231</v>
      </c>
      <c r="CE132" s="56">
        <f>IF(CE$2=Payroll!$I55,Payroll!$F55,IF(CE$2&gt;Payroll!$I55,Payroll!$F55*((1+Payroll!$J55)^(ROUNDDOWN(DATEDIF(Payroll!$I55,CE$2,"M")/Payroll!$K55,0))),0))</f>
        <v>12307.69231</v>
      </c>
      <c r="CF132" s="56">
        <f>IF(CF$2=Payroll!$I55,Payroll!$F55,IF(CF$2&gt;Payroll!$I55,Payroll!$F55*((1+Payroll!$J55)^(ROUNDDOWN(DATEDIF(Payroll!$I55,CF$2,"M")/Payroll!$K55,0))),0))</f>
        <v>12307.69231</v>
      </c>
      <c r="CG132" s="56">
        <f>IF(CG$2=Payroll!$I55,Payroll!$F55,IF(CG$2&gt;Payroll!$I55,Payroll!$F55*((1+Payroll!$J55)^(ROUNDDOWN(DATEDIF(Payroll!$I55,CG$2,"M")/Payroll!$K55,0))),0))</f>
        <v>12307.69231</v>
      </c>
      <c r="CH132" s="56">
        <f>IF(CH$2=Payroll!$I55,Payroll!$F55,IF(CH$2&gt;Payroll!$I55,Payroll!$F55*((1+Payroll!$J55)^(ROUNDDOWN(DATEDIF(Payroll!$I55,CH$2,"M")/Payroll!$K55,0))),0))</f>
        <v>12307.69231</v>
      </c>
      <c r="CI132" s="56">
        <f>IF(CI$2=Payroll!$I55,Payroll!$F55,IF(CI$2&gt;Payroll!$I55,Payroll!$F55*((1+Payroll!$J55)^(ROUNDDOWN(DATEDIF(Payroll!$I55,CI$2,"M")/Payroll!$K55,0))),0))</f>
        <v>12307.69231</v>
      </c>
      <c r="CJ132" s="56">
        <f>IF(CJ$2=Payroll!$I55,Payroll!$F55,IF(CJ$2&gt;Payroll!$I55,Payroll!$F55*((1+Payroll!$J55)^(ROUNDDOWN(DATEDIF(Payroll!$I55,CJ$2,"M")/Payroll!$K55,0))),0))</f>
        <v>12307.69231</v>
      </c>
      <c r="CK132" s="56">
        <f>IF(CK$2=Payroll!$I55,Payroll!$F55,IF(CK$2&gt;Payroll!$I55,Payroll!$F55*((1+Payroll!$J55)^(ROUNDDOWN(DATEDIF(Payroll!$I55,CK$2,"M")/Payroll!$K55,0))),0))</f>
        <v>12307.69231</v>
      </c>
      <c r="CL132" s="56">
        <f>IF(CL$2=Payroll!$I55,Payroll!$F55,IF(CL$2&gt;Payroll!$I55,Payroll!$F55*((1+Payroll!$J55)^(ROUNDDOWN(DATEDIF(Payroll!$I55,CL$2,"M")/Payroll!$K55,0))),0))</f>
        <v>12307.69231</v>
      </c>
      <c r="CM132" s="56">
        <f>IF(CM$2=Payroll!$I55,Payroll!$F55,IF(CM$2&gt;Payroll!$I55,Payroll!$F55*((1+Payroll!$J55)^(ROUNDDOWN(DATEDIF(Payroll!$I55,CM$2,"M")/Payroll!$K55,0))),0))</f>
        <v>12307.69231</v>
      </c>
      <c r="CN132" s="56">
        <f>IF(CN$2=Payroll!$I55,Payroll!$F55,IF(CN$2&gt;Payroll!$I55,Payroll!$F55*((1+Payroll!$J55)^(ROUNDDOWN(DATEDIF(Payroll!$I55,CN$2,"M")/Payroll!$K55,0))),0))</f>
        <v>12307.69231</v>
      </c>
      <c r="CO132" s="56">
        <f>IF(CO$2=Payroll!$I55,Payroll!$F55,IF(CO$2&gt;Payroll!$I55,Payroll!$F55*((1+Payroll!$J55)^(ROUNDDOWN(DATEDIF(Payroll!$I55,CO$2,"M")/Payroll!$K55,0))),0))</f>
        <v>12307.69231</v>
      </c>
      <c r="CP132" s="56">
        <f>IF(CP$2=Payroll!$I55,Payroll!$F55,IF(CP$2&gt;Payroll!$I55,Payroll!$F55*((1+Payroll!$J55)^(ROUNDDOWN(DATEDIF(Payroll!$I55,CP$2,"M")/Payroll!$K55,0))),0))</f>
        <v>12307.69231</v>
      </c>
      <c r="CQ132" s="56">
        <f>IF(CQ$2=Payroll!$I55,Payroll!$F55,IF(CQ$2&gt;Payroll!$I55,Payroll!$F55*((1+Payroll!$J55)^(ROUNDDOWN(DATEDIF(Payroll!$I55,CQ$2,"M")/Payroll!$K55,0))),0))</f>
        <v>12307.69231</v>
      </c>
      <c r="CR132" s="56">
        <f>IF(CR$2=Payroll!$I55,Payroll!$F55,IF(CR$2&gt;Payroll!$I55,Payroll!$F55*((1+Payroll!$J55)^(ROUNDDOWN(DATEDIF(Payroll!$I55,CR$2,"M")/Payroll!$K55,0))),0))</f>
        <v>12307.69231</v>
      </c>
      <c r="CS132" s="56">
        <f>IF(CS$2=Payroll!$I55,Payroll!$F55,IF(CS$2&gt;Payroll!$I55,Payroll!$F55*((1+Payroll!$J55)^(ROUNDDOWN(DATEDIF(Payroll!$I55,CS$2,"M")/Payroll!$K55,0))),0))</f>
        <v>12307.69231</v>
      </c>
      <c r="CT132" s="56">
        <f>IF(CT$2=Payroll!$I55,Payroll!$F55,IF(CT$2&gt;Payroll!$I55,Payroll!$F55*((1+Payroll!$J55)^(ROUNDDOWN(DATEDIF(Payroll!$I55,CT$2,"M")/Payroll!$K55,0))),0))</f>
        <v>12307.69231</v>
      </c>
      <c r="CU132" s="56">
        <f>IF(CU$2=Payroll!$I55,Payroll!$F55,IF(CU$2&gt;Payroll!$I55,Payroll!$F55*((1+Payroll!$J55)^(ROUNDDOWN(DATEDIF(Payroll!$I55,CU$2,"M")/Payroll!$K55,0))),0))</f>
        <v>12307.69231</v>
      </c>
      <c r="CV132" s="56">
        <f>IF(CV$2=Payroll!$I55,Payroll!$F55,IF(CV$2&gt;Payroll!$I55,Payroll!$F55*((1+Payroll!$J55)^(ROUNDDOWN(DATEDIF(Payroll!$I55,CV$2,"M")/Payroll!$K55,0))),0))</f>
        <v>12307.69231</v>
      </c>
      <c r="CW132" s="56">
        <f>IF(CW$2=Payroll!$I55,Payroll!$F55,IF(CW$2&gt;Payroll!$I55,Payroll!$F55*((1+Payroll!$J55)^(ROUNDDOWN(DATEDIF(Payroll!$I55,CW$2,"M")/Payroll!$K55,0))),0))</f>
        <v>12307.69231</v>
      </c>
      <c r="CX132" s="56">
        <f>IF(CX$2=Payroll!$I55,Payroll!$F55,IF(CX$2&gt;Payroll!$I55,Payroll!$F55*((1+Payroll!$J55)^(ROUNDDOWN(DATEDIF(Payroll!$I55,CX$2,"M")/Payroll!$K55,0))),0))</f>
        <v>12307.69231</v>
      </c>
    </row>
    <row r="133" ht="15.75" customHeight="1" outlineLevel="2">
      <c r="A133" s="56" t="str">
        <f>Payroll!A56</f>
        <v>Employee 4</v>
      </c>
      <c r="B133" s="56"/>
      <c r="C133" s="56"/>
      <c r="D133" s="56"/>
      <c r="E133" s="56">
        <f>IF(E$2=Payroll!$I56,Payroll!$F56,IF(E$2&gt;Payroll!$I56,Payroll!$F56*((1+Payroll!$J56)^(ROUNDDOWN(DATEDIF(Payroll!$I56,E$2,"M")/Payroll!$K56,0))),0))</f>
        <v>0</v>
      </c>
      <c r="F133" s="56">
        <f>IF(F$2=Payroll!$I56,Payroll!$F56,IF(F$2&gt;Payroll!$I56,Payroll!$F56*((1+Payroll!$J56)^(ROUNDDOWN(DATEDIF(Payroll!$I56,F$2,"M")/Payroll!$K56,0))),0))</f>
        <v>0</v>
      </c>
      <c r="G133" s="56">
        <f>IF(G$2=Payroll!$I56,Payroll!$F56,IF(G$2&gt;Payroll!$I56,Payroll!$F56*((1+Payroll!$J56)^(ROUNDDOWN(DATEDIF(Payroll!$I56,G$2,"M")/Payroll!$K56,0))),0))</f>
        <v>0</v>
      </c>
      <c r="H133" s="56">
        <f>IF(H$2=Payroll!$I56,Payroll!$F56,IF(H$2&gt;Payroll!$I56,Payroll!$F56*((1+Payroll!$J56)^(ROUNDDOWN(DATEDIF(Payroll!$I56,H$2,"M")/Payroll!$K56,0))),0))</f>
        <v>0</v>
      </c>
      <c r="I133" s="56">
        <f>IF(I$2=Payroll!$I56,Payroll!$F56,IF(I$2&gt;Payroll!$I56,Payroll!$F56*((1+Payroll!$J56)^(ROUNDDOWN(DATEDIF(Payroll!$I56,I$2,"M")/Payroll!$K56,0))),0))</f>
        <v>0</v>
      </c>
      <c r="J133" s="56">
        <f>IF(J$2=Payroll!$I56,Payroll!$F56,IF(J$2&gt;Payroll!$I56,Payroll!$F56*((1+Payroll!$J56)^(ROUNDDOWN(DATEDIF(Payroll!$I56,J$2,"M")/Payroll!$K56,0))),0))</f>
        <v>0</v>
      </c>
      <c r="K133" s="56">
        <f>IF(K$2=Payroll!$I56,Payroll!$F56,IF(K$2&gt;Payroll!$I56,Payroll!$F56*((1+Payroll!$J56)^(ROUNDDOWN(DATEDIF(Payroll!$I56,K$2,"M")/Payroll!$K56,0))),0))</f>
        <v>0</v>
      </c>
      <c r="L133" s="56">
        <f>IF(L$2=Payroll!$I56,Payroll!$F56,IF(L$2&gt;Payroll!$I56,Payroll!$F56*((1+Payroll!$J56)^(ROUNDDOWN(DATEDIF(Payroll!$I56,L$2,"M")/Payroll!$K56,0))),0))</f>
        <v>0</v>
      </c>
      <c r="M133" s="56">
        <f>IF(M$2=Payroll!$I56,Payroll!$F56,IF(M$2&gt;Payroll!$I56,Payroll!$F56*((1+Payroll!$J56)^(ROUNDDOWN(DATEDIF(Payroll!$I56,M$2,"M")/Payroll!$K56,0))),0))</f>
        <v>0</v>
      </c>
      <c r="N133" s="56">
        <f>IF(N$2=Payroll!$I56,Payroll!$F56,IF(N$2&gt;Payroll!$I56,Payroll!$F56*((1+Payroll!$J56)^(ROUNDDOWN(DATEDIF(Payroll!$I56,N$2,"M")/Payroll!$K56,0))),0))</f>
        <v>0</v>
      </c>
      <c r="O133" s="56">
        <f>IF(O$2=Payroll!$I56,Payroll!$F56,IF(O$2&gt;Payroll!$I56,Payroll!$F56*((1+Payroll!$J56)^(ROUNDDOWN(DATEDIF(Payroll!$I56,O$2,"M")/Payroll!$K56,0))),0))</f>
        <v>0</v>
      </c>
      <c r="P133" s="56">
        <f>IF(P$2=Payroll!$I56,Payroll!$F56,IF(P$2&gt;Payroll!$I56,Payroll!$F56*((1+Payroll!$J56)^(ROUNDDOWN(DATEDIF(Payroll!$I56,P$2,"M")/Payroll!$K56,0))),0))</f>
        <v>0</v>
      </c>
      <c r="Q133" s="56">
        <f>IF(Q$2=Payroll!$I56,Payroll!$F56,IF(Q$2&gt;Payroll!$I56,Payroll!$F56*((1+Payroll!$J56)^(ROUNDDOWN(DATEDIF(Payroll!$I56,Q$2,"M")/Payroll!$K56,0))),0))</f>
        <v>0</v>
      </c>
      <c r="R133" s="56">
        <f>IF(R$2=Payroll!$I56,Payroll!$F56,IF(R$2&gt;Payroll!$I56,Payroll!$F56*((1+Payroll!$J56)^(ROUNDDOWN(DATEDIF(Payroll!$I56,R$2,"M")/Payroll!$K56,0))),0))</f>
        <v>0</v>
      </c>
      <c r="S133" s="56">
        <f>IF(S$2=Payroll!$I56,Payroll!$F56,IF(S$2&gt;Payroll!$I56,Payroll!$F56*((1+Payroll!$J56)^(ROUNDDOWN(DATEDIF(Payroll!$I56,S$2,"M")/Payroll!$K56,0))),0))</f>
        <v>0</v>
      </c>
      <c r="T133" s="56">
        <f>IF(T$2=Payroll!$I56,Payroll!$F56,IF(T$2&gt;Payroll!$I56,Payroll!$F56*((1+Payroll!$J56)^(ROUNDDOWN(DATEDIF(Payroll!$I56,T$2,"M")/Payroll!$K56,0))),0))</f>
        <v>0</v>
      </c>
      <c r="U133" s="56">
        <f>IF(U$2=Payroll!$I56,Payroll!$F56,IF(U$2&gt;Payroll!$I56,Payroll!$F56*((1+Payroll!$J56)^(ROUNDDOWN(DATEDIF(Payroll!$I56,U$2,"M")/Payroll!$K56,0))),0))</f>
        <v>0</v>
      </c>
      <c r="V133" s="56">
        <f>IF(V$2=Payroll!$I56,Payroll!$F56,IF(V$2&gt;Payroll!$I56,Payroll!$F56*((1+Payroll!$J56)^(ROUNDDOWN(DATEDIF(Payroll!$I56,V$2,"M")/Payroll!$K56,0))),0))</f>
        <v>0</v>
      </c>
      <c r="W133" s="56">
        <f>IF(W$2=Payroll!$I56,Payroll!$F56,IF(W$2&gt;Payroll!$I56,Payroll!$F56*((1+Payroll!$J56)^(ROUNDDOWN(DATEDIF(Payroll!$I56,W$2,"M")/Payroll!$K56,0))),0))</f>
        <v>0</v>
      </c>
      <c r="X133" s="56">
        <f>IF(X$2=Payroll!$I56,Payroll!$F56,IF(X$2&gt;Payroll!$I56,Payroll!$F56*((1+Payroll!$J56)^(ROUNDDOWN(DATEDIF(Payroll!$I56,X$2,"M")/Payroll!$K56,0))),0))</f>
        <v>0</v>
      </c>
      <c r="Y133" s="56">
        <f>IF(Y$2=Payroll!$I56,Payroll!$F56,IF(Y$2&gt;Payroll!$I56,Payroll!$F56*((1+Payroll!$J56)^(ROUNDDOWN(DATEDIF(Payroll!$I56,Y$2,"M")/Payroll!$K56,0))),0))</f>
        <v>0</v>
      </c>
      <c r="Z133" s="56">
        <f>IF(Z$2=Payroll!$I56,Payroll!$F56,IF(Z$2&gt;Payroll!$I56,Payroll!$F56*((1+Payroll!$J56)^(ROUNDDOWN(DATEDIF(Payroll!$I56,Z$2,"M")/Payroll!$K56,0))),0))</f>
        <v>0</v>
      </c>
      <c r="AA133" s="56">
        <f>IF(AA$2=Payroll!$I56,Payroll!$F56,IF(AA$2&gt;Payroll!$I56,Payroll!$F56*((1+Payroll!$J56)^(ROUNDDOWN(DATEDIF(Payroll!$I56,AA$2,"M")/Payroll!$K56,0))),0))</f>
        <v>0</v>
      </c>
      <c r="AB133" s="56">
        <f>IF(AB$2=Payroll!$I56,Payroll!$F56,IF(AB$2&gt;Payroll!$I56,Payroll!$F56*((1+Payroll!$J56)^(ROUNDDOWN(DATEDIF(Payroll!$I56,AB$2,"M")/Payroll!$K56,0))),0))</f>
        <v>0</v>
      </c>
      <c r="AC133" s="56">
        <f>IF(AC$2=Payroll!$I56,Payroll!$F56,IF(AC$2&gt;Payroll!$I56,Payroll!$F56*((1+Payroll!$J56)^(ROUNDDOWN(DATEDIF(Payroll!$I56,AC$2,"M")/Payroll!$K56,0))),0))</f>
        <v>0</v>
      </c>
      <c r="AD133" s="56">
        <f>IF(AD$2=Payroll!$I56,Payroll!$F56,IF(AD$2&gt;Payroll!$I56,Payroll!$F56*((1+Payroll!$J56)^(ROUNDDOWN(DATEDIF(Payroll!$I56,AD$2,"M")/Payroll!$K56,0))),0))</f>
        <v>0</v>
      </c>
      <c r="AE133" s="56">
        <f>IF(AE$2=Payroll!$I56,Payroll!$F56,IF(AE$2&gt;Payroll!$I56,Payroll!$F56*((1+Payroll!$J56)^(ROUNDDOWN(DATEDIF(Payroll!$I56,AE$2,"M")/Payroll!$K56,0))),0))</f>
        <v>0</v>
      </c>
      <c r="AF133" s="56">
        <f>IF(AF$2=Payroll!$I56,Payroll!$F56,IF(AF$2&gt;Payroll!$I56,Payroll!$F56*((1+Payroll!$J56)^(ROUNDDOWN(DATEDIF(Payroll!$I56,AF$2,"M")/Payroll!$K56,0))),0))</f>
        <v>0</v>
      </c>
      <c r="AG133" s="56">
        <f>IF(AG$2=Payroll!$I56,Payroll!$F56,IF(AG$2&gt;Payroll!$I56,Payroll!$F56*((1+Payroll!$J56)^(ROUNDDOWN(DATEDIF(Payroll!$I56,AG$2,"M")/Payroll!$K56,0))),0))</f>
        <v>0</v>
      </c>
      <c r="AH133" s="56">
        <f>IF(AH$2=Payroll!$I56,Payroll!$F56,IF(AH$2&gt;Payroll!$I56,Payroll!$F56*((1+Payroll!$J56)^(ROUNDDOWN(DATEDIF(Payroll!$I56,AH$2,"M")/Payroll!$K56,0))),0))</f>
        <v>0</v>
      </c>
      <c r="AI133" s="56">
        <f>IF(AI$2=Payroll!$I56,Payroll!$F56,IF(AI$2&gt;Payroll!$I56,Payroll!$F56*((1+Payroll!$J56)^(ROUNDDOWN(DATEDIF(Payroll!$I56,AI$2,"M")/Payroll!$K56,0))),0))</f>
        <v>0</v>
      </c>
      <c r="AJ133" s="56">
        <f>IF(AJ$2=Payroll!$I56,Payroll!$F56,IF(AJ$2&gt;Payroll!$I56,Payroll!$F56*((1+Payroll!$J56)^(ROUNDDOWN(DATEDIF(Payroll!$I56,AJ$2,"M")/Payroll!$K56,0))),0))</f>
        <v>0</v>
      </c>
      <c r="AK133" s="56">
        <f>IF(AK$2=Payroll!$I56,Payroll!$F56,IF(AK$2&gt;Payroll!$I56,Payroll!$F56*((1+Payroll!$J56)^(ROUNDDOWN(DATEDIF(Payroll!$I56,AK$2,"M")/Payroll!$K56,0))),0))</f>
        <v>0</v>
      </c>
      <c r="AL133" s="56">
        <f>IF(AL$2=Payroll!$I56,Payroll!$F56,IF(AL$2&gt;Payroll!$I56,Payroll!$F56*((1+Payroll!$J56)^(ROUNDDOWN(DATEDIF(Payroll!$I56,AL$2,"M")/Payroll!$K56,0))),0))</f>
        <v>0</v>
      </c>
      <c r="AM133" s="56">
        <f>IF(AM$2=Payroll!$I56,Payroll!$F56,IF(AM$2&gt;Payroll!$I56,Payroll!$F56*((1+Payroll!$J56)^(ROUNDDOWN(DATEDIF(Payroll!$I56,AM$2,"M")/Payroll!$K56,0))),0))</f>
        <v>0</v>
      </c>
      <c r="AN133" s="56">
        <f>IF(AN$2=Payroll!$I56,Payroll!$F56,IF(AN$2&gt;Payroll!$I56,Payroll!$F56*((1+Payroll!$J56)^(ROUNDDOWN(DATEDIF(Payroll!$I56,AN$2,"M")/Payroll!$K56,0))),0))</f>
        <v>0</v>
      </c>
      <c r="AO133" s="56">
        <f>IF(AO$2=Payroll!$I56,Payroll!$F56,IF(AO$2&gt;Payroll!$I56,Payroll!$F56*((1+Payroll!$J56)^(ROUNDDOWN(DATEDIF(Payroll!$I56,AO$2,"M")/Payroll!$K56,0))),0))</f>
        <v>0</v>
      </c>
      <c r="AP133" s="56">
        <f>IF(AP$2=Payroll!$I56,Payroll!$F56,IF(AP$2&gt;Payroll!$I56,Payroll!$F56*((1+Payroll!$J56)^(ROUNDDOWN(DATEDIF(Payroll!$I56,AP$2,"M")/Payroll!$K56,0))),0))</f>
        <v>0</v>
      </c>
      <c r="AQ133" s="56">
        <f>IF(AQ$2=Payroll!$I56,Payroll!$F56,IF(AQ$2&gt;Payroll!$I56,Payroll!$F56*((1+Payroll!$J56)^(ROUNDDOWN(DATEDIF(Payroll!$I56,AQ$2,"M")/Payroll!$K56,0))),0))</f>
        <v>0</v>
      </c>
      <c r="AR133" s="56">
        <f>IF(AR$2=Payroll!$I56,Payroll!$F56,IF(AR$2&gt;Payroll!$I56,Payroll!$F56*((1+Payroll!$J56)^(ROUNDDOWN(DATEDIF(Payroll!$I56,AR$2,"M")/Payroll!$K56,0))),0))</f>
        <v>0</v>
      </c>
      <c r="AS133" s="56">
        <f>IF(AS$2=Payroll!$I56,Payroll!$F56,IF(AS$2&gt;Payroll!$I56,Payroll!$F56*((1+Payroll!$J56)^(ROUNDDOWN(DATEDIF(Payroll!$I56,AS$2,"M")/Payroll!$K56,0))),0))</f>
        <v>0</v>
      </c>
      <c r="AT133" s="56">
        <f>IF(AT$2=Payroll!$I56,Payroll!$F56,IF(AT$2&gt;Payroll!$I56,Payroll!$F56*((1+Payroll!$J56)^(ROUNDDOWN(DATEDIF(Payroll!$I56,AT$2,"M")/Payroll!$K56,0))),0))</f>
        <v>0</v>
      </c>
      <c r="AU133" s="56">
        <f>IF(AU$2=Payroll!$I56,Payroll!$F56,IF(AU$2&gt;Payroll!$I56,Payroll!$F56*((1+Payroll!$J56)^(ROUNDDOWN(DATEDIF(Payroll!$I56,AU$2,"M")/Payroll!$K56,0))),0))</f>
        <v>0</v>
      </c>
      <c r="AV133" s="56">
        <f>IF(AV$2=Payroll!$I56,Payroll!$F56,IF(AV$2&gt;Payroll!$I56,Payroll!$F56*((1+Payroll!$J56)^(ROUNDDOWN(DATEDIF(Payroll!$I56,AV$2,"M")/Payroll!$K56,0))),0))</f>
        <v>0</v>
      </c>
      <c r="AW133" s="56">
        <f>IF(AW$2=Payroll!$I56,Payroll!$F56,IF(AW$2&gt;Payroll!$I56,Payroll!$F56*((1+Payroll!$J56)^(ROUNDDOWN(DATEDIF(Payroll!$I56,AW$2,"M")/Payroll!$K56,0))),0))</f>
        <v>0</v>
      </c>
      <c r="AX133" s="56">
        <f>IF(AX$2=Payroll!$I56,Payroll!$F56,IF(AX$2&gt;Payroll!$I56,Payroll!$F56*((1+Payroll!$J56)^(ROUNDDOWN(DATEDIF(Payroll!$I56,AX$2,"M")/Payroll!$K56,0))),0))</f>
        <v>0</v>
      </c>
      <c r="AY133" s="56">
        <f>IF(AY$2=Payroll!$I56,Payroll!$F56,IF(AY$2&gt;Payroll!$I56,Payroll!$F56*((1+Payroll!$J56)^(ROUNDDOWN(DATEDIF(Payroll!$I56,AY$2,"M")/Payroll!$K56,0))),0))</f>
        <v>0</v>
      </c>
      <c r="AZ133" s="56">
        <f>IF(AZ$2=Payroll!$I56,Payroll!$F56,IF(AZ$2&gt;Payroll!$I56,Payroll!$F56*((1+Payroll!$J56)^(ROUNDDOWN(DATEDIF(Payroll!$I56,AZ$2,"M")/Payroll!$K56,0))),0))</f>
        <v>0</v>
      </c>
      <c r="BA133" s="56">
        <f>IF(BA$2=Payroll!$I56,Payroll!$F56,IF(BA$2&gt;Payroll!$I56,Payroll!$F56*((1+Payroll!$J56)^(ROUNDDOWN(DATEDIF(Payroll!$I56,BA$2,"M")/Payroll!$K56,0))),0))</f>
        <v>0</v>
      </c>
      <c r="BB133" s="56">
        <f>IF(BB$2=Payroll!$I56,Payroll!$F56,IF(BB$2&gt;Payroll!$I56,Payroll!$F56*((1+Payroll!$J56)^(ROUNDDOWN(DATEDIF(Payroll!$I56,BB$2,"M")/Payroll!$K56,0))),0))</f>
        <v>0</v>
      </c>
      <c r="BC133" s="56">
        <f>IF(BC$2=Payroll!$I56,Payroll!$F56,IF(BC$2&gt;Payroll!$I56,Payroll!$F56*((1+Payroll!$J56)^(ROUNDDOWN(DATEDIF(Payroll!$I56,BC$2,"M")/Payroll!$K56,0))),0))</f>
        <v>0</v>
      </c>
      <c r="BD133" s="56">
        <f>IF(BD$2=Payroll!$I56,Payroll!$F56,IF(BD$2&gt;Payroll!$I56,Payroll!$F56*((1+Payroll!$J56)^(ROUNDDOWN(DATEDIF(Payroll!$I56,BD$2,"M")/Payroll!$K56,0))),0))</f>
        <v>0</v>
      </c>
      <c r="BE133" s="56">
        <f>IF(BE$2=Payroll!$I56,Payroll!$F56,IF(BE$2&gt;Payroll!$I56,Payroll!$F56*((1+Payroll!$J56)^(ROUNDDOWN(DATEDIF(Payroll!$I56,BE$2,"M")/Payroll!$K56,0))),0))</f>
        <v>0</v>
      </c>
      <c r="BF133" s="56">
        <f>IF(BF$2=Payroll!$I56,Payroll!$F56,IF(BF$2&gt;Payroll!$I56,Payroll!$F56*((1+Payroll!$J56)^(ROUNDDOWN(DATEDIF(Payroll!$I56,BF$2,"M")/Payroll!$K56,0))),0))</f>
        <v>0</v>
      </c>
      <c r="BG133" s="56">
        <f>IF(BG$2=Payroll!$I56,Payroll!$F56,IF(BG$2&gt;Payroll!$I56,Payroll!$F56*((1+Payroll!$J56)^(ROUNDDOWN(DATEDIF(Payroll!$I56,BG$2,"M")/Payroll!$K56,0))),0))</f>
        <v>0</v>
      </c>
      <c r="BH133" s="56">
        <f>IF(BH$2=Payroll!$I56,Payroll!$F56,IF(BH$2&gt;Payroll!$I56,Payroll!$F56*((1+Payroll!$J56)^(ROUNDDOWN(DATEDIF(Payroll!$I56,BH$2,"M")/Payroll!$K56,0))),0))</f>
        <v>0</v>
      </c>
      <c r="BI133" s="56">
        <f>IF(BI$2=Payroll!$I56,Payroll!$F56,IF(BI$2&gt;Payroll!$I56,Payroll!$F56*((1+Payroll!$J56)^(ROUNDDOWN(DATEDIF(Payroll!$I56,BI$2,"M")/Payroll!$K56,0))),0))</f>
        <v>0</v>
      </c>
      <c r="BJ133" s="56">
        <f>IF(BJ$2=Payroll!$I56,Payroll!$F56,IF(BJ$2&gt;Payroll!$I56,Payroll!$F56*((1+Payroll!$J56)^(ROUNDDOWN(DATEDIF(Payroll!$I56,BJ$2,"M")/Payroll!$K56,0))),0))</f>
        <v>0</v>
      </c>
      <c r="BK133" s="56">
        <f>IF(BK$2=Payroll!$I56,Payroll!$F56,IF(BK$2&gt;Payroll!$I56,Payroll!$F56*((1+Payroll!$J56)^(ROUNDDOWN(DATEDIF(Payroll!$I56,BK$2,"M")/Payroll!$K56,0))),0))</f>
        <v>0</v>
      </c>
      <c r="BL133" s="56">
        <f>IF(BL$2=Payroll!$I56,Payroll!$F56,IF(BL$2&gt;Payroll!$I56,Payroll!$F56*((1+Payroll!$J56)^(ROUNDDOWN(DATEDIF(Payroll!$I56,BL$2,"M")/Payroll!$K56,0))),0))</f>
        <v>0</v>
      </c>
      <c r="BM133" s="56">
        <f>IF(BM$2=Payroll!$I56,Payroll!$F56,IF(BM$2&gt;Payroll!$I56,Payroll!$F56*((1+Payroll!$J56)^(ROUNDDOWN(DATEDIF(Payroll!$I56,BM$2,"M")/Payroll!$K56,0))),0))</f>
        <v>0</v>
      </c>
      <c r="BN133" s="56">
        <f>IF(BN$2=Payroll!$I56,Payroll!$F56,IF(BN$2&gt;Payroll!$I56,Payroll!$F56*((1+Payroll!$J56)^(ROUNDDOWN(DATEDIF(Payroll!$I56,BN$2,"M")/Payroll!$K56,0))),0))</f>
        <v>0</v>
      </c>
      <c r="BO133" s="56">
        <f>IF(BO$2=Payroll!$I56,Payroll!$F56,IF(BO$2&gt;Payroll!$I56,Payroll!$F56*((1+Payroll!$J56)^(ROUNDDOWN(DATEDIF(Payroll!$I56,BO$2,"M")/Payroll!$K56,0))),0))</f>
        <v>0</v>
      </c>
      <c r="BP133" s="56">
        <f>IF(BP$2=Payroll!$I56,Payroll!$F56,IF(BP$2&gt;Payroll!$I56,Payroll!$F56*((1+Payroll!$J56)^(ROUNDDOWN(DATEDIF(Payroll!$I56,BP$2,"M")/Payroll!$K56,0))),0))</f>
        <v>0</v>
      </c>
      <c r="BQ133" s="56">
        <f>IF(BQ$2=Payroll!$I56,Payroll!$F56,IF(BQ$2&gt;Payroll!$I56,Payroll!$F56*((1+Payroll!$J56)^(ROUNDDOWN(DATEDIF(Payroll!$I56,BQ$2,"M")/Payroll!$K56,0))),0))</f>
        <v>0</v>
      </c>
      <c r="BR133" s="56">
        <f>IF(BR$2=Payroll!$I56,Payroll!$F56,IF(BR$2&gt;Payroll!$I56,Payroll!$F56*((1+Payroll!$J56)^(ROUNDDOWN(DATEDIF(Payroll!$I56,BR$2,"M")/Payroll!$K56,0))),0))</f>
        <v>0</v>
      </c>
      <c r="BS133" s="56">
        <f>IF(BS$2=Payroll!$I56,Payroll!$F56,IF(BS$2&gt;Payroll!$I56,Payroll!$F56*((1+Payroll!$J56)^(ROUNDDOWN(DATEDIF(Payroll!$I56,BS$2,"M")/Payroll!$K56,0))),0))</f>
        <v>0</v>
      </c>
      <c r="BT133" s="56">
        <f>IF(BT$2=Payroll!$I56,Payroll!$F56,IF(BT$2&gt;Payroll!$I56,Payroll!$F56*((1+Payroll!$J56)^(ROUNDDOWN(DATEDIF(Payroll!$I56,BT$2,"M")/Payroll!$K56,0))),0))</f>
        <v>0</v>
      </c>
      <c r="BU133" s="56">
        <f>IF(BU$2=Payroll!$I56,Payroll!$F56,IF(BU$2&gt;Payroll!$I56,Payroll!$F56*((1+Payroll!$J56)^(ROUNDDOWN(DATEDIF(Payroll!$I56,BU$2,"M")/Payroll!$K56,0))),0))</f>
        <v>0</v>
      </c>
      <c r="BV133" s="56">
        <f>IF(BV$2=Payroll!$I56,Payroll!$F56,IF(BV$2&gt;Payroll!$I56,Payroll!$F56*((1+Payroll!$J56)^(ROUNDDOWN(DATEDIF(Payroll!$I56,BV$2,"M")/Payroll!$K56,0))),0))</f>
        <v>0</v>
      </c>
      <c r="BW133" s="56">
        <f>IF(BW$2=Payroll!$I56,Payroll!$F56,IF(BW$2&gt;Payroll!$I56,Payroll!$F56*((1+Payroll!$J56)^(ROUNDDOWN(DATEDIF(Payroll!$I56,BW$2,"M")/Payroll!$K56,0))),0))</f>
        <v>0</v>
      </c>
      <c r="BX133" s="56">
        <f>IF(BX$2=Payroll!$I56,Payroll!$F56,IF(BX$2&gt;Payroll!$I56,Payroll!$F56*((1+Payroll!$J56)^(ROUNDDOWN(DATEDIF(Payroll!$I56,BX$2,"M")/Payroll!$K56,0))),0))</f>
        <v>0</v>
      </c>
      <c r="BY133" s="56">
        <f>IF(BY$2=Payroll!$I56,Payroll!$F56,IF(BY$2&gt;Payroll!$I56,Payroll!$F56*((1+Payroll!$J56)^(ROUNDDOWN(DATEDIF(Payroll!$I56,BY$2,"M")/Payroll!$K56,0))),0))</f>
        <v>0</v>
      </c>
      <c r="BZ133" s="56">
        <f>IF(BZ$2=Payroll!$I56,Payroll!$F56,IF(BZ$2&gt;Payroll!$I56,Payroll!$F56*((1+Payroll!$J56)^(ROUNDDOWN(DATEDIF(Payroll!$I56,BZ$2,"M")/Payroll!$K56,0))),0))</f>
        <v>0</v>
      </c>
      <c r="CA133" s="56">
        <f>IF(CA$2=Payroll!$I56,Payroll!$F56,IF(CA$2&gt;Payroll!$I56,Payroll!$F56*((1+Payroll!$J56)^(ROUNDDOWN(DATEDIF(Payroll!$I56,CA$2,"M")/Payroll!$K56,0))),0))</f>
        <v>0</v>
      </c>
      <c r="CB133" s="56">
        <f>IF(CB$2=Payroll!$I56,Payroll!$F56,IF(CB$2&gt;Payroll!$I56,Payroll!$F56*((1+Payroll!$J56)^(ROUNDDOWN(DATEDIF(Payroll!$I56,CB$2,"M")/Payroll!$K56,0))),0))</f>
        <v>0</v>
      </c>
      <c r="CC133" s="56">
        <f>IF(CC$2=Payroll!$I56,Payroll!$F56,IF(CC$2&gt;Payroll!$I56,Payroll!$F56*((1+Payroll!$J56)^(ROUNDDOWN(DATEDIF(Payroll!$I56,CC$2,"M")/Payroll!$K56,0))),0))</f>
        <v>0</v>
      </c>
      <c r="CD133" s="56">
        <f>IF(CD$2=Payroll!$I56,Payroll!$F56,IF(CD$2&gt;Payroll!$I56,Payroll!$F56*((1+Payroll!$J56)^(ROUNDDOWN(DATEDIF(Payroll!$I56,CD$2,"M")/Payroll!$K56,0))),0))</f>
        <v>0</v>
      </c>
      <c r="CE133" s="56">
        <f>IF(CE$2=Payroll!$I56,Payroll!$F56,IF(CE$2&gt;Payroll!$I56,Payroll!$F56*((1+Payroll!$J56)^(ROUNDDOWN(DATEDIF(Payroll!$I56,CE$2,"M")/Payroll!$K56,0))),0))</f>
        <v>0</v>
      </c>
      <c r="CF133" s="56">
        <f>IF(CF$2=Payroll!$I56,Payroll!$F56,IF(CF$2&gt;Payroll!$I56,Payroll!$F56*((1+Payroll!$J56)^(ROUNDDOWN(DATEDIF(Payroll!$I56,CF$2,"M")/Payroll!$K56,0))),0))</f>
        <v>0</v>
      </c>
      <c r="CG133" s="56">
        <f>IF(CG$2=Payroll!$I56,Payroll!$F56,IF(CG$2&gt;Payroll!$I56,Payroll!$F56*((1+Payroll!$J56)^(ROUNDDOWN(DATEDIF(Payroll!$I56,CG$2,"M")/Payroll!$K56,0))),0))</f>
        <v>0</v>
      </c>
      <c r="CH133" s="56">
        <f>IF(CH$2=Payroll!$I56,Payroll!$F56,IF(CH$2&gt;Payroll!$I56,Payroll!$F56*((1+Payroll!$J56)^(ROUNDDOWN(DATEDIF(Payroll!$I56,CH$2,"M")/Payroll!$K56,0))),0))</f>
        <v>0</v>
      </c>
      <c r="CI133" s="56">
        <f>IF(CI$2=Payroll!$I56,Payroll!$F56,IF(CI$2&gt;Payroll!$I56,Payroll!$F56*((1+Payroll!$J56)^(ROUNDDOWN(DATEDIF(Payroll!$I56,CI$2,"M")/Payroll!$K56,0))),0))</f>
        <v>0</v>
      </c>
      <c r="CJ133" s="56">
        <f>IF(CJ$2=Payroll!$I56,Payroll!$F56,IF(CJ$2&gt;Payroll!$I56,Payroll!$F56*((1+Payroll!$J56)^(ROUNDDOWN(DATEDIF(Payroll!$I56,CJ$2,"M")/Payroll!$K56,0))),0))</f>
        <v>0</v>
      </c>
      <c r="CK133" s="56">
        <f>IF(CK$2=Payroll!$I56,Payroll!$F56,IF(CK$2&gt;Payroll!$I56,Payroll!$F56*((1+Payroll!$J56)^(ROUNDDOWN(DATEDIF(Payroll!$I56,CK$2,"M")/Payroll!$K56,0))),0))</f>
        <v>0</v>
      </c>
      <c r="CL133" s="56">
        <f>IF(CL$2=Payroll!$I56,Payroll!$F56,IF(CL$2&gt;Payroll!$I56,Payroll!$F56*((1+Payroll!$J56)^(ROUNDDOWN(DATEDIF(Payroll!$I56,CL$2,"M")/Payroll!$K56,0))),0))</f>
        <v>0</v>
      </c>
      <c r="CM133" s="56">
        <f>IF(CM$2=Payroll!$I56,Payroll!$F56,IF(CM$2&gt;Payroll!$I56,Payroll!$F56*((1+Payroll!$J56)^(ROUNDDOWN(DATEDIF(Payroll!$I56,CM$2,"M")/Payroll!$K56,0))),0))</f>
        <v>0</v>
      </c>
      <c r="CN133" s="56">
        <f>IF(CN$2=Payroll!$I56,Payroll!$F56,IF(CN$2&gt;Payroll!$I56,Payroll!$F56*((1+Payroll!$J56)^(ROUNDDOWN(DATEDIF(Payroll!$I56,CN$2,"M")/Payroll!$K56,0))),0))</f>
        <v>0</v>
      </c>
      <c r="CO133" s="56">
        <f>IF(CO$2=Payroll!$I56,Payroll!$F56,IF(CO$2&gt;Payroll!$I56,Payroll!$F56*((1+Payroll!$J56)^(ROUNDDOWN(DATEDIF(Payroll!$I56,CO$2,"M")/Payroll!$K56,0))),0))</f>
        <v>0</v>
      </c>
      <c r="CP133" s="56">
        <f>IF(CP$2=Payroll!$I56,Payroll!$F56,IF(CP$2&gt;Payroll!$I56,Payroll!$F56*((1+Payroll!$J56)^(ROUNDDOWN(DATEDIF(Payroll!$I56,CP$2,"M")/Payroll!$K56,0))),0))</f>
        <v>0</v>
      </c>
      <c r="CQ133" s="56">
        <f>IF(CQ$2=Payroll!$I56,Payroll!$F56,IF(CQ$2&gt;Payroll!$I56,Payroll!$F56*((1+Payroll!$J56)^(ROUNDDOWN(DATEDIF(Payroll!$I56,CQ$2,"M")/Payroll!$K56,0))),0))</f>
        <v>0</v>
      </c>
      <c r="CR133" s="56">
        <f>IF(CR$2=Payroll!$I56,Payroll!$F56,IF(CR$2&gt;Payroll!$I56,Payroll!$F56*((1+Payroll!$J56)^(ROUNDDOWN(DATEDIF(Payroll!$I56,CR$2,"M")/Payroll!$K56,0))),0))</f>
        <v>0</v>
      </c>
      <c r="CS133" s="56">
        <f>IF(CS$2=Payroll!$I56,Payroll!$F56,IF(CS$2&gt;Payroll!$I56,Payroll!$F56*((1+Payroll!$J56)^(ROUNDDOWN(DATEDIF(Payroll!$I56,CS$2,"M")/Payroll!$K56,0))),0))</f>
        <v>0</v>
      </c>
      <c r="CT133" s="56">
        <f>IF(CT$2=Payroll!$I56,Payroll!$F56,IF(CT$2&gt;Payroll!$I56,Payroll!$F56*((1+Payroll!$J56)^(ROUNDDOWN(DATEDIF(Payroll!$I56,CT$2,"M")/Payroll!$K56,0))),0))</f>
        <v>0</v>
      </c>
      <c r="CU133" s="56">
        <f>IF(CU$2=Payroll!$I56,Payroll!$F56,IF(CU$2&gt;Payroll!$I56,Payroll!$F56*((1+Payroll!$J56)^(ROUNDDOWN(DATEDIF(Payroll!$I56,CU$2,"M")/Payroll!$K56,0))),0))</f>
        <v>0</v>
      </c>
      <c r="CV133" s="56">
        <f>IF(CV$2=Payroll!$I56,Payroll!$F56,IF(CV$2&gt;Payroll!$I56,Payroll!$F56*((1+Payroll!$J56)^(ROUNDDOWN(DATEDIF(Payroll!$I56,CV$2,"M")/Payroll!$K56,0))),0))</f>
        <v>0</v>
      </c>
      <c r="CW133" s="56">
        <f>IF(CW$2=Payroll!$I56,Payroll!$F56,IF(CW$2&gt;Payroll!$I56,Payroll!$F56*((1+Payroll!$J56)^(ROUNDDOWN(DATEDIF(Payroll!$I56,CW$2,"M")/Payroll!$K56,0))),0))</f>
        <v>0</v>
      </c>
      <c r="CX133" s="56">
        <f>IF(CX$2=Payroll!$I56,Payroll!$F56,IF(CX$2&gt;Payroll!$I56,Payroll!$F56*((1+Payroll!$J56)^(ROUNDDOWN(DATEDIF(Payroll!$I56,CX$2,"M")/Payroll!$K56,0))),0))</f>
        <v>0</v>
      </c>
    </row>
    <row r="134" ht="15.75" customHeight="1" outlineLevel="2">
      <c r="A134" s="56" t="str">
        <f>Payroll!A57</f>
        <v/>
      </c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</row>
    <row r="135" ht="15.75" customHeight="1" outlineLevel="2">
      <c r="A135" s="1" t="str">
        <f>Payroll!A58</f>
        <v/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ht="15.75" customHeight="1" outlineLevel="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ht="15.75" customHeight="1" outlineLevel="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ht="15.75" customHeight="1">
      <c r="A139" s="146" t="str">
        <f>Projections!A92</f>
        <v>ADVISORY SERVICES</v>
      </c>
      <c r="B139" s="146"/>
      <c r="C139" s="146"/>
      <c r="D139" s="146"/>
      <c r="E139" s="147">
        <f t="shared" ref="E139:CX139" si="25">E140+E143+E146</f>
        <v>0</v>
      </c>
      <c r="F139" s="147">
        <f t="shared" si="25"/>
        <v>0</v>
      </c>
      <c r="G139" s="147">
        <f t="shared" si="25"/>
        <v>0</v>
      </c>
      <c r="H139" s="147">
        <f t="shared" si="25"/>
        <v>0</v>
      </c>
      <c r="I139" s="147">
        <f t="shared" si="25"/>
        <v>0</v>
      </c>
      <c r="J139" s="147">
        <f t="shared" si="25"/>
        <v>0</v>
      </c>
      <c r="K139" s="147">
        <f t="shared" si="25"/>
        <v>0</v>
      </c>
      <c r="L139" s="147">
        <f t="shared" si="25"/>
        <v>0</v>
      </c>
      <c r="M139" s="147">
        <f t="shared" si="25"/>
        <v>0</v>
      </c>
      <c r="N139" s="147">
        <f t="shared" si="25"/>
        <v>0</v>
      </c>
      <c r="O139" s="147">
        <f t="shared" si="25"/>
        <v>0</v>
      </c>
      <c r="P139" s="147">
        <f t="shared" si="25"/>
        <v>0</v>
      </c>
      <c r="Q139" s="147">
        <f t="shared" si="25"/>
        <v>0</v>
      </c>
      <c r="R139" s="147">
        <f t="shared" si="25"/>
        <v>0</v>
      </c>
      <c r="S139" s="147">
        <f t="shared" si="25"/>
        <v>0</v>
      </c>
      <c r="T139" s="147">
        <f t="shared" si="25"/>
        <v>0</v>
      </c>
      <c r="U139" s="147">
        <f t="shared" si="25"/>
        <v>0</v>
      </c>
      <c r="V139" s="147">
        <f t="shared" si="25"/>
        <v>0</v>
      </c>
      <c r="W139" s="147">
        <f t="shared" si="25"/>
        <v>0</v>
      </c>
      <c r="X139" s="147">
        <f t="shared" si="25"/>
        <v>0</v>
      </c>
      <c r="Y139" s="147">
        <f t="shared" si="25"/>
        <v>0</v>
      </c>
      <c r="Z139" s="147">
        <f t="shared" si="25"/>
        <v>0</v>
      </c>
      <c r="AA139" s="147">
        <f t="shared" si="25"/>
        <v>0</v>
      </c>
      <c r="AB139" s="147">
        <f t="shared" si="25"/>
        <v>0</v>
      </c>
      <c r="AC139" s="147">
        <f t="shared" si="25"/>
        <v>0</v>
      </c>
      <c r="AD139" s="147">
        <f t="shared" si="25"/>
        <v>0</v>
      </c>
      <c r="AE139" s="147">
        <f t="shared" si="25"/>
        <v>0</v>
      </c>
      <c r="AF139" s="147">
        <f t="shared" si="25"/>
        <v>0</v>
      </c>
      <c r="AG139" s="147">
        <f t="shared" si="25"/>
        <v>0</v>
      </c>
      <c r="AH139" s="147">
        <f t="shared" si="25"/>
        <v>0</v>
      </c>
      <c r="AI139" s="147">
        <f t="shared" si="25"/>
        <v>0</v>
      </c>
      <c r="AJ139" s="147">
        <f t="shared" si="25"/>
        <v>0</v>
      </c>
      <c r="AK139" s="147">
        <f t="shared" si="25"/>
        <v>0</v>
      </c>
      <c r="AL139" s="147">
        <f t="shared" si="25"/>
        <v>0</v>
      </c>
      <c r="AM139" s="147">
        <f t="shared" si="25"/>
        <v>0</v>
      </c>
      <c r="AN139" s="147">
        <f t="shared" si="25"/>
        <v>0</v>
      </c>
      <c r="AO139" s="147">
        <f t="shared" si="25"/>
        <v>0</v>
      </c>
      <c r="AP139" s="147">
        <f t="shared" si="25"/>
        <v>0</v>
      </c>
      <c r="AQ139" s="147">
        <f t="shared" si="25"/>
        <v>0</v>
      </c>
      <c r="AR139" s="147">
        <f t="shared" si="25"/>
        <v>0</v>
      </c>
      <c r="AS139" s="147">
        <f t="shared" si="25"/>
        <v>0</v>
      </c>
      <c r="AT139" s="147">
        <f t="shared" si="25"/>
        <v>0</v>
      </c>
      <c r="AU139" s="147">
        <f t="shared" si="25"/>
        <v>0</v>
      </c>
      <c r="AV139" s="147">
        <f t="shared" si="25"/>
        <v>0</v>
      </c>
      <c r="AW139" s="147">
        <f t="shared" si="25"/>
        <v>0</v>
      </c>
      <c r="AX139" s="147">
        <f t="shared" si="25"/>
        <v>0</v>
      </c>
      <c r="AY139" s="147">
        <f t="shared" si="25"/>
        <v>0</v>
      </c>
      <c r="AZ139" s="147">
        <f t="shared" si="25"/>
        <v>0</v>
      </c>
      <c r="BA139" s="147">
        <f t="shared" si="25"/>
        <v>0</v>
      </c>
      <c r="BB139" s="147">
        <f t="shared" si="25"/>
        <v>0</v>
      </c>
      <c r="BC139" s="147">
        <f t="shared" si="25"/>
        <v>0</v>
      </c>
      <c r="BD139" s="147">
        <f t="shared" si="25"/>
        <v>0</v>
      </c>
      <c r="BE139" s="147">
        <f t="shared" si="25"/>
        <v>0</v>
      </c>
      <c r="BF139" s="147">
        <f t="shared" si="25"/>
        <v>0</v>
      </c>
      <c r="BG139" s="147">
        <f t="shared" si="25"/>
        <v>0</v>
      </c>
      <c r="BH139" s="147">
        <f t="shared" si="25"/>
        <v>0</v>
      </c>
      <c r="BI139" s="147">
        <f t="shared" si="25"/>
        <v>0</v>
      </c>
      <c r="BJ139" s="147">
        <f t="shared" si="25"/>
        <v>0</v>
      </c>
      <c r="BK139" s="147">
        <f t="shared" si="25"/>
        <v>0</v>
      </c>
      <c r="BL139" s="147">
        <f t="shared" si="25"/>
        <v>0</v>
      </c>
      <c r="BM139" s="147">
        <f t="shared" si="25"/>
        <v>0</v>
      </c>
      <c r="BN139" s="147">
        <f t="shared" si="25"/>
        <v>0</v>
      </c>
      <c r="BO139" s="147">
        <f t="shared" si="25"/>
        <v>0</v>
      </c>
      <c r="BP139" s="147">
        <f t="shared" si="25"/>
        <v>0</v>
      </c>
      <c r="BQ139" s="147">
        <f t="shared" si="25"/>
        <v>0</v>
      </c>
      <c r="BR139" s="147">
        <f t="shared" si="25"/>
        <v>0</v>
      </c>
      <c r="BS139" s="147">
        <f t="shared" si="25"/>
        <v>0</v>
      </c>
      <c r="BT139" s="147">
        <f t="shared" si="25"/>
        <v>0</v>
      </c>
      <c r="BU139" s="147">
        <f t="shared" si="25"/>
        <v>0</v>
      </c>
      <c r="BV139" s="147">
        <f t="shared" si="25"/>
        <v>0</v>
      </c>
      <c r="BW139" s="147">
        <f t="shared" si="25"/>
        <v>0</v>
      </c>
      <c r="BX139" s="147">
        <f t="shared" si="25"/>
        <v>0</v>
      </c>
      <c r="BY139" s="147">
        <f t="shared" si="25"/>
        <v>0</v>
      </c>
      <c r="BZ139" s="147">
        <f t="shared" si="25"/>
        <v>0</v>
      </c>
      <c r="CA139" s="147">
        <f t="shared" si="25"/>
        <v>0</v>
      </c>
      <c r="CB139" s="147">
        <f t="shared" si="25"/>
        <v>0</v>
      </c>
      <c r="CC139" s="147">
        <f t="shared" si="25"/>
        <v>0</v>
      </c>
      <c r="CD139" s="147">
        <f t="shared" si="25"/>
        <v>0</v>
      </c>
      <c r="CE139" s="147">
        <f t="shared" si="25"/>
        <v>0</v>
      </c>
      <c r="CF139" s="147">
        <f t="shared" si="25"/>
        <v>0</v>
      </c>
      <c r="CG139" s="147">
        <f t="shared" si="25"/>
        <v>0</v>
      </c>
      <c r="CH139" s="147">
        <f t="shared" si="25"/>
        <v>0</v>
      </c>
      <c r="CI139" s="147">
        <f t="shared" si="25"/>
        <v>0</v>
      </c>
      <c r="CJ139" s="147">
        <f t="shared" si="25"/>
        <v>0</v>
      </c>
      <c r="CK139" s="147">
        <f t="shared" si="25"/>
        <v>0</v>
      </c>
      <c r="CL139" s="147">
        <f t="shared" si="25"/>
        <v>0</v>
      </c>
      <c r="CM139" s="147">
        <f t="shared" si="25"/>
        <v>0</v>
      </c>
      <c r="CN139" s="147">
        <f t="shared" si="25"/>
        <v>0</v>
      </c>
      <c r="CO139" s="147">
        <f t="shared" si="25"/>
        <v>0</v>
      </c>
      <c r="CP139" s="147">
        <f t="shared" si="25"/>
        <v>0</v>
      </c>
      <c r="CQ139" s="147">
        <f t="shared" si="25"/>
        <v>0</v>
      </c>
      <c r="CR139" s="147">
        <f t="shared" si="25"/>
        <v>0</v>
      </c>
      <c r="CS139" s="147">
        <f t="shared" si="25"/>
        <v>0</v>
      </c>
      <c r="CT139" s="147">
        <f t="shared" si="25"/>
        <v>0</v>
      </c>
      <c r="CU139" s="147">
        <f t="shared" si="25"/>
        <v>0</v>
      </c>
      <c r="CV139" s="147">
        <f t="shared" si="25"/>
        <v>0</v>
      </c>
      <c r="CW139" s="147">
        <f t="shared" si="25"/>
        <v>0</v>
      </c>
      <c r="CX139" s="147">
        <f t="shared" si="25"/>
        <v>0</v>
      </c>
    </row>
    <row r="140" ht="15.75" customHeight="1" outlineLevel="1">
      <c r="A140" s="60" t="str">
        <f>Projections!A93</f>
        <v>Legal</v>
      </c>
      <c r="B140" s="60" t="s">
        <v>231</v>
      </c>
      <c r="C140" s="60"/>
      <c r="D140" s="60"/>
      <c r="E140" s="60">
        <f t="shared" ref="E140:CX140" si="26">SUM(E141:E142)</f>
        <v>0</v>
      </c>
      <c r="F140" s="60">
        <f t="shared" si="26"/>
        <v>0</v>
      </c>
      <c r="G140" s="60">
        <f t="shared" si="26"/>
        <v>0</v>
      </c>
      <c r="H140" s="60">
        <f t="shared" si="26"/>
        <v>0</v>
      </c>
      <c r="I140" s="60">
        <f t="shared" si="26"/>
        <v>0</v>
      </c>
      <c r="J140" s="60">
        <f t="shared" si="26"/>
        <v>0</v>
      </c>
      <c r="K140" s="60">
        <f t="shared" si="26"/>
        <v>0</v>
      </c>
      <c r="L140" s="60">
        <f t="shared" si="26"/>
        <v>0</v>
      </c>
      <c r="M140" s="60">
        <f t="shared" si="26"/>
        <v>0</v>
      </c>
      <c r="N140" s="60">
        <f t="shared" si="26"/>
        <v>0</v>
      </c>
      <c r="O140" s="60">
        <f t="shared" si="26"/>
        <v>0</v>
      </c>
      <c r="P140" s="60">
        <f t="shared" si="26"/>
        <v>0</v>
      </c>
      <c r="Q140" s="60">
        <f t="shared" si="26"/>
        <v>0</v>
      </c>
      <c r="R140" s="60">
        <f t="shared" si="26"/>
        <v>0</v>
      </c>
      <c r="S140" s="60">
        <f t="shared" si="26"/>
        <v>0</v>
      </c>
      <c r="T140" s="60">
        <f t="shared" si="26"/>
        <v>0</v>
      </c>
      <c r="U140" s="60">
        <f t="shared" si="26"/>
        <v>0</v>
      </c>
      <c r="V140" s="60">
        <f t="shared" si="26"/>
        <v>0</v>
      </c>
      <c r="W140" s="60">
        <f t="shared" si="26"/>
        <v>0</v>
      </c>
      <c r="X140" s="60">
        <f t="shared" si="26"/>
        <v>0</v>
      </c>
      <c r="Y140" s="60">
        <f t="shared" si="26"/>
        <v>0</v>
      </c>
      <c r="Z140" s="60">
        <f t="shared" si="26"/>
        <v>0</v>
      </c>
      <c r="AA140" s="60">
        <f t="shared" si="26"/>
        <v>0</v>
      </c>
      <c r="AB140" s="60">
        <f t="shared" si="26"/>
        <v>0</v>
      </c>
      <c r="AC140" s="60">
        <f t="shared" si="26"/>
        <v>0</v>
      </c>
      <c r="AD140" s="60">
        <f t="shared" si="26"/>
        <v>0</v>
      </c>
      <c r="AE140" s="60">
        <f t="shared" si="26"/>
        <v>0</v>
      </c>
      <c r="AF140" s="60">
        <f t="shared" si="26"/>
        <v>0</v>
      </c>
      <c r="AG140" s="60">
        <f t="shared" si="26"/>
        <v>0</v>
      </c>
      <c r="AH140" s="60">
        <f t="shared" si="26"/>
        <v>0</v>
      </c>
      <c r="AI140" s="60">
        <f t="shared" si="26"/>
        <v>0</v>
      </c>
      <c r="AJ140" s="60">
        <f t="shared" si="26"/>
        <v>0</v>
      </c>
      <c r="AK140" s="60">
        <f t="shared" si="26"/>
        <v>0</v>
      </c>
      <c r="AL140" s="60">
        <f t="shared" si="26"/>
        <v>0</v>
      </c>
      <c r="AM140" s="60">
        <f t="shared" si="26"/>
        <v>0</v>
      </c>
      <c r="AN140" s="60">
        <f t="shared" si="26"/>
        <v>0</v>
      </c>
      <c r="AO140" s="60">
        <f t="shared" si="26"/>
        <v>0</v>
      </c>
      <c r="AP140" s="60">
        <f t="shared" si="26"/>
        <v>0</v>
      </c>
      <c r="AQ140" s="60">
        <f t="shared" si="26"/>
        <v>0</v>
      </c>
      <c r="AR140" s="60">
        <f t="shared" si="26"/>
        <v>0</v>
      </c>
      <c r="AS140" s="60">
        <f t="shared" si="26"/>
        <v>0</v>
      </c>
      <c r="AT140" s="60">
        <f t="shared" si="26"/>
        <v>0</v>
      </c>
      <c r="AU140" s="60">
        <f t="shared" si="26"/>
        <v>0</v>
      </c>
      <c r="AV140" s="60">
        <f t="shared" si="26"/>
        <v>0</v>
      </c>
      <c r="AW140" s="60">
        <f t="shared" si="26"/>
        <v>0</v>
      </c>
      <c r="AX140" s="60">
        <f t="shared" si="26"/>
        <v>0</v>
      </c>
      <c r="AY140" s="60">
        <f t="shared" si="26"/>
        <v>0</v>
      </c>
      <c r="AZ140" s="60">
        <f t="shared" si="26"/>
        <v>0</v>
      </c>
      <c r="BA140" s="60">
        <f t="shared" si="26"/>
        <v>0</v>
      </c>
      <c r="BB140" s="60">
        <f t="shared" si="26"/>
        <v>0</v>
      </c>
      <c r="BC140" s="60">
        <f t="shared" si="26"/>
        <v>0</v>
      </c>
      <c r="BD140" s="60">
        <f t="shared" si="26"/>
        <v>0</v>
      </c>
      <c r="BE140" s="60">
        <f t="shared" si="26"/>
        <v>0</v>
      </c>
      <c r="BF140" s="60">
        <f t="shared" si="26"/>
        <v>0</v>
      </c>
      <c r="BG140" s="60">
        <f t="shared" si="26"/>
        <v>0</v>
      </c>
      <c r="BH140" s="60">
        <f t="shared" si="26"/>
        <v>0</v>
      </c>
      <c r="BI140" s="60">
        <f t="shared" si="26"/>
        <v>0</v>
      </c>
      <c r="BJ140" s="60">
        <f t="shared" si="26"/>
        <v>0</v>
      </c>
      <c r="BK140" s="60">
        <f t="shared" si="26"/>
        <v>0</v>
      </c>
      <c r="BL140" s="60">
        <f t="shared" si="26"/>
        <v>0</v>
      </c>
      <c r="BM140" s="60">
        <f t="shared" si="26"/>
        <v>0</v>
      </c>
      <c r="BN140" s="60">
        <f t="shared" si="26"/>
        <v>0</v>
      </c>
      <c r="BO140" s="60">
        <f t="shared" si="26"/>
        <v>0</v>
      </c>
      <c r="BP140" s="60">
        <f t="shared" si="26"/>
        <v>0</v>
      </c>
      <c r="BQ140" s="60">
        <f t="shared" si="26"/>
        <v>0</v>
      </c>
      <c r="BR140" s="60">
        <f t="shared" si="26"/>
        <v>0</v>
      </c>
      <c r="BS140" s="60">
        <f t="shared" si="26"/>
        <v>0</v>
      </c>
      <c r="BT140" s="60">
        <f t="shared" si="26"/>
        <v>0</v>
      </c>
      <c r="BU140" s="60">
        <f t="shared" si="26"/>
        <v>0</v>
      </c>
      <c r="BV140" s="60">
        <f t="shared" si="26"/>
        <v>0</v>
      </c>
      <c r="BW140" s="60">
        <f t="shared" si="26"/>
        <v>0</v>
      </c>
      <c r="BX140" s="60">
        <f t="shared" si="26"/>
        <v>0</v>
      </c>
      <c r="BY140" s="60">
        <f t="shared" si="26"/>
        <v>0</v>
      </c>
      <c r="BZ140" s="60">
        <f t="shared" si="26"/>
        <v>0</v>
      </c>
      <c r="CA140" s="60">
        <f t="shared" si="26"/>
        <v>0</v>
      </c>
      <c r="CB140" s="60">
        <f t="shared" si="26"/>
        <v>0</v>
      </c>
      <c r="CC140" s="60">
        <f t="shared" si="26"/>
        <v>0</v>
      </c>
      <c r="CD140" s="60">
        <f t="shared" si="26"/>
        <v>0</v>
      </c>
      <c r="CE140" s="60">
        <f t="shared" si="26"/>
        <v>0</v>
      </c>
      <c r="CF140" s="60">
        <f t="shared" si="26"/>
        <v>0</v>
      </c>
      <c r="CG140" s="60">
        <f t="shared" si="26"/>
        <v>0</v>
      </c>
      <c r="CH140" s="60">
        <f t="shared" si="26"/>
        <v>0</v>
      </c>
      <c r="CI140" s="60">
        <f t="shared" si="26"/>
        <v>0</v>
      </c>
      <c r="CJ140" s="60">
        <f t="shared" si="26"/>
        <v>0</v>
      </c>
      <c r="CK140" s="60">
        <f t="shared" si="26"/>
        <v>0</v>
      </c>
      <c r="CL140" s="60">
        <f t="shared" si="26"/>
        <v>0</v>
      </c>
      <c r="CM140" s="60">
        <f t="shared" si="26"/>
        <v>0</v>
      </c>
      <c r="CN140" s="60">
        <f t="shared" si="26"/>
        <v>0</v>
      </c>
      <c r="CO140" s="60">
        <f t="shared" si="26"/>
        <v>0</v>
      </c>
      <c r="CP140" s="60">
        <f t="shared" si="26"/>
        <v>0</v>
      </c>
      <c r="CQ140" s="60">
        <f t="shared" si="26"/>
        <v>0</v>
      </c>
      <c r="CR140" s="60">
        <f t="shared" si="26"/>
        <v>0</v>
      </c>
      <c r="CS140" s="60">
        <f t="shared" si="26"/>
        <v>0</v>
      </c>
      <c r="CT140" s="60">
        <f t="shared" si="26"/>
        <v>0</v>
      </c>
      <c r="CU140" s="60">
        <f t="shared" si="26"/>
        <v>0</v>
      </c>
      <c r="CV140" s="60">
        <f t="shared" si="26"/>
        <v>0</v>
      </c>
      <c r="CW140" s="60">
        <f t="shared" si="26"/>
        <v>0</v>
      </c>
      <c r="CX140" s="60">
        <f t="shared" si="26"/>
        <v>0</v>
      </c>
    </row>
    <row r="141" ht="15.75" customHeight="1" outlineLevel="1">
      <c r="A141" s="56" t="str">
        <f>Projections!A94</f>
        <v>Incorporation</v>
      </c>
      <c r="B141" s="56"/>
      <c r="C141" s="56"/>
      <c r="D141" s="56"/>
      <c r="E141" s="56">
        <f>IF(E2=Projections!$D$94,Projections!B94,0)</f>
        <v>0</v>
      </c>
      <c r="F141" s="56">
        <f>IF(F2=Projections!$D$94,Projections!C94,0)</f>
        <v>0</v>
      </c>
      <c r="G141" s="56">
        <f>IF(G2=Projections!$D$94,Projections!D94,0)</f>
        <v>0</v>
      </c>
      <c r="H141" s="56">
        <f>IF(H2=Projections!$D$94,Projections!E94,0)</f>
        <v>0</v>
      </c>
      <c r="I141" s="56">
        <f>IF(I2=Projections!$D$94,Projections!F94,0)</f>
        <v>0</v>
      </c>
      <c r="J141" s="56">
        <f>IF(J2=Projections!$D$94,Projections!G94,0)</f>
        <v>0</v>
      </c>
      <c r="K141" s="56">
        <f>IF(K2=Projections!$D$94,Projections!H94,0)</f>
        <v>0</v>
      </c>
      <c r="L141" s="56">
        <f>IF(L2=Projections!$D$94,Projections!I94,0)</f>
        <v>0</v>
      </c>
      <c r="M141" s="56">
        <f>IF(M2=Projections!$D$94,Projections!J94,0)</f>
        <v>0</v>
      </c>
      <c r="N141" s="56">
        <f>IF(N2=Projections!$D$94,Projections!K94,0)</f>
        <v>0</v>
      </c>
      <c r="O141" s="56">
        <f>IF(O2=Projections!$D$94,Projections!L94,0)</f>
        <v>0</v>
      </c>
      <c r="P141" s="56">
        <f>IF(P2=Projections!$D$94,Projections!M94,0)</f>
        <v>0</v>
      </c>
      <c r="Q141" s="56">
        <f>IF(Q2=Projections!$D$94,Projections!N94,0)</f>
        <v>0</v>
      </c>
      <c r="R141" s="56">
        <f>IF(R2=Projections!$D$94,Projections!O94,0)</f>
        <v>0</v>
      </c>
      <c r="S141" s="56">
        <f>IF(S2=Projections!$D$94,Projections!P94,0)</f>
        <v>0</v>
      </c>
      <c r="T141" s="56">
        <f>IF(T2=Projections!$D$94,Projections!Q94,0)</f>
        <v>0</v>
      </c>
      <c r="U141" s="56">
        <f>IF(U2=Projections!$D$94,Projections!R94,0)</f>
        <v>0</v>
      </c>
      <c r="V141" s="56">
        <f>IF(V2=Projections!$D$94,Projections!S94,0)</f>
        <v>0</v>
      </c>
      <c r="W141" s="56">
        <f>IF(W2=Projections!$D$94,Projections!T94,0)</f>
        <v>0</v>
      </c>
      <c r="X141" s="56">
        <f>IF(X2=Projections!$D$94,Projections!U94,0)</f>
        <v>0</v>
      </c>
      <c r="Y141" s="56">
        <f>IF(Y2=Projections!$D$94,Projections!V94,0)</f>
        <v>0</v>
      </c>
      <c r="Z141" s="56">
        <f>IF(Z2=Projections!$D$94,Projections!W94,0)</f>
        <v>0</v>
      </c>
      <c r="AA141" s="56">
        <f>IF(AA2=Projections!$D$94,Projections!X94,0)</f>
        <v>0</v>
      </c>
      <c r="AB141" s="56">
        <f>IF(AB2=Projections!$D$94,Projections!Y94,0)</f>
        <v>0</v>
      </c>
      <c r="AC141" s="56">
        <f>IF(AC2=Projections!$D$94,Projections!Z94,0)</f>
        <v>0</v>
      </c>
      <c r="AD141" s="56">
        <f>IF(AD2=Projections!$D$94,Projections!AA94,0)</f>
        <v>0</v>
      </c>
      <c r="AE141" s="56">
        <f>IF(AE2=Projections!$D$94,Projections!AB94,0)</f>
        <v>0</v>
      </c>
      <c r="AF141" s="56">
        <f>IF(AF2=Projections!$D$94,Projections!AC94,0)</f>
        <v>0</v>
      </c>
      <c r="AG141" s="56">
        <f>IF(AG2=Projections!$D$94,Projections!AD94,0)</f>
        <v>0</v>
      </c>
      <c r="AH141" s="56">
        <f>IF(AH2=Projections!$D$94,Projections!AE94,0)</f>
        <v>0</v>
      </c>
      <c r="AI141" s="56">
        <f>IF(AI2=Projections!$D$94,Projections!AF94,0)</f>
        <v>0</v>
      </c>
      <c r="AJ141" s="56">
        <f>IF(AJ2=Projections!$D$94,Projections!AG94,0)</f>
        <v>0</v>
      </c>
      <c r="AK141" s="56">
        <f>IF(AK2=Projections!$D$94,Projections!AH94,0)</f>
        <v>0</v>
      </c>
      <c r="AL141" s="56">
        <f>IF(AL2=Projections!$D$94,Projections!AI94,0)</f>
        <v>0</v>
      </c>
      <c r="AM141" s="56">
        <f>IF(AM2=Projections!$D$94,Projections!AJ94,0)</f>
        <v>0</v>
      </c>
      <c r="AN141" s="56">
        <f>IF(AN2=Projections!$D$94,Projections!AK94,0)</f>
        <v>0</v>
      </c>
      <c r="AO141" s="56">
        <f>IF(AO2=Projections!$D$94,Projections!AL94,0)</f>
        <v>0</v>
      </c>
      <c r="AP141" s="56">
        <f>IF(AP2=Projections!$D$94,Projections!AM94,0)</f>
        <v>0</v>
      </c>
      <c r="AQ141" s="56">
        <f>IF(AQ2=Projections!$D$94,Projections!AN94,0)</f>
        <v>0</v>
      </c>
      <c r="AR141" s="56">
        <f>IF(AR2=Projections!$D$94,Projections!AO94,0)</f>
        <v>0</v>
      </c>
      <c r="AS141" s="56">
        <f>IF(AS2=Projections!$D$94,Projections!AP94,0)</f>
        <v>0</v>
      </c>
      <c r="AT141" s="56">
        <f>IF(AT2=Projections!$D$94,Projections!AQ94,0)</f>
        <v>0</v>
      </c>
      <c r="AU141" s="56">
        <f>IF(AU2=Projections!$D$94,Projections!AR94,0)</f>
        <v>0</v>
      </c>
      <c r="AV141" s="56">
        <f>IF(AV2=Projections!$D$94,Projections!AS94,0)</f>
        <v>0</v>
      </c>
      <c r="AW141" s="56">
        <f>IF(AW2=Projections!$D$94,Projections!AT94,0)</f>
        <v>0</v>
      </c>
      <c r="AX141" s="56">
        <f>IF(AX2=Projections!$D$94,Projections!AU94,0)</f>
        <v>0</v>
      </c>
      <c r="AY141" s="56">
        <f>IF(AY2=Projections!$D$94,Projections!AV94,0)</f>
        <v>0</v>
      </c>
      <c r="AZ141" s="56">
        <f>IF(AZ2=Projections!$D$94,Projections!AW94,0)</f>
        <v>0</v>
      </c>
      <c r="BA141" s="56">
        <f>IF(BA2=Projections!$D$94,Projections!AX94,0)</f>
        <v>0</v>
      </c>
      <c r="BB141" s="56">
        <f>IF(BB2=Projections!$D$94,Projections!AY94,0)</f>
        <v>0</v>
      </c>
      <c r="BC141" s="56">
        <f>IF(BC2=Projections!$D$94,Projections!AZ94,0)</f>
        <v>0</v>
      </c>
      <c r="BD141" s="56">
        <f>IF(BD2=Projections!$D$94,Projections!BA94,0)</f>
        <v>0</v>
      </c>
      <c r="BE141" s="56">
        <f>IF(BE2=Projections!$D$94,Projections!BB94,0)</f>
        <v>0</v>
      </c>
      <c r="BF141" s="56">
        <f>IF(BF2=Projections!$D$94,Projections!BC94,0)</f>
        <v>0</v>
      </c>
      <c r="BG141" s="56">
        <f>IF(BG2=Projections!$D$94,Projections!BD94,0)</f>
        <v>0</v>
      </c>
      <c r="BH141" s="56">
        <f>IF(BH2=Projections!$D$94,Projections!BE94,0)</f>
        <v>0</v>
      </c>
      <c r="BI141" s="56">
        <f>IF(BI2=Projections!$D$94,Projections!BF94,0)</f>
        <v>0</v>
      </c>
      <c r="BJ141" s="56">
        <f>IF(BJ2=Projections!$D$94,Projections!BG94,0)</f>
        <v>0</v>
      </c>
      <c r="BK141" s="56">
        <f>IF(BK2=Projections!$D$94,Projections!BH94,0)</f>
        <v>0</v>
      </c>
      <c r="BL141" s="56">
        <f>IF(BL2=Projections!$D$94,Projections!BI94,0)</f>
        <v>0</v>
      </c>
      <c r="BM141" s="56">
        <f>IF(BM2=Projections!$D$94,Projections!BJ94,0)</f>
        <v>0</v>
      </c>
      <c r="BN141" s="56">
        <f>IF(BN2=Projections!$D$94,Projections!BK94,0)</f>
        <v>0</v>
      </c>
      <c r="BO141" s="56">
        <f>IF(BO2=Projections!$D$94,Projections!BL94,0)</f>
        <v>0</v>
      </c>
      <c r="BP141" s="56">
        <f>IF(BP2=Projections!$D$94,Projections!BM94,0)</f>
        <v>0</v>
      </c>
      <c r="BQ141" s="56">
        <f>IF(BQ2=Projections!$D$94,Projections!BN94,0)</f>
        <v>0</v>
      </c>
      <c r="BR141" s="56">
        <f>IF(BR2=Projections!$D$94,Projections!BO94,0)</f>
        <v>0</v>
      </c>
      <c r="BS141" s="56">
        <f>IF(BS2=Projections!$D$94,Projections!BP94,0)</f>
        <v>0</v>
      </c>
      <c r="BT141" s="56">
        <f>IF(BT2=Projections!$D$94,Projections!BQ94,0)</f>
        <v>0</v>
      </c>
      <c r="BU141" s="56">
        <f>IF(BU2=Projections!$D$94,Projections!BR94,0)</f>
        <v>0</v>
      </c>
      <c r="BV141" s="56">
        <f>IF(BV2=Projections!$D$94,Projections!BS94,0)</f>
        <v>0</v>
      </c>
      <c r="BW141" s="56">
        <f>IF(BW2=Projections!$D$94,Projections!BT94,0)</f>
        <v>0</v>
      </c>
      <c r="BX141" s="56">
        <f>IF(BX2=Projections!$D$94,Projections!BU94,0)</f>
        <v>0</v>
      </c>
      <c r="BY141" s="56">
        <f>IF(BY2=Projections!$D$94,Projections!BV94,0)</f>
        <v>0</v>
      </c>
      <c r="BZ141" s="56">
        <f>IF(BZ2=Projections!$D$94,Projections!BW94,0)</f>
        <v>0</v>
      </c>
      <c r="CA141" s="56">
        <f>IF(CA2=Projections!$D$94,Projections!BX94,0)</f>
        <v>0</v>
      </c>
      <c r="CB141" s="56">
        <f>IF(CB2=Projections!$D$94,Projections!BY94,0)</f>
        <v>0</v>
      </c>
      <c r="CC141" s="56">
        <f>IF(CC2=Projections!$D$94,Projections!BZ94,0)</f>
        <v>0</v>
      </c>
      <c r="CD141" s="56">
        <f>IF(CD2=Projections!$D$94,Projections!CA94,0)</f>
        <v>0</v>
      </c>
      <c r="CE141" s="56">
        <f>IF(CE2=Projections!$D$94,Projections!CB94,0)</f>
        <v>0</v>
      </c>
      <c r="CF141" s="56">
        <f>IF(CF2=Projections!$D$94,Projections!CC94,0)</f>
        <v>0</v>
      </c>
      <c r="CG141" s="56">
        <f>IF(CG2=Projections!$D$94,Projections!CD94,0)</f>
        <v>0</v>
      </c>
      <c r="CH141" s="56">
        <f>IF(CH2=Projections!$D$94,Projections!CE94,0)</f>
        <v>0</v>
      </c>
      <c r="CI141" s="56">
        <f>IF(CI2=Projections!$D$94,Projections!CF94,0)</f>
        <v>0</v>
      </c>
      <c r="CJ141" s="56">
        <f>IF(CJ2=Projections!$D$94,Projections!CG94,0)</f>
        <v>0</v>
      </c>
      <c r="CK141" s="56">
        <f>IF(CK2=Projections!$D$94,Projections!CH94,0)</f>
        <v>0</v>
      </c>
      <c r="CL141" s="56">
        <f>IF(CL2=Projections!$D$94,Projections!CI94,0)</f>
        <v>0</v>
      </c>
      <c r="CM141" s="56">
        <f>IF(CM2=Projections!$D$94,Projections!CJ94,0)</f>
        <v>0</v>
      </c>
      <c r="CN141" s="56">
        <f>IF(CN2=Projections!$D$94,Projections!CK94,0)</f>
        <v>0</v>
      </c>
      <c r="CO141" s="56">
        <f>IF(CO2=Projections!$D$94,Projections!CL94,0)</f>
        <v>0</v>
      </c>
      <c r="CP141" s="56">
        <f>IF(CP2=Projections!$D$94,Projections!CM94,0)</f>
        <v>0</v>
      </c>
      <c r="CQ141" s="56">
        <f>IF(CQ2=Projections!$D$94,Projections!CN94,0)</f>
        <v>0</v>
      </c>
      <c r="CR141" s="56">
        <f>IF(CR2=Projections!$D$94,Projections!CO94,0)</f>
        <v>0</v>
      </c>
      <c r="CS141" s="56">
        <f>IF(CS2=Projections!$D$94,Projections!CP94,0)</f>
        <v>0</v>
      </c>
      <c r="CT141" s="56">
        <f>IF(CT2=Projections!$D$94,Projections!CQ94,0)</f>
        <v>0</v>
      </c>
      <c r="CU141" s="56">
        <f>IF(CU2=Projections!$D$94,Projections!CR94,0)</f>
        <v>0</v>
      </c>
      <c r="CV141" s="56">
        <f>IF(CV2=Projections!$D$94,Projections!CS94,0)</f>
        <v>0</v>
      </c>
      <c r="CW141" s="56">
        <f>IF(CW2=Projections!$D$94,Projections!CT94,0)</f>
        <v>0</v>
      </c>
      <c r="CX141" s="56">
        <f>IF(CX2=Projections!$D$94,Projections!CU94,0)</f>
        <v>0</v>
      </c>
    </row>
    <row r="142" ht="15.75" customHeight="1" outlineLevel="1">
      <c r="A142" s="56" t="str">
        <f>Projections!A95</f>
        <v>Regular legal support</v>
      </c>
      <c r="B142" s="56"/>
      <c r="C142" s="56"/>
      <c r="D142" s="56"/>
      <c r="E142" s="56">
        <f>IF(E2&gt;=Projections!$D$95,Projections!$B$95,0)</f>
        <v>0</v>
      </c>
      <c r="F142" s="56">
        <f>IF(F2&gt;=Projections!$D$95,Projections!$B$95,0)</f>
        <v>0</v>
      </c>
      <c r="G142" s="56">
        <f>IF(G2&gt;=Projections!$D$95,Projections!$B$95,0)</f>
        <v>0</v>
      </c>
      <c r="H142" s="56">
        <f>IF(H2&gt;=Projections!$D$95,Projections!$B$95,0)</f>
        <v>0</v>
      </c>
      <c r="I142" s="56">
        <f>IF(I2&gt;=Projections!$D$95,Projections!$B$95,0)</f>
        <v>0</v>
      </c>
      <c r="J142" s="56">
        <f>IF(J2&gt;=Projections!$D$95,Projections!$B$95,0)</f>
        <v>0</v>
      </c>
      <c r="K142" s="56">
        <f>IF(K2&gt;=Projections!$D$95,Projections!$B$95,0)</f>
        <v>0</v>
      </c>
      <c r="L142" s="56">
        <f>IF(L2&gt;=Projections!$D$95,Projections!$B$95,0)</f>
        <v>0</v>
      </c>
      <c r="M142" s="56">
        <f>IF(M2&gt;=Projections!$D$95,Projections!$B$95,0)</f>
        <v>0</v>
      </c>
      <c r="N142" s="56">
        <f>IF(N2&gt;=Projections!$D$95,Projections!$B$95,0)</f>
        <v>0</v>
      </c>
      <c r="O142" s="56">
        <f>IF(O2&gt;=Projections!$D$95,Projections!$B$95,0)</f>
        <v>0</v>
      </c>
      <c r="P142" s="56">
        <f>IF(P2&gt;=Projections!$D$95,Projections!$B$95,0)</f>
        <v>0</v>
      </c>
      <c r="Q142" s="56">
        <f>IF(Q2&gt;=Projections!$D$95,Projections!$B$95,0)</f>
        <v>0</v>
      </c>
      <c r="R142" s="56">
        <f>IF(R2&gt;=Projections!$D$95,Projections!$B$95,0)</f>
        <v>0</v>
      </c>
      <c r="S142" s="56">
        <f>IF(S2&gt;=Projections!$D$95,Projections!$B$95,0)</f>
        <v>0</v>
      </c>
      <c r="T142" s="56">
        <f>IF(T2&gt;=Projections!$D$95,Projections!$B$95,0)</f>
        <v>0</v>
      </c>
      <c r="U142" s="56">
        <f>IF(U2&gt;=Projections!$D$95,Projections!$B$95,0)</f>
        <v>0</v>
      </c>
      <c r="V142" s="56">
        <f>IF(V2&gt;=Projections!$D$95,Projections!$B$95,0)</f>
        <v>0</v>
      </c>
      <c r="W142" s="56">
        <f>IF(W2&gt;=Projections!$D$95,Projections!$B$95,0)</f>
        <v>0</v>
      </c>
      <c r="X142" s="56">
        <f>IF(X2&gt;=Projections!$D$95,Projections!$B$95,0)</f>
        <v>0</v>
      </c>
      <c r="Y142" s="56">
        <f>IF(Y2&gt;=Projections!$D$95,Projections!$B$95,0)</f>
        <v>0</v>
      </c>
      <c r="Z142" s="56">
        <f>IF(Z2&gt;=Projections!$D$95,Projections!$B$95,0)</f>
        <v>0</v>
      </c>
      <c r="AA142" s="56">
        <f>IF(AA2&gt;=Projections!$D$95,Projections!$B$95,0)</f>
        <v>0</v>
      </c>
      <c r="AB142" s="56">
        <f>IF(AB2&gt;=Projections!$D$95,Projections!$B$95,0)</f>
        <v>0</v>
      </c>
      <c r="AC142" s="56">
        <f>IF(AC2&gt;=Projections!$D$95,Projections!$B$95,0)</f>
        <v>0</v>
      </c>
      <c r="AD142" s="56">
        <f>IF(AD2&gt;=Projections!$D$95,Projections!$B$95,0)</f>
        <v>0</v>
      </c>
      <c r="AE142" s="56">
        <f>IF(AE2&gt;=Projections!$D$95,Projections!$B$95,0)</f>
        <v>0</v>
      </c>
      <c r="AF142" s="56">
        <f>IF(AF2&gt;=Projections!$D$95,Projections!$B$95,0)</f>
        <v>0</v>
      </c>
      <c r="AG142" s="56">
        <f>IF(AG2&gt;=Projections!$D$95,Projections!$B$95,0)</f>
        <v>0</v>
      </c>
      <c r="AH142" s="56">
        <f>IF(AH2&gt;=Projections!$D$95,Projections!$B$95,0)</f>
        <v>0</v>
      </c>
      <c r="AI142" s="56">
        <f>IF(AI2&gt;=Projections!$D$95,Projections!$B$95,0)</f>
        <v>0</v>
      </c>
      <c r="AJ142" s="56">
        <f>IF(AJ2&gt;=Projections!$D$95,Projections!$B$95,0)</f>
        <v>0</v>
      </c>
      <c r="AK142" s="56">
        <f>IF(AK2&gt;=Projections!$D$95,Projections!$B$95,0)</f>
        <v>0</v>
      </c>
      <c r="AL142" s="56">
        <f>IF(AL2&gt;=Projections!$D$95,Projections!$B$95,0)</f>
        <v>0</v>
      </c>
      <c r="AM142" s="56">
        <f>IF(AM2&gt;=Projections!$D$95,Projections!$B$95,0)</f>
        <v>0</v>
      </c>
      <c r="AN142" s="56">
        <f>IF(AN2&gt;=Projections!$D$95,Projections!$B$95,0)</f>
        <v>0</v>
      </c>
      <c r="AO142" s="56">
        <f>IF(AO2&gt;=Projections!$D$95,Projections!$B$95,0)</f>
        <v>0</v>
      </c>
      <c r="AP142" s="56">
        <f>IF(AP2&gt;=Projections!$D$95,Projections!$B$95,0)</f>
        <v>0</v>
      </c>
      <c r="AQ142" s="56">
        <f>IF(AQ2&gt;=Projections!$D$95,Projections!$B$95,0)</f>
        <v>0</v>
      </c>
      <c r="AR142" s="56">
        <f>IF(AR2&gt;=Projections!$D$95,Projections!$B$95,0)</f>
        <v>0</v>
      </c>
      <c r="AS142" s="56">
        <f>IF(AS2&gt;=Projections!$D$95,Projections!$B$95,0)</f>
        <v>0</v>
      </c>
      <c r="AT142" s="56">
        <f>IF(AT2&gt;=Projections!$D$95,Projections!$B$95,0)</f>
        <v>0</v>
      </c>
      <c r="AU142" s="56">
        <f>IF(AU2&gt;=Projections!$D$95,Projections!$B$95,0)</f>
        <v>0</v>
      </c>
      <c r="AV142" s="56">
        <f>IF(AV2&gt;=Projections!$D$95,Projections!$B$95,0)</f>
        <v>0</v>
      </c>
      <c r="AW142" s="56">
        <f>IF(AW2&gt;=Projections!$D$95,Projections!$B$95,0)</f>
        <v>0</v>
      </c>
      <c r="AX142" s="56">
        <f>IF(AX2&gt;=Projections!$D$95,Projections!$B$95,0)</f>
        <v>0</v>
      </c>
      <c r="AY142" s="56">
        <f>IF(AY2&gt;=Projections!$D$95,Projections!$B$95,0)</f>
        <v>0</v>
      </c>
      <c r="AZ142" s="56">
        <f>IF(AZ2&gt;=Projections!$D$95,Projections!$B$95,0)</f>
        <v>0</v>
      </c>
      <c r="BA142" s="56">
        <f>IF(BA2&gt;=Projections!$D$95,Projections!$B$95,0)</f>
        <v>0</v>
      </c>
      <c r="BB142" s="56">
        <f>IF(BB2&gt;=Projections!$D$95,Projections!$B$95,0)</f>
        <v>0</v>
      </c>
      <c r="BC142" s="56">
        <f>IF(BC2&gt;=Projections!$D$95,Projections!$B$95,0)</f>
        <v>0</v>
      </c>
      <c r="BD142" s="56">
        <f>IF(BD2&gt;=Projections!$D$95,Projections!$B$95,0)</f>
        <v>0</v>
      </c>
      <c r="BE142" s="56">
        <f>IF(BE2&gt;=Projections!$D$95,Projections!$B$95,0)</f>
        <v>0</v>
      </c>
      <c r="BF142" s="56">
        <f>IF(BF2&gt;=Projections!$D$95,Projections!$B$95,0)</f>
        <v>0</v>
      </c>
      <c r="BG142" s="56">
        <f>IF(BG2&gt;=Projections!$D$95,Projections!$B$95,0)</f>
        <v>0</v>
      </c>
      <c r="BH142" s="56">
        <f>IF(BH2&gt;=Projections!$D$95,Projections!$B$95,0)</f>
        <v>0</v>
      </c>
      <c r="BI142" s="56">
        <f>IF(BI2&gt;=Projections!$D$95,Projections!$B$95,0)</f>
        <v>0</v>
      </c>
      <c r="BJ142" s="56">
        <f>IF(BJ2&gt;=Projections!$D$95,Projections!$B$95,0)</f>
        <v>0</v>
      </c>
      <c r="BK142" s="56">
        <f>IF(BK2&gt;=Projections!$D$95,Projections!$B$95,0)</f>
        <v>0</v>
      </c>
      <c r="BL142" s="56">
        <f>IF(BL2&gt;=Projections!$D$95,Projections!$B$95,0)</f>
        <v>0</v>
      </c>
      <c r="BM142" s="56">
        <f>IF(BM2&gt;=Projections!$D$95,Projections!$B$95,0)</f>
        <v>0</v>
      </c>
      <c r="BN142" s="56">
        <f>IF(BN2&gt;=Projections!$D$95,Projections!$B$95,0)</f>
        <v>0</v>
      </c>
      <c r="BO142" s="56">
        <f>IF(BO2&gt;=Projections!$D$95,Projections!$B$95,0)</f>
        <v>0</v>
      </c>
      <c r="BP142" s="56">
        <f>IF(BP2&gt;=Projections!$D$95,Projections!$B$95,0)</f>
        <v>0</v>
      </c>
      <c r="BQ142" s="56">
        <f>IF(BQ2&gt;=Projections!$D$95,Projections!$B$95,0)</f>
        <v>0</v>
      </c>
      <c r="BR142" s="56">
        <f>IF(BR2&gt;=Projections!$D$95,Projections!$B$95,0)</f>
        <v>0</v>
      </c>
      <c r="BS142" s="56">
        <f>IF(BS2&gt;=Projections!$D$95,Projections!$B$95,0)</f>
        <v>0</v>
      </c>
      <c r="BT142" s="56">
        <f>IF(BT2&gt;=Projections!$D$95,Projections!$B$95,0)</f>
        <v>0</v>
      </c>
      <c r="BU142" s="56">
        <f>IF(BU2&gt;=Projections!$D$95,Projections!$B$95,0)</f>
        <v>0</v>
      </c>
      <c r="BV142" s="56">
        <f>IF(BV2&gt;=Projections!$D$95,Projections!$B$95,0)</f>
        <v>0</v>
      </c>
      <c r="BW142" s="56">
        <f>IF(BW2&gt;=Projections!$D$95,Projections!$B$95,0)</f>
        <v>0</v>
      </c>
      <c r="BX142" s="56">
        <f>IF(BX2&gt;=Projections!$D$95,Projections!$B$95,0)</f>
        <v>0</v>
      </c>
      <c r="BY142" s="56">
        <f>IF(BY2&gt;=Projections!$D$95,Projections!$B$95,0)</f>
        <v>0</v>
      </c>
      <c r="BZ142" s="56">
        <f>IF(BZ2&gt;=Projections!$D$95,Projections!$B$95,0)</f>
        <v>0</v>
      </c>
      <c r="CA142" s="56">
        <f>IF(CA2&gt;=Projections!$D$95,Projections!$B$95,0)</f>
        <v>0</v>
      </c>
      <c r="CB142" s="56">
        <f>IF(CB2&gt;=Projections!$D$95,Projections!$B$95,0)</f>
        <v>0</v>
      </c>
      <c r="CC142" s="56">
        <f>IF(CC2&gt;=Projections!$D$95,Projections!$B$95,0)</f>
        <v>0</v>
      </c>
      <c r="CD142" s="56">
        <f>IF(CD2&gt;=Projections!$D$95,Projections!$B$95,0)</f>
        <v>0</v>
      </c>
      <c r="CE142" s="56">
        <f>IF(CE2&gt;=Projections!$D$95,Projections!$B$95,0)</f>
        <v>0</v>
      </c>
      <c r="CF142" s="56">
        <f>IF(CF2&gt;=Projections!$D$95,Projections!$B$95,0)</f>
        <v>0</v>
      </c>
      <c r="CG142" s="56">
        <f>IF(CG2&gt;=Projections!$D$95,Projections!$B$95,0)</f>
        <v>0</v>
      </c>
      <c r="CH142" s="56">
        <f>IF(CH2&gt;=Projections!$D$95,Projections!$B$95,0)</f>
        <v>0</v>
      </c>
      <c r="CI142" s="56">
        <f>IF(CI2&gt;=Projections!$D$95,Projections!$B$95,0)</f>
        <v>0</v>
      </c>
      <c r="CJ142" s="56">
        <f>IF(CJ2&gt;=Projections!$D$95,Projections!$B$95,0)</f>
        <v>0</v>
      </c>
      <c r="CK142" s="56">
        <f>IF(CK2&gt;=Projections!$D$95,Projections!$B$95,0)</f>
        <v>0</v>
      </c>
      <c r="CL142" s="56">
        <f>IF(CL2&gt;=Projections!$D$95,Projections!$B$95,0)</f>
        <v>0</v>
      </c>
      <c r="CM142" s="56">
        <f>IF(CM2&gt;=Projections!$D$95,Projections!$B$95,0)</f>
        <v>0</v>
      </c>
      <c r="CN142" s="56">
        <f>IF(CN2&gt;=Projections!$D$95,Projections!$B$95,0)</f>
        <v>0</v>
      </c>
      <c r="CO142" s="56">
        <f>IF(CO2&gt;=Projections!$D$95,Projections!$B$95,0)</f>
        <v>0</v>
      </c>
      <c r="CP142" s="56">
        <f>IF(CP2&gt;=Projections!$D$95,Projections!$B$95,0)</f>
        <v>0</v>
      </c>
      <c r="CQ142" s="56">
        <f>IF(CQ2&gt;=Projections!$D$95,Projections!$B$95,0)</f>
        <v>0</v>
      </c>
      <c r="CR142" s="56">
        <f>IF(CR2&gt;=Projections!$D$95,Projections!$B$95,0)</f>
        <v>0</v>
      </c>
      <c r="CS142" s="56">
        <f>IF(CS2&gt;=Projections!$D$95,Projections!$B$95,0)</f>
        <v>0</v>
      </c>
      <c r="CT142" s="56">
        <f>IF(CT2&gt;=Projections!$D$95,Projections!$B$95,0)</f>
        <v>0</v>
      </c>
      <c r="CU142" s="56">
        <f>IF(CU2&gt;=Projections!$D$95,Projections!$B$95,0)</f>
        <v>0</v>
      </c>
      <c r="CV142" s="56">
        <f>IF(CV2&gt;=Projections!$D$95,Projections!$B$95,0)</f>
        <v>0</v>
      </c>
      <c r="CW142" s="56">
        <f>IF(CW2&gt;=Projections!$D$95,Projections!$B$95,0)</f>
        <v>0</v>
      </c>
      <c r="CX142" s="56">
        <f>IF(CX2&gt;=Projections!$D$95,Projections!$B$95,0)</f>
        <v>0</v>
      </c>
    </row>
    <row r="143" ht="15.75" customHeight="1" outlineLevel="1">
      <c r="A143" s="60" t="str">
        <f>Projections!A97</f>
        <v>Accounting&amp;Taxes</v>
      </c>
      <c r="B143" s="60" t="s">
        <v>231</v>
      </c>
      <c r="C143" s="60"/>
      <c r="D143" s="60"/>
      <c r="E143" s="60">
        <f t="shared" ref="E143:CX143" si="27">SUM(E144:E145)</f>
        <v>0</v>
      </c>
      <c r="F143" s="60">
        <f t="shared" si="27"/>
        <v>0</v>
      </c>
      <c r="G143" s="60">
        <f t="shared" si="27"/>
        <v>0</v>
      </c>
      <c r="H143" s="60">
        <f t="shared" si="27"/>
        <v>0</v>
      </c>
      <c r="I143" s="60">
        <f t="shared" si="27"/>
        <v>0</v>
      </c>
      <c r="J143" s="60">
        <f t="shared" si="27"/>
        <v>0</v>
      </c>
      <c r="K143" s="60">
        <f t="shared" si="27"/>
        <v>0</v>
      </c>
      <c r="L143" s="60">
        <f t="shared" si="27"/>
        <v>0</v>
      </c>
      <c r="M143" s="60">
        <f t="shared" si="27"/>
        <v>0</v>
      </c>
      <c r="N143" s="60">
        <f t="shared" si="27"/>
        <v>0</v>
      </c>
      <c r="O143" s="60">
        <f t="shared" si="27"/>
        <v>0</v>
      </c>
      <c r="P143" s="60">
        <f t="shared" si="27"/>
        <v>0</v>
      </c>
      <c r="Q143" s="60">
        <f t="shared" si="27"/>
        <v>0</v>
      </c>
      <c r="R143" s="60">
        <f t="shared" si="27"/>
        <v>0</v>
      </c>
      <c r="S143" s="60">
        <f t="shared" si="27"/>
        <v>0</v>
      </c>
      <c r="T143" s="60">
        <f t="shared" si="27"/>
        <v>0</v>
      </c>
      <c r="U143" s="60">
        <f t="shared" si="27"/>
        <v>0</v>
      </c>
      <c r="V143" s="60">
        <f t="shared" si="27"/>
        <v>0</v>
      </c>
      <c r="W143" s="60">
        <f t="shared" si="27"/>
        <v>0</v>
      </c>
      <c r="X143" s="60">
        <f t="shared" si="27"/>
        <v>0</v>
      </c>
      <c r="Y143" s="60">
        <f t="shared" si="27"/>
        <v>0</v>
      </c>
      <c r="Z143" s="60">
        <f t="shared" si="27"/>
        <v>0</v>
      </c>
      <c r="AA143" s="60">
        <f t="shared" si="27"/>
        <v>0</v>
      </c>
      <c r="AB143" s="60">
        <f t="shared" si="27"/>
        <v>0</v>
      </c>
      <c r="AC143" s="60">
        <f t="shared" si="27"/>
        <v>0</v>
      </c>
      <c r="AD143" s="60">
        <f t="shared" si="27"/>
        <v>0</v>
      </c>
      <c r="AE143" s="60">
        <f t="shared" si="27"/>
        <v>0</v>
      </c>
      <c r="AF143" s="60">
        <f t="shared" si="27"/>
        <v>0</v>
      </c>
      <c r="AG143" s="60">
        <f t="shared" si="27"/>
        <v>0</v>
      </c>
      <c r="AH143" s="60">
        <f t="shared" si="27"/>
        <v>0</v>
      </c>
      <c r="AI143" s="60">
        <f t="shared" si="27"/>
        <v>0</v>
      </c>
      <c r="AJ143" s="60">
        <f t="shared" si="27"/>
        <v>0</v>
      </c>
      <c r="AK143" s="60">
        <f t="shared" si="27"/>
        <v>0</v>
      </c>
      <c r="AL143" s="60">
        <f t="shared" si="27"/>
        <v>0</v>
      </c>
      <c r="AM143" s="60">
        <f t="shared" si="27"/>
        <v>0</v>
      </c>
      <c r="AN143" s="60">
        <f t="shared" si="27"/>
        <v>0</v>
      </c>
      <c r="AO143" s="60">
        <f t="shared" si="27"/>
        <v>0</v>
      </c>
      <c r="AP143" s="60">
        <f t="shared" si="27"/>
        <v>0</v>
      </c>
      <c r="AQ143" s="60">
        <f t="shared" si="27"/>
        <v>0</v>
      </c>
      <c r="AR143" s="60">
        <f t="shared" si="27"/>
        <v>0</v>
      </c>
      <c r="AS143" s="60">
        <f t="shared" si="27"/>
        <v>0</v>
      </c>
      <c r="AT143" s="60">
        <f t="shared" si="27"/>
        <v>0</v>
      </c>
      <c r="AU143" s="60">
        <f t="shared" si="27"/>
        <v>0</v>
      </c>
      <c r="AV143" s="60">
        <f t="shared" si="27"/>
        <v>0</v>
      </c>
      <c r="AW143" s="60">
        <f t="shared" si="27"/>
        <v>0</v>
      </c>
      <c r="AX143" s="60">
        <f t="shared" si="27"/>
        <v>0</v>
      </c>
      <c r="AY143" s="60">
        <f t="shared" si="27"/>
        <v>0</v>
      </c>
      <c r="AZ143" s="60">
        <f t="shared" si="27"/>
        <v>0</v>
      </c>
      <c r="BA143" s="60">
        <f t="shared" si="27"/>
        <v>0</v>
      </c>
      <c r="BB143" s="60">
        <f t="shared" si="27"/>
        <v>0</v>
      </c>
      <c r="BC143" s="60">
        <f t="shared" si="27"/>
        <v>0</v>
      </c>
      <c r="BD143" s="60">
        <f t="shared" si="27"/>
        <v>0</v>
      </c>
      <c r="BE143" s="60">
        <f t="shared" si="27"/>
        <v>0</v>
      </c>
      <c r="BF143" s="60">
        <f t="shared" si="27"/>
        <v>0</v>
      </c>
      <c r="BG143" s="60">
        <f t="shared" si="27"/>
        <v>0</v>
      </c>
      <c r="BH143" s="60">
        <f t="shared" si="27"/>
        <v>0</v>
      </c>
      <c r="BI143" s="60">
        <f t="shared" si="27"/>
        <v>0</v>
      </c>
      <c r="BJ143" s="60">
        <f t="shared" si="27"/>
        <v>0</v>
      </c>
      <c r="BK143" s="60">
        <f t="shared" si="27"/>
        <v>0</v>
      </c>
      <c r="BL143" s="60">
        <f t="shared" si="27"/>
        <v>0</v>
      </c>
      <c r="BM143" s="60">
        <f t="shared" si="27"/>
        <v>0</v>
      </c>
      <c r="BN143" s="60">
        <f t="shared" si="27"/>
        <v>0</v>
      </c>
      <c r="BO143" s="60">
        <f t="shared" si="27"/>
        <v>0</v>
      </c>
      <c r="BP143" s="60">
        <f t="shared" si="27"/>
        <v>0</v>
      </c>
      <c r="BQ143" s="60">
        <f t="shared" si="27"/>
        <v>0</v>
      </c>
      <c r="BR143" s="60">
        <f t="shared" si="27"/>
        <v>0</v>
      </c>
      <c r="BS143" s="60">
        <f t="shared" si="27"/>
        <v>0</v>
      </c>
      <c r="BT143" s="60">
        <f t="shared" si="27"/>
        <v>0</v>
      </c>
      <c r="BU143" s="60">
        <f t="shared" si="27"/>
        <v>0</v>
      </c>
      <c r="BV143" s="60">
        <f t="shared" si="27"/>
        <v>0</v>
      </c>
      <c r="BW143" s="60">
        <f t="shared" si="27"/>
        <v>0</v>
      </c>
      <c r="BX143" s="60">
        <f t="shared" si="27"/>
        <v>0</v>
      </c>
      <c r="BY143" s="60">
        <f t="shared" si="27"/>
        <v>0</v>
      </c>
      <c r="BZ143" s="60">
        <f t="shared" si="27"/>
        <v>0</v>
      </c>
      <c r="CA143" s="60">
        <f t="shared" si="27"/>
        <v>0</v>
      </c>
      <c r="CB143" s="60">
        <f t="shared" si="27"/>
        <v>0</v>
      </c>
      <c r="CC143" s="60">
        <f t="shared" si="27"/>
        <v>0</v>
      </c>
      <c r="CD143" s="60">
        <f t="shared" si="27"/>
        <v>0</v>
      </c>
      <c r="CE143" s="60">
        <f t="shared" si="27"/>
        <v>0</v>
      </c>
      <c r="CF143" s="60">
        <f t="shared" si="27"/>
        <v>0</v>
      </c>
      <c r="CG143" s="60">
        <f t="shared" si="27"/>
        <v>0</v>
      </c>
      <c r="CH143" s="60">
        <f t="shared" si="27"/>
        <v>0</v>
      </c>
      <c r="CI143" s="60">
        <f t="shared" si="27"/>
        <v>0</v>
      </c>
      <c r="CJ143" s="60">
        <f t="shared" si="27"/>
        <v>0</v>
      </c>
      <c r="CK143" s="60">
        <f t="shared" si="27"/>
        <v>0</v>
      </c>
      <c r="CL143" s="60">
        <f t="shared" si="27"/>
        <v>0</v>
      </c>
      <c r="CM143" s="60">
        <f t="shared" si="27"/>
        <v>0</v>
      </c>
      <c r="CN143" s="60">
        <f t="shared" si="27"/>
        <v>0</v>
      </c>
      <c r="CO143" s="60">
        <f t="shared" si="27"/>
        <v>0</v>
      </c>
      <c r="CP143" s="60">
        <f t="shared" si="27"/>
        <v>0</v>
      </c>
      <c r="CQ143" s="60">
        <f t="shared" si="27"/>
        <v>0</v>
      </c>
      <c r="CR143" s="60">
        <f t="shared" si="27"/>
        <v>0</v>
      </c>
      <c r="CS143" s="60">
        <f t="shared" si="27"/>
        <v>0</v>
      </c>
      <c r="CT143" s="60">
        <f t="shared" si="27"/>
        <v>0</v>
      </c>
      <c r="CU143" s="60">
        <f t="shared" si="27"/>
        <v>0</v>
      </c>
      <c r="CV143" s="60">
        <f t="shared" si="27"/>
        <v>0</v>
      </c>
      <c r="CW143" s="60">
        <f t="shared" si="27"/>
        <v>0</v>
      </c>
      <c r="CX143" s="60">
        <f t="shared" si="27"/>
        <v>0</v>
      </c>
    </row>
    <row r="144" ht="15.75" customHeight="1" outlineLevel="1">
      <c r="A144" s="56" t="str">
        <f>Projections!A98</f>
        <v>Bookkeeping</v>
      </c>
      <c r="B144" s="56"/>
      <c r="C144" s="56"/>
      <c r="D144" s="56"/>
      <c r="E144" s="56">
        <f>IF(E2&gt;=Projections!$D$98,Projections!$B$98,0)</f>
        <v>0</v>
      </c>
      <c r="F144" s="56">
        <f>IF(F2&gt;=Projections!$D$98,Projections!$B$98,0)</f>
        <v>0</v>
      </c>
      <c r="G144" s="56">
        <f>IF(G2&gt;=Projections!$D$98,Projections!$B$98,0)</f>
        <v>0</v>
      </c>
      <c r="H144" s="56">
        <f>IF(H2&gt;=Projections!$D$98,Projections!$B$98,0)</f>
        <v>0</v>
      </c>
      <c r="I144" s="56">
        <f>IF(I2&gt;=Projections!$D$98,Projections!$B$98,0)</f>
        <v>0</v>
      </c>
      <c r="J144" s="56">
        <f>IF(J2&gt;=Projections!$D$98,Projections!$B$98,0)</f>
        <v>0</v>
      </c>
      <c r="K144" s="56">
        <f>IF(K2&gt;=Projections!$D$98,Projections!$B$98,0)</f>
        <v>0</v>
      </c>
      <c r="L144" s="56">
        <f>IF(L2&gt;=Projections!$D$98,Projections!$B$98,0)</f>
        <v>0</v>
      </c>
      <c r="M144" s="56">
        <f>IF(M2&gt;=Projections!$D$98,Projections!$B$98,0)</f>
        <v>0</v>
      </c>
      <c r="N144" s="56">
        <f>IF(N2&gt;=Projections!$D$98,Projections!$B$98,0)</f>
        <v>0</v>
      </c>
      <c r="O144" s="56">
        <f>IF(O2&gt;=Projections!$D$98,Projections!$B$98,0)</f>
        <v>0</v>
      </c>
      <c r="P144" s="56">
        <f>IF(P2&gt;=Projections!$D$98,Projections!$B$98,0)</f>
        <v>0</v>
      </c>
      <c r="Q144" s="56">
        <f>IF(Q2&gt;=Projections!$D$98,Projections!$B$98,0)</f>
        <v>0</v>
      </c>
      <c r="R144" s="56">
        <f>IF(R2&gt;=Projections!$D$98,Projections!$B$98,0)</f>
        <v>0</v>
      </c>
      <c r="S144" s="56">
        <f>IF(S2&gt;=Projections!$D$98,Projections!$B$98,0)</f>
        <v>0</v>
      </c>
      <c r="T144" s="56">
        <f>IF(T2&gt;=Projections!$D$98,Projections!$B$98,0)</f>
        <v>0</v>
      </c>
      <c r="U144" s="56">
        <f>IF(U2&gt;=Projections!$D$98,Projections!$B$98,0)</f>
        <v>0</v>
      </c>
      <c r="V144" s="56">
        <f>IF(V2&gt;=Projections!$D$98,Projections!$B$98,0)</f>
        <v>0</v>
      </c>
      <c r="W144" s="56">
        <f>IF(W2&gt;=Projections!$D$98,Projections!$B$98,0)</f>
        <v>0</v>
      </c>
      <c r="X144" s="56">
        <f>IF(X2&gt;=Projections!$D$98,Projections!$B$98,0)</f>
        <v>0</v>
      </c>
      <c r="Y144" s="56">
        <f>IF(Y2&gt;=Projections!$D$98,Projections!$B$98,0)</f>
        <v>0</v>
      </c>
      <c r="Z144" s="56">
        <f>IF(Z2&gt;=Projections!$D$98,Projections!$B$98,0)</f>
        <v>0</v>
      </c>
      <c r="AA144" s="56">
        <f>IF(AA2&gt;=Projections!$D$98,Projections!$B$98,0)</f>
        <v>0</v>
      </c>
      <c r="AB144" s="56">
        <f>IF(AB2&gt;=Projections!$D$98,Projections!$B$98,0)</f>
        <v>0</v>
      </c>
      <c r="AC144" s="56">
        <f>IF(AC2&gt;=Projections!$D$98,Projections!$B$98,0)</f>
        <v>0</v>
      </c>
      <c r="AD144" s="56">
        <f>IF(AD2&gt;=Projections!$D$98,Projections!$B$98,0)</f>
        <v>0</v>
      </c>
      <c r="AE144" s="56">
        <f>IF(AE2&gt;=Projections!$D$98,Projections!$B$98,0)</f>
        <v>0</v>
      </c>
      <c r="AF144" s="56">
        <f>IF(AF2&gt;=Projections!$D$98,Projections!$B$98,0)</f>
        <v>0</v>
      </c>
      <c r="AG144" s="56">
        <f>IF(AG2&gt;=Projections!$D$98,Projections!$B$98,0)</f>
        <v>0</v>
      </c>
      <c r="AH144" s="56">
        <f>IF(AH2&gt;=Projections!$D$98,Projections!$B$98,0)</f>
        <v>0</v>
      </c>
      <c r="AI144" s="56">
        <f>IF(AI2&gt;=Projections!$D$98,Projections!$B$98,0)</f>
        <v>0</v>
      </c>
      <c r="AJ144" s="56">
        <f>IF(AJ2&gt;=Projections!$D$98,Projections!$B$98,0)</f>
        <v>0</v>
      </c>
      <c r="AK144" s="56">
        <f>IF(AK2&gt;=Projections!$D$98,Projections!$B$98,0)</f>
        <v>0</v>
      </c>
      <c r="AL144" s="56">
        <f>IF(AL2&gt;=Projections!$D$98,Projections!$B$98,0)</f>
        <v>0</v>
      </c>
      <c r="AM144" s="56">
        <f>IF(AM2&gt;=Projections!$D$98,Projections!$B$98,0)</f>
        <v>0</v>
      </c>
      <c r="AN144" s="56">
        <f>IF(AN2&gt;=Projections!$D$98,Projections!$B$98,0)</f>
        <v>0</v>
      </c>
      <c r="AO144" s="56">
        <f>IF(AO2&gt;=Projections!$D$98,Projections!$B$98,0)</f>
        <v>0</v>
      </c>
      <c r="AP144" s="56">
        <f>IF(AP2&gt;=Projections!$D$98,Projections!$B$98,0)</f>
        <v>0</v>
      </c>
      <c r="AQ144" s="56">
        <f>IF(AQ2&gt;=Projections!$D$98,Projections!$B$98,0)</f>
        <v>0</v>
      </c>
      <c r="AR144" s="56">
        <f>IF(AR2&gt;=Projections!$D$98,Projections!$B$98,0)</f>
        <v>0</v>
      </c>
      <c r="AS144" s="56">
        <f>IF(AS2&gt;=Projections!$D$98,Projections!$B$98,0)</f>
        <v>0</v>
      </c>
      <c r="AT144" s="56">
        <f>IF(AT2&gt;=Projections!$D$98,Projections!$B$98,0)</f>
        <v>0</v>
      </c>
      <c r="AU144" s="56">
        <f>IF(AU2&gt;=Projections!$D$98,Projections!$B$98,0)</f>
        <v>0</v>
      </c>
      <c r="AV144" s="56">
        <f>IF(AV2&gt;=Projections!$D$98,Projections!$B$98,0)</f>
        <v>0</v>
      </c>
      <c r="AW144" s="56">
        <f>IF(AW2&gt;=Projections!$D$98,Projections!$B$98,0)</f>
        <v>0</v>
      </c>
      <c r="AX144" s="56">
        <f>IF(AX2&gt;=Projections!$D$98,Projections!$B$98,0)</f>
        <v>0</v>
      </c>
      <c r="AY144" s="56">
        <f>IF(AY2&gt;=Projections!$D$98,Projections!$B$98,0)</f>
        <v>0</v>
      </c>
      <c r="AZ144" s="56">
        <f>IF(AZ2&gt;=Projections!$D$98,Projections!$B$98,0)</f>
        <v>0</v>
      </c>
      <c r="BA144" s="56">
        <f>IF(BA2&gt;=Projections!$D$98,Projections!$B$98,0)</f>
        <v>0</v>
      </c>
      <c r="BB144" s="56">
        <f>IF(BB2&gt;=Projections!$D$98,Projections!$B$98,0)</f>
        <v>0</v>
      </c>
      <c r="BC144" s="56">
        <f>IF(BC2&gt;=Projections!$D$98,Projections!$B$98,0)</f>
        <v>0</v>
      </c>
      <c r="BD144" s="56">
        <f>IF(BD2&gt;=Projections!$D$98,Projections!$B$98,0)</f>
        <v>0</v>
      </c>
      <c r="BE144" s="56">
        <f>IF(BE2&gt;=Projections!$D$98,Projections!$B$98,0)</f>
        <v>0</v>
      </c>
      <c r="BF144" s="56">
        <f>IF(BF2&gt;=Projections!$D$98,Projections!$B$98,0)</f>
        <v>0</v>
      </c>
      <c r="BG144" s="56">
        <f>IF(BG2&gt;=Projections!$D$98,Projections!$B$98,0)</f>
        <v>0</v>
      </c>
      <c r="BH144" s="56">
        <f>IF(BH2&gt;=Projections!$D$98,Projections!$B$98,0)</f>
        <v>0</v>
      </c>
      <c r="BI144" s="56">
        <f>IF(BI2&gt;=Projections!$D$98,Projections!$B$98,0)</f>
        <v>0</v>
      </c>
      <c r="BJ144" s="56">
        <f>IF(BJ2&gt;=Projections!$D$98,Projections!$B$98,0)</f>
        <v>0</v>
      </c>
      <c r="BK144" s="56">
        <f>IF(BK2&gt;=Projections!$D$98,Projections!$B$98,0)</f>
        <v>0</v>
      </c>
      <c r="BL144" s="56">
        <f>IF(BL2&gt;=Projections!$D$98,Projections!$B$98,0)</f>
        <v>0</v>
      </c>
      <c r="BM144" s="56">
        <f>IF(BM2&gt;=Projections!$D$98,Projections!$B$98,0)</f>
        <v>0</v>
      </c>
      <c r="BN144" s="56">
        <f>IF(BN2&gt;=Projections!$D$98,Projections!$B$98,0)</f>
        <v>0</v>
      </c>
      <c r="BO144" s="56">
        <f>IF(BO2&gt;=Projections!$D$98,Projections!$B$98,0)</f>
        <v>0</v>
      </c>
      <c r="BP144" s="56">
        <f>IF(BP2&gt;=Projections!$D$98,Projections!$B$98,0)</f>
        <v>0</v>
      </c>
      <c r="BQ144" s="56">
        <f>IF(BQ2&gt;=Projections!$D$98,Projections!$B$98,0)</f>
        <v>0</v>
      </c>
      <c r="BR144" s="56">
        <f>IF(BR2&gt;=Projections!$D$98,Projections!$B$98,0)</f>
        <v>0</v>
      </c>
      <c r="BS144" s="56">
        <f>IF(BS2&gt;=Projections!$D$98,Projections!$B$98,0)</f>
        <v>0</v>
      </c>
      <c r="BT144" s="56">
        <f>IF(BT2&gt;=Projections!$D$98,Projections!$B$98,0)</f>
        <v>0</v>
      </c>
      <c r="BU144" s="56">
        <f>IF(BU2&gt;=Projections!$D$98,Projections!$B$98,0)</f>
        <v>0</v>
      </c>
      <c r="BV144" s="56">
        <f>IF(BV2&gt;=Projections!$D$98,Projections!$B$98,0)</f>
        <v>0</v>
      </c>
      <c r="BW144" s="56">
        <f>IF(BW2&gt;=Projections!$D$98,Projections!$B$98,0)</f>
        <v>0</v>
      </c>
      <c r="BX144" s="56">
        <f>IF(BX2&gt;=Projections!$D$98,Projections!$B$98,0)</f>
        <v>0</v>
      </c>
      <c r="BY144" s="56">
        <f>IF(BY2&gt;=Projections!$D$98,Projections!$B$98,0)</f>
        <v>0</v>
      </c>
      <c r="BZ144" s="56">
        <f>IF(BZ2&gt;=Projections!$D$98,Projections!$B$98,0)</f>
        <v>0</v>
      </c>
      <c r="CA144" s="56">
        <f>IF(CA2&gt;=Projections!$D$98,Projections!$B$98,0)</f>
        <v>0</v>
      </c>
      <c r="CB144" s="56">
        <f>IF(CB2&gt;=Projections!$D$98,Projections!$B$98,0)</f>
        <v>0</v>
      </c>
      <c r="CC144" s="56">
        <f>IF(CC2&gt;=Projections!$D$98,Projections!$B$98,0)</f>
        <v>0</v>
      </c>
      <c r="CD144" s="56">
        <f>IF(CD2&gt;=Projections!$D$98,Projections!$B$98,0)</f>
        <v>0</v>
      </c>
      <c r="CE144" s="56">
        <f>IF(CE2&gt;=Projections!$D$98,Projections!$B$98,0)</f>
        <v>0</v>
      </c>
      <c r="CF144" s="56">
        <f>IF(CF2&gt;=Projections!$D$98,Projections!$B$98,0)</f>
        <v>0</v>
      </c>
      <c r="CG144" s="56">
        <f>IF(CG2&gt;=Projections!$D$98,Projections!$B$98,0)</f>
        <v>0</v>
      </c>
      <c r="CH144" s="56">
        <f>IF(CH2&gt;=Projections!$D$98,Projections!$B$98,0)</f>
        <v>0</v>
      </c>
      <c r="CI144" s="56">
        <f>IF(CI2&gt;=Projections!$D$98,Projections!$B$98,0)</f>
        <v>0</v>
      </c>
      <c r="CJ144" s="56">
        <f>IF(CJ2&gt;=Projections!$D$98,Projections!$B$98,0)</f>
        <v>0</v>
      </c>
      <c r="CK144" s="56">
        <f>IF(CK2&gt;=Projections!$D$98,Projections!$B$98,0)</f>
        <v>0</v>
      </c>
      <c r="CL144" s="56">
        <f>IF(CL2&gt;=Projections!$D$98,Projections!$B$98,0)</f>
        <v>0</v>
      </c>
      <c r="CM144" s="56">
        <f>IF(CM2&gt;=Projections!$D$98,Projections!$B$98,0)</f>
        <v>0</v>
      </c>
      <c r="CN144" s="56">
        <f>IF(CN2&gt;=Projections!$D$98,Projections!$B$98,0)</f>
        <v>0</v>
      </c>
      <c r="CO144" s="56">
        <f>IF(CO2&gt;=Projections!$D$98,Projections!$B$98,0)</f>
        <v>0</v>
      </c>
      <c r="CP144" s="56">
        <f>IF(CP2&gt;=Projections!$D$98,Projections!$B$98,0)</f>
        <v>0</v>
      </c>
      <c r="CQ144" s="56">
        <f>IF(CQ2&gt;=Projections!$D$98,Projections!$B$98,0)</f>
        <v>0</v>
      </c>
      <c r="CR144" s="56">
        <f>IF(CR2&gt;=Projections!$D$98,Projections!$B$98,0)</f>
        <v>0</v>
      </c>
      <c r="CS144" s="56">
        <f>IF(CS2&gt;=Projections!$D$98,Projections!$B$98,0)</f>
        <v>0</v>
      </c>
      <c r="CT144" s="56">
        <f>IF(CT2&gt;=Projections!$D$98,Projections!$B$98,0)</f>
        <v>0</v>
      </c>
      <c r="CU144" s="56">
        <f>IF(CU2&gt;=Projections!$D$98,Projections!$B$98,0)</f>
        <v>0</v>
      </c>
      <c r="CV144" s="56">
        <f>IF(CV2&gt;=Projections!$D$98,Projections!$B$98,0)</f>
        <v>0</v>
      </c>
      <c r="CW144" s="56">
        <f>IF(CW2&gt;=Projections!$D$98,Projections!$B$98,0)</f>
        <v>0</v>
      </c>
      <c r="CX144" s="56">
        <f>IF(CX2&gt;=Projections!$D$98,Projections!$B$98,0)</f>
        <v>0</v>
      </c>
    </row>
    <row r="145" ht="15.75" customHeight="1" outlineLevel="1">
      <c r="A145" s="56" t="str">
        <f>Projections!A99</f>
        <v>Tax services</v>
      </c>
      <c r="B145" s="56"/>
      <c r="C145" s="56"/>
      <c r="D145" s="56"/>
      <c r="E145" s="56">
        <f>if(E2&gt;=Projections!$D$99,IF(MONTH(E2)=Settings!$B$9,Projections!$B$99,0),0)</f>
        <v>0</v>
      </c>
      <c r="F145" s="56">
        <f>if(F2&gt;=Projections!$D$99,IF(MONTH(F2)=Settings!$B$9,Projections!$B$99,0),0)</f>
        <v>0</v>
      </c>
      <c r="G145" s="56">
        <f>if(G2&gt;=Projections!$D$99,IF(MONTH(G2)=Settings!$B$9,Projections!$B$99,0),0)</f>
        <v>0</v>
      </c>
      <c r="H145" s="56">
        <f>if(H2&gt;=Projections!$D$99,IF(MONTH(H2)=Settings!$B$9,Projections!$B$99,0),0)</f>
        <v>0</v>
      </c>
      <c r="I145" s="56">
        <f>if(I2&gt;=Projections!$D$99,IF(MONTH(I2)=Settings!$B$9,Projections!$B$99,0),0)</f>
        <v>0</v>
      </c>
      <c r="J145" s="56">
        <f>if(J2&gt;=Projections!$D$99,IF(MONTH(J2)=Settings!$B$9,Projections!$B$99,0),0)</f>
        <v>0</v>
      </c>
      <c r="K145" s="56">
        <f>if(K2&gt;=Projections!$D$99,IF(MONTH(K2)=Settings!$B$9,Projections!$B$99,0),0)</f>
        <v>0</v>
      </c>
      <c r="L145" s="56">
        <f>if(L2&gt;=Projections!$D$99,IF(MONTH(L2)=Settings!$B$9,Projections!$B$99,0),0)</f>
        <v>0</v>
      </c>
      <c r="M145" s="56">
        <f>if(M2&gt;=Projections!$D$99,IF(MONTH(M2)=Settings!$B$9,Projections!$B$99,0),0)</f>
        <v>0</v>
      </c>
      <c r="N145" s="56">
        <f>if(N2&gt;=Projections!$D$99,IF(MONTH(N2)=Settings!$B$9,Projections!$B$99,0),0)</f>
        <v>0</v>
      </c>
      <c r="O145" s="56">
        <f>if(O2&gt;=Projections!$D$99,IF(MONTH(O2)=Settings!$B$9,Projections!$B$99,0),0)</f>
        <v>0</v>
      </c>
      <c r="P145" s="56">
        <f>if(P2&gt;=Projections!$D$99,IF(MONTH(P2)=Settings!$B$9,Projections!$B$99,0),0)</f>
        <v>0</v>
      </c>
      <c r="Q145" s="56">
        <f>if(Q2&gt;=Projections!$D$99,IF(MONTH(Q2)=Settings!$B$9,Projections!$B$99,0),0)</f>
        <v>0</v>
      </c>
      <c r="R145" s="56">
        <f>if(R2&gt;=Projections!$D$99,IF(MONTH(R2)=Settings!$B$9,Projections!$B$99,0),0)</f>
        <v>0</v>
      </c>
      <c r="S145" s="56">
        <f>if(S2&gt;=Projections!$D$99,IF(MONTH(S2)=Settings!$B$9,Projections!$B$99,0),0)</f>
        <v>0</v>
      </c>
      <c r="T145" s="56">
        <f>if(T2&gt;=Projections!$D$99,IF(MONTH(T2)=Settings!$B$9,Projections!$B$99,0),0)</f>
        <v>0</v>
      </c>
      <c r="U145" s="56">
        <f>if(U2&gt;=Projections!$D$99,IF(MONTH(U2)=Settings!$B$9,Projections!$B$99,0),0)</f>
        <v>0</v>
      </c>
      <c r="V145" s="56">
        <f>if(V2&gt;=Projections!$D$99,IF(MONTH(V2)=Settings!$B$9,Projections!$B$99,0),0)</f>
        <v>0</v>
      </c>
      <c r="W145" s="56">
        <f>if(W2&gt;=Projections!$D$99,IF(MONTH(W2)=Settings!$B$9,Projections!$B$99,0),0)</f>
        <v>0</v>
      </c>
      <c r="X145" s="56">
        <f>if(X2&gt;=Projections!$D$99,IF(MONTH(X2)=Settings!$B$9,Projections!$B$99,0),0)</f>
        <v>0</v>
      </c>
      <c r="Y145" s="56">
        <f>if(Y2&gt;=Projections!$D$99,IF(MONTH(Y2)=Settings!$B$9,Projections!$B$99,0),0)</f>
        <v>0</v>
      </c>
      <c r="Z145" s="56">
        <f>if(Z2&gt;=Projections!$D$99,IF(MONTH(Z2)=Settings!$B$9,Projections!$B$99,0),0)</f>
        <v>0</v>
      </c>
      <c r="AA145" s="56">
        <f>if(AA2&gt;=Projections!$D$99,IF(MONTH(AA2)=Settings!$B$9,Projections!$B$99,0),0)</f>
        <v>0</v>
      </c>
      <c r="AB145" s="56">
        <f>if(AB2&gt;=Projections!$D$99,IF(MONTH(AB2)=Settings!$B$9,Projections!$B$99,0),0)</f>
        <v>0</v>
      </c>
      <c r="AC145" s="56">
        <f>if(AC2&gt;=Projections!$D$99,IF(MONTH(AC2)=Settings!$B$9,Projections!$B$99,0),0)</f>
        <v>0</v>
      </c>
      <c r="AD145" s="56">
        <f>if(AD2&gt;=Projections!$D$99,IF(MONTH(AD2)=Settings!$B$9,Projections!$B$99,0),0)</f>
        <v>0</v>
      </c>
      <c r="AE145" s="56">
        <f>if(AE2&gt;=Projections!$D$99,IF(MONTH(AE2)=Settings!$B$9,Projections!$B$99,0),0)</f>
        <v>0</v>
      </c>
      <c r="AF145" s="56">
        <f>if(AF2&gt;=Projections!$D$99,IF(MONTH(AF2)=Settings!$B$9,Projections!$B$99,0),0)</f>
        <v>0</v>
      </c>
      <c r="AG145" s="56">
        <f>if(AG2&gt;=Projections!$D$99,IF(MONTH(AG2)=Settings!$B$9,Projections!$B$99,0),0)</f>
        <v>0</v>
      </c>
      <c r="AH145" s="56">
        <f>if(AH2&gt;=Projections!$D$99,IF(MONTH(AH2)=Settings!$B$9,Projections!$B$99,0),0)</f>
        <v>0</v>
      </c>
      <c r="AI145" s="56">
        <f>if(AI2&gt;=Projections!$D$99,IF(MONTH(AI2)=Settings!$B$9,Projections!$B$99,0),0)</f>
        <v>0</v>
      </c>
      <c r="AJ145" s="56">
        <f>if(AJ2&gt;=Projections!$D$99,IF(MONTH(AJ2)=Settings!$B$9,Projections!$B$99,0),0)</f>
        <v>0</v>
      </c>
      <c r="AK145" s="56">
        <f>if(AK2&gt;=Projections!$D$99,IF(MONTH(AK2)=Settings!$B$9,Projections!$B$99,0),0)</f>
        <v>0</v>
      </c>
      <c r="AL145" s="56">
        <f>if(AL2&gt;=Projections!$D$99,IF(MONTH(AL2)=Settings!$B$9,Projections!$B$99,0),0)</f>
        <v>0</v>
      </c>
      <c r="AM145" s="56">
        <f>if(AM2&gt;=Projections!$D$99,IF(MONTH(AM2)=Settings!$B$9,Projections!$B$99,0),0)</f>
        <v>0</v>
      </c>
      <c r="AN145" s="56">
        <f>if(AN2&gt;=Projections!$D$99,IF(MONTH(AN2)=Settings!$B$9,Projections!$B$99,0),0)</f>
        <v>0</v>
      </c>
      <c r="AO145" s="56">
        <f>if(AO2&gt;=Projections!$D$99,IF(MONTH(AO2)=Settings!$B$9,Projections!$B$99,0),0)</f>
        <v>0</v>
      </c>
      <c r="AP145" s="56">
        <f>if(AP2&gt;=Projections!$D$99,IF(MONTH(AP2)=Settings!$B$9,Projections!$B$99,0),0)</f>
        <v>0</v>
      </c>
      <c r="AQ145" s="56">
        <f>if(AQ2&gt;=Projections!$D$99,IF(MONTH(AQ2)=Settings!$B$9,Projections!$B$99,0),0)</f>
        <v>0</v>
      </c>
      <c r="AR145" s="56">
        <f>if(AR2&gt;=Projections!$D$99,IF(MONTH(AR2)=Settings!$B$9,Projections!$B$99,0),0)</f>
        <v>0</v>
      </c>
      <c r="AS145" s="56">
        <f>if(AS2&gt;=Projections!$D$99,IF(MONTH(AS2)=Settings!$B$9,Projections!$B$99,0),0)</f>
        <v>0</v>
      </c>
      <c r="AT145" s="56">
        <f>if(AT2&gt;=Projections!$D$99,IF(MONTH(AT2)=Settings!$B$9,Projections!$B$99,0),0)</f>
        <v>0</v>
      </c>
      <c r="AU145" s="56">
        <f>if(AU2&gt;=Projections!$D$99,IF(MONTH(AU2)=Settings!$B$9,Projections!$B$99,0),0)</f>
        <v>0</v>
      </c>
      <c r="AV145" s="56">
        <f>if(AV2&gt;=Projections!$D$99,IF(MONTH(AV2)=Settings!$B$9,Projections!$B$99,0),0)</f>
        <v>0</v>
      </c>
      <c r="AW145" s="56">
        <f>if(AW2&gt;=Projections!$D$99,IF(MONTH(AW2)=Settings!$B$9,Projections!$B$99,0),0)</f>
        <v>0</v>
      </c>
      <c r="AX145" s="56">
        <f>if(AX2&gt;=Projections!$D$99,IF(MONTH(AX2)=Settings!$B$9,Projections!$B$99,0),0)</f>
        <v>0</v>
      </c>
      <c r="AY145" s="56">
        <f>if(AY2&gt;=Projections!$D$99,IF(MONTH(AY2)=Settings!$B$9,Projections!$B$99,0),0)</f>
        <v>0</v>
      </c>
      <c r="AZ145" s="56">
        <f>if(AZ2&gt;=Projections!$D$99,IF(MONTH(AZ2)=Settings!$B$9,Projections!$B$99,0),0)</f>
        <v>0</v>
      </c>
      <c r="BA145" s="56">
        <f>if(BA2&gt;=Projections!$D$99,IF(MONTH(BA2)=Settings!$B$9,Projections!$B$99,0),0)</f>
        <v>0</v>
      </c>
      <c r="BB145" s="56">
        <f>if(BB2&gt;=Projections!$D$99,IF(MONTH(BB2)=Settings!$B$9,Projections!$B$99,0),0)</f>
        <v>0</v>
      </c>
      <c r="BC145" s="56">
        <f>if(BC2&gt;=Projections!$D$99,IF(MONTH(BC2)=Settings!$B$9,Projections!$B$99,0),0)</f>
        <v>0</v>
      </c>
      <c r="BD145" s="56">
        <f>if(BD2&gt;=Projections!$D$99,IF(MONTH(BD2)=Settings!$B$9,Projections!$B$99,0),0)</f>
        <v>0</v>
      </c>
      <c r="BE145" s="56">
        <f>if(BE2&gt;=Projections!$D$99,IF(MONTH(BE2)=Settings!$B$9,Projections!$B$99,0),0)</f>
        <v>0</v>
      </c>
      <c r="BF145" s="56">
        <f>if(BF2&gt;=Projections!$D$99,IF(MONTH(BF2)=Settings!$B$9,Projections!$B$99,0),0)</f>
        <v>0</v>
      </c>
      <c r="BG145" s="56">
        <f>if(BG2&gt;=Projections!$D$99,IF(MONTH(BG2)=Settings!$B$9,Projections!$B$99,0),0)</f>
        <v>0</v>
      </c>
      <c r="BH145" s="56">
        <f>if(BH2&gt;=Projections!$D$99,IF(MONTH(BH2)=Settings!$B$9,Projections!$B$99,0),0)</f>
        <v>0</v>
      </c>
      <c r="BI145" s="56">
        <f>if(BI2&gt;=Projections!$D$99,IF(MONTH(BI2)=Settings!$B$9,Projections!$B$99,0),0)</f>
        <v>0</v>
      </c>
      <c r="BJ145" s="56">
        <f>if(BJ2&gt;=Projections!$D$99,IF(MONTH(BJ2)=Settings!$B$9,Projections!$B$99,0),0)</f>
        <v>0</v>
      </c>
      <c r="BK145" s="56">
        <f>if(BK2&gt;=Projections!$D$99,IF(MONTH(BK2)=Settings!$B$9,Projections!$B$99,0),0)</f>
        <v>0</v>
      </c>
      <c r="BL145" s="56">
        <f>if(BL2&gt;=Projections!$D$99,IF(MONTH(BL2)=Settings!$B$9,Projections!$B$99,0),0)</f>
        <v>0</v>
      </c>
      <c r="BM145" s="56">
        <f>if(BM2&gt;=Projections!$D$99,IF(MONTH(BM2)=Settings!$B$9,Projections!$B$99,0),0)</f>
        <v>0</v>
      </c>
      <c r="BN145" s="56">
        <f>if(BN2&gt;=Projections!$D$99,IF(MONTH(BN2)=Settings!$B$9,Projections!$B$99,0),0)</f>
        <v>0</v>
      </c>
      <c r="BO145" s="56">
        <f>if(BO2&gt;=Projections!$D$99,IF(MONTH(BO2)=Settings!$B$9,Projections!$B$99,0),0)</f>
        <v>0</v>
      </c>
      <c r="BP145" s="56">
        <f>if(BP2&gt;=Projections!$D$99,IF(MONTH(BP2)=Settings!$B$9,Projections!$B$99,0),0)</f>
        <v>0</v>
      </c>
      <c r="BQ145" s="56">
        <f>if(BQ2&gt;=Projections!$D$99,IF(MONTH(BQ2)=Settings!$B$9,Projections!$B$99,0),0)</f>
        <v>0</v>
      </c>
      <c r="BR145" s="56">
        <f>if(BR2&gt;=Projections!$D$99,IF(MONTH(BR2)=Settings!$B$9,Projections!$B$99,0),0)</f>
        <v>0</v>
      </c>
      <c r="BS145" s="56">
        <f>if(BS2&gt;=Projections!$D$99,IF(MONTH(BS2)=Settings!$B$9,Projections!$B$99,0),0)</f>
        <v>0</v>
      </c>
      <c r="BT145" s="56">
        <f>if(BT2&gt;=Projections!$D$99,IF(MONTH(BT2)=Settings!$B$9,Projections!$B$99,0),0)</f>
        <v>0</v>
      </c>
      <c r="BU145" s="56">
        <f>if(BU2&gt;=Projections!$D$99,IF(MONTH(BU2)=Settings!$B$9,Projections!$B$99,0),0)</f>
        <v>0</v>
      </c>
      <c r="BV145" s="56">
        <f>if(BV2&gt;=Projections!$D$99,IF(MONTH(BV2)=Settings!$B$9,Projections!$B$99,0),0)</f>
        <v>0</v>
      </c>
      <c r="BW145" s="56">
        <f>if(BW2&gt;=Projections!$D$99,IF(MONTH(BW2)=Settings!$B$9,Projections!$B$99,0),0)</f>
        <v>0</v>
      </c>
      <c r="BX145" s="56">
        <f>if(BX2&gt;=Projections!$D$99,IF(MONTH(BX2)=Settings!$B$9,Projections!$B$99,0),0)</f>
        <v>0</v>
      </c>
      <c r="BY145" s="56">
        <f>if(BY2&gt;=Projections!$D$99,IF(MONTH(BY2)=Settings!$B$9,Projections!$B$99,0),0)</f>
        <v>0</v>
      </c>
      <c r="BZ145" s="56">
        <f>if(BZ2&gt;=Projections!$D$99,IF(MONTH(BZ2)=Settings!$B$9,Projections!$B$99,0),0)</f>
        <v>0</v>
      </c>
      <c r="CA145" s="56">
        <f>if(CA2&gt;=Projections!$D$99,IF(MONTH(CA2)=Settings!$B$9,Projections!$B$99,0),0)</f>
        <v>0</v>
      </c>
      <c r="CB145" s="56">
        <f>if(CB2&gt;=Projections!$D$99,IF(MONTH(CB2)=Settings!$B$9,Projections!$B$99,0),0)</f>
        <v>0</v>
      </c>
      <c r="CC145" s="56">
        <f>if(CC2&gt;=Projections!$D$99,IF(MONTH(CC2)=Settings!$B$9,Projections!$B$99,0),0)</f>
        <v>0</v>
      </c>
      <c r="CD145" s="56">
        <f>if(CD2&gt;=Projections!$D$99,IF(MONTH(CD2)=Settings!$B$9,Projections!$B$99,0),0)</f>
        <v>0</v>
      </c>
      <c r="CE145" s="56">
        <f>if(CE2&gt;=Projections!$D$99,IF(MONTH(CE2)=Settings!$B$9,Projections!$B$99,0),0)</f>
        <v>0</v>
      </c>
      <c r="CF145" s="56">
        <f>if(CF2&gt;=Projections!$D$99,IF(MONTH(CF2)=Settings!$B$9,Projections!$B$99,0),0)</f>
        <v>0</v>
      </c>
      <c r="CG145" s="56">
        <f>if(CG2&gt;=Projections!$D$99,IF(MONTH(CG2)=Settings!$B$9,Projections!$B$99,0),0)</f>
        <v>0</v>
      </c>
      <c r="CH145" s="56">
        <f>if(CH2&gt;=Projections!$D$99,IF(MONTH(CH2)=Settings!$B$9,Projections!$B$99,0),0)</f>
        <v>0</v>
      </c>
      <c r="CI145" s="56">
        <f>if(CI2&gt;=Projections!$D$99,IF(MONTH(CI2)=Settings!$B$9,Projections!$B$99,0),0)</f>
        <v>0</v>
      </c>
      <c r="CJ145" s="56">
        <f>if(CJ2&gt;=Projections!$D$99,IF(MONTH(CJ2)=Settings!$B$9,Projections!$B$99,0),0)</f>
        <v>0</v>
      </c>
      <c r="CK145" s="56">
        <f>if(CK2&gt;=Projections!$D$99,IF(MONTH(CK2)=Settings!$B$9,Projections!$B$99,0),0)</f>
        <v>0</v>
      </c>
      <c r="CL145" s="56">
        <f>if(CL2&gt;=Projections!$D$99,IF(MONTH(CL2)=Settings!$B$9,Projections!$B$99,0),0)</f>
        <v>0</v>
      </c>
      <c r="CM145" s="56">
        <f>if(CM2&gt;=Projections!$D$99,IF(MONTH(CM2)=Settings!$B$9,Projections!$B$99,0),0)</f>
        <v>0</v>
      </c>
      <c r="CN145" s="56">
        <f>if(CN2&gt;=Projections!$D$99,IF(MONTH(CN2)=Settings!$B$9,Projections!$B$99,0),0)</f>
        <v>0</v>
      </c>
      <c r="CO145" s="56">
        <f>if(CO2&gt;=Projections!$D$99,IF(MONTH(CO2)=Settings!$B$9,Projections!$B$99,0),0)</f>
        <v>0</v>
      </c>
      <c r="CP145" s="56">
        <f>if(CP2&gt;=Projections!$D$99,IF(MONTH(CP2)=Settings!$B$9,Projections!$B$99,0),0)</f>
        <v>0</v>
      </c>
      <c r="CQ145" s="56">
        <f>if(CQ2&gt;=Projections!$D$99,IF(MONTH(CQ2)=Settings!$B$9,Projections!$B$99,0),0)</f>
        <v>0</v>
      </c>
      <c r="CR145" s="56">
        <f>if(CR2&gt;=Projections!$D$99,IF(MONTH(CR2)=Settings!$B$9,Projections!$B$99,0),0)</f>
        <v>0</v>
      </c>
      <c r="CS145" s="56">
        <f>if(CS2&gt;=Projections!$D$99,IF(MONTH(CS2)=Settings!$B$9,Projections!$B$99,0),0)</f>
        <v>0</v>
      </c>
      <c r="CT145" s="56">
        <f>if(CT2&gt;=Projections!$D$99,IF(MONTH(CT2)=Settings!$B$9,Projections!$B$99,0),0)</f>
        <v>0</v>
      </c>
      <c r="CU145" s="56">
        <f>if(CU2&gt;=Projections!$D$99,IF(MONTH(CU2)=Settings!$B$9,Projections!$B$99,0),0)</f>
        <v>0</v>
      </c>
      <c r="CV145" s="56">
        <f>if(CV2&gt;=Projections!$D$99,IF(MONTH(CV2)=Settings!$B$9,Projections!$B$99,0),0)</f>
        <v>0</v>
      </c>
      <c r="CW145" s="56">
        <f>if(CW2&gt;=Projections!$D$99,IF(MONTH(CW2)=Settings!$B$9,Projections!$B$99,0),0)</f>
        <v>0</v>
      </c>
      <c r="CX145" s="56">
        <f>if(CX2&gt;=Projections!$D$99,IF(MONTH(CX2)=Settings!$B$9,Projections!$B$99,0),0)</f>
        <v>0</v>
      </c>
    </row>
    <row r="146" ht="15.75" customHeight="1" outlineLevel="1">
      <c r="A146" s="60" t="str">
        <f>Projections!A101</f>
        <v>Other advisory services</v>
      </c>
      <c r="B146" s="56"/>
      <c r="C146" s="56"/>
      <c r="D146" s="56"/>
      <c r="E146" s="60">
        <f t="shared" ref="E146:CX146" si="28">SUM(E147:E149)</f>
        <v>0</v>
      </c>
      <c r="F146" s="60">
        <f t="shared" si="28"/>
        <v>0</v>
      </c>
      <c r="G146" s="60">
        <f t="shared" si="28"/>
        <v>0</v>
      </c>
      <c r="H146" s="60">
        <f t="shared" si="28"/>
        <v>0</v>
      </c>
      <c r="I146" s="60">
        <f t="shared" si="28"/>
        <v>0</v>
      </c>
      <c r="J146" s="60">
        <f t="shared" si="28"/>
        <v>0</v>
      </c>
      <c r="K146" s="60">
        <f t="shared" si="28"/>
        <v>0</v>
      </c>
      <c r="L146" s="60">
        <f t="shared" si="28"/>
        <v>0</v>
      </c>
      <c r="M146" s="60">
        <f t="shared" si="28"/>
        <v>0</v>
      </c>
      <c r="N146" s="60">
        <f t="shared" si="28"/>
        <v>0</v>
      </c>
      <c r="O146" s="60">
        <f t="shared" si="28"/>
        <v>0</v>
      </c>
      <c r="P146" s="60">
        <f t="shared" si="28"/>
        <v>0</v>
      </c>
      <c r="Q146" s="60">
        <f t="shared" si="28"/>
        <v>0</v>
      </c>
      <c r="R146" s="60">
        <f t="shared" si="28"/>
        <v>0</v>
      </c>
      <c r="S146" s="60">
        <f t="shared" si="28"/>
        <v>0</v>
      </c>
      <c r="T146" s="60">
        <f t="shared" si="28"/>
        <v>0</v>
      </c>
      <c r="U146" s="60">
        <f t="shared" si="28"/>
        <v>0</v>
      </c>
      <c r="V146" s="60">
        <f t="shared" si="28"/>
        <v>0</v>
      </c>
      <c r="W146" s="60">
        <f t="shared" si="28"/>
        <v>0</v>
      </c>
      <c r="X146" s="60">
        <f t="shared" si="28"/>
        <v>0</v>
      </c>
      <c r="Y146" s="60">
        <f t="shared" si="28"/>
        <v>0</v>
      </c>
      <c r="Z146" s="60">
        <f t="shared" si="28"/>
        <v>0</v>
      </c>
      <c r="AA146" s="60">
        <f t="shared" si="28"/>
        <v>0</v>
      </c>
      <c r="AB146" s="60">
        <f t="shared" si="28"/>
        <v>0</v>
      </c>
      <c r="AC146" s="60">
        <f t="shared" si="28"/>
        <v>0</v>
      </c>
      <c r="AD146" s="60">
        <f t="shared" si="28"/>
        <v>0</v>
      </c>
      <c r="AE146" s="60">
        <f t="shared" si="28"/>
        <v>0</v>
      </c>
      <c r="AF146" s="60">
        <f t="shared" si="28"/>
        <v>0</v>
      </c>
      <c r="AG146" s="60">
        <f t="shared" si="28"/>
        <v>0</v>
      </c>
      <c r="AH146" s="60">
        <f t="shared" si="28"/>
        <v>0</v>
      </c>
      <c r="AI146" s="60">
        <f t="shared" si="28"/>
        <v>0</v>
      </c>
      <c r="AJ146" s="60">
        <f t="shared" si="28"/>
        <v>0</v>
      </c>
      <c r="AK146" s="60">
        <f t="shared" si="28"/>
        <v>0</v>
      </c>
      <c r="AL146" s="60">
        <f t="shared" si="28"/>
        <v>0</v>
      </c>
      <c r="AM146" s="60">
        <f t="shared" si="28"/>
        <v>0</v>
      </c>
      <c r="AN146" s="60">
        <f t="shared" si="28"/>
        <v>0</v>
      </c>
      <c r="AO146" s="60">
        <f t="shared" si="28"/>
        <v>0</v>
      </c>
      <c r="AP146" s="60">
        <f t="shared" si="28"/>
        <v>0</v>
      </c>
      <c r="AQ146" s="60">
        <f t="shared" si="28"/>
        <v>0</v>
      </c>
      <c r="AR146" s="60">
        <f t="shared" si="28"/>
        <v>0</v>
      </c>
      <c r="AS146" s="60">
        <f t="shared" si="28"/>
        <v>0</v>
      </c>
      <c r="AT146" s="60">
        <f t="shared" si="28"/>
        <v>0</v>
      </c>
      <c r="AU146" s="60">
        <f t="shared" si="28"/>
        <v>0</v>
      </c>
      <c r="AV146" s="60">
        <f t="shared" si="28"/>
        <v>0</v>
      </c>
      <c r="AW146" s="60">
        <f t="shared" si="28"/>
        <v>0</v>
      </c>
      <c r="AX146" s="60">
        <f t="shared" si="28"/>
        <v>0</v>
      </c>
      <c r="AY146" s="60">
        <f t="shared" si="28"/>
        <v>0</v>
      </c>
      <c r="AZ146" s="60">
        <f t="shared" si="28"/>
        <v>0</v>
      </c>
      <c r="BA146" s="60">
        <f t="shared" si="28"/>
        <v>0</v>
      </c>
      <c r="BB146" s="60">
        <f t="shared" si="28"/>
        <v>0</v>
      </c>
      <c r="BC146" s="60">
        <f t="shared" si="28"/>
        <v>0</v>
      </c>
      <c r="BD146" s="60">
        <f t="shared" si="28"/>
        <v>0</v>
      </c>
      <c r="BE146" s="60">
        <f t="shared" si="28"/>
        <v>0</v>
      </c>
      <c r="BF146" s="60">
        <f t="shared" si="28"/>
        <v>0</v>
      </c>
      <c r="BG146" s="60">
        <f t="shared" si="28"/>
        <v>0</v>
      </c>
      <c r="BH146" s="60">
        <f t="shared" si="28"/>
        <v>0</v>
      </c>
      <c r="BI146" s="60">
        <f t="shared" si="28"/>
        <v>0</v>
      </c>
      <c r="BJ146" s="60">
        <f t="shared" si="28"/>
        <v>0</v>
      </c>
      <c r="BK146" s="60">
        <f t="shared" si="28"/>
        <v>0</v>
      </c>
      <c r="BL146" s="60">
        <f t="shared" si="28"/>
        <v>0</v>
      </c>
      <c r="BM146" s="60">
        <f t="shared" si="28"/>
        <v>0</v>
      </c>
      <c r="BN146" s="60">
        <f t="shared" si="28"/>
        <v>0</v>
      </c>
      <c r="BO146" s="60">
        <f t="shared" si="28"/>
        <v>0</v>
      </c>
      <c r="BP146" s="60">
        <f t="shared" si="28"/>
        <v>0</v>
      </c>
      <c r="BQ146" s="60">
        <f t="shared" si="28"/>
        <v>0</v>
      </c>
      <c r="BR146" s="60">
        <f t="shared" si="28"/>
        <v>0</v>
      </c>
      <c r="BS146" s="60">
        <f t="shared" si="28"/>
        <v>0</v>
      </c>
      <c r="BT146" s="60">
        <f t="shared" si="28"/>
        <v>0</v>
      </c>
      <c r="BU146" s="60">
        <f t="shared" si="28"/>
        <v>0</v>
      </c>
      <c r="BV146" s="60">
        <f t="shared" si="28"/>
        <v>0</v>
      </c>
      <c r="BW146" s="60">
        <f t="shared" si="28"/>
        <v>0</v>
      </c>
      <c r="BX146" s="60">
        <f t="shared" si="28"/>
        <v>0</v>
      </c>
      <c r="BY146" s="60">
        <f t="shared" si="28"/>
        <v>0</v>
      </c>
      <c r="BZ146" s="60">
        <f t="shared" si="28"/>
        <v>0</v>
      </c>
      <c r="CA146" s="60">
        <f t="shared" si="28"/>
        <v>0</v>
      </c>
      <c r="CB146" s="60">
        <f t="shared" si="28"/>
        <v>0</v>
      </c>
      <c r="CC146" s="60">
        <f t="shared" si="28"/>
        <v>0</v>
      </c>
      <c r="CD146" s="60">
        <f t="shared" si="28"/>
        <v>0</v>
      </c>
      <c r="CE146" s="60">
        <f t="shared" si="28"/>
        <v>0</v>
      </c>
      <c r="CF146" s="60">
        <f t="shared" si="28"/>
        <v>0</v>
      </c>
      <c r="CG146" s="60">
        <f t="shared" si="28"/>
        <v>0</v>
      </c>
      <c r="CH146" s="60">
        <f t="shared" si="28"/>
        <v>0</v>
      </c>
      <c r="CI146" s="60">
        <f t="shared" si="28"/>
        <v>0</v>
      </c>
      <c r="CJ146" s="60">
        <f t="shared" si="28"/>
        <v>0</v>
      </c>
      <c r="CK146" s="60">
        <f t="shared" si="28"/>
        <v>0</v>
      </c>
      <c r="CL146" s="60">
        <f t="shared" si="28"/>
        <v>0</v>
      </c>
      <c r="CM146" s="60">
        <f t="shared" si="28"/>
        <v>0</v>
      </c>
      <c r="CN146" s="60">
        <f t="shared" si="28"/>
        <v>0</v>
      </c>
      <c r="CO146" s="60">
        <f t="shared" si="28"/>
        <v>0</v>
      </c>
      <c r="CP146" s="60">
        <f t="shared" si="28"/>
        <v>0</v>
      </c>
      <c r="CQ146" s="60">
        <f t="shared" si="28"/>
        <v>0</v>
      </c>
      <c r="CR146" s="60">
        <f t="shared" si="28"/>
        <v>0</v>
      </c>
      <c r="CS146" s="60">
        <f t="shared" si="28"/>
        <v>0</v>
      </c>
      <c r="CT146" s="60">
        <f t="shared" si="28"/>
        <v>0</v>
      </c>
      <c r="CU146" s="60">
        <f t="shared" si="28"/>
        <v>0</v>
      </c>
      <c r="CV146" s="60">
        <f t="shared" si="28"/>
        <v>0</v>
      </c>
      <c r="CW146" s="60">
        <f t="shared" si="28"/>
        <v>0</v>
      </c>
      <c r="CX146" s="60">
        <f t="shared" si="28"/>
        <v>0</v>
      </c>
    </row>
    <row r="147" ht="15.75" customHeight="1" outlineLevel="1">
      <c r="A147" s="56" t="str">
        <f>Projections!A102</f>
        <v>Expense 1</v>
      </c>
      <c r="B147" s="56"/>
      <c r="C147" s="56"/>
      <c r="D147" s="56"/>
      <c r="E147" s="56">
        <f>IF(E$2&gt;=Projections!$D102,Projections!$B102,0)</f>
        <v>0</v>
      </c>
      <c r="F147" s="56">
        <f>IF(F$2&gt;=Projections!$D102,Projections!$B102,0)</f>
        <v>0</v>
      </c>
      <c r="G147" s="56">
        <f>IF(G$2&gt;=Projections!$D102,Projections!$B102,0)</f>
        <v>0</v>
      </c>
      <c r="H147" s="56">
        <f>IF(H$2&gt;=Projections!$D102,Projections!$B102,0)</f>
        <v>0</v>
      </c>
      <c r="I147" s="56">
        <f>IF(I$2&gt;=Projections!$D102,Projections!$B102,0)</f>
        <v>0</v>
      </c>
      <c r="J147" s="56">
        <f>IF(J$2&gt;=Projections!$D102,Projections!$B102,0)</f>
        <v>0</v>
      </c>
      <c r="K147" s="56">
        <f>IF(K$2&gt;=Projections!$D102,Projections!$B102,0)</f>
        <v>0</v>
      </c>
      <c r="L147" s="56">
        <f>IF(L$2&gt;=Projections!$D102,Projections!$B102,0)</f>
        <v>0</v>
      </c>
      <c r="M147" s="56">
        <f>IF(M$2&gt;=Projections!$D102,Projections!$B102,0)</f>
        <v>0</v>
      </c>
      <c r="N147" s="56">
        <f>IF(N$2&gt;=Projections!$D102,Projections!$B102,0)</f>
        <v>0</v>
      </c>
      <c r="O147" s="56">
        <f>IF(O$2&gt;=Projections!$D102,Projections!$B102,0)</f>
        <v>0</v>
      </c>
      <c r="P147" s="56">
        <f>IF(P$2&gt;=Projections!$D102,Projections!$B102,0)</f>
        <v>0</v>
      </c>
      <c r="Q147" s="56">
        <f>IF(Q$2&gt;=Projections!$D102,Projections!$B102,0)</f>
        <v>0</v>
      </c>
      <c r="R147" s="56">
        <f>IF(R$2&gt;=Projections!$D102,Projections!$B102,0)</f>
        <v>0</v>
      </c>
      <c r="S147" s="56">
        <f>IF(S$2&gt;=Projections!$D102,Projections!$B102,0)</f>
        <v>0</v>
      </c>
      <c r="T147" s="56">
        <f>IF(T$2&gt;=Projections!$D102,Projections!$B102,0)</f>
        <v>0</v>
      </c>
      <c r="U147" s="56">
        <f>IF(U$2&gt;=Projections!$D102,Projections!$B102,0)</f>
        <v>0</v>
      </c>
      <c r="V147" s="56">
        <f>IF(V$2&gt;=Projections!$D102,Projections!$B102,0)</f>
        <v>0</v>
      </c>
      <c r="W147" s="56">
        <f>IF(W$2&gt;=Projections!$D102,Projections!$B102,0)</f>
        <v>0</v>
      </c>
      <c r="X147" s="56">
        <f>IF(X$2&gt;=Projections!$D102,Projections!$B102,0)</f>
        <v>0</v>
      </c>
      <c r="Y147" s="56">
        <f>IF(Y$2&gt;=Projections!$D102,Projections!$B102,0)</f>
        <v>0</v>
      </c>
      <c r="Z147" s="56">
        <f>IF(Z$2&gt;=Projections!$D102,Projections!$B102,0)</f>
        <v>0</v>
      </c>
      <c r="AA147" s="56">
        <f>IF(AA$2&gt;=Projections!$D102,Projections!$B102,0)</f>
        <v>0</v>
      </c>
      <c r="AB147" s="56">
        <f>IF(AB$2&gt;=Projections!$D102,Projections!$B102,0)</f>
        <v>0</v>
      </c>
      <c r="AC147" s="56">
        <f>IF(AC$2&gt;=Projections!$D102,Projections!$B102,0)</f>
        <v>0</v>
      </c>
      <c r="AD147" s="56">
        <f>IF(AD$2&gt;=Projections!$D102,Projections!$B102,0)</f>
        <v>0</v>
      </c>
      <c r="AE147" s="56">
        <f>IF(AE$2&gt;=Projections!$D102,Projections!$B102,0)</f>
        <v>0</v>
      </c>
      <c r="AF147" s="56">
        <f>IF(AF$2&gt;=Projections!$D102,Projections!$B102,0)</f>
        <v>0</v>
      </c>
      <c r="AG147" s="56">
        <f>IF(AG$2&gt;=Projections!$D102,Projections!$B102,0)</f>
        <v>0</v>
      </c>
      <c r="AH147" s="56">
        <f>IF(AH$2&gt;=Projections!$D102,Projections!$B102,0)</f>
        <v>0</v>
      </c>
      <c r="AI147" s="56">
        <f>IF(AI$2&gt;=Projections!$D102,Projections!$B102,0)</f>
        <v>0</v>
      </c>
      <c r="AJ147" s="56">
        <f>IF(AJ$2&gt;=Projections!$D102,Projections!$B102,0)</f>
        <v>0</v>
      </c>
      <c r="AK147" s="56">
        <f>IF(AK$2&gt;=Projections!$D102,Projections!$B102,0)</f>
        <v>0</v>
      </c>
      <c r="AL147" s="56">
        <f>IF(AL$2&gt;=Projections!$D102,Projections!$B102,0)</f>
        <v>0</v>
      </c>
      <c r="AM147" s="56">
        <f>IF(AM$2&gt;=Projections!$D102,Projections!$B102,0)</f>
        <v>0</v>
      </c>
      <c r="AN147" s="56">
        <f>IF(AN$2&gt;=Projections!$D102,Projections!$B102,0)</f>
        <v>0</v>
      </c>
      <c r="AO147" s="56">
        <f>IF(AO$2&gt;=Projections!$D102,Projections!$B102,0)</f>
        <v>0</v>
      </c>
      <c r="AP147" s="56">
        <f>IF(AP$2&gt;=Projections!$D102,Projections!$B102,0)</f>
        <v>0</v>
      </c>
      <c r="AQ147" s="56">
        <f>IF(AQ$2&gt;=Projections!$D102,Projections!$B102,0)</f>
        <v>0</v>
      </c>
      <c r="AR147" s="56">
        <f>IF(AR$2&gt;=Projections!$D102,Projections!$B102,0)</f>
        <v>0</v>
      </c>
      <c r="AS147" s="56">
        <f>IF(AS$2&gt;=Projections!$D102,Projections!$B102,0)</f>
        <v>0</v>
      </c>
      <c r="AT147" s="56">
        <f>IF(AT$2&gt;=Projections!$D102,Projections!$B102,0)</f>
        <v>0</v>
      </c>
      <c r="AU147" s="56">
        <f>IF(AU$2&gt;=Projections!$D102,Projections!$B102,0)</f>
        <v>0</v>
      </c>
      <c r="AV147" s="56">
        <f>IF(AV$2&gt;=Projections!$D102,Projections!$B102,0)</f>
        <v>0</v>
      </c>
      <c r="AW147" s="56">
        <f>IF(AW$2&gt;=Projections!$D102,Projections!$B102,0)</f>
        <v>0</v>
      </c>
      <c r="AX147" s="56">
        <f>IF(AX$2&gt;=Projections!$D102,Projections!$B102,0)</f>
        <v>0</v>
      </c>
      <c r="AY147" s="56">
        <f>IF(AY$2&gt;=Projections!$D102,Projections!$B102,0)</f>
        <v>0</v>
      </c>
      <c r="AZ147" s="56">
        <f>IF(AZ$2&gt;=Projections!$D102,Projections!$B102,0)</f>
        <v>0</v>
      </c>
      <c r="BA147" s="56">
        <f>IF(BA$2&gt;=Projections!$D102,Projections!$B102,0)</f>
        <v>0</v>
      </c>
      <c r="BB147" s="56">
        <f>IF(BB$2&gt;=Projections!$D102,Projections!$B102,0)</f>
        <v>0</v>
      </c>
      <c r="BC147" s="56">
        <f>IF(BC$2&gt;=Projections!$D102,Projections!$B102,0)</f>
        <v>0</v>
      </c>
      <c r="BD147" s="56">
        <f>IF(BD$2&gt;=Projections!$D102,Projections!$B102,0)</f>
        <v>0</v>
      </c>
      <c r="BE147" s="56">
        <f>IF(BE$2&gt;=Projections!$D102,Projections!$B102,0)</f>
        <v>0</v>
      </c>
      <c r="BF147" s="56">
        <f>IF(BF$2&gt;=Projections!$D102,Projections!$B102,0)</f>
        <v>0</v>
      </c>
      <c r="BG147" s="56">
        <f>IF(BG$2&gt;=Projections!$D102,Projections!$B102,0)</f>
        <v>0</v>
      </c>
      <c r="BH147" s="56">
        <f>IF(BH$2&gt;=Projections!$D102,Projections!$B102,0)</f>
        <v>0</v>
      </c>
      <c r="BI147" s="56">
        <f>IF(BI$2&gt;=Projections!$D102,Projections!$B102,0)</f>
        <v>0</v>
      </c>
      <c r="BJ147" s="56">
        <f>IF(BJ$2&gt;=Projections!$D102,Projections!$B102,0)</f>
        <v>0</v>
      </c>
      <c r="BK147" s="56">
        <f>IF(BK$2&gt;=Projections!$D102,Projections!$B102,0)</f>
        <v>0</v>
      </c>
      <c r="BL147" s="56">
        <f>IF(BL$2&gt;=Projections!$D102,Projections!$B102,0)</f>
        <v>0</v>
      </c>
      <c r="BM147" s="56">
        <f>IF(BM$2&gt;=Projections!$D102,Projections!$B102,0)</f>
        <v>0</v>
      </c>
      <c r="BN147" s="56">
        <f>IF(BN$2&gt;=Projections!$D102,Projections!$B102,0)</f>
        <v>0</v>
      </c>
      <c r="BO147" s="56">
        <f>IF(BO$2&gt;=Projections!$D102,Projections!$B102,0)</f>
        <v>0</v>
      </c>
      <c r="BP147" s="56">
        <f>IF(BP$2&gt;=Projections!$D102,Projections!$B102,0)</f>
        <v>0</v>
      </c>
      <c r="BQ147" s="56">
        <f>IF(BQ$2&gt;=Projections!$D102,Projections!$B102,0)</f>
        <v>0</v>
      </c>
      <c r="BR147" s="56">
        <f>IF(BR$2&gt;=Projections!$D102,Projections!$B102,0)</f>
        <v>0</v>
      </c>
      <c r="BS147" s="56">
        <f>IF(BS$2&gt;=Projections!$D102,Projections!$B102,0)</f>
        <v>0</v>
      </c>
      <c r="BT147" s="56">
        <f>IF(BT$2&gt;=Projections!$D102,Projections!$B102,0)</f>
        <v>0</v>
      </c>
      <c r="BU147" s="56">
        <f>IF(BU$2&gt;=Projections!$D102,Projections!$B102,0)</f>
        <v>0</v>
      </c>
      <c r="BV147" s="56">
        <f>IF(BV$2&gt;=Projections!$D102,Projections!$B102,0)</f>
        <v>0</v>
      </c>
      <c r="BW147" s="56">
        <f>IF(BW$2&gt;=Projections!$D102,Projections!$B102,0)</f>
        <v>0</v>
      </c>
      <c r="BX147" s="56">
        <f>IF(BX$2&gt;=Projections!$D102,Projections!$B102,0)</f>
        <v>0</v>
      </c>
      <c r="BY147" s="56">
        <f>IF(BY$2&gt;=Projections!$D102,Projections!$B102,0)</f>
        <v>0</v>
      </c>
      <c r="BZ147" s="56">
        <f>IF(BZ$2&gt;=Projections!$D102,Projections!$B102,0)</f>
        <v>0</v>
      </c>
      <c r="CA147" s="56">
        <f>IF(CA$2&gt;=Projections!$D102,Projections!$B102,0)</f>
        <v>0</v>
      </c>
      <c r="CB147" s="56">
        <f>IF(CB$2&gt;=Projections!$D102,Projections!$B102,0)</f>
        <v>0</v>
      </c>
      <c r="CC147" s="56">
        <f>IF(CC$2&gt;=Projections!$D102,Projections!$B102,0)</f>
        <v>0</v>
      </c>
      <c r="CD147" s="56">
        <f>IF(CD$2&gt;=Projections!$D102,Projections!$B102,0)</f>
        <v>0</v>
      </c>
      <c r="CE147" s="56">
        <f>IF(CE$2&gt;=Projections!$D102,Projections!$B102,0)</f>
        <v>0</v>
      </c>
      <c r="CF147" s="56">
        <f>IF(CF$2&gt;=Projections!$D102,Projections!$B102,0)</f>
        <v>0</v>
      </c>
      <c r="CG147" s="56">
        <f>IF(CG$2&gt;=Projections!$D102,Projections!$B102,0)</f>
        <v>0</v>
      </c>
      <c r="CH147" s="56">
        <f>IF(CH$2&gt;=Projections!$D102,Projections!$B102,0)</f>
        <v>0</v>
      </c>
      <c r="CI147" s="56">
        <f>IF(CI$2&gt;=Projections!$D102,Projections!$B102,0)</f>
        <v>0</v>
      </c>
      <c r="CJ147" s="56">
        <f>IF(CJ$2&gt;=Projections!$D102,Projections!$B102,0)</f>
        <v>0</v>
      </c>
      <c r="CK147" s="56">
        <f>IF(CK$2&gt;=Projections!$D102,Projections!$B102,0)</f>
        <v>0</v>
      </c>
      <c r="CL147" s="56">
        <f>IF(CL$2&gt;=Projections!$D102,Projections!$B102,0)</f>
        <v>0</v>
      </c>
      <c r="CM147" s="56">
        <f>IF(CM$2&gt;=Projections!$D102,Projections!$B102,0)</f>
        <v>0</v>
      </c>
      <c r="CN147" s="56">
        <f>IF(CN$2&gt;=Projections!$D102,Projections!$B102,0)</f>
        <v>0</v>
      </c>
      <c r="CO147" s="56">
        <f>IF(CO$2&gt;=Projections!$D102,Projections!$B102,0)</f>
        <v>0</v>
      </c>
      <c r="CP147" s="56">
        <f>IF(CP$2&gt;=Projections!$D102,Projections!$B102,0)</f>
        <v>0</v>
      </c>
      <c r="CQ147" s="56">
        <f>IF(CQ$2&gt;=Projections!$D102,Projections!$B102,0)</f>
        <v>0</v>
      </c>
      <c r="CR147" s="56">
        <f>IF(CR$2&gt;=Projections!$D102,Projections!$B102,0)</f>
        <v>0</v>
      </c>
      <c r="CS147" s="56">
        <f>IF(CS$2&gt;=Projections!$D102,Projections!$B102,0)</f>
        <v>0</v>
      </c>
      <c r="CT147" s="56">
        <f>IF(CT$2&gt;=Projections!$D102,Projections!$B102,0)</f>
        <v>0</v>
      </c>
      <c r="CU147" s="56">
        <f>IF(CU$2&gt;=Projections!$D102,Projections!$B102,0)</f>
        <v>0</v>
      </c>
      <c r="CV147" s="56">
        <f>IF(CV$2&gt;=Projections!$D102,Projections!$B102,0)</f>
        <v>0</v>
      </c>
      <c r="CW147" s="56">
        <f>IF(CW$2&gt;=Projections!$D102,Projections!$B102,0)</f>
        <v>0</v>
      </c>
      <c r="CX147" s="56">
        <f>IF(CX$2&gt;=Projections!$D102,Projections!$B102,0)</f>
        <v>0</v>
      </c>
    </row>
    <row r="148" ht="15.75" customHeight="1" outlineLevel="1">
      <c r="A148" s="56" t="str">
        <f>Projections!A103</f>
        <v>Expense 2</v>
      </c>
      <c r="B148" s="56"/>
      <c r="C148" s="56"/>
      <c r="D148" s="56"/>
      <c r="E148" s="56">
        <f>IF(E$2&gt;=Projections!$D103,Projections!$B103,0)</f>
        <v>0</v>
      </c>
      <c r="F148" s="56">
        <f>IF(F$2&gt;=Projections!$D103,Projections!$B103,0)</f>
        <v>0</v>
      </c>
      <c r="G148" s="56">
        <f>IF(G$2&gt;=Projections!$D103,Projections!$B103,0)</f>
        <v>0</v>
      </c>
      <c r="H148" s="56">
        <f>IF(H$2&gt;=Projections!$D103,Projections!$B103,0)</f>
        <v>0</v>
      </c>
      <c r="I148" s="56">
        <f>IF(I$2&gt;=Projections!$D103,Projections!$B103,0)</f>
        <v>0</v>
      </c>
      <c r="J148" s="56">
        <f>IF(J$2&gt;=Projections!$D103,Projections!$B103,0)</f>
        <v>0</v>
      </c>
      <c r="K148" s="56">
        <f>IF(K$2&gt;=Projections!$D103,Projections!$B103,0)</f>
        <v>0</v>
      </c>
      <c r="L148" s="56">
        <f>IF(L$2&gt;=Projections!$D103,Projections!$B103,0)</f>
        <v>0</v>
      </c>
      <c r="M148" s="56">
        <f>IF(M$2&gt;=Projections!$D103,Projections!$B103,0)</f>
        <v>0</v>
      </c>
      <c r="N148" s="56">
        <f>IF(N$2&gt;=Projections!$D103,Projections!$B103,0)</f>
        <v>0</v>
      </c>
      <c r="O148" s="56">
        <f>IF(O$2&gt;=Projections!$D103,Projections!$B103,0)</f>
        <v>0</v>
      </c>
      <c r="P148" s="56">
        <f>IF(P$2&gt;=Projections!$D103,Projections!$B103,0)</f>
        <v>0</v>
      </c>
      <c r="Q148" s="56">
        <f>IF(Q$2&gt;=Projections!$D103,Projections!$B103,0)</f>
        <v>0</v>
      </c>
      <c r="R148" s="56">
        <f>IF(R$2&gt;=Projections!$D103,Projections!$B103,0)</f>
        <v>0</v>
      </c>
      <c r="S148" s="56">
        <f>IF(S$2&gt;=Projections!$D103,Projections!$B103,0)</f>
        <v>0</v>
      </c>
      <c r="T148" s="56">
        <f>IF(T$2&gt;=Projections!$D103,Projections!$B103,0)</f>
        <v>0</v>
      </c>
      <c r="U148" s="56">
        <f>IF(U$2&gt;=Projections!$D103,Projections!$B103,0)</f>
        <v>0</v>
      </c>
      <c r="V148" s="56">
        <f>IF(V$2&gt;=Projections!$D103,Projections!$B103,0)</f>
        <v>0</v>
      </c>
      <c r="W148" s="56">
        <f>IF(W$2&gt;=Projections!$D103,Projections!$B103,0)</f>
        <v>0</v>
      </c>
      <c r="X148" s="56">
        <f>IF(X$2&gt;=Projections!$D103,Projections!$B103,0)</f>
        <v>0</v>
      </c>
      <c r="Y148" s="56">
        <f>IF(Y$2&gt;=Projections!$D103,Projections!$B103,0)</f>
        <v>0</v>
      </c>
      <c r="Z148" s="56">
        <f>IF(Z$2&gt;=Projections!$D103,Projections!$B103,0)</f>
        <v>0</v>
      </c>
      <c r="AA148" s="56">
        <f>IF(AA$2&gt;=Projections!$D103,Projections!$B103,0)</f>
        <v>0</v>
      </c>
      <c r="AB148" s="56">
        <f>IF(AB$2&gt;=Projections!$D103,Projections!$B103,0)</f>
        <v>0</v>
      </c>
      <c r="AC148" s="56">
        <f>IF(AC$2&gt;=Projections!$D103,Projections!$B103,0)</f>
        <v>0</v>
      </c>
      <c r="AD148" s="56">
        <f>IF(AD$2&gt;=Projections!$D103,Projections!$B103,0)</f>
        <v>0</v>
      </c>
      <c r="AE148" s="56">
        <f>IF(AE$2&gt;=Projections!$D103,Projections!$B103,0)</f>
        <v>0</v>
      </c>
      <c r="AF148" s="56">
        <f>IF(AF$2&gt;=Projections!$D103,Projections!$B103,0)</f>
        <v>0</v>
      </c>
      <c r="AG148" s="56">
        <f>IF(AG$2&gt;=Projections!$D103,Projections!$B103,0)</f>
        <v>0</v>
      </c>
      <c r="AH148" s="56">
        <f>IF(AH$2&gt;=Projections!$D103,Projections!$B103,0)</f>
        <v>0</v>
      </c>
      <c r="AI148" s="56">
        <f>IF(AI$2&gt;=Projections!$D103,Projections!$B103,0)</f>
        <v>0</v>
      </c>
      <c r="AJ148" s="56">
        <f>IF(AJ$2&gt;=Projections!$D103,Projections!$B103,0)</f>
        <v>0</v>
      </c>
      <c r="AK148" s="56">
        <f>IF(AK$2&gt;=Projections!$D103,Projections!$B103,0)</f>
        <v>0</v>
      </c>
      <c r="AL148" s="56">
        <f>IF(AL$2&gt;=Projections!$D103,Projections!$B103,0)</f>
        <v>0</v>
      </c>
      <c r="AM148" s="56">
        <f>IF(AM$2&gt;=Projections!$D103,Projections!$B103,0)</f>
        <v>0</v>
      </c>
      <c r="AN148" s="56">
        <f>IF(AN$2&gt;=Projections!$D103,Projections!$B103,0)</f>
        <v>0</v>
      </c>
      <c r="AO148" s="56">
        <f>IF(AO$2&gt;=Projections!$D103,Projections!$B103,0)</f>
        <v>0</v>
      </c>
      <c r="AP148" s="56">
        <f>IF(AP$2&gt;=Projections!$D103,Projections!$B103,0)</f>
        <v>0</v>
      </c>
      <c r="AQ148" s="56">
        <f>IF(AQ$2&gt;=Projections!$D103,Projections!$B103,0)</f>
        <v>0</v>
      </c>
      <c r="AR148" s="56">
        <f>IF(AR$2&gt;=Projections!$D103,Projections!$B103,0)</f>
        <v>0</v>
      </c>
      <c r="AS148" s="56">
        <f>IF(AS$2&gt;=Projections!$D103,Projections!$B103,0)</f>
        <v>0</v>
      </c>
      <c r="AT148" s="56">
        <f>IF(AT$2&gt;=Projections!$D103,Projections!$B103,0)</f>
        <v>0</v>
      </c>
      <c r="AU148" s="56">
        <f>IF(AU$2&gt;=Projections!$D103,Projections!$B103,0)</f>
        <v>0</v>
      </c>
      <c r="AV148" s="56">
        <f>IF(AV$2&gt;=Projections!$D103,Projections!$B103,0)</f>
        <v>0</v>
      </c>
      <c r="AW148" s="56">
        <f>IF(AW$2&gt;=Projections!$D103,Projections!$B103,0)</f>
        <v>0</v>
      </c>
      <c r="AX148" s="56">
        <f>IF(AX$2&gt;=Projections!$D103,Projections!$B103,0)</f>
        <v>0</v>
      </c>
      <c r="AY148" s="56">
        <f>IF(AY$2&gt;=Projections!$D103,Projections!$B103,0)</f>
        <v>0</v>
      </c>
      <c r="AZ148" s="56">
        <f>IF(AZ$2&gt;=Projections!$D103,Projections!$B103,0)</f>
        <v>0</v>
      </c>
      <c r="BA148" s="56">
        <f>IF(BA$2&gt;=Projections!$D103,Projections!$B103,0)</f>
        <v>0</v>
      </c>
      <c r="BB148" s="56">
        <f>IF(BB$2&gt;=Projections!$D103,Projections!$B103,0)</f>
        <v>0</v>
      </c>
      <c r="BC148" s="56">
        <f>IF(BC$2&gt;=Projections!$D103,Projections!$B103,0)</f>
        <v>0</v>
      </c>
      <c r="BD148" s="56">
        <f>IF(BD$2&gt;=Projections!$D103,Projections!$B103,0)</f>
        <v>0</v>
      </c>
      <c r="BE148" s="56">
        <f>IF(BE$2&gt;=Projections!$D103,Projections!$B103,0)</f>
        <v>0</v>
      </c>
      <c r="BF148" s="56">
        <f>IF(BF$2&gt;=Projections!$D103,Projections!$B103,0)</f>
        <v>0</v>
      </c>
      <c r="BG148" s="56">
        <f>IF(BG$2&gt;=Projections!$D103,Projections!$B103,0)</f>
        <v>0</v>
      </c>
      <c r="BH148" s="56">
        <f>IF(BH$2&gt;=Projections!$D103,Projections!$B103,0)</f>
        <v>0</v>
      </c>
      <c r="BI148" s="56">
        <f>IF(BI$2&gt;=Projections!$D103,Projections!$B103,0)</f>
        <v>0</v>
      </c>
      <c r="BJ148" s="56">
        <f>IF(BJ$2&gt;=Projections!$D103,Projections!$B103,0)</f>
        <v>0</v>
      </c>
      <c r="BK148" s="56">
        <f>IF(BK$2&gt;=Projections!$D103,Projections!$B103,0)</f>
        <v>0</v>
      </c>
      <c r="BL148" s="56">
        <f>IF(BL$2&gt;=Projections!$D103,Projections!$B103,0)</f>
        <v>0</v>
      </c>
      <c r="BM148" s="56">
        <f>IF(BM$2&gt;=Projections!$D103,Projections!$B103,0)</f>
        <v>0</v>
      </c>
      <c r="BN148" s="56">
        <f>IF(BN$2&gt;=Projections!$D103,Projections!$B103,0)</f>
        <v>0</v>
      </c>
      <c r="BO148" s="56">
        <f>IF(BO$2&gt;=Projections!$D103,Projections!$B103,0)</f>
        <v>0</v>
      </c>
      <c r="BP148" s="56">
        <f>IF(BP$2&gt;=Projections!$D103,Projections!$B103,0)</f>
        <v>0</v>
      </c>
      <c r="BQ148" s="56">
        <f>IF(BQ$2&gt;=Projections!$D103,Projections!$B103,0)</f>
        <v>0</v>
      </c>
      <c r="BR148" s="56">
        <f>IF(BR$2&gt;=Projections!$D103,Projections!$B103,0)</f>
        <v>0</v>
      </c>
      <c r="BS148" s="56">
        <f>IF(BS$2&gt;=Projections!$D103,Projections!$B103,0)</f>
        <v>0</v>
      </c>
      <c r="BT148" s="56">
        <f>IF(BT$2&gt;=Projections!$D103,Projections!$B103,0)</f>
        <v>0</v>
      </c>
      <c r="BU148" s="56">
        <f>IF(BU$2&gt;=Projections!$D103,Projections!$B103,0)</f>
        <v>0</v>
      </c>
      <c r="BV148" s="56">
        <f>IF(BV$2&gt;=Projections!$D103,Projections!$B103,0)</f>
        <v>0</v>
      </c>
      <c r="BW148" s="56">
        <f>IF(BW$2&gt;=Projections!$D103,Projections!$B103,0)</f>
        <v>0</v>
      </c>
      <c r="BX148" s="56">
        <f>IF(BX$2&gt;=Projections!$D103,Projections!$B103,0)</f>
        <v>0</v>
      </c>
      <c r="BY148" s="56">
        <f>IF(BY$2&gt;=Projections!$D103,Projections!$B103,0)</f>
        <v>0</v>
      </c>
      <c r="BZ148" s="56">
        <f>IF(BZ$2&gt;=Projections!$D103,Projections!$B103,0)</f>
        <v>0</v>
      </c>
      <c r="CA148" s="56">
        <f>IF(CA$2&gt;=Projections!$D103,Projections!$B103,0)</f>
        <v>0</v>
      </c>
      <c r="CB148" s="56">
        <f>IF(CB$2&gt;=Projections!$D103,Projections!$B103,0)</f>
        <v>0</v>
      </c>
      <c r="CC148" s="56">
        <f>IF(CC$2&gt;=Projections!$D103,Projections!$B103,0)</f>
        <v>0</v>
      </c>
      <c r="CD148" s="56">
        <f>IF(CD$2&gt;=Projections!$D103,Projections!$B103,0)</f>
        <v>0</v>
      </c>
      <c r="CE148" s="56">
        <f>IF(CE$2&gt;=Projections!$D103,Projections!$B103,0)</f>
        <v>0</v>
      </c>
      <c r="CF148" s="56">
        <f>IF(CF$2&gt;=Projections!$D103,Projections!$B103,0)</f>
        <v>0</v>
      </c>
      <c r="CG148" s="56">
        <f>IF(CG$2&gt;=Projections!$D103,Projections!$B103,0)</f>
        <v>0</v>
      </c>
      <c r="CH148" s="56">
        <f>IF(CH$2&gt;=Projections!$D103,Projections!$B103,0)</f>
        <v>0</v>
      </c>
      <c r="CI148" s="56">
        <f>IF(CI$2&gt;=Projections!$D103,Projections!$B103,0)</f>
        <v>0</v>
      </c>
      <c r="CJ148" s="56">
        <f>IF(CJ$2&gt;=Projections!$D103,Projections!$B103,0)</f>
        <v>0</v>
      </c>
      <c r="CK148" s="56">
        <f>IF(CK$2&gt;=Projections!$D103,Projections!$B103,0)</f>
        <v>0</v>
      </c>
      <c r="CL148" s="56">
        <f>IF(CL$2&gt;=Projections!$D103,Projections!$B103,0)</f>
        <v>0</v>
      </c>
      <c r="CM148" s="56">
        <f>IF(CM$2&gt;=Projections!$D103,Projections!$B103,0)</f>
        <v>0</v>
      </c>
      <c r="CN148" s="56">
        <f>IF(CN$2&gt;=Projections!$D103,Projections!$B103,0)</f>
        <v>0</v>
      </c>
      <c r="CO148" s="56">
        <f>IF(CO$2&gt;=Projections!$D103,Projections!$B103,0)</f>
        <v>0</v>
      </c>
      <c r="CP148" s="56">
        <f>IF(CP$2&gt;=Projections!$D103,Projections!$B103,0)</f>
        <v>0</v>
      </c>
      <c r="CQ148" s="56">
        <f>IF(CQ$2&gt;=Projections!$D103,Projections!$B103,0)</f>
        <v>0</v>
      </c>
      <c r="CR148" s="56">
        <f>IF(CR$2&gt;=Projections!$D103,Projections!$B103,0)</f>
        <v>0</v>
      </c>
      <c r="CS148" s="56">
        <f>IF(CS$2&gt;=Projections!$D103,Projections!$B103,0)</f>
        <v>0</v>
      </c>
      <c r="CT148" s="56">
        <f>IF(CT$2&gt;=Projections!$D103,Projections!$B103,0)</f>
        <v>0</v>
      </c>
      <c r="CU148" s="56">
        <f>IF(CU$2&gt;=Projections!$D103,Projections!$B103,0)</f>
        <v>0</v>
      </c>
      <c r="CV148" s="56">
        <f>IF(CV$2&gt;=Projections!$D103,Projections!$B103,0)</f>
        <v>0</v>
      </c>
      <c r="CW148" s="56">
        <f>IF(CW$2&gt;=Projections!$D103,Projections!$B103,0)</f>
        <v>0</v>
      </c>
      <c r="CX148" s="56">
        <f>IF(CX$2&gt;=Projections!$D103,Projections!$B103,0)</f>
        <v>0</v>
      </c>
    </row>
    <row r="149" ht="15.75" customHeight="1" outlineLevel="1">
      <c r="A149" s="56" t="str">
        <f>Projections!A104</f>
        <v>Expense 3</v>
      </c>
      <c r="B149" s="56"/>
      <c r="C149" s="56"/>
      <c r="D149" s="56"/>
      <c r="E149" s="56">
        <f>IF(E$2&gt;=Projections!$D104,Projections!$B104,0)</f>
        <v>0</v>
      </c>
      <c r="F149" s="56">
        <f>IF(F$2&gt;=Projections!$D104,Projections!$B104,0)</f>
        <v>0</v>
      </c>
      <c r="G149" s="56">
        <f>IF(G$2&gt;=Projections!$D104,Projections!$B104,0)</f>
        <v>0</v>
      </c>
      <c r="H149" s="56">
        <f>IF(H$2&gt;=Projections!$D104,Projections!$B104,0)</f>
        <v>0</v>
      </c>
      <c r="I149" s="56">
        <f>IF(I$2&gt;=Projections!$D104,Projections!$B104,0)</f>
        <v>0</v>
      </c>
      <c r="J149" s="56">
        <f>IF(J$2&gt;=Projections!$D104,Projections!$B104,0)</f>
        <v>0</v>
      </c>
      <c r="K149" s="56">
        <f>IF(K$2&gt;=Projections!$D104,Projections!$B104,0)</f>
        <v>0</v>
      </c>
      <c r="L149" s="56">
        <f>IF(L$2&gt;=Projections!$D104,Projections!$B104,0)</f>
        <v>0</v>
      </c>
      <c r="M149" s="56">
        <f>IF(M$2&gt;=Projections!$D104,Projections!$B104,0)</f>
        <v>0</v>
      </c>
      <c r="N149" s="56">
        <f>IF(N$2&gt;=Projections!$D104,Projections!$B104,0)</f>
        <v>0</v>
      </c>
      <c r="O149" s="56">
        <f>IF(O$2&gt;=Projections!$D104,Projections!$B104,0)</f>
        <v>0</v>
      </c>
      <c r="P149" s="56">
        <f>IF(P$2&gt;=Projections!$D104,Projections!$B104,0)</f>
        <v>0</v>
      </c>
      <c r="Q149" s="56">
        <f>IF(Q$2&gt;=Projections!$D104,Projections!$B104,0)</f>
        <v>0</v>
      </c>
      <c r="R149" s="56">
        <f>IF(R$2&gt;=Projections!$D104,Projections!$B104,0)</f>
        <v>0</v>
      </c>
      <c r="S149" s="56">
        <f>IF(S$2&gt;=Projections!$D104,Projections!$B104,0)</f>
        <v>0</v>
      </c>
      <c r="T149" s="56">
        <f>IF(T$2&gt;=Projections!$D104,Projections!$B104,0)</f>
        <v>0</v>
      </c>
      <c r="U149" s="56">
        <f>IF(U$2&gt;=Projections!$D104,Projections!$B104,0)</f>
        <v>0</v>
      </c>
      <c r="V149" s="56">
        <f>IF(V$2&gt;=Projections!$D104,Projections!$B104,0)</f>
        <v>0</v>
      </c>
      <c r="W149" s="56">
        <f>IF(W$2&gt;=Projections!$D104,Projections!$B104,0)</f>
        <v>0</v>
      </c>
      <c r="X149" s="56">
        <f>IF(X$2&gt;=Projections!$D104,Projections!$B104,0)</f>
        <v>0</v>
      </c>
      <c r="Y149" s="56">
        <f>IF(Y$2&gt;=Projections!$D104,Projections!$B104,0)</f>
        <v>0</v>
      </c>
      <c r="Z149" s="56">
        <f>IF(Z$2&gt;=Projections!$D104,Projections!$B104,0)</f>
        <v>0</v>
      </c>
      <c r="AA149" s="56">
        <f>IF(AA$2&gt;=Projections!$D104,Projections!$B104,0)</f>
        <v>0</v>
      </c>
      <c r="AB149" s="56">
        <f>IF(AB$2&gt;=Projections!$D104,Projections!$B104,0)</f>
        <v>0</v>
      </c>
      <c r="AC149" s="56">
        <f>IF(AC$2&gt;=Projections!$D104,Projections!$B104,0)</f>
        <v>0</v>
      </c>
      <c r="AD149" s="56">
        <f>IF(AD$2&gt;=Projections!$D104,Projections!$B104,0)</f>
        <v>0</v>
      </c>
      <c r="AE149" s="56">
        <f>IF(AE$2&gt;=Projections!$D104,Projections!$B104,0)</f>
        <v>0</v>
      </c>
      <c r="AF149" s="56">
        <f>IF(AF$2&gt;=Projections!$D104,Projections!$B104,0)</f>
        <v>0</v>
      </c>
      <c r="AG149" s="56">
        <f>IF(AG$2&gt;=Projections!$D104,Projections!$B104,0)</f>
        <v>0</v>
      </c>
      <c r="AH149" s="56">
        <f>IF(AH$2&gt;=Projections!$D104,Projections!$B104,0)</f>
        <v>0</v>
      </c>
      <c r="AI149" s="56">
        <f>IF(AI$2&gt;=Projections!$D104,Projections!$B104,0)</f>
        <v>0</v>
      </c>
      <c r="AJ149" s="56">
        <f>IF(AJ$2&gt;=Projections!$D104,Projections!$B104,0)</f>
        <v>0</v>
      </c>
      <c r="AK149" s="56">
        <f>IF(AK$2&gt;=Projections!$D104,Projections!$B104,0)</f>
        <v>0</v>
      </c>
      <c r="AL149" s="56">
        <f>IF(AL$2&gt;=Projections!$D104,Projections!$B104,0)</f>
        <v>0</v>
      </c>
      <c r="AM149" s="56">
        <f>IF(AM$2&gt;=Projections!$D104,Projections!$B104,0)</f>
        <v>0</v>
      </c>
      <c r="AN149" s="56">
        <f>IF(AN$2&gt;=Projections!$D104,Projections!$B104,0)</f>
        <v>0</v>
      </c>
      <c r="AO149" s="56">
        <f>IF(AO$2&gt;=Projections!$D104,Projections!$B104,0)</f>
        <v>0</v>
      </c>
      <c r="AP149" s="56">
        <f>IF(AP$2&gt;=Projections!$D104,Projections!$B104,0)</f>
        <v>0</v>
      </c>
      <c r="AQ149" s="56">
        <f>IF(AQ$2&gt;=Projections!$D104,Projections!$B104,0)</f>
        <v>0</v>
      </c>
      <c r="AR149" s="56">
        <f>IF(AR$2&gt;=Projections!$D104,Projections!$B104,0)</f>
        <v>0</v>
      </c>
      <c r="AS149" s="56">
        <f>IF(AS$2&gt;=Projections!$D104,Projections!$B104,0)</f>
        <v>0</v>
      </c>
      <c r="AT149" s="56">
        <f>IF(AT$2&gt;=Projections!$D104,Projections!$B104,0)</f>
        <v>0</v>
      </c>
      <c r="AU149" s="56">
        <f>IF(AU$2&gt;=Projections!$D104,Projections!$B104,0)</f>
        <v>0</v>
      </c>
      <c r="AV149" s="56">
        <f>IF(AV$2&gt;=Projections!$D104,Projections!$B104,0)</f>
        <v>0</v>
      </c>
      <c r="AW149" s="56">
        <f>IF(AW$2&gt;=Projections!$D104,Projections!$B104,0)</f>
        <v>0</v>
      </c>
      <c r="AX149" s="56">
        <f>IF(AX$2&gt;=Projections!$D104,Projections!$B104,0)</f>
        <v>0</v>
      </c>
      <c r="AY149" s="56">
        <f>IF(AY$2&gt;=Projections!$D104,Projections!$B104,0)</f>
        <v>0</v>
      </c>
      <c r="AZ149" s="56">
        <f>IF(AZ$2&gt;=Projections!$D104,Projections!$B104,0)</f>
        <v>0</v>
      </c>
      <c r="BA149" s="56">
        <f>IF(BA$2&gt;=Projections!$D104,Projections!$B104,0)</f>
        <v>0</v>
      </c>
      <c r="BB149" s="56">
        <f>IF(BB$2&gt;=Projections!$D104,Projections!$B104,0)</f>
        <v>0</v>
      </c>
      <c r="BC149" s="56">
        <f>IF(BC$2&gt;=Projections!$D104,Projections!$B104,0)</f>
        <v>0</v>
      </c>
      <c r="BD149" s="56">
        <f>IF(BD$2&gt;=Projections!$D104,Projections!$B104,0)</f>
        <v>0</v>
      </c>
      <c r="BE149" s="56">
        <f>IF(BE$2&gt;=Projections!$D104,Projections!$B104,0)</f>
        <v>0</v>
      </c>
      <c r="BF149" s="56">
        <f>IF(BF$2&gt;=Projections!$D104,Projections!$B104,0)</f>
        <v>0</v>
      </c>
      <c r="BG149" s="56">
        <f>IF(BG$2&gt;=Projections!$D104,Projections!$B104,0)</f>
        <v>0</v>
      </c>
      <c r="BH149" s="56">
        <f>IF(BH$2&gt;=Projections!$D104,Projections!$B104,0)</f>
        <v>0</v>
      </c>
      <c r="BI149" s="56">
        <f>IF(BI$2&gt;=Projections!$D104,Projections!$B104,0)</f>
        <v>0</v>
      </c>
      <c r="BJ149" s="56">
        <f>IF(BJ$2&gt;=Projections!$D104,Projections!$B104,0)</f>
        <v>0</v>
      </c>
      <c r="BK149" s="56">
        <f>IF(BK$2&gt;=Projections!$D104,Projections!$B104,0)</f>
        <v>0</v>
      </c>
      <c r="BL149" s="56">
        <f>IF(BL$2&gt;=Projections!$D104,Projections!$B104,0)</f>
        <v>0</v>
      </c>
      <c r="BM149" s="56">
        <f>IF(BM$2&gt;=Projections!$D104,Projections!$B104,0)</f>
        <v>0</v>
      </c>
      <c r="BN149" s="56">
        <f>IF(BN$2&gt;=Projections!$D104,Projections!$B104,0)</f>
        <v>0</v>
      </c>
      <c r="BO149" s="56">
        <f>IF(BO$2&gt;=Projections!$D104,Projections!$B104,0)</f>
        <v>0</v>
      </c>
      <c r="BP149" s="56">
        <f>IF(BP$2&gt;=Projections!$D104,Projections!$B104,0)</f>
        <v>0</v>
      </c>
      <c r="BQ149" s="56">
        <f>IF(BQ$2&gt;=Projections!$D104,Projections!$B104,0)</f>
        <v>0</v>
      </c>
      <c r="BR149" s="56">
        <f>IF(BR$2&gt;=Projections!$D104,Projections!$B104,0)</f>
        <v>0</v>
      </c>
      <c r="BS149" s="56">
        <f>IF(BS$2&gt;=Projections!$D104,Projections!$B104,0)</f>
        <v>0</v>
      </c>
      <c r="BT149" s="56">
        <f>IF(BT$2&gt;=Projections!$D104,Projections!$B104,0)</f>
        <v>0</v>
      </c>
      <c r="BU149" s="56">
        <f>IF(BU$2&gt;=Projections!$D104,Projections!$B104,0)</f>
        <v>0</v>
      </c>
      <c r="BV149" s="56">
        <f>IF(BV$2&gt;=Projections!$D104,Projections!$B104,0)</f>
        <v>0</v>
      </c>
      <c r="BW149" s="56">
        <f>IF(BW$2&gt;=Projections!$D104,Projections!$B104,0)</f>
        <v>0</v>
      </c>
      <c r="BX149" s="56">
        <f>IF(BX$2&gt;=Projections!$D104,Projections!$B104,0)</f>
        <v>0</v>
      </c>
      <c r="BY149" s="56">
        <f>IF(BY$2&gt;=Projections!$D104,Projections!$B104,0)</f>
        <v>0</v>
      </c>
      <c r="BZ149" s="56">
        <f>IF(BZ$2&gt;=Projections!$D104,Projections!$B104,0)</f>
        <v>0</v>
      </c>
      <c r="CA149" s="56">
        <f>IF(CA$2&gt;=Projections!$D104,Projections!$B104,0)</f>
        <v>0</v>
      </c>
      <c r="CB149" s="56">
        <f>IF(CB$2&gt;=Projections!$D104,Projections!$B104,0)</f>
        <v>0</v>
      </c>
      <c r="CC149" s="56">
        <f>IF(CC$2&gt;=Projections!$D104,Projections!$B104,0)</f>
        <v>0</v>
      </c>
      <c r="CD149" s="56">
        <f>IF(CD$2&gt;=Projections!$D104,Projections!$B104,0)</f>
        <v>0</v>
      </c>
      <c r="CE149" s="56">
        <f>IF(CE$2&gt;=Projections!$D104,Projections!$B104,0)</f>
        <v>0</v>
      </c>
      <c r="CF149" s="56">
        <f>IF(CF$2&gt;=Projections!$D104,Projections!$B104,0)</f>
        <v>0</v>
      </c>
      <c r="CG149" s="56">
        <f>IF(CG$2&gt;=Projections!$D104,Projections!$B104,0)</f>
        <v>0</v>
      </c>
      <c r="CH149" s="56">
        <f>IF(CH$2&gt;=Projections!$D104,Projections!$B104,0)</f>
        <v>0</v>
      </c>
      <c r="CI149" s="56">
        <f>IF(CI$2&gt;=Projections!$D104,Projections!$B104,0)</f>
        <v>0</v>
      </c>
      <c r="CJ149" s="56">
        <f>IF(CJ$2&gt;=Projections!$D104,Projections!$B104,0)</f>
        <v>0</v>
      </c>
      <c r="CK149" s="56">
        <f>IF(CK$2&gt;=Projections!$D104,Projections!$B104,0)</f>
        <v>0</v>
      </c>
      <c r="CL149" s="56">
        <f>IF(CL$2&gt;=Projections!$D104,Projections!$B104,0)</f>
        <v>0</v>
      </c>
      <c r="CM149" s="56">
        <f>IF(CM$2&gt;=Projections!$D104,Projections!$B104,0)</f>
        <v>0</v>
      </c>
      <c r="CN149" s="56">
        <f>IF(CN$2&gt;=Projections!$D104,Projections!$B104,0)</f>
        <v>0</v>
      </c>
      <c r="CO149" s="56">
        <f>IF(CO$2&gt;=Projections!$D104,Projections!$B104,0)</f>
        <v>0</v>
      </c>
      <c r="CP149" s="56">
        <f>IF(CP$2&gt;=Projections!$D104,Projections!$B104,0)</f>
        <v>0</v>
      </c>
      <c r="CQ149" s="56">
        <f>IF(CQ$2&gt;=Projections!$D104,Projections!$B104,0)</f>
        <v>0</v>
      </c>
      <c r="CR149" s="56">
        <f>IF(CR$2&gt;=Projections!$D104,Projections!$B104,0)</f>
        <v>0</v>
      </c>
      <c r="CS149" s="56">
        <f>IF(CS$2&gt;=Projections!$D104,Projections!$B104,0)</f>
        <v>0</v>
      </c>
      <c r="CT149" s="56">
        <f>IF(CT$2&gt;=Projections!$D104,Projections!$B104,0)</f>
        <v>0</v>
      </c>
      <c r="CU149" s="56">
        <f>IF(CU$2&gt;=Projections!$D104,Projections!$B104,0)</f>
        <v>0</v>
      </c>
      <c r="CV149" s="56">
        <f>IF(CV$2&gt;=Projections!$D104,Projections!$B104,0)</f>
        <v>0</v>
      </c>
      <c r="CW149" s="56">
        <f>IF(CW$2&gt;=Projections!$D104,Projections!$B104,0)</f>
        <v>0</v>
      </c>
      <c r="CX149" s="56">
        <f>IF(CX$2&gt;=Projections!$D104,Projections!$B104,0)</f>
        <v>0</v>
      </c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6"/>
      <c r="CV150" s="56"/>
      <c r="CW150" s="56"/>
      <c r="CX150" s="56"/>
    </row>
    <row r="151" ht="15.75" customHeight="1">
      <c r="A151" s="146" t="str">
        <f>Projections!A107</f>
        <v>OTHER ADMINISTRATIVE EXPENSES</v>
      </c>
      <c r="B151" s="60" t="s">
        <v>231</v>
      </c>
      <c r="C151" s="149"/>
      <c r="D151" s="149"/>
      <c r="E151" s="147">
        <f t="shared" ref="E151:CX151" si="29">SUM(E152:E156)</f>
        <v>3000</v>
      </c>
      <c r="F151" s="147">
        <f t="shared" si="29"/>
        <v>3000</v>
      </c>
      <c r="G151" s="147">
        <f t="shared" si="29"/>
        <v>3000</v>
      </c>
      <c r="H151" s="147">
        <f t="shared" si="29"/>
        <v>3000</v>
      </c>
      <c r="I151" s="147">
        <f t="shared" si="29"/>
        <v>3000</v>
      </c>
      <c r="J151" s="147">
        <f t="shared" si="29"/>
        <v>3000</v>
      </c>
      <c r="K151" s="147">
        <f t="shared" si="29"/>
        <v>3000</v>
      </c>
      <c r="L151" s="147">
        <f t="shared" si="29"/>
        <v>3000</v>
      </c>
      <c r="M151" s="147">
        <f t="shared" si="29"/>
        <v>3000</v>
      </c>
      <c r="N151" s="147">
        <f t="shared" si="29"/>
        <v>3000</v>
      </c>
      <c r="O151" s="147">
        <f t="shared" si="29"/>
        <v>3000</v>
      </c>
      <c r="P151" s="147">
        <f t="shared" si="29"/>
        <v>3000</v>
      </c>
      <c r="Q151" s="147">
        <f t="shared" si="29"/>
        <v>3000</v>
      </c>
      <c r="R151" s="147">
        <f t="shared" si="29"/>
        <v>3000</v>
      </c>
      <c r="S151" s="147">
        <f t="shared" si="29"/>
        <v>3000</v>
      </c>
      <c r="T151" s="147">
        <f t="shared" si="29"/>
        <v>3000</v>
      </c>
      <c r="U151" s="147">
        <f t="shared" si="29"/>
        <v>3000</v>
      </c>
      <c r="V151" s="147">
        <f t="shared" si="29"/>
        <v>3000</v>
      </c>
      <c r="W151" s="147">
        <f t="shared" si="29"/>
        <v>3000</v>
      </c>
      <c r="X151" s="147">
        <f t="shared" si="29"/>
        <v>3000</v>
      </c>
      <c r="Y151" s="147">
        <f t="shared" si="29"/>
        <v>3000</v>
      </c>
      <c r="Z151" s="147">
        <f t="shared" si="29"/>
        <v>3000</v>
      </c>
      <c r="AA151" s="147">
        <f t="shared" si="29"/>
        <v>3000</v>
      </c>
      <c r="AB151" s="147">
        <f t="shared" si="29"/>
        <v>3000</v>
      </c>
      <c r="AC151" s="147">
        <f t="shared" si="29"/>
        <v>3000</v>
      </c>
      <c r="AD151" s="147">
        <f t="shared" si="29"/>
        <v>3000</v>
      </c>
      <c r="AE151" s="147">
        <f t="shared" si="29"/>
        <v>3000</v>
      </c>
      <c r="AF151" s="147">
        <f t="shared" si="29"/>
        <v>3000</v>
      </c>
      <c r="AG151" s="147">
        <f t="shared" si="29"/>
        <v>3000</v>
      </c>
      <c r="AH151" s="147">
        <f t="shared" si="29"/>
        <v>3000</v>
      </c>
      <c r="AI151" s="147">
        <f t="shared" si="29"/>
        <v>3000</v>
      </c>
      <c r="AJ151" s="147">
        <f t="shared" si="29"/>
        <v>3000</v>
      </c>
      <c r="AK151" s="147">
        <f t="shared" si="29"/>
        <v>3000</v>
      </c>
      <c r="AL151" s="147">
        <f t="shared" si="29"/>
        <v>3000</v>
      </c>
      <c r="AM151" s="147">
        <f t="shared" si="29"/>
        <v>3000</v>
      </c>
      <c r="AN151" s="147">
        <f t="shared" si="29"/>
        <v>3000</v>
      </c>
      <c r="AO151" s="147">
        <f t="shared" si="29"/>
        <v>3000</v>
      </c>
      <c r="AP151" s="147">
        <f t="shared" si="29"/>
        <v>3000</v>
      </c>
      <c r="AQ151" s="147">
        <f t="shared" si="29"/>
        <v>3000</v>
      </c>
      <c r="AR151" s="147">
        <f t="shared" si="29"/>
        <v>3000</v>
      </c>
      <c r="AS151" s="147">
        <f t="shared" si="29"/>
        <v>3000</v>
      </c>
      <c r="AT151" s="147">
        <f t="shared" si="29"/>
        <v>3000</v>
      </c>
      <c r="AU151" s="147">
        <f t="shared" si="29"/>
        <v>3000</v>
      </c>
      <c r="AV151" s="147">
        <f t="shared" si="29"/>
        <v>3000</v>
      </c>
      <c r="AW151" s="147">
        <f t="shared" si="29"/>
        <v>3000</v>
      </c>
      <c r="AX151" s="147">
        <f t="shared" si="29"/>
        <v>3000</v>
      </c>
      <c r="AY151" s="147">
        <f t="shared" si="29"/>
        <v>3000</v>
      </c>
      <c r="AZ151" s="147">
        <f t="shared" si="29"/>
        <v>3000</v>
      </c>
      <c r="BA151" s="147">
        <f t="shared" si="29"/>
        <v>3000</v>
      </c>
      <c r="BB151" s="147">
        <f t="shared" si="29"/>
        <v>3000</v>
      </c>
      <c r="BC151" s="147">
        <f t="shared" si="29"/>
        <v>3000</v>
      </c>
      <c r="BD151" s="147">
        <f t="shared" si="29"/>
        <v>3000</v>
      </c>
      <c r="BE151" s="147">
        <f t="shared" si="29"/>
        <v>3000</v>
      </c>
      <c r="BF151" s="147">
        <f t="shared" si="29"/>
        <v>3000</v>
      </c>
      <c r="BG151" s="147">
        <f t="shared" si="29"/>
        <v>3000</v>
      </c>
      <c r="BH151" s="147">
        <f t="shared" si="29"/>
        <v>3000</v>
      </c>
      <c r="BI151" s="147">
        <f t="shared" si="29"/>
        <v>3000</v>
      </c>
      <c r="BJ151" s="147">
        <f t="shared" si="29"/>
        <v>3000</v>
      </c>
      <c r="BK151" s="147">
        <f t="shared" si="29"/>
        <v>3000</v>
      </c>
      <c r="BL151" s="147">
        <f t="shared" si="29"/>
        <v>3000</v>
      </c>
      <c r="BM151" s="147">
        <f t="shared" si="29"/>
        <v>3000</v>
      </c>
      <c r="BN151" s="147">
        <f t="shared" si="29"/>
        <v>3000</v>
      </c>
      <c r="BO151" s="147">
        <f t="shared" si="29"/>
        <v>3000</v>
      </c>
      <c r="BP151" s="147">
        <f t="shared" si="29"/>
        <v>3000</v>
      </c>
      <c r="BQ151" s="147">
        <f t="shared" si="29"/>
        <v>3000</v>
      </c>
      <c r="BR151" s="147">
        <f t="shared" si="29"/>
        <v>3000</v>
      </c>
      <c r="BS151" s="147">
        <f t="shared" si="29"/>
        <v>3000</v>
      </c>
      <c r="BT151" s="147">
        <f t="shared" si="29"/>
        <v>3000</v>
      </c>
      <c r="BU151" s="147">
        <f t="shared" si="29"/>
        <v>3000</v>
      </c>
      <c r="BV151" s="147">
        <f t="shared" si="29"/>
        <v>3000</v>
      </c>
      <c r="BW151" s="147">
        <f t="shared" si="29"/>
        <v>3000</v>
      </c>
      <c r="BX151" s="147">
        <f t="shared" si="29"/>
        <v>3000</v>
      </c>
      <c r="BY151" s="147">
        <f t="shared" si="29"/>
        <v>3000</v>
      </c>
      <c r="BZ151" s="147">
        <f t="shared" si="29"/>
        <v>3000</v>
      </c>
      <c r="CA151" s="147">
        <f t="shared" si="29"/>
        <v>3000</v>
      </c>
      <c r="CB151" s="147">
        <f t="shared" si="29"/>
        <v>3000</v>
      </c>
      <c r="CC151" s="147">
        <f t="shared" si="29"/>
        <v>3000</v>
      </c>
      <c r="CD151" s="147">
        <f t="shared" si="29"/>
        <v>3000</v>
      </c>
      <c r="CE151" s="147">
        <f t="shared" si="29"/>
        <v>3000</v>
      </c>
      <c r="CF151" s="147">
        <f t="shared" si="29"/>
        <v>3000</v>
      </c>
      <c r="CG151" s="147">
        <f t="shared" si="29"/>
        <v>3000</v>
      </c>
      <c r="CH151" s="147">
        <f t="shared" si="29"/>
        <v>3000</v>
      </c>
      <c r="CI151" s="147">
        <f t="shared" si="29"/>
        <v>3000</v>
      </c>
      <c r="CJ151" s="147">
        <f t="shared" si="29"/>
        <v>3000</v>
      </c>
      <c r="CK151" s="147">
        <f t="shared" si="29"/>
        <v>3000</v>
      </c>
      <c r="CL151" s="147">
        <f t="shared" si="29"/>
        <v>3000</v>
      </c>
      <c r="CM151" s="147">
        <f t="shared" si="29"/>
        <v>3000</v>
      </c>
      <c r="CN151" s="147">
        <f t="shared" si="29"/>
        <v>3000</v>
      </c>
      <c r="CO151" s="147">
        <f t="shared" si="29"/>
        <v>3000</v>
      </c>
      <c r="CP151" s="147">
        <f t="shared" si="29"/>
        <v>3000</v>
      </c>
      <c r="CQ151" s="147">
        <f t="shared" si="29"/>
        <v>3000</v>
      </c>
      <c r="CR151" s="147">
        <f t="shared" si="29"/>
        <v>3000</v>
      </c>
      <c r="CS151" s="147">
        <f t="shared" si="29"/>
        <v>3000</v>
      </c>
      <c r="CT151" s="147">
        <f t="shared" si="29"/>
        <v>3000</v>
      </c>
      <c r="CU151" s="147">
        <f t="shared" si="29"/>
        <v>3000</v>
      </c>
      <c r="CV151" s="147">
        <f t="shared" si="29"/>
        <v>3000</v>
      </c>
      <c r="CW151" s="147">
        <f t="shared" si="29"/>
        <v>3000</v>
      </c>
      <c r="CX151" s="147">
        <f t="shared" si="29"/>
        <v>3000</v>
      </c>
    </row>
    <row r="152" ht="15.75" customHeight="1" outlineLevel="1">
      <c r="A152" s="56" t="str">
        <f>Projections!A108</f>
        <v>Office</v>
      </c>
      <c r="B152" s="56"/>
      <c r="C152" s="56"/>
      <c r="D152" s="56"/>
      <c r="E152" s="56">
        <f>IF(E$2&gt;=Projections!$D108,Projections!$B108,0)</f>
        <v>3000</v>
      </c>
      <c r="F152" s="56">
        <f>IF(F$2&gt;=Projections!$D108,Projections!$B108,0)</f>
        <v>3000</v>
      </c>
      <c r="G152" s="56">
        <f>IF(G$2&gt;=Projections!$D108,Projections!$B108,0)</f>
        <v>3000</v>
      </c>
      <c r="H152" s="56">
        <f>IF(H$2&gt;=Projections!$D108,Projections!$B108,0)</f>
        <v>3000</v>
      </c>
      <c r="I152" s="56">
        <f>IF(I$2&gt;=Projections!$D108,Projections!$B108,0)</f>
        <v>3000</v>
      </c>
      <c r="J152" s="56">
        <f>IF(J$2&gt;=Projections!$D108,Projections!$B108,0)</f>
        <v>3000</v>
      </c>
      <c r="K152" s="56">
        <f>IF(K$2&gt;=Projections!$D108,Projections!$B108,0)</f>
        <v>3000</v>
      </c>
      <c r="L152" s="56">
        <f>IF(L$2&gt;=Projections!$D108,Projections!$B108,0)</f>
        <v>3000</v>
      </c>
      <c r="M152" s="56">
        <f>IF(M$2&gt;=Projections!$D108,Projections!$B108,0)</f>
        <v>3000</v>
      </c>
      <c r="N152" s="56">
        <f>IF(N$2&gt;=Projections!$D108,Projections!$B108,0)</f>
        <v>3000</v>
      </c>
      <c r="O152" s="56">
        <f>IF(O$2&gt;=Projections!$D108,Projections!$B108,0)</f>
        <v>3000</v>
      </c>
      <c r="P152" s="56">
        <f>IF(P$2&gt;=Projections!$D108,Projections!$B108,0)</f>
        <v>3000</v>
      </c>
      <c r="Q152" s="56">
        <f>IF(Q$2&gt;=Projections!$D108,Projections!$B108,0)</f>
        <v>3000</v>
      </c>
      <c r="R152" s="56">
        <f>IF(R$2&gt;=Projections!$D108,Projections!$B108,0)</f>
        <v>3000</v>
      </c>
      <c r="S152" s="56">
        <f>IF(S$2&gt;=Projections!$D108,Projections!$B108,0)</f>
        <v>3000</v>
      </c>
      <c r="T152" s="56">
        <f>IF(T$2&gt;=Projections!$D108,Projections!$B108,0)</f>
        <v>3000</v>
      </c>
      <c r="U152" s="56">
        <f>IF(U$2&gt;=Projections!$D108,Projections!$B108,0)</f>
        <v>3000</v>
      </c>
      <c r="V152" s="56">
        <f>IF(V$2&gt;=Projections!$D108,Projections!$B108,0)</f>
        <v>3000</v>
      </c>
      <c r="W152" s="56">
        <f>IF(W$2&gt;=Projections!$D108,Projections!$B108,0)</f>
        <v>3000</v>
      </c>
      <c r="X152" s="56">
        <f>IF(X$2&gt;=Projections!$D108,Projections!$B108,0)</f>
        <v>3000</v>
      </c>
      <c r="Y152" s="56">
        <f>IF(Y$2&gt;=Projections!$D108,Projections!$B108,0)</f>
        <v>3000</v>
      </c>
      <c r="Z152" s="56">
        <f>IF(Z$2&gt;=Projections!$D108,Projections!$B108,0)</f>
        <v>3000</v>
      </c>
      <c r="AA152" s="56">
        <f>IF(AA$2&gt;=Projections!$D108,Projections!$B108,0)</f>
        <v>3000</v>
      </c>
      <c r="AB152" s="56">
        <f>IF(AB$2&gt;=Projections!$D108,Projections!$B108,0)</f>
        <v>3000</v>
      </c>
      <c r="AC152" s="56">
        <f>IF(AC$2&gt;=Projections!$D108,Projections!$B108,0)</f>
        <v>3000</v>
      </c>
      <c r="AD152" s="56">
        <f>IF(AD$2&gt;=Projections!$D108,Projections!$B108,0)</f>
        <v>3000</v>
      </c>
      <c r="AE152" s="56">
        <f>IF(AE$2&gt;=Projections!$D108,Projections!$B108,0)</f>
        <v>3000</v>
      </c>
      <c r="AF152" s="56">
        <f>IF(AF$2&gt;=Projections!$D108,Projections!$B108,0)</f>
        <v>3000</v>
      </c>
      <c r="AG152" s="56">
        <f>IF(AG$2&gt;=Projections!$D108,Projections!$B108,0)</f>
        <v>3000</v>
      </c>
      <c r="AH152" s="56">
        <f>IF(AH$2&gt;=Projections!$D108,Projections!$B108,0)</f>
        <v>3000</v>
      </c>
      <c r="AI152" s="56">
        <f>IF(AI$2&gt;=Projections!$D108,Projections!$B108,0)</f>
        <v>3000</v>
      </c>
      <c r="AJ152" s="56">
        <f>IF(AJ$2&gt;=Projections!$D108,Projections!$B108,0)</f>
        <v>3000</v>
      </c>
      <c r="AK152" s="56">
        <f>IF(AK$2&gt;=Projections!$D108,Projections!$B108,0)</f>
        <v>3000</v>
      </c>
      <c r="AL152" s="56">
        <f>IF(AL$2&gt;=Projections!$D108,Projections!$B108,0)</f>
        <v>3000</v>
      </c>
      <c r="AM152" s="56">
        <f>IF(AM$2&gt;=Projections!$D108,Projections!$B108,0)</f>
        <v>3000</v>
      </c>
      <c r="AN152" s="56">
        <f>IF(AN$2&gt;=Projections!$D108,Projections!$B108,0)</f>
        <v>3000</v>
      </c>
      <c r="AO152" s="56">
        <f>IF(AO$2&gt;=Projections!$D108,Projections!$B108,0)</f>
        <v>3000</v>
      </c>
      <c r="AP152" s="56">
        <f>IF(AP$2&gt;=Projections!$D108,Projections!$B108,0)</f>
        <v>3000</v>
      </c>
      <c r="AQ152" s="56">
        <f>IF(AQ$2&gt;=Projections!$D108,Projections!$B108,0)</f>
        <v>3000</v>
      </c>
      <c r="AR152" s="56">
        <f>IF(AR$2&gt;=Projections!$D108,Projections!$B108,0)</f>
        <v>3000</v>
      </c>
      <c r="AS152" s="56">
        <f>IF(AS$2&gt;=Projections!$D108,Projections!$B108,0)</f>
        <v>3000</v>
      </c>
      <c r="AT152" s="56">
        <f>IF(AT$2&gt;=Projections!$D108,Projections!$B108,0)</f>
        <v>3000</v>
      </c>
      <c r="AU152" s="56">
        <f>IF(AU$2&gt;=Projections!$D108,Projections!$B108,0)</f>
        <v>3000</v>
      </c>
      <c r="AV152" s="56">
        <f>IF(AV$2&gt;=Projections!$D108,Projections!$B108,0)</f>
        <v>3000</v>
      </c>
      <c r="AW152" s="56">
        <f>IF(AW$2&gt;=Projections!$D108,Projections!$B108,0)</f>
        <v>3000</v>
      </c>
      <c r="AX152" s="56">
        <f>IF(AX$2&gt;=Projections!$D108,Projections!$B108,0)</f>
        <v>3000</v>
      </c>
      <c r="AY152" s="56">
        <f>IF(AY$2&gt;=Projections!$D108,Projections!$B108,0)</f>
        <v>3000</v>
      </c>
      <c r="AZ152" s="56">
        <f>IF(AZ$2&gt;=Projections!$D108,Projections!$B108,0)</f>
        <v>3000</v>
      </c>
      <c r="BA152" s="56">
        <f>IF(BA$2&gt;=Projections!$D108,Projections!$B108,0)</f>
        <v>3000</v>
      </c>
      <c r="BB152" s="56">
        <f>IF(BB$2&gt;=Projections!$D108,Projections!$B108,0)</f>
        <v>3000</v>
      </c>
      <c r="BC152" s="56">
        <f>IF(BC$2&gt;=Projections!$D108,Projections!$B108,0)</f>
        <v>3000</v>
      </c>
      <c r="BD152" s="56">
        <f>IF(BD$2&gt;=Projections!$D108,Projections!$B108,0)</f>
        <v>3000</v>
      </c>
      <c r="BE152" s="56">
        <f>IF(BE$2&gt;=Projections!$D108,Projections!$B108,0)</f>
        <v>3000</v>
      </c>
      <c r="BF152" s="56">
        <f>IF(BF$2&gt;=Projections!$D108,Projections!$B108,0)</f>
        <v>3000</v>
      </c>
      <c r="BG152" s="56">
        <f>IF(BG$2&gt;=Projections!$D108,Projections!$B108,0)</f>
        <v>3000</v>
      </c>
      <c r="BH152" s="56">
        <f>IF(BH$2&gt;=Projections!$D108,Projections!$B108,0)</f>
        <v>3000</v>
      </c>
      <c r="BI152" s="56">
        <f>IF(BI$2&gt;=Projections!$D108,Projections!$B108,0)</f>
        <v>3000</v>
      </c>
      <c r="BJ152" s="56">
        <f>IF(BJ$2&gt;=Projections!$D108,Projections!$B108,0)</f>
        <v>3000</v>
      </c>
      <c r="BK152" s="56">
        <f>IF(BK$2&gt;=Projections!$D108,Projections!$B108,0)</f>
        <v>3000</v>
      </c>
      <c r="BL152" s="56">
        <f>IF(BL$2&gt;=Projections!$D108,Projections!$B108,0)</f>
        <v>3000</v>
      </c>
      <c r="BM152" s="56">
        <f>IF(BM$2&gt;=Projections!$D108,Projections!$B108,0)</f>
        <v>3000</v>
      </c>
      <c r="BN152" s="56">
        <f>IF(BN$2&gt;=Projections!$D108,Projections!$B108,0)</f>
        <v>3000</v>
      </c>
      <c r="BO152" s="56">
        <f>IF(BO$2&gt;=Projections!$D108,Projections!$B108,0)</f>
        <v>3000</v>
      </c>
      <c r="BP152" s="56">
        <f>IF(BP$2&gt;=Projections!$D108,Projections!$B108,0)</f>
        <v>3000</v>
      </c>
      <c r="BQ152" s="56">
        <f>IF(BQ$2&gt;=Projections!$D108,Projections!$B108,0)</f>
        <v>3000</v>
      </c>
      <c r="BR152" s="56">
        <f>IF(BR$2&gt;=Projections!$D108,Projections!$B108,0)</f>
        <v>3000</v>
      </c>
      <c r="BS152" s="56">
        <f>IF(BS$2&gt;=Projections!$D108,Projections!$B108,0)</f>
        <v>3000</v>
      </c>
      <c r="BT152" s="56">
        <f>IF(BT$2&gt;=Projections!$D108,Projections!$B108,0)</f>
        <v>3000</v>
      </c>
      <c r="BU152" s="56">
        <f>IF(BU$2&gt;=Projections!$D108,Projections!$B108,0)</f>
        <v>3000</v>
      </c>
      <c r="BV152" s="56">
        <f>IF(BV$2&gt;=Projections!$D108,Projections!$B108,0)</f>
        <v>3000</v>
      </c>
      <c r="BW152" s="56">
        <f>IF(BW$2&gt;=Projections!$D108,Projections!$B108,0)</f>
        <v>3000</v>
      </c>
      <c r="BX152" s="56">
        <f>IF(BX$2&gt;=Projections!$D108,Projections!$B108,0)</f>
        <v>3000</v>
      </c>
      <c r="BY152" s="56">
        <f>IF(BY$2&gt;=Projections!$D108,Projections!$B108,0)</f>
        <v>3000</v>
      </c>
      <c r="BZ152" s="56">
        <f>IF(BZ$2&gt;=Projections!$D108,Projections!$B108,0)</f>
        <v>3000</v>
      </c>
      <c r="CA152" s="56">
        <f>IF(CA$2&gt;=Projections!$D108,Projections!$B108,0)</f>
        <v>3000</v>
      </c>
      <c r="CB152" s="56">
        <f>IF(CB$2&gt;=Projections!$D108,Projections!$B108,0)</f>
        <v>3000</v>
      </c>
      <c r="CC152" s="56">
        <f>IF(CC$2&gt;=Projections!$D108,Projections!$B108,0)</f>
        <v>3000</v>
      </c>
      <c r="CD152" s="56">
        <f>IF(CD$2&gt;=Projections!$D108,Projections!$B108,0)</f>
        <v>3000</v>
      </c>
      <c r="CE152" s="56">
        <f>IF(CE$2&gt;=Projections!$D108,Projections!$B108,0)</f>
        <v>3000</v>
      </c>
      <c r="CF152" s="56">
        <f>IF(CF$2&gt;=Projections!$D108,Projections!$B108,0)</f>
        <v>3000</v>
      </c>
      <c r="CG152" s="56">
        <f>IF(CG$2&gt;=Projections!$D108,Projections!$B108,0)</f>
        <v>3000</v>
      </c>
      <c r="CH152" s="56">
        <f>IF(CH$2&gt;=Projections!$D108,Projections!$B108,0)</f>
        <v>3000</v>
      </c>
      <c r="CI152" s="56">
        <f>IF(CI$2&gt;=Projections!$D108,Projections!$B108,0)</f>
        <v>3000</v>
      </c>
      <c r="CJ152" s="56">
        <f>IF(CJ$2&gt;=Projections!$D108,Projections!$B108,0)</f>
        <v>3000</v>
      </c>
      <c r="CK152" s="56">
        <f>IF(CK$2&gt;=Projections!$D108,Projections!$B108,0)</f>
        <v>3000</v>
      </c>
      <c r="CL152" s="56">
        <f>IF(CL$2&gt;=Projections!$D108,Projections!$B108,0)</f>
        <v>3000</v>
      </c>
      <c r="CM152" s="56">
        <f>IF(CM$2&gt;=Projections!$D108,Projections!$B108,0)</f>
        <v>3000</v>
      </c>
      <c r="CN152" s="56">
        <f>IF(CN$2&gt;=Projections!$D108,Projections!$B108,0)</f>
        <v>3000</v>
      </c>
      <c r="CO152" s="56">
        <f>IF(CO$2&gt;=Projections!$D108,Projections!$B108,0)</f>
        <v>3000</v>
      </c>
      <c r="CP152" s="56">
        <f>IF(CP$2&gt;=Projections!$D108,Projections!$B108,0)</f>
        <v>3000</v>
      </c>
      <c r="CQ152" s="56">
        <f>IF(CQ$2&gt;=Projections!$D108,Projections!$B108,0)</f>
        <v>3000</v>
      </c>
      <c r="CR152" s="56">
        <f>IF(CR$2&gt;=Projections!$D108,Projections!$B108,0)</f>
        <v>3000</v>
      </c>
      <c r="CS152" s="56">
        <f>IF(CS$2&gt;=Projections!$D108,Projections!$B108,0)</f>
        <v>3000</v>
      </c>
      <c r="CT152" s="56">
        <f>IF(CT$2&gt;=Projections!$D108,Projections!$B108,0)</f>
        <v>3000</v>
      </c>
      <c r="CU152" s="56">
        <f>IF(CU$2&gt;=Projections!$D108,Projections!$B108,0)</f>
        <v>3000</v>
      </c>
      <c r="CV152" s="56">
        <f>IF(CV$2&gt;=Projections!$D108,Projections!$B108,0)</f>
        <v>3000</v>
      </c>
      <c r="CW152" s="56">
        <f>IF(CW$2&gt;=Projections!$D108,Projections!$B108,0)</f>
        <v>3000</v>
      </c>
      <c r="CX152" s="56">
        <f>IF(CX$2&gt;=Projections!$D108,Projections!$B108,0)</f>
        <v>3000</v>
      </c>
    </row>
    <row r="153" ht="15.75" customHeight="1" outlineLevel="1">
      <c r="A153" s="56" t="str">
        <f>Projections!A109</f>
        <v>Expense 1</v>
      </c>
      <c r="B153" s="56"/>
      <c r="C153" s="56"/>
      <c r="D153" s="56"/>
      <c r="E153" s="56">
        <f>IF(E$2&gt;=Projections!$D109,Projections!$B109,0)</f>
        <v>0</v>
      </c>
      <c r="F153" s="56">
        <f>IF(F$2&gt;=Projections!$D109,Projections!$B109,0)</f>
        <v>0</v>
      </c>
      <c r="G153" s="56">
        <f>IF(G$2&gt;=Projections!$D109,Projections!$B109,0)</f>
        <v>0</v>
      </c>
      <c r="H153" s="56">
        <f>IF(H$2&gt;=Projections!$D109,Projections!$B109,0)</f>
        <v>0</v>
      </c>
      <c r="I153" s="56">
        <f>IF(I$2&gt;=Projections!$D109,Projections!$B109,0)</f>
        <v>0</v>
      </c>
      <c r="J153" s="56">
        <f>IF(J$2&gt;=Projections!$D109,Projections!$B109,0)</f>
        <v>0</v>
      </c>
      <c r="K153" s="56">
        <f>IF(K$2&gt;=Projections!$D109,Projections!$B109,0)</f>
        <v>0</v>
      </c>
      <c r="L153" s="56">
        <f>IF(L$2&gt;=Projections!$D109,Projections!$B109,0)</f>
        <v>0</v>
      </c>
      <c r="M153" s="56">
        <f>IF(M$2&gt;=Projections!$D109,Projections!$B109,0)</f>
        <v>0</v>
      </c>
      <c r="N153" s="56">
        <f>IF(N$2&gt;=Projections!$D109,Projections!$B109,0)</f>
        <v>0</v>
      </c>
      <c r="O153" s="56">
        <f>IF(O$2&gt;=Projections!$D109,Projections!$B109,0)</f>
        <v>0</v>
      </c>
      <c r="P153" s="56">
        <f>IF(P$2&gt;=Projections!$D109,Projections!$B109,0)</f>
        <v>0</v>
      </c>
      <c r="Q153" s="56">
        <f>IF(Q$2&gt;=Projections!$D109,Projections!$B109,0)</f>
        <v>0</v>
      </c>
      <c r="R153" s="56">
        <f>IF(R$2&gt;=Projections!$D109,Projections!$B109,0)</f>
        <v>0</v>
      </c>
      <c r="S153" s="56">
        <f>IF(S$2&gt;=Projections!$D109,Projections!$B109,0)</f>
        <v>0</v>
      </c>
      <c r="T153" s="56">
        <f>IF(T$2&gt;=Projections!$D109,Projections!$B109,0)</f>
        <v>0</v>
      </c>
      <c r="U153" s="56">
        <f>IF(U$2&gt;=Projections!$D109,Projections!$B109,0)</f>
        <v>0</v>
      </c>
      <c r="V153" s="56">
        <f>IF(V$2&gt;=Projections!$D109,Projections!$B109,0)</f>
        <v>0</v>
      </c>
      <c r="W153" s="56">
        <f>IF(W$2&gt;=Projections!$D109,Projections!$B109,0)</f>
        <v>0</v>
      </c>
      <c r="X153" s="56">
        <f>IF(X$2&gt;=Projections!$D109,Projections!$B109,0)</f>
        <v>0</v>
      </c>
      <c r="Y153" s="56">
        <f>IF(Y$2&gt;=Projections!$D109,Projections!$B109,0)</f>
        <v>0</v>
      </c>
      <c r="Z153" s="56">
        <f>IF(Z$2&gt;=Projections!$D109,Projections!$B109,0)</f>
        <v>0</v>
      </c>
      <c r="AA153" s="56">
        <f>IF(AA$2&gt;=Projections!$D109,Projections!$B109,0)</f>
        <v>0</v>
      </c>
      <c r="AB153" s="56">
        <f>IF(AB$2&gt;=Projections!$D109,Projections!$B109,0)</f>
        <v>0</v>
      </c>
      <c r="AC153" s="56">
        <f>IF(AC$2&gt;=Projections!$D109,Projections!$B109,0)</f>
        <v>0</v>
      </c>
      <c r="AD153" s="56">
        <f>IF(AD$2&gt;=Projections!$D109,Projections!$B109,0)</f>
        <v>0</v>
      </c>
      <c r="AE153" s="56">
        <f>IF(AE$2&gt;=Projections!$D109,Projections!$B109,0)</f>
        <v>0</v>
      </c>
      <c r="AF153" s="56">
        <f>IF(AF$2&gt;=Projections!$D109,Projections!$B109,0)</f>
        <v>0</v>
      </c>
      <c r="AG153" s="56">
        <f>IF(AG$2&gt;=Projections!$D109,Projections!$B109,0)</f>
        <v>0</v>
      </c>
      <c r="AH153" s="56">
        <f>IF(AH$2&gt;=Projections!$D109,Projections!$B109,0)</f>
        <v>0</v>
      </c>
      <c r="AI153" s="56">
        <f>IF(AI$2&gt;=Projections!$D109,Projections!$B109,0)</f>
        <v>0</v>
      </c>
      <c r="AJ153" s="56">
        <f>IF(AJ$2&gt;=Projections!$D109,Projections!$B109,0)</f>
        <v>0</v>
      </c>
      <c r="AK153" s="56">
        <f>IF(AK$2&gt;=Projections!$D109,Projections!$B109,0)</f>
        <v>0</v>
      </c>
      <c r="AL153" s="56">
        <f>IF(AL$2&gt;=Projections!$D109,Projections!$B109,0)</f>
        <v>0</v>
      </c>
      <c r="AM153" s="56">
        <f>IF(AM$2&gt;=Projections!$D109,Projections!$B109,0)</f>
        <v>0</v>
      </c>
      <c r="AN153" s="56">
        <f>IF(AN$2&gt;=Projections!$D109,Projections!$B109,0)</f>
        <v>0</v>
      </c>
      <c r="AO153" s="56">
        <f>IF(AO$2&gt;=Projections!$D109,Projections!$B109,0)</f>
        <v>0</v>
      </c>
      <c r="AP153" s="56">
        <f>IF(AP$2&gt;=Projections!$D109,Projections!$B109,0)</f>
        <v>0</v>
      </c>
      <c r="AQ153" s="56">
        <f>IF(AQ$2&gt;=Projections!$D109,Projections!$B109,0)</f>
        <v>0</v>
      </c>
      <c r="AR153" s="56">
        <f>IF(AR$2&gt;=Projections!$D109,Projections!$B109,0)</f>
        <v>0</v>
      </c>
      <c r="AS153" s="56">
        <f>IF(AS$2&gt;=Projections!$D109,Projections!$B109,0)</f>
        <v>0</v>
      </c>
      <c r="AT153" s="56">
        <f>IF(AT$2&gt;=Projections!$D109,Projections!$B109,0)</f>
        <v>0</v>
      </c>
      <c r="AU153" s="56">
        <f>IF(AU$2&gt;=Projections!$D109,Projections!$B109,0)</f>
        <v>0</v>
      </c>
      <c r="AV153" s="56">
        <f>IF(AV$2&gt;=Projections!$D109,Projections!$B109,0)</f>
        <v>0</v>
      </c>
      <c r="AW153" s="56">
        <f>IF(AW$2&gt;=Projections!$D109,Projections!$B109,0)</f>
        <v>0</v>
      </c>
      <c r="AX153" s="56">
        <f>IF(AX$2&gt;=Projections!$D109,Projections!$B109,0)</f>
        <v>0</v>
      </c>
      <c r="AY153" s="56">
        <f>IF(AY$2&gt;=Projections!$D109,Projections!$B109,0)</f>
        <v>0</v>
      </c>
      <c r="AZ153" s="56">
        <f>IF(AZ$2&gt;=Projections!$D109,Projections!$B109,0)</f>
        <v>0</v>
      </c>
      <c r="BA153" s="56">
        <f>IF(BA$2&gt;=Projections!$D109,Projections!$B109,0)</f>
        <v>0</v>
      </c>
      <c r="BB153" s="56">
        <f>IF(BB$2&gt;=Projections!$D109,Projections!$B109,0)</f>
        <v>0</v>
      </c>
      <c r="BC153" s="56">
        <f>IF(BC$2&gt;=Projections!$D109,Projections!$B109,0)</f>
        <v>0</v>
      </c>
      <c r="BD153" s="56">
        <f>IF(BD$2&gt;=Projections!$D109,Projections!$B109,0)</f>
        <v>0</v>
      </c>
      <c r="BE153" s="56">
        <f>IF(BE$2&gt;=Projections!$D109,Projections!$B109,0)</f>
        <v>0</v>
      </c>
      <c r="BF153" s="56">
        <f>IF(BF$2&gt;=Projections!$D109,Projections!$B109,0)</f>
        <v>0</v>
      </c>
      <c r="BG153" s="56">
        <f>IF(BG$2&gt;=Projections!$D109,Projections!$B109,0)</f>
        <v>0</v>
      </c>
      <c r="BH153" s="56">
        <f>IF(BH$2&gt;=Projections!$D109,Projections!$B109,0)</f>
        <v>0</v>
      </c>
      <c r="BI153" s="56">
        <f>IF(BI$2&gt;=Projections!$D109,Projections!$B109,0)</f>
        <v>0</v>
      </c>
      <c r="BJ153" s="56">
        <f>IF(BJ$2&gt;=Projections!$D109,Projections!$B109,0)</f>
        <v>0</v>
      </c>
      <c r="BK153" s="56">
        <f>IF(BK$2&gt;=Projections!$D109,Projections!$B109,0)</f>
        <v>0</v>
      </c>
      <c r="BL153" s="56">
        <f>IF(BL$2&gt;=Projections!$D109,Projections!$B109,0)</f>
        <v>0</v>
      </c>
      <c r="BM153" s="56">
        <f>IF(BM$2&gt;=Projections!$D109,Projections!$B109,0)</f>
        <v>0</v>
      </c>
      <c r="BN153" s="56">
        <f>IF(BN$2&gt;=Projections!$D109,Projections!$B109,0)</f>
        <v>0</v>
      </c>
      <c r="BO153" s="56">
        <f>IF(BO$2&gt;=Projections!$D109,Projections!$B109,0)</f>
        <v>0</v>
      </c>
      <c r="BP153" s="56">
        <f>IF(BP$2&gt;=Projections!$D109,Projections!$B109,0)</f>
        <v>0</v>
      </c>
      <c r="BQ153" s="56">
        <f>IF(BQ$2&gt;=Projections!$D109,Projections!$B109,0)</f>
        <v>0</v>
      </c>
      <c r="BR153" s="56">
        <f>IF(BR$2&gt;=Projections!$D109,Projections!$B109,0)</f>
        <v>0</v>
      </c>
      <c r="BS153" s="56">
        <f>IF(BS$2&gt;=Projections!$D109,Projections!$B109,0)</f>
        <v>0</v>
      </c>
      <c r="BT153" s="56">
        <f>IF(BT$2&gt;=Projections!$D109,Projections!$B109,0)</f>
        <v>0</v>
      </c>
      <c r="BU153" s="56">
        <f>IF(BU$2&gt;=Projections!$D109,Projections!$B109,0)</f>
        <v>0</v>
      </c>
      <c r="BV153" s="56">
        <f>IF(BV$2&gt;=Projections!$D109,Projections!$B109,0)</f>
        <v>0</v>
      </c>
      <c r="BW153" s="56">
        <f>IF(BW$2&gt;=Projections!$D109,Projections!$B109,0)</f>
        <v>0</v>
      </c>
      <c r="BX153" s="56">
        <f>IF(BX$2&gt;=Projections!$D109,Projections!$B109,0)</f>
        <v>0</v>
      </c>
      <c r="BY153" s="56">
        <f>IF(BY$2&gt;=Projections!$D109,Projections!$B109,0)</f>
        <v>0</v>
      </c>
      <c r="BZ153" s="56">
        <f>IF(BZ$2&gt;=Projections!$D109,Projections!$B109,0)</f>
        <v>0</v>
      </c>
      <c r="CA153" s="56">
        <f>IF(CA$2&gt;=Projections!$D109,Projections!$B109,0)</f>
        <v>0</v>
      </c>
      <c r="CB153" s="56">
        <f>IF(CB$2&gt;=Projections!$D109,Projections!$B109,0)</f>
        <v>0</v>
      </c>
      <c r="CC153" s="56">
        <f>IF(CC$2&gt;=Projections!$D109,Projections!$B109,0)</f>
        <v>0</v>
      </c>
      <c r="CD153" s="56">
        <f>IF(CD$2&gt;=Projections!$D109,Projections!$B109,0)</f>
        <v>0</v>
      </c>
      <c r="CE153" s="56">
        <f>IF(CE$2&gt;=Projections!$D109,Projections!$B109,0)</f>
        <v>0</v>
      </c>
      <c r="CF153" s="56">
        <f>IF(CF$2&gt;=Projections!$D109,Projections!$B109,0)</f>
        <v>0</v>
      </c>
      <c r="CG153" s="56">
        <f>IF(CG$2&gt;=Projections!$D109,Projections!$B109,0)</f>
        <v>0</v>
      </c>
      <c r="CH153" s="56">
        <f>IF(CH$2&gt;=Projections!$D109,Projections!$B109,0)</f>
        <v>0</v>
      </c>
      <c r="CI153" s="56">
        <f>IF(CI$2&gt;=Projections!$D109,Projections!$B109,0)</f>
        <v>0</v>
      </c>
      <c r="CJ153" s="56">
        <f>IF(CJ$2&gt;=Projections!$D109,Projections!$B109,0)</f>
        <v>0</v>
      </c>
      <c r="CK153" s="56">
        <f>IF(CK$2&gt;=Projections!$D109,Projections!$B109,0)</f>
        <v>0</v>
      </c>
      <c r="CL153" s="56">
        <f>IF(CL$2&gt;=Projections!$D109,Projections!$B109,0)</f>
        <v>0</v>
      </c>
      <c r="CM153" s="56">
        <f>IF(CM$2&gt;=Projections!$D109,Projections!$B109,0)</f>
        <v>0</v>
      </c>
      <c r="CN153" s="56">
        <f>IF(CN$2&gt;=Projections!$D109,Projections!$B109,0)</f>
        <v>0</v>
      </c>
      <c r="CO153" s="56">
        <f>IF(CO$2&gt;=Projections!$D109,Projections!$B109,0)</f>
        <v>0</v>
      </c>
      <c r="CP153" s="56">
        <f>IF(CP$2&gt;=Projections!$D109,Projections!$B109,0)</f>
        <v>0</v>
      </c>
      <c r="CQ153" s="56">
        <f>IF(CQ$2&gt;=Projections!$D109,Projections!$B109,0)</f>
        <v>0</v>
      </c>
      <c r="CR153" s="56">
        <f>IF(CR$2&gt;=Projections!$D109,Projections!$B109,0)</f>
        <v>0</v>
      </c>
      <c r="CS153" s="56">
        <f>IF(CS$2&gt;=Projections!$D109,Projections!$B109,0)</f>
        <v>0</v>
      </c>
      <c r="CT153" s="56">
        <f>IF(CT$2&gt;=Projections!$D109,Projections!$B109,0)</f>
        <v>0</v>
      </c>
      <c r="CU153" s="56">
        <f>IF(CU$2&gt;=Projections!$D109,Projections!$B109,0)</f>
        <v>0</v>
      </c>
      <c r="CV153" s="56">
        <f>IF(CV$2&gt;=Projections!$D109,Projections!$B109,0)</f>
        <v>0</v>
      </c>
      <c r="CW153" s="56">
        <f>IF(CW$2&gt;=Projections!$D109,Projections!$B109,0)</f>
        <v>0</v>
      </c>
      <c r="CX153" s="56">
        <f>IF(CX$2&gt;=Projections!$D109,Projections!$B109,0)</f>
        <v>0</v>
      </c>
    </row>
    <row r="154" ht="15.75" customHeight="1" outlineLevel="1">
      <c r="A154" s="56" t="str">
        <f>Projections!A110</f>
        <v>Expense 2</v>
      </c>
      <c r="B154" s="56"/>
      <c r="C154" s="56"/>
      <c r="D154" s="56"/>
      <c r="E154" s="56">
        <f>IF(E$2&gt;=Projections!$D110,Projections!$B110,0)</f>
        <v>0</v>
      </c>
      <c r="F154" s="56">
        <f>IF(F$2&gt;=Projections!$D110,Projections!$B110,0)</f>
        <v>0</v>
      </c>
      <c r="G154" s="56">
        <f>IF(G$2&gt;=Projections!$D110,Projections!$B110,0)</f>
        <v>0</v>
      </c>
      <c r="H154" s="56">
        <f>IF(H$2&gt;=Projections!$D110,Projections!$B110,0)</f>
        <v>0</v>
      </c>
      <c r="I154" s="56">
        <f>IF(I$2&gt;=Projections!$D110,Projections!$B110,0)</f>
        <v>0</v>
      </c>
      <c r="J154" s="56">
        <f>IF(J$2&gt;=Projections!$D110,Projections!$B110,0)</f>
        <v>0</v>
      </c>
      <c r="K154" s="56">
        <f>IF(K$2&gt;=Projections!$D110,Projections!$B110,0)</f>
        <v>0</v>
      </c>
      <c r="L154" s="56">
        <f>IF(L$2&gt;=Projections!$D110,Projections!$B110,0)</f>
        <v>0</v>
      </c>
      <c r="M154" s="56">
        <f>IF(M$2&gt;=Projections!$D110,Projections!$B110,0)</f>
        <v>0</v>
      </c>
      <c r="N154" s="56">
        <f>IF(N$2&gt;=Projections!$D110,Projections!$B110,0)</f>
        <v>0</v>
      </c>
      <c r="O154" s="56">
        <f>IF(O$2&gt;=Projections!$D110,Projections!$B110,0)</f>
        <v>0</v>
      </c>
      <c r="P154" s="56">
        <f>IF(P$2&gt;=Projections!$D110,Projections!$B110,0)</f>
        <v>0</v>
      </c>
      <c r="Q154" s="56">
        <f>IF(Q$2&gt;=Projections!$D110,Projections!$B110,0)</f>
        <v>0</v>
      </c>
      <c r="R154" s="56">
        <f>IF(R$2&gt;=Projections!$D110,Projections!$B110,0)</f>
        <v>0</v>
      </c>
      <c r="S154" s="56">
        <f>IF(S$2&gt;=Projections!$D110,Projections!$B110,0)</f>
        <v>0</v>
      </c>
      <c r="T154" s="56">
        <f>IF(T$2&gt;=Projections!$D110,Projections!$B110,0)</f>
        <v>0</v>
      </c>
      <c r="U154" s="56">
        <f>IF(U$2&gt;=Projections!$D110,Projections!$B110,0)</f>
        <v>0</v>
      </c>
      <c r="V154" s="56">
        <f>IF(V$2&gt;=Projections!$D110,Projections!$B110,0)</f>
        <v>0</v>
      </c>
      <c r="W154" s="56">
        <f>IF(W$2&gt;=Projections!$D110,Projections!$B110,0)</f>
        <v>0</v>
      </c>
      <c r="X154" s="56">
        <f>IF(X$2&gt;=Projections!$D110,Projections!$B110,0)</f>
        <v>0</v>
      </c>
      <c r="Y154" s="56">
        <f>IF(Y$2&gt;=Projections!$D110,Projections!$B110,0)</f>
        <v>0</v>
      </c>
      <c r="Z154" s="56">
        <f>IF(Z$2&gt;=Projections!$D110,Projections!$B110,0)</f>
        <v>0</v>
      </c>
      <c r="AA154" s="56">
        <f>IF(AA$2&gt;=Projections!$D110,Projections!$B110,0)</f>
        <v>0</v>
      </c>
      <c r="AB154" s="56">
        <f>IF(AB$2&gt;=Projections!$D110,Projections!$B110,0)</f>
        <v>0</v>
      </c>
      <c r="AC154" s="56">
        <f>IF(AC$2&gt;=Projections!$D110,Projections!$B110,0)</f>
        <v>0</v>
      </c>
      <c r="AD154" s="56">
        <f>IF(AD$2&gt;=Projections!$D110,Projections!$B110,0)</f>
        <v>0</v>
      </c>
      <c r="AE154" s="56">
        <f>IF(AE$2&gt;=Projections!$D110,Projections!$B110,0)</f>
        <v>0</v>
      </c>
      <c r="AF154" s="56">
        <f>IF(AF$2&gt;=Projections!$D110,Projections!$B110,0)</f>
        <v>0</v>
      </c>
      <c r="AG154" s="56">
        <f>IF(AG$2&gt;=Projections!$D110,Projections!$B110,0)</f>
        <v>0</v>
      </c>
      <c r="AH154" s="56">
        <f>IF(AH$2&gt;=Projections!$D110,Projections!$B110,0)</f>
        <v>0</v>
      </c>
      <c r="AI154" s="56">
        <f>IF(AI$2&gt;=Projections!$D110,Projections!$B110,0)</f>
        <v>0</v>
      </c>
      <c r="AJ154" s="56">
        <f>IF(AJ$2&gt;=Projections!$D110,Projections!$B110,0)</f>
        <v>0</v>
      </c>
      <c r="AK154" s="56">
        <f>IF(AK$2&gt;=Projections!$D110,Projections!$B110,0)</f>
        <v>0</v>
      </c>
      <c r="AL154" s="56">
        <f>IF(AL$2&gt;=Projections!$D110,Projections!$B110,0)</f>
        <v>0</v>
      </c>
      <c r="AM154" s="56">
        <f>IF(AM$2&gt;=Projections!$D110,Projections!$B110,0)</f>
        <v>0</v>
      </c>
      <c r="AN154" s="56">
        <f>IF(AN$2&gt;=Projections!$D110,Projections!$B110,0)</f>
        <v>0</v>
      </c>
      <c r="AO154" s="56">
        <f>IF(AO$2&gt;=Projections!$D110,Projections!$B110,0)</f>
        <v>0</v>
      </c>
      <c r="AP154" s="56">
        <f>IF(AP$2&gt;=Projections!$D110,Projections!$B110,0)</f>
        <v>0</v>
      </c>
      <c r="AQ154" s="56">
        <f>IF(AQ$2&gt;=Projections!$D110,Projections!$B110,0)</f>
        <v>0</v>
      </c>
      <c r="AR154" s="56">
        <f>IF(AR$2&gt;=Projections!$D110,Projections!$B110,0)</f>
        <v>0</v>
      </c>
      <c r="AS154" s="56">
        <f>IF(AS$2&gt;=Projections!$D110,Projections!$B110,0)</f>
        <v>0</v>
      </c>
      <c r="AT154" s="56">
        <f>IF(AT$2&gt;=Projections!$D110,Projections!$B110,0)</f>
        <v>0</v>
      </c>
      <c r="AU154" s="56">
        <f>IF(AU$2&gt;=Projections!$D110,Projections!$B110,0)</f>
        <v>0</v>
      </c>
      <c r="AV154" s="56">
        <f>IF(AV$2&gt;=Projections!$D110,Projections!$B110,0)</f>
        <v>0</v>
      </c>
      <c r="AW154" s="56">
        <f>IF(AW$2&gt;=Projections!$D110,Projections!$B110,0)</f>
        <v>0</v>
      </c>
      <c r="AX154" s="56">
        <f>IF(AX$2&gt;=Projections!$D110,Projections!$B110,0)</f>
        <v>0</v>
      </c>
      <c r="AY154" s="56">
        <f>IF(AY$2&gt;=Projections!$D110,Projections!$B110,0)</f>
        <v>0</v>
      </c>
      <c r="AZ154" s="56">
        <f>IF(AZ$2&gt;=Projections!$D110,Projections!$B110,0)</f>
        <v>0</v>
      </c>
      <c r="BA154" s="56">
        <f>IF(BA$2&gt;=Projections!$D110,Projections!$B110,0)</f>
        <v>0</v>
      </c>
      <c r="BB154" s="56">
        <f>IF(BB$2&gt;=Projections!$D110,Projections!$B110,0)</f>
        <v>0</v>
      </c>
      <c r="BC154" s="56">
        <f>IF(BC$2&gt;=Projections!$D110,Projections!$B110,0)</f>
        <v>0</v>
      </c>
      <c r="BD154" s="56">
        <f>IF(BD$2&gt;=Projections!$D110,Projections!$B110,0)</f>
        <v>0</v>
      </c>
      <c r="BE154" s="56">
        <f>IF(BE$2&gt;=Projections!$D110,Projections!$B110,0)</f>
        <v>0</v>
      </c>
      <c r="BF154" s="56">
        <f>IF(BF$2&gt;=Projections!$D110,Projections!$B110,0)</f>
        <v>0</v>
      </c>
      <c r="BG154" s="56">
        <f>IF(BG$2&gt;=Projections!$D110,Projections!$B110,0)</f>
        <v>0</v>
      </c>
      <c r="BH154" s="56">
        <f>IF(BH$2&gt;=Projections!$D110,Projections!$B110,0)</f>
        <v>0</v>
      </c>
      <c r="BI154" s="56">
        <f>IF(BI$2&gt;=Projections!$D110,Projections!$B110,0)</f>
        <v>0</v>
      </c>
      <c r="BJ154" s="56">
        <f>IF(BJ$2&gt;=Projections!$D110,Projections!$B110,0)</f>
        <v>0</v>
      </c>
      <c r="BK154" s="56">
        <f>IF(BK$2&gt;=Projections!$D110,Projections!$B110,0)</f>
        <v>0</v>
      </c>
      <c r="BL154" s="56">
        <f>IF(BL$2&gt;=Projections!$D110,Projections!$B110,0)</f>
        <v>0</v>
      </c>
      <c r="BM154" s="56">
        <f>IF(BM$2&gt;=Projections!$D110,Projections!$B110,0)</f>
        <v>0</v>
      </c>
      <c r="BN154" s="56">
        <f>IF(BN$2&gt;=Projections!$D110,Projections!$B110,0)</f>
        <v>0</v>
      </c>
      <c r="BO154" s="56">
        <f>IF(BO$2&gt;=Projections!$D110,Projections!$B110,0)</f>
        <v>0</v>
      </c>
      <c r="BP154" s="56">
        <f>IF(BP$2&gt;=Projections!$D110,Projections!$B110,0)</f>
        <v>0</v>
      </c>
      <c r="BQ154" s="56">
        <f>IF(BQ$2&gt;=Projections!$D110,Projections!$B110,0)</f>
        <v>0</v>
      </c>
      <c r="BR154" s="56">
        <f>IF(BR$2&gt;=Projections!$D110,Projections!$B110,0)</f>
        <v>0</v>
      </c>
      <c r="BS154" s="56">
        <f>IF(BS$2&gt;=Projections!$D110,Projections!$B110,0)</f>
        <v>0</v>
      </c>
      <c r="BT154" s="56">
        <f>IF(BT$2&gt;=Projections!$D110,Projections!$B110,0)</f>
        <v>0</v>
      </c>
      <c r="BU154" s="56">
        <f>IF(BU$2&gt;=Projections!$D110,Projections!$B110,0)</f>
        <v>0</v>
      </c>
      <c r="BV154" s="56">
        <f>IF(BV$2&gt;=Projections!$D110,Projections!$B110,0)</f>
        <v>0</v>
      </c>
      <c r="BW154" s="56">
        <f>IF(BW$2&gt;=Projections!$D110,Projections!$B110,0)</f>
        <v>0</v>
      </c>
      <c r="BX154" s="56">
        <f>IF(BX$2&gt;=Projections!$D110,Projections!$B110,0)</f>
        <v>0</v>
      </c>
      <c r="BY154" s="56">
        <f>IF(BY$2&gt;=Projections!$D110,Projections!$B110,0)</f>
        <v>0</v>
      </c>
      <c r="BZ154" s="56">
        <f>IF(BZ$2&gt;=Projections!$D110,Projections!$B110,0)</f>
        <v>0</v>
      </c>
      <c r="CA154" s="56">
        <f>IF(CA$2&gt;=Projections!$D110,Projections!$B110,0)</f>
        <v>0</v>
      </c>
      <c r="CB154" s="56">
        <f>IF(CB$2&gt;=Projections!$D110,Projections!$B110,0)</f>
        <v>0</v>
      </c>
      <c r="CC154" s="56">
        <f>IF(CC$2&gt;=Projections!$D110,Projections!$B110,0)</f>
        <v>0</v>
      </c>
      <c r="CD154" s="56">
        <f>IF(CD$2&gt;=Projections!$D110,Projections!$B110,0)</f>
        <v>0</v>
      </c>
      <c r="CE154" s="56">
        <f>IF(CE$2&gt;=Projections!$D110,Projections!$B110,0)</f>
        <v>0</v>
      </c>
      <c r="CF154" s="56">
        <f>IF(CF$2&gt;=Projections!$D110,Projections!$B110,0)</f>
        <v>0</v>
      </c>
      <c r="CG154" s="56">
        <f>IF(CG$2&gt;=Projections!$D110,Projections!$B110,0)</f>
        <v>0</v>
      </c>
      <c r="CH154" s="56">
        <f>IF(CH$2&gt;=Projections!$D110,Projections!$B110,0)</f>
        <v>0</v>
      </c>
      <c r="CI154" s="56">
        <f>IF(CI$2&gt;=Projections!$D110,Projections!$B110,0)</f>
        <v>0</v>
      </c>
      <c r="CJ154" s="56">
        <f>IF(CJ$2&gt;=Projections!$D110,Projections!$B110,0)</f>
        <v>0</v>
      </c>
      <c r="CK154" s="56">
        <f>IF(CK$2&gt;=Projections!$D110,Projections!$B110,0)</f>
        <v>0</v>
      </c>
      <c r="CL154" s="56">
        <f>IF(CL$2&gt;=Projections!$D110,Projections!$B110,0)</f>
        <v>0</v>
      </c>
      <c r="CM154" s="56">
        <f>IF(CM$2&gt;=Projections!$D110,Projections!$B110,0)</f>
        <v>0</v>
      </c>
      <c r="CN154" s="56">
        <f>IF(CN$2&gt;=Projections!$D110,Projections!$B110,0)</f>
        <v>0</v>
      </c>
      <c r="CO154" s="56">
        <f>IF(CO$2&gt;=Projections!$D110,Projections!$B110,0)</f>
        <v>0</v>
      </c>
      <c r="CP154" s="56">
        <f>IF(CP$2&gt;=Projections!$D110,Projections!$B110,0)</f>
        <v>0</v>
      </c>
      <c r="CQ154" s="56">
        <f>IF(CQ$2&gt;=Projections!$D110,Projections!$B110,0)</f>
        <v>0</v>
      </c>
      <c r="CR154" s="56">
        <f>IF(CR$2&gt;=Projections!$D110,Projections!$B110,0)</f>
        <v>0</v>
      </c>
      <c r="CS154" s="56">
        <f>IF(CS$2&gt;=Projections!$D110,Projections!$B110,0)</f>
        <v>0</v>
      </c>
      <c r="CT154" s="56">
        <f>IF(CT$2&gt;=Projections!$D110,Projections!$B110,0)</f>
        <v>0</v>
      </c>
      <c r="CU154" s="56">
        <f>IF(CU$2&gt;=Projections!$D110,Projections!$B110,0)</f>
        <v>0</v>
      </c>
      <c r="CV154" s="56">
        <f>IF(CV$2&gt;=Projections!$D110,Projections!$B110,0)</f>
        <v>0</v>
      </c>
      <c r="CW154" s="56">
        <f>IF(CW$2&gt;=Projections!$D110,Projections!$B110,0)</f>
        <v>0</v>
      </c>
      <c r="CX154" s="56">
        <f>IF(CX$2&gt;=Projections!$D110,Projections!$B110,0)</f>
        <v>0</v>
      </c>
    </row>
    <row r="155" ht="15.75" customHeight="1" outlineLevel="1">
      <c r="A155" s="56" t="str">
        <f>Projections!A111</f>
        <v>Expense 3</v>
      </c>
      <c r="B155" s="56"/>
      <c r="C155" s="56"/>
      <c r="D155" s="56"/>
      <c r="E155" s="56">
        <f>IF(E$2&gt;=Projections!$D111,Projections!$B111,0)</f>
        <v>0</v>
      </c>
      <c r="F155" s="56">
        <f>IF(F$2&gt;=Projections!$D111,Projections!$B111,0)</f>
        <v>0</v>
      </c>
      <c r="G155" s="56">
        <f>IF(G$2&gt;=Projections!$D111,Projections!$B111,0)</f>
        <v>0</v>
      </c>
      <c r="H155" s="56">
        <f>IF(H$2&gt;=Projections!$D111,Projections!$B111,0)</f>
        <v>0</v>
      </c>
      <c r="I155" s="56">
        <f>IF(I$2&gt;=Projections!$D111,Projections!$B111,0)</f>
        <v>0</v>
      </c>
      <c r="J155" s="56">
        <f>IF(J$2&gt;=Projections!$D111,Projections!$B111,0)</f>
        <v>0</v>
      </c>
      <c r="K155" s="56">
        <f>IF(K$2&gt;=Projections!$D111,Projections!$B111,0)</f>
        <v>0</v>
      </c>
      <c r="L155" s="56">
        <f>IF(L$2&gt;=Projections!$D111,Projections!$B111,0)</f>
        <v>0</v>
      </c>
      <c r="M155" s="56">
        <f>IF(M$2&gt;=Projections!$D111,Projections!$B111,0)</f>
        <v>0</v>
      </c>
      <c r="N155" s="56">
        <f>IF(N$2&gt;=Projections!$D111,Projections!$B111,0)</f>
        <v>0</v>
      </c>
      <c r="O155" s="56">
        <f>IF(O$2&gt;=Projections!$D111,Projections!$B111,0)</f>
        <v>0</v>
      </c>
      <c r="P155" s="56">
        <f>IF(P$2&gt;=Projections!$D111,Projections!$B111,0)</f>
        <v>0</v>
      </c>
      <c r="Q155" s="56">
        <f>IF(Q$2&gt;=Projections!$D111,Projections!$B111,0)</f>
        <v>0</v>
      </c>
      <c r="R155" s="56">
        <f>IF(R$2&gt;=Projections!$D111,Projections!$B111,0)</f>
        <v>0</v>
      </c>
      <c r="S155" s="56">
        <f>IF(S$2&gt;=Projections!$D111,Projections!$B111,0)</f>
        <v>0</v>
      </c>
      <c r="T155" s="56">
        <f>IF(T$2&gt;=Projections!$D111,Projections!$B111,0)</f>
        <v>0</v>
      </c>
      <c r="U155" s="56">
        <f>IF(U$2&gt;=Projections!$D111,Projections!$B111,0)</f>
        <v>0</v>
      </c>
      <c r="V155" s="56">
        <f>IF(V$2&gt;=Projections!$D111,Projections!$B111,0)</f>
        <v>0</v>
      </c>
      <c r="W155" s="56">
        <f>IF(W$2&gt;=Projections!$D111,Projections!$B111,0)</f>
        <v>0</v>
      </c>
      <c r="X155" s="56">
        <f>IF(X$2&gt;=Projections!$D111,Projections!$B111,0)</f>
        <v>0</v>
      </c>
      <c r="Y155" s="56">
        <f>IF(Y$2&gt;=Projections!$D111,Projections!$B111,0)</f>
        <v>0</v>
      </c>
      <c r="Z155" s="56">
        <f>IF(Z$2&gt;=Projections!$D111,Projections!$B111,0)</f>
        <v>0</v>
      </c>
      <c r="AA155" s="56">
        <f>IF(AA$2&gt;=Projections!$D111,Projections!$B111,0)</f>
        <v>0</v>
      </c>
      <c r="AB155" s="56">
        <f>IF(AB$2&gt;=Projections!$D111,Projections!$B111,0)</f>
        <v>0</v>
      </c>
      <c r="AC155" s="56">
        <f>IF(AC$2&gt;=Projections!$D111,Projections!$B111,0)</f>
        <v>0</v>
      </c>
      <c r="AD155" s="56">
        <f>IF(AD$2&gt;=Projections!$D111,Projections!$B111,0)</f>
        <v>0</v>
      </c>
      <c r="AE155" s="56">
        <f>IF(AE$2&gt;=Projections!$D111,Projections!$B111,0)</f>
        <v>0</v>
      </c>
      <c r="AF155" s="56">
        <f>IF(AF$2&gt;=Projections!$D111,Projections!$B111,0)</f>
        <v>0</v>
      </c>
      <c r="AG155" s="56">
        <f>IF(AG$2&gt;=Projections!$D111,Projections!$B111,0)</f>
        <v>0</v>
      </c>
      <c r="AH155" s="56">
        <f>IF(AH$2&gt;=Projections!$D111,Projections!$B111,0)</f>
        <v>0</v>
      </c>
      <c r="AI155" s="56">
        <f>IF(AI$2&gt;=Projections!$D111,Projections!$B111,0)</f>
        <v>0</v>
      </c>
      <c r="AJ155" s="56">
        <f>IF(AJ$2&gt;=Projections!$D111,Projections!$B111,0)</f>
        <v>0</v>
      </c>
      <c r="AK155" s="56">
        <f>IF(AK$2&gt;=Projections!$D111,Projections!$B111,0)</f>
        <v>0</v>
      </c>
      <c r="AL155" s="56">
        <f>IF(AL$2&gt;=Projections!$D111,Projections!$B111,0)</f>
        <v>0</v>
      </c>
      <c r="AM155" s="56">
        <f>IF(AM$2&gt;=Projections!$D111,Projections!$B111,0)</f>
        <v>0</v>
      </c>
      <c r="AN155" s="56">
        <f>IF(AN$2&gt;=Projections!$D111,Projections!$B111,0)</f>
        <v>0</v>
      </c>
      <c r="AO155" s="56">
        <f>IF(AO$2&gt;=Projections!$D111,Projections!$B111,0)</f>
        <v>0</v>
      </c>
      <c r="AP155" s="56">
        <f>IF(AP$2&gt;=Projections!$D111,Projections!$B111,0)</f>
        <v>0</v>
      </c>
      <c r="AQ155" s="56">
        <f>IF(AQ$2&gt;=Projections!$D111,Projections!$B111,0)</f>
        <v>0</v>
      </c>
      <c r="AR155" s="56">
        <f>IF(AR$2&gt;=Projections!$D111,Projections!$B111,0)</f>
        <v>0</v>
      </c>
      <c r="AS155" s="56">
        <f>IF(AS$2&gt;=Projections!$D111,Projections!$B111,0)</f>
        <v>0</v>
      </c>
      <c r="AT155" s="56">
        <f>IF(AT$2&gt;=Projections!$D111,Projections!$B111,0)</f>
        <v>0</v>
      </c>
      <c r="AU155" s="56">
        <f>IF(AU$2&gt;=Projections!$D111,Projections!$B111,0)</f>
        <v>0</v>
      </c>
      <c r="AV155" s="56">
        <f>IF(AV$2&gt;=Projections!$D111,Projections!$B111,0)</f>
        <v>0</v>
      </c>
      <c r="AW155" s="56">
        <f>IF(AW$2&gt;=Projections!$D111,Projections!$B111,0)</f>
        <v>0</v>
      </c>
      <c r="AX155" s="56">
        <f>IF(AX$2&gt;=Projections!$D111,Projections!$B111,0)</f>
        <v>0</v>
      </c>
      <c r="AY155" s="56">
        <f>IF(AY$2&gt;=Projections!$D111,Projections!$B111,0)</f>
        <v>0</v>
      </c>
      <c r="AZ155" s="56">
        <f>IF(AZ$2&gt;=Projections!$D111,Projections!$B111,0)</f>
        <v>0</v>
      </c>
      <c r="BA155" s="56">
        <f>IF(BA$2&gt;=Projections!$D111,Projections!$B111,0)</f>
        <v>0</v>
      </c>
      <c r="BB155" s="56">
        <f>IF(BB$2&gt;=Projections!$D111,Projections!$B111,0)</f>
        <v>0</v>
      </c>
      <c r="BC155" s="56">
        <f>IF(BC$2&gt;=Projections!$D111,Projections!$B111,0)</f>
        <v>0</v>
      </c>
      <c r="BD155" s="56">
        <f>IF(BD$2&gt;=Projections!$D111,Projections!$B111,0)</f>
        <v>0</v>
      </c>
      <c r="BE155" s="56">
        <f>IF(BE$2&gt;=Projections!$D111,Projections!$B111,0)</f>
        <v>0</v>
      </c>
      <c r="BF155" s="56">
        <f>IF(BF$2&gt;=Projections!$D111,Projections!$B111,0)</f>
        <v>0</v>
      </c>
      <c r="BG155" s="56">
        <f>IF(BG$2&gt;=Projections!$D111,Projections!$B111,0)</f>
        <v>0</v>
      </c>
      <c r="BH155" s="56">
        <f>IF(BH$2&gt;=Projections!$D111,Projections!$B111,0)</f>
        <v>0</v>
      </c>
      <c r="BI155" s="56">
        <f>IF(BI$2&gt;=Projections!$D111,Projections!$B111,0)</f>
        <v>0</v>
      </c>
      <c r="BJ155" s="56">
        <f>IF(BJ$2&gt;=Projections!$D111,Projections!$B111,0)</f>
        <v>0</v>
      </c>
      <c r="BK155" s="56">
        <f>IF(BK$2&gt;=Projections!$D111,Projections!$B111,0)</f>
        <v>0</v>
      </c>
      <c r="BL155" s="56">
        <f>IF(BL$2&gt;=Projections!$D111,Projections!$B111,0)</f>
        <v>0</v>
      </c>
      <c r="BM155" s="56">
        <f>IF(BM$2&gt;=Projections!$D111,Projections!$B111,0)</f>
        <v>0</v>
      </c>
      <c r="BN155" s="56">
        <f>IF(BN$2&gt;=Projections!$D111,Projections!$B111,0)</f>
        <v>0</v>
      </c>
      <c r="BO155" s="56">
        <f>IF(BO$2&gt;=Projections!$D111,Projections!$B111,0)</f>
        <v>0</v>
      </c>
      <c r="BP155" s="56">
        <f>IF(BP$2&gt;=Projections!$D111,Projections!$B111,0)</f>
        <v>0</v>
      </c>
      <c r="BQ155" s="56">
        <f>IF(BQ$2&gt;=Projections!$D111,Projections!$B111,0)</f>
        <v>0</v>
      </c>
      <c r="BR155" s="56">
        <f>IF(BR$2&gt;=Projections!$D111,Projections!$B111,0)</f>
        <v>0</v>
      </c>
      <c r="BS155" s="56">
        <f>IF(BS$2&gt;=Projections!$D111,Projections!$B111,0)</f>
        <v>0</v>
      </c>
      <c r="BT155" s="56">
        <f>IF(BT$2&gt;=Projections!$D111,Projections!$B111,0)</f>
        <v>0</v>
      </c>
      <c r="BU155" s="56">
        <f>IF(BU$2&gt;=Projections!$D111,Projections!$B111,0)</f>
        <v>0</v>
      </c>
      <c r="BV155" s="56">
        <f>IF(BV$2&gt;=Projections!$D111,Projections!$B111,0)</f>
        <v>0</v>
      </c>
      <c r="BW155" s="56">
        <f>IF(BW$2&gt;=Projections!$D111,Projections!$B111,0)</f>
        <v>0</v>
      </c>
      <c r="BX155" s="56">
        <f>IF(BX$2&gt;=Projections!$D111,Projections!$B111,0)</f>
        <v>0</v>
      </c>
      <c r="BY155" s="56">
        <f>IF(BY$2&gt;=Projections!$D111,Projections!$B111,0)</f>
        <v>0</v>
      </c>
      <c r="BZ155" s="56">
        <f>IF(BZ$2&gt;=Projections!$D111,Projections!$B111,0)</f>
        <v>0</v>
      </c>
      <c r="CA155" s="56">
        <f>IF(CA$2&gt;=Projections!$D111,Projections!$B111,0)</f>
        <v>0</v>
      </c>
      <c r="CB155" s="56">
        <f>IF(CB$2&gt;=Projections!$D111,Projections!$B111,0)</f>
        <v>0</v>
      </c>
      <c r="CC155" s="56">
        <f>IF(CC$2&gt;=Projections!$D111,Projections!$B111,0)</f>
        <v>0</v>
      </c>
      <c r="CD155" s="56">
        <f>IF(CD$2&gt;=Projections!$D111,Projections!$B111,0)</f>
        <v>0</v>
      </c>
      <c r="CE155" s="56">
        <f>IF(CE$2&gt;=Projections!$D111,Projections!$B111,0)</f>
        <v>0</v>
      </c>
      <c r="CF155" s="56">
        <f>IF(CF$2&gt;=Projections!$D111,Projections!$B111,0)</f>
        <v>0</v>
      </c>
      <c r="CG155" s="56">
        <f>IF(CG$2&gt;=Projections!$D111,Projections!$B111,0)</f>
        <v>0</v>
      </c>
      <c r="CH155" s="56">
        <f>IF(CH$2&gt;=Projections!$D111,Projections!$B111,0)</f>
        <v>0</v>
      </c>
      <c r="CI155" s="56">
        <f>IF(CI$2&gt;=Projections!$D111,Projections!$B111,0)</f>
        <v>0</v>
      </c>
      <c r="CJ155" s="56">
        <f>IF(CJ$2&gt;=Projections!$D111,Projections!$B111,0)</f>
        <v>0</v>
      </c>
      <c r="CK155" s="56">
        <f>IF(CK$2&gt;=Projections!$D111,Projections!$B111,0)</f>
        <v>0</v>
      </c>
      <c r="CL155" s="56">
        <f>IF(CL$2&gt;=Projections!$D111,Projections!$B111,0)</f>
        <v>0</v>
      </c>
      <c r="CM155" s="56">
        <f>IF(CM$2&gt;=Projections!$D111,Projections!$B111,0)</f>
        <v>0</v>
      </c>
      <c r="CN155" s="56">
        <f>IF(CN$2&gt;=Projections!$D111,Projections!$B111,0)</f>
        <v>0</v>
      </c>
      <c r="CO155" s="56">
        <f>IF(CO$2&gt;=Projections!$D111,Projections!$B111,0)</f>
        <v>0</v>
      </c>
      <c r="CP155" s="56">
        <f>IF(CP$2&gt;=Projections!$D111,Projections!$B111,0)</f>
        <v>0</v>
      </c>
      <c r="CQ155" s="56">
        <f>IF(CQ$2&gt;=Projections!$D111,Projections!$B111,0)</f>
        <v>0</v>
      </c>
      <c r="CR155" s="56">
        <f>IF(CR$2&gt;=Projections!$D111,Projections!$B111,0)</f>
        <v>0</v>
      </c>
      <c r="CS155" s="56">
        <f>IF(CS$2&gt;=Projections!$D111,Projections!$B111,0)</f>
        <v>0</v>
      </c>
      <c r="CT155" s="56">
        <f>IF(CT$2&gt;=Projections!$D111,Projections!$B111,0)</f>
        <v>0</v>
      </c>
      <c r="CU155" s="56">
        <f>IF(CU$2&gt;=Projections!$D111,Projections!$B111,0)</f>
        <v>0</v>
      </c>
      <c r="CV155" s="56">
        <f>IF(CV$2&gt;=Projections!$D111,Projections!$B111,0)</f>
        <v>0</v>
      </c>
      <c r="CW155" s="56">
        <f>IF(CW$2&gt;=Projections!$D111,Projections!$B111,0)</f>
        <v>0</v>
      </c>
      <c r="CX155" s="56">
        <f>IF(CX$2&gt;=Projections!$D111,Projections!$B111,0)</f>
        <v>0</v>
      </c>
    </row>
    <row r="156" ht="15.75" customHeight="1" outlineLevel="1">
      <c r="A156" s="56" t="str">
        <f>Projections!A112</f>
        <v>Expense 4</v>
      </c>
      <c r="B156" s="56"/>
      <c r="C156" s="56"/>
      <c r="D156" s="56"/>
      <c r="E156" s="56">
        <f>IF(E$2&gt;=Projections!$D112,Projections!$B112,0)</f>
        <v>0</v>
      </c>
      <c r="F156" s="56">
        <f>IF(F$2&gt;=Projections!$D112,Projections!$B112,0)</f>
        <v>0</v>
      </c>
      <c r="G156" s="56">
        <f>IF(G$2&gt;=Projections!$D112,Projections!$B112,0)</f>
        <v>0</v>
      </c>
      <c r="H156" s="56">
        <f>IF(H$2&gt;=Projections!$D112,Projections!$B112,0)</f>
        <v>0</v>
      </c>
      <c r="I156" s="56">
        <f>IF(I$2&gt;=Projections!$D112,Projections!$B112,0)</f>
        <v>0</v>
      </c>
      <c r="J156" s="56">
        <f>IF(J$2&gt;=Projections!$D112,Projections!$B112,0)</f>
        <v>0</v>
      </c>
      <c r="K156" s="56">
        <f>IF(K$2&gt;=Projections!$D112,Projections!$B112,0)</f>
        <v>0</v>
      </c>
      <c r="L156" s="56">
        <f>IF(L$2&gt;=Projections!$D112,Projections!$B112,0)</f>
        <v>0</v>
      </c>
      <c r="M156" s="56">
        <f>IF(M$2&gt;=Projections!$D112,Projections!$B112,0)</f>
        <v>0</v>
      </c>
      <c r="N156" s="56">
        <f>IF(N$2&gt;=Projections!$D112,Projections!$B112,0)</f>
        <v>0</v>
      </c>
      <c r="O156" s="56">
        <f>IF(O$2&gt;=Projections!$D112,Projections!$B112,0)</f>
        <v>0</v>
      </c>
      <c r="P156" s="56">
        <f>IF(P$2&gt;=Projections!$D112,Projections!$B112,0)</f>
        <v>0</v>
      </c>
      <c r="Q156" s="56">
        <f>IF(Q$2&gt;=Projections!$D112,Projections!$B112,0)</f>
        <v>0</v>
      </c>
      <c r="R156" s="56">
        <f>IF(R$2&gt;=Projections!$D112,Projections!$B112,0)</f>
        <v>0</v>
      </c>
      <c r="S156" s="56">
        <f>IF(S$2&gt;=Projections!$D112,Projections!$B112,0)</f>
        <v>0</v>
      </c>
      <c r="T156" s="56">
        <f>IF(T$2&gt;=Projections!$D112,Projections!$B112,0)</f>
        <v>0</v>
      </c>
      <c r="U156" s="56">
        <f>IF(U$2&gt;=Projections!$D112,Projections!$B112,0)</f>
        <v>0</v>
      </c>
      <c r="V156" s="56">
        <f>IF(V$2&gt;=Projections!$D112,Projections!$B112,0)</f>
        <v>0</v>
      </c>
      <c r="W156" s="56">
        <f>IF(W$2&gt;=Projections!$D112,Projections!$B112,0)</f>
        <v>0</v>
      </c>
      <c r="X156" s="56">
        <f>IF(X$2&gt;=Projections!$D112,Projections!$B112,0)</f>
        <v>0</v>
      </c>
      <c r="Y156" s="56">
        <f>IF(Y$2&gt;=Projections!$D112,Projections!$B112,0)</f>
        <v>0</v>
      </c>
      <c r="Z156" s="56">
        <f>IF(Z$2&gt;=Projections!$D112,Projections!$B112,0)</f>
        <v>0</v>
      </c>
      <c r="AA156" s="56">
        <f>IF(AA$2&gt;=Projections!$D112,Projections!$B112,0)</f>
        <v>0</v>
      </c>
      <c r="AB156" s="56">
        <f>IF(AB$2&gt;=Projections!$D112,Projections!$B112,0)</f>
        <v>0</v>
      </c>
      <c r="AC156" s="56">
        <f>IF(AC$2&gt;=Projections!$D112,Projections!$B112,0)</f>
        <v>0</v>
      </c>
      <c r="AD156" s="56">
        <f>IF(AD$2&gt;=Projections!$D112,Projections!$B112,0)</f>
        <v>0</v>
      </c>
      <c r="AE156" s="56">
        <f>IF(AE$2&gt;=Projections!$D112,Projections!$B112,0)</f>
        <v>0</v>
      </c>
      <c r="AF156" s="56">
        <f>IF(AF$2&gt;=Projections!$D112,Projections!$B112,0)</f>
        <v>0</v>
      </c>
      <c r="AG156" s="56">
        <f>IF(AG$2&gt;=Projections!$D112,Projections!$B112,0)</f>
        <v>0</v>
      </c>
      <c r="AH156" s="56">
        <f>IF(AH$2&gt;=Projections!$D112,Projections!$B112,0)</f>
        <v>0</v>
      </c>
      <c r="AI156" s="56">
        <f>IF(AI$2&gt;=Projections!$D112,Projections!$B112,0)</f>
        <v>0</v>
      </c>
      <c r="AJ156" s="56">
        <f>IF(AJ$2&gt;=Projections!$D112,Projections!$B112,0)</f>
        <v>0</v>
      </c>
      <c r="AK156" s="56">
        <f>IF(AK$2&gt;=Projections!$D112,Projections!$B112,0)</f>
        <v>0</v>
      </c>
      <c r="AL156" s="56">
        <f>IF(AL$2&gt;=Projections!$D112,Projections!$B112,0)</f>
        <v>0</v>
      </c>
      <c r="AM156" s="56">
        <f>IF(AM$2&gt;=Projections!$D112,Projections!$B112,0)</f>
        <v>0</v>
      </c>
      <c r="AN156" s="56">
        <f>IF(AN$2&gt;=Projections!$D112,Projections!$B112,0)</f>
        <v>0</v>
      </c>
      <c r="AO156" s="56">
        <f>IF(AO$2&gt;=Projections!$D112,Projections!$B112,0)</f>
        <v>0</v>
      </c>
      <c r="AP156" s="56">
        <f>IF(AP$2&gt;=Projections!$D112,Projections!$B112,0)</f>
        <v>0</v>
      </c>
      <c r="AQ156" s="56">
        <f>IF(AQ$2&gt;=Projections!$D112,Projections!$B112,0)</f>
        <v>0</v>
      </c>
      <c r="AR156" s="56">
        <f>IF(AR$2&gt;=Projections!$D112,Projections!$B112,0)</f>
        <v>0</v>
      </c>
      <c r="AS156" s="56">
        <f>IF(AS$2&gt;=Projections!$D112,Projections!$B112,0)</f>
        <v>0</v>
      </c>
      <c r="AT156" s="56">
        <f>IF(AT$2&gt;=Projections!$D112,Projections!$B112,0)</f>
        <v>0</v>
      </c>
      <c r="AU156" s="56">
        <f>IF(AU$2&gt;=Projections!$D112,Projections!$B112,0)</f>
        <v>0</v>
      </c>
      <c r="AV156" s="56">
        <f>IF(AV$2&gt;=Projections!$D112,Projections!$B112,0)</f>
        <v>0</v>
      </c>
      <c r="AW156" s="56">
        <f>IF(AW$2&gt;=Projections!$D112,Projections!$B112,0)</f>
        <v>0</v>
      </c>
      <c r="AX156" s="56">
        <f>IF(AX$2&gt;=Projections!$D112,Projections!$B112,0)</f>
        <v>0</v>
      </c>
      <c r="AY156" s="56">
        <f>IF(AY$2&gt;=Projections!$D112,Projections!$B112,0)</f>
        <v>0</v>
      </c>
      <c r="AZ156" s="56">
        <f>IF(AZ$2&gt;=Projections!$D112,Projections!$B112,0)</f>
        <v>0</v>
      </c>
      <c r="BA156" s="56">
        <f>IF(BA$2&gt;=Projections!$D112,Projections!$B112,0)</f>
        <v>0</v>
      </c>
      <c r="BB156" s="56">
        <f>IF(BB$2&gt;=Projections!$D112,Projections!$B112,0)</f>
        <v>0</v>
      </c>
      <c r="BC156" s="56">
        <f>IF(BC$2&gt;=Projections!$D112,Projections!$B112,0)</f>
        <v>0</v>
      </c>
      <c r="BD156" s="56">
        <f>IF(BD$2&gt;=Projections!$D112,Projections!$B112,0)</f>
        <v>0</v>
      </c>
      <c r="BE156" s="56">
        <f>IF(BE$2&gt;=Projections!$D112,Projections!$B112,0)</f>
        <v>0</v>
      </c>
      <c r="BF156" s="56">
        <f>IF(BF$2&gt;=Projections!$D112,Projections!$B112,0)</f>
        <v>0</v>
      </c>
      <c r="BG156" s="56">
        <f>IF(BG$2&gt;=Projections!$D112,Projections!$B112,0)</f>
        <v>0</v>
      </c>
      <c r="BH156" s="56">
        <f>IF(BH$2&gt;=Projections!$D112,Projections!$B112,0)</f>
        <v>0</v>
      </c>
      <c r="BI156" s="56">
        <f>IF(BI$2&gt;=Projections!$D112,Projections!$B112,0)</f>
        <v>0</v>
      </c>
      <c r="BJ156" s="56">
        <f>IF(BJ$2&gt;=Projections!$D112,Projections!$B112,0)</f>
        <v>0</v>
      </c>
      <c r="BK156" s="56">
        <f>IF(BK$2&gt;=Projections!$D112,Projections!$B112,0)</f>
        <v>0</v>
      </c>
      <c r="BL156" s="56">
        <f>IF(BL$2&gt;=Projections!$D112,Projections!$B112,0)</f>
        <v>0</v>
      </c>
      <c r="BM156" s="56">
        <f>IF(BM$2&gt;=Projections!$D112,Projections!$B112,0)</f>
        <v>0</v>
      </c>
      <c r="BN156" s="56">
        <f>IF(BN$2&gt;=Projections!$D112,Projections!$B112,0)</f>
        <v>0</v>
      </c>
      <c r="BO156" s="56">
        <f>IF(BO$2&gt;=Projections!$D112,Projections!$B112,0)</f>
        <v>0</v>
      </c>
      <c r="BP156" s="56">
        <f>IF(BP$2&gt;=Projections!$D112,Projections!$B112,0)</f>
        <v>0</v>
      </c>
      <c r="BQ156" s="56">
        <f>IF(BQ$2&gt;=Projections!$D112,Projections!$B112,0)</f>
        <v>0</v>
      </c>
      <c r="BR156" s="56">
        <f>IF(BR$2&gt;=Projections!$D112,Projections!$B112,0)</f>
        <v>0</v>
      </c>
      <c r="BS156" s="56">
        <f>IF(BS$2&gt;=Projections!$D112,Projections!$B112,0)</f>
        <v>0</v>
      </c>
      <c r="BT156" s="56">
        <f>IF(BT$2&gt;=Projections!$D112,Projections!$B112,0)</f>
        <v>0</v>
      </c>
      <c r="BU156" s="56">
        <f>IF(BU$2&gt;=Projections!$D112,Projections!$B112,0)</f>
        <v>0</v>
      </c>
      <c r="BV156" s="56">
        <f>IF(BV$2&gt;=Projections!$D112,Projections!$B112,0)</f>
        <v>0</v>
      </c>
      <c r="BW156" s="56">
        <f>IF(BW$2&gt;=Projections!$D112,Projections!$B112,0)</f>
        <v>0</v>
      </c>
      <c r="BX156" s="56">
        <f>IF(BX$2&gt;=Projections!$D112,Projections!$B112,0)</f>
        <v>0</v>
      </c>
      <c r="BY156" s="56">
        <f>IF(BY$2&gt;=Projections!$D112,Projections!$B112,0)</f>
        <v>0</v>
      </c>
      <c r="BZ156" s="56">
        <f>IF(BZ$2&gt;=Projections!$D112,Projections!$B112,0)</f>
        <v>0</v>
      </c>
      <c r="CA156" s="56">
        <f>IF(CA$2&gt;=Projections!$D112,Projections!$B112,0)</f>
        <v>0</v>
      </c>
      <c r="CB156" s="56">
        <f>IF(CB$2&gt;=Projections!$D112,Projections!$B112,0)</f>
        <v>0</v>
      </c>
      <c r="CC156" s="56">
        <f>IF(CC$2&gt;=Projections!$D112,Projections!$B112,0)</f>
        <v>0</v>
      </c>
      <c r="CD156" s="56">
        <f>IF(CD$2&gt;=Projections!$D112,Projections!$B112,0)</f>
        <v>0</v>
      </c>
      <c r="CE156" s="56">
        <f>IF(CE$2&gt;=Projections!$D112,Projections!$B112,0)</f>
        <v>0</v>
      </c>
      <c r="CF156" s="56">
        <f>IF(CF$2&gt;=Projections!$D112,Projections!$B112,0)</f>
        <v>0</v>
      </c>
      <c r="CG156" s="56">
        <f>IF(CG$2&gt;=Projections!$D112,Projections!$B112,0)</f>
        <v>0</v>
      </c>
      <c r="CH156" s="56">
        <f>IF(CH$2&gt;=Projections!$D112,Projections!$B112,0)</f>
        <v>0</v>
      </c>
      <c r="CI156" s="56">
        <f>IF(CI$2&gt;=Projections!$D112,Projections!$B112,0)</f>
        <v>0</v>
      </c>
      <c r="CJ156" s="56">
        <f>IF(CJ$2&gt;=Projections!$D112,Projections!$B112,0)</f>
        <v>0</v>
      </c>
      <c r="CK156" s="56">
        <f>IF(CK$2&gt;=Projections!$D112,Projections!$B112,0)</f>
        <v>0</v>
      </c>
      <c r="CL156" s="56">
        <f>IF(CL$2&gt;=Projections!$D112,Projections!$B112,0)</f>
        <v>0</v>
      </c>
      <c r="CM156" s="56">
        <f>IF(CM$2&gt;=Projections!$D112,Projections!$B112,0)</f>
        <v>0</v>
      </c>
      <c r="CN156" s="56">
        <f>IF(CN$2&gt;=Projections!$D112,Projections!$B112,0)</f>
        <v>0</v>
      </c>
      <c r="CO156" s="56">
        <f>IF(CO$2&gt;=Projections!$D112,Projections!$B112,0)</f>
        <v>0</v>
      </c>
      <c r="CP156" s="56">
        <f>IF(CP$2&gt;=Projections!$D112,Projections!$B112,0)</f>
        <v>0</v>
      </c>
      <c r="CQ156" s="56">
        <f>IF(CQ$2&gt;=Projections!$D112,Projections!$B112,0)</f>
        <v>0</v>
      </c>
      <c r="CR156" s="56">
        <f>IF(CR$2&gt;=Projections!$D112,Projections!$B112,0)</f>
        <v>0</v>
      </c>
      <c r="CS156" s="56">
        <f>IF(CS$2&gt;=Projections!$D112,Projections!$B112,0)</f>
        <v>0</v>
      </c>
      <c r="CT156" s="56">
        <f>IF(CT$2&gt;=Projections!$D112,Projections!$B112,0)</f>
        <v>0</v>
      </c>
      <c r="CU156" s="56">
        <f>IF(CU$2&gt;=Projections!$D112,Projections!$B112,0)</f>
        <v>0</v>
      </c>
      <c r="CV156" s="56">
        <f>IF(CV$2&gt;=Projections!$D112,Projections!$B112,0)</f>
        <v>0</v>
      </c>
      <c r="CW156" s="56">
        <f>IF(CW$2&gt;=Projections!$D112,Projections!$B112,0)</f>
        <v>0</v>
      </c>
      <c r="CX156" s="56">
        <f>IF(CX$2&gt;=Projections!$D112,Projections!$B112,0)</f>
        <v>0</v>
      </c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</row>
    <row r="158" ht="23.25" customHeight="1">
      <c r="A158" s="142" t="str">
        <f>Projections!A114</f>
        <v>CAPEX</v>
      </c>
      <c r="B158" s="141"/>
      <c r="C158" s="141"/>
      <c r="D158" s="144"/>
      <c r="E158" s="141"/>
      <c r="F158" s="141"/>
      <c r="G158" s="141"/>
      <c r="H158" s="141"/>
      <c r="I158" s="142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2"/>
      <c r="AD158" s="141"/>
      <c r="AE158" s="141"/>
      <c r="AF158" s="141"/>
      <c r="AG158" s="141"/>
      <c r="AH158" s="141"/>
      <c r="AI158" s="142"/>
      <c r="AJ158" s="141"/>
      <c r="AK158" s="141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141"/>
      <c r="AV158" s="141"/>
      <c r="AW158" s="141"/>
      <c r="AX158" s="141"/>
      <c r="AY158" s="141"/>
      <c r="AZ158" s="141"/>
      <c r="BA158" s="141"/>
      <c r="BB158" s="141"/>
      <c r="BC158" s="142"/>
      <c r="BD158" s="141"/>
      <c r="BE158" s="141"/>
      <c r="BF158" s="141"/>
      <c r="BG158" s="141"/>
      <c r="BH158" s="141"/>
      <c r="BI158" s="142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41"/>
      <c r="BX158" s="141"/>
      <c r="BY158" s="141"/>
      <c r="BZ158" s="141"/>
      <c r="CA158" s="141"/>
      <c r="CB158" s="141"/>
      <c r="CC158" s="150"/>
      <c r="CD158" s="150"/>
      <c r="CE158" s="150"/>
      <c r="CF158" s="150"/>
      <c r="CG158" s="150"/>
      <c r="CH158" s="150"/>
      <c r="CI158" s="150"/>
      <c r="CJ158" s="150"/>
      <c r="CK158" s="150"/>
      <c r="CL158" s="150"/>
      <c r="CM158" s="150"/>
      <c r="CN158" s="150"/>
      <c r="CO158" s="150"/>
      <c r="CP158" s="150"/>
      <c r="CQ158" s="150"/>
      <c r="CR158" s="150"/>
      <c r="CS158" s="150"/>
      <c r="CT158" s="150"/>
      <c r="CU158" s="150"/>
      <c r="CV158" s="150"/>
      <c r="CW158" s="150"/>
      <c r="CX158" s="150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</row>
    <row r="160" ht="15.75" customHeight="1">
      <c r="A160" s="145" t="s">
        <v>232</v>
      </c>
      <c r="B160" s="60" t="s">
        <v>233</v>
      </c>
      <c r="C160" s="56"/>
      <c r="D160" s="56"/>
      <c r="E160" s="60">
        <f t="shared" ref="E160:CX160" si="30">SUM(E161:E166)</f>
        <v>12000</v>
      </c>
      <c r="F160" s="60">
        <f t="shared" si="30"/>
        <v>0</v>
      </c>
      <c r="G160" s="60">
        <f t="shared" si="30"/>
        <v>0</v>
      </c>
      <c r="H160" s="60">
        <f t="shared" si="30"/>
        <v>0</v>
      </c>
      <c r="I160" s="60">
        <f t="shared" si="30"/>
        <v>0</v>
      </c>
      <c r="J160" s="60">
        <f t="shared" si="30"/>
        <v>0</v>
      </c>
      <c r="K160" s="60">
        <f t="shared" si="30"/>
        <v>0</v>
      </c>
      <c r="L160" s="60">
        <f t="shared" si="30"/>
        <v>0</v>
      </c>
      <c r="M160" s="60">
        <f t="shared" si="30"/>
        <v>0</v>
      </c>
      <c r="N160" s="60">
        <f t="shared" si="30"/>
        <v>0</v>
      </c>
      <c r="O160" s="60">
        <f t="shared" si="30"/>
        <v>0</v>
      </c>
      <c r="P160" s="60">
        <f t="shared" si="30"/>
        <v>0</v>
      </c>
      <c r="Q160" s="60">
        <f t="shared" si="30"/>
        <v>0</v>
      </c>
      <c r="R160" s="60">
        <f t="shared" si="30"/>
        <v>0</v>
      </c>
      <c r="S160" s="60">
        <f t="shared" si="30"/>
        <v>0</v>
      </c>
      <c r="T160" s="60">
        <f t="shared" si="30"/>
        <v>0</v>
      </c>
      <c r="U160" s="60">
        <f t="shared" si="30"/>
        <v>0</v>
      </c>
      <c r="V160" s="60">
        <f t="shared" si="30"/>
        <v>0</v>
      </c>
      <c r="W160" s="60">
        <f t="shared" si="30"/>
        <v>0</v>
      </c>
      <c r="X160" s="60">
        <f t="shared" si="30"/>
        <v>0</v>
      </c>
      <c r="Y160" s="60">
        <f t="shared" si="30"/>
        <v>0</v>
      </c>
      <c r="Z160" s="60">
        <f t="shared" si="30"/>
        <v>0</v>
      </c>
      <c r="AA160" s="60">
        <f t="shared" si="30"/>
        <v>0</v>
      </c>
      <c r="AB160" s="60">
        <f t="shared" si="30"/>
        <v>0</v>
      </c>
      <c r="AC160" s="60">
        <f t="shared" si="30"/>
        <v>0</v>
      </c>
      <c r="AD160" s="60">
        <f t="shared" si="30"/>
        <v>2000</v>
      </c>
      <c r="AE160" s="60">
        <f t="shared" si="30"/>
        <v>0</v>
      </c>
      <c r="AF160" s="60">
        <f t="shared" si="30"/>
        <v>0</v>
      </c>
      <c r="AG160" s="60">
        <f t="shared" si="30"/>
        <v>0</v>
      </c>
      <c r="AH160" s="60">
        <f t="shared" si="30"/>
        <v>0</v>
      </c>
      <c r="AI160" s="60">
        <f t="shared" si="30"/>
        <v>0</v>
      </c>
      <c r="AJ160" s="60">
        <f t="shared" si="30"/>
        <v>0</v>
      </c>
      <c r="AK160" s="60">
        <f t="shared" si="30"/>
        <v>0</v>
      </c>
      <c r="AL160" s="60">
        <f t="shared" si="30"/>
        <v>2000</v>
      </c>
      <c r="AM160" s="60">
        <f t="shared" si="30"/>
        <v>0</v>
      </c>
      <c r="AN160" s="60">
        <f t="shared" si="30"/>
        <v>0</v>
      </c>
      <c r="AO160" s="60">
        <f t="shared" si="30"/>
        <v>2000</v>
      </c>
      <c r="AP160" s="60">
        <f t="shared" si="30"/>
        <v>10000</v>
      </c>
      <c r="AQ160" s="60">
        <f t="shared" si="30"/>
        <v>0</v>
      </c>
      <c r="AR160" s="60">
        <f t="shared" si="30"/>
        <v>0</v>
      </c>
      <c r="AS160" s="60">
        <f t="shared" si="30"/>
        <v>0</v>
      </c>
      <c r="AT160" s="60">
        <f t="shared" si="30"/>
        <v>0</v>
      </c>
      <c r="AU160" s="60">
        <f t="shared" si="30"/>
        <v>0</v>
      </c>
      <c r="AV160" s="60">
        <f t="shared" si="30"/>
        <v>0</v>
      </c>
      <c r="AW160" s="60">
        <f t="shared" si="30"/>
        <v>0</v>
      </c>
      <c r="AX160" s="60">
        <f t="shared" si="30"/>
        <v>0</v>
      </c>
      <c r="AY160" s="60">
        <f t="shared" si="30"/>
        <v>0</v>
      </c>
      <c r="AZ160" s="60">
        <f t="shared" si="30"/>
        <v>0</v>
      </c>
      <c r="BA160" s="60">
        <f t="shared" si="30"/>
        <v>0</v>
      </c>
      <c r="BB160" s="60">
        <f t="shared" si="30"/>
        <v>0</v>
      </c>
      <c r="BC160" s="60">
        <f t="shared" si="30"/>
        <v>0</v>
      </c>
      <c r="BD160" s="60">
        <f t="shared" si="30"/>
        <v>0</v>
      </c>
      <c r="BE160" s="60">
        <f t="shared" si="30"/>
        <v>0</v>
      </c>
      <c r="BF160" s="60">
        <f t="shared" si="30"/>
        <v>0</v>
      </c>
      <c r="BG160" s="60">
        <f t="shared" si="30"/>
        <v>0</v>
      </c>
      <c r="BH160" s="60">
        <f t="shared" si="30"/>
        <v>0</v>
      </c>
      <c r="BI160" s="60">
        <f t="shared" si="30"/>
        <v>0</v>
      </c>
      <c r="BJ160" s="60">
        <f t="shared" si="30"/>
        <v>0</v>
      </c>
      <c r="BK160" s="60">
        <f t="shared" si="30"/>
        <v>0</v>
      </c>
      <c r="BL160" s="60">
        <f t="shared" si="30"/>
        <v>0</v>
      </c>
      <c r="BM160" s="60">
        <f t="shared" si="30"/>
        <v>0</v>
      </c>
      <c r="BN160" s="60">
        <f t="shared" si="30"/>
        <v>0</v>
      </c>
      <c r="BO160" s="60">
        <f t="shared" si="30"/>
        <v>0</v>
      </c>
      <c r="BP160" s="60">
        <f t="shared" si="30"/>
        <v>0</v>
      </c>
      <c r="BQ160" s="60">
        <f t="shared" si="30"/>
        <v>0</v>
      </c>
      <c r="BR160" s="60">
        <f t="shared" si="30"/>
        <v>0</v>
      </c>
      <c r="BS160" s="60">
        <f t="shared" si="30"/>
        <v>0</v>
      </c>
      <c r="BT160" s="60">
        <f t="shared" si="30"/>
        <v>0</v>
      </c>
      <c r="BU160" s="60">
        <f t="shared" si="30"/>
        <v>0</v>
      </c>
      <c r="BV160" s="60">
        <f t="shared" si="30"/>
        <v>0</v>
      </c>
      <c r="BW160" s="60">
        <f t="shared" si="30"/>
        <v>0</v>
      </c>
      <c r="BX160" s="60">
        <f t="shared" si="30"/>
        <v>0</v>
      </c>
      <c r="BY160" s="60">
        <f t="shared" si="30"/>
        <v>0</v>
      </c>
      <c r="BZ160" s="60">
        <f t="shared" si="30"/>
        <v>0</v>
      </c>
      <c r="CA160" s="60">
        <f t="shared" si="30"/>
        <v>0</v>
      </c>
      <c r="CB160" s="60">
        <f t="shared" si="30"/>
        <v>0</v>
      </c>
      <c r="CC160" s="60">
        <f t="shared" si="30"/>
        <v>0</v>
      </c>
      <c r="CD160" s="60">
        <f t="shared" si="30"/>
        <v>0</v>
      </c>
      <c r="CE160" s="60">
        <f t="shared" si="30"/>
        <v>0</v>
      </c>
      <c r="CF160" s="60">
        <f t="shared" si="30"/>
        <v>0</v>
      </c>
      <c r="CG160" s="60">
        <f t="shared" si="30"/>
        <v>0</v>
      </c>
      <c r="CH160" s="60">
        <f t="shared" si="30"/>
        <v>0</v>
      </c>
      <c r="CI160" s="60">
        <f t="shared" si="30"/>
        <v>0</v>
      </c>
      <c r="CJ160" s="60">
        <f t="shared" si="30"/>
        <v>0</v>
      </c>
      <c r="CK160" s="60">
        <f t="shared" si="30"/>
        <v>0</v>
      </c>
      <c r="CL160" s="60">
        <f t="shared" si="30"/>
        <v>0</v>
      </c>
      <c r="CM160" s="60">
        <f t="shared" si="30"/>
        <v>0</v>
      </c>
      <c r="CN160" s="60">
        <f t="shared" si="30"/>
        <v>0</v>
      </c>
      <c r="CO160" s="60">
        <f t="shared" si="30"/>
        <v>0</v>
      </c>
      <c r="CP160" s="60">
        <f t="shared" si="30"/>
        <v>0</v>
      </c>
      <c r="CQ160" s="60">
        <f t="shared" si="30"/>
        <v>0</v>
      </c>
      <c r="CR160" s="60">
        <f t="shared" si="30"/>
        <v>0</v>
      </c>
      <c r="CS160" s="60">
        <f t="shared" si="30"/>
        <v>0</v>
      </c>
      <c r="CT160" s="60">
        <f t="shared" si="30"/>
        <v>0</v>
      </c>
      <c r="CU160" s="60">
        <f t="shared" si="30"/>
        <v>0</v>
      </c>
      <c r="CV160" s="60">
        <f t="shared" si="30"/>
        <v>0</v>
      </c>
      <c r="CW160" s="60">
        <f t="shared" si="30"/>
        <v>0</v>
      </c>
      <c r="CX160" s="60">
        <f t="shared" si="30"/>
        <v>0</v>
      </c>
    </row>
    <row r="161" ht="15.75" customHeight="1" outlineLevel="1">
      <c r="A161" s="134" t="s">
        <v>234</v>
      </c>
      <c r="B161" s="56"/>
      <c r="C161" s="56"/>
      <c r="D161" s="56"/>
      <c r="E161" s="56">
        <f>COUNTIF(Payroll!$I$6:$I$56,E2)*Projections!$B$117</f>
        <v>12000</v>
      </c>
      <c r="F161" s="56">
        <f>COUNTIF(Payroll!$I$6:$I$56,F2)*Projections!$B$117</f>
        <v>0</v>
      </c>
      <c r="G161" s="56">
        <f>COUNTIF(Payroll!$I$6:$I$56,G2)*Projections!$B$117</f>
        <v>0</v>
      </c>
      <c r="H161" s="56">
        <f>COUNTIF(Payroll!$I$6:$I$56,H2)*Projections!$B$117</f>
        <v>0</v>
      </c>
      <c r="I161" s="56">
        <f>COUNTIF(Payroll!$I$6:$I$56,I2)*Projections!$B$117</f>
        <v>0</v>
      </c>
      <c r="J161" s="56">
        <f>COUNTIF(Payroll!$I$6:$I$56,J2)*Projections!$B$117</f>
        <v>0</v>
      </c>
      <c r="K161" s="56">
        <f>COUNTIF(Payroll!$I$6:$I$56,K2)*Projections!$B$117</f>
        <v>0</v>
      </c>
      <c r="L161" s="56">
        <f>COUNTIF(Payroll!$I$6:$I$56,L2)*Projections!$B$117</f>
        <v>0</v>
      </c>
      <c r="M161" s="56">
        <f>COUNTIF(Payroll!$I$6:$I$56,M2)*Projections!$B$117</f>
        <v>0</v>
      </c>
      <c r="N161" s="56">
        <f>COUNTIF(Payroll!$I$6:$I$56,N2)*Projections!$B$117</f>
        <v>0</v>
      </c>
      <c r="O161" s="56">
        <f>COUNTIF(Payroll!$I$6:$I$56,O2)*Projections!$B$117</f>
        <v>0</v>
      </c>
      <c r="P161" s="56">
        <f>COUNTIF(Payroll!$I$6:$I$56,P2)*Projections!$B$117</f>
        <v>0</v>
      </c>
      <c r="Q161" s="56">
        <f>COUNTIF(Payroll!$I$6:$I$56,Q2)*Projections!$B$117</f>
        <v>0</v>
      </c>
      <c r="R161" s="56">
        <f>COUNTIF(Payroll!$I$6:$I$56,R2)*Projections!$B$117</f>
        <v>0</v>
      </c>
      <c r="S161" s="56">
        <f>COUNTIF(Payroll!$I$6:$I$56,S2)*Projections!$B$117</f>
        <v>0</v>
      </c>
      <c r="T161" s="56">
        <f>COUNTIF(Payroll!$I$6:$I$56,T2)*Projections!$B$117</f>
        <v>0</v>
      </c>
      <c r="U161" s="56">
        <f>COUNTIF(Payroll!$I$6:$I$56,U2)*Projections!$B$117</f>
        <v>0</v>
      </c>
      <c r="V161" s="56">
        <f>COUNTIF(Payroll!$I$6:$I$56,V2)*Projections!$B$117</f>
        <v>0</v>
      </c>
      <c r="W161" s="56">
        <f>COUNTIF(Payroll!$I$6:$I$56,W2)*Projections!$B$117</f>
        <v>0</v>
      </c>
      <c r="X161" s="56">
        <f>COUNTIF(Payroll!$I$6:$I$56,X2)*Projections!$B$117</f>
        <v>0</v>
      </c>
      <c r="Y161" s="56">
        <f>COUNTIF(Payroll!$I$6:$I$56,Y2)*Projections!$B$117</f>
        <v>0</v>
      </c>
      <c r="Z161" s="56">
        <f>COUNTIF(Payroll!$I$6:$I$56,Z2)*Projections!$B$117</f>
        <v>0</v>
      </c>
      <c r="AA161" s="56">
        <f>COUNTIF(Payroll!$I$6:$I$56,AA2)*Projections!$B$117</f>
        <v>0</v>
      </c>
      <c r="AB161" s="56">
        <f>COUNTIF(Payroll!$I$6:$I$56,AB2)*Projections!$B$117</f>
        <v>0</v>
      </c>
      <c r="AC161" s="56">
        <f>COUNTIF(Payroll!$I$6:$I$56,AC2)*Projections!$B$117</f>
        <v>0</v>
      </c>
      <c r="AD161" s="56">
        <f>COUNTIF(Payroll!$I$6:$I$56,AD2)*Projections!$B$117</f>
        <v>2000</v>
      </c>
      <c r="AE161" s="56">
        <f>COUNTIF(Payroll!$I$6:$I$56,AE2)*Projections!$B$117</f>
        <v>0</v>
      </c>
      <c r="AF161" s="56">
        <f>COUNTIF(Payroll!$I$6:$I$56,AF2)*Projections!$B$117</f>
        <v>0</v>
      </c>
      <c r="AG161" s="56">
        <f>COUNTIF(Payroll!$I$6:$I$56,AG2)*Projections!$B$117</f>
        <v>0</v>
      </c>
      <c r="AH161" s="56">
        <f>COUNTIF(Payroll!$I$6:$I$56,AH2)*Projections!$B$117</f>
        <v>0</v>
      </c>
      <c r="AI161" s="56">
        <f>COUNTIF(Payroll!$I$6:$I$56,AI2)*Projections!$B$117</f>
        <v>0</v>
      </c>
      <c r="AJ161" s="56">
        <f>COUNTIF(Payroll!$I$6:$I$56,AJ2)*Projections!$B$117</f>
        <v>0</v>
      </c>
      <c r="AK161" s="56">
        <f>COUNTIF(Payroll!$I$6:$I$56,AK2)*Projections!$B$117</f>
        <v>0</v>
      </c>
      <c r="AL161" s="56">
        <f>COUNTIF(Payroll!$I$6:$I$56,AL2)*Projections!$B$117</f>
        <v>2000</v>
      </c>
      <c r="AM161" s="56">
        <f>COUNTIF(Payroll!$I$6:$I$56,AM2)*Projections!$B$117</f>
        <v>0</v>
      </c>
      <c r="AN161" s="56">
        <f>COUNTIF(Payroll!$I$6:$I$56,AN2)*Projections!$B$117</f>
        <v>0</v>
      </c>
      <c r="AO161" s="56">
        <f>COUNTIF(Payroll!$I$6:$I$56,AO2)*Projections!$B$117</f>
        <v>2000</v>
      </c>
      <c r="AP161" s="56">
        <f>COUNTIF(Payroll!$I$6:$I$56,AP2)*Projections!$B$117</f>
        <v>10000</v>
      </c>
      <c r="AQ161" s="56">
        <f>COUNTIF(Payroll!$I$6:$I$56,AQ2)*Projections!$B$117</f>
        <v>0</v>
      </c>
      <c r="AR161" s="56">
        <f>COUNTIF(Payroll!$I$6:$I$56,AR2)*Projections!$B$117</f>
        <v>0</v>
      </c>
      <c r="AS161" s="56">
        <f>COUNTIF(Payroll!$I$6:$I$56,AS2)*Projections!$B$117</f>
        <v>0</v>
      </c>
      <c r="AT161" s="56">
        <f>COUNTIF(Payroll!$I$6:$I$56,AT2)*Projections!$B$117</f>
        <v>0</v>
      </c>
      <c r="AU161" s="56">
        <f>COUNTIF(Payroll!$I$6:$I$56,AU2)*Projections!$B$117</f>
        <v>0</v>
      </c>
      <c r="AV161" s="56">
        <f>COUNTIF(Payroll!$I$6:$I$56,AV2)*Projections!$B$117</f>
        <v>0</v>
      </c>
      <c r="AW161" s="56">
        <f>COUNTIF(Payroll!$I$6:$I$56,AW2)*Projections!$B$117</f>
        <v>0</v>
      </c>
      <c r="AX161" s="56">
        <f>COUNTIF(Payroll!$I$6:$I$56,AX2)*Projections!$B$117</f>
        <v>0</v>
      </c>
      <c r="AY161" s="56">
        <f>COUNTIF(Payroll!$I$6:$I$56,AY2)*Projections!$B$117</f>
        <v>0</v>
      </c>
      <c r="AZ161" s="56">
        <f>COUNTIF(Payroll!$I$6:$I$56,AZ2)*Projections!$B$117</f>
        <v>0</v>
      </c>
      <c r="BA161" s="56">
        <f>COUNTIF(Payroll!$I$6:$I$56,BA2)*Projections!$B$117</f>
        <v>0</v>
      </c>
      <c r="BB161" s="56">
        <f>COUNTIF(Payroll!$I$6:$I$56,BB2)*Projections!$B$117</f>
        <v>0</v>
      </c>
      <c r="BC161" s="56">
        <f>COUNTIF(Payroll!$I$6:$I$56,BC2)*Projections!$B$117</f>
        <v>0</v>
      </c>
      <c r="BD161" s="56">
        <f>COUNTIF(Payroll!$I$6:$I$56,BD2)*Projections!$B$117</f>
        <v>0</v>
      </c>
      <c r="BE161" s="56">
        <f>COUNTIF(Payroll!$I$6:$I$56,BE2)*Projections!$B$117</f>
        <v>0</v>
      </c>
      <c r="BF161" s="56">
        <f>COUNTIF(Payroll!$I$6:$I$56,BF2)*Projections!$B$117</f>
        <v>0</v>
      </c>
      <c r="BG161" s="56">
        <f>COUNTIF(Payroll!$I$6:$I$56,BG2)*Projections!$B$117</f>
        <v>0</v>
      </c>
      <c r="BH161" s="56">
        <f>COUNTIF(Payroll!$I$6:$I$56,BH2)*Projections!$B$117</f>
        <v>0</v>
      </c>
      <c r="BI161" s="56">
        <f>COUNTIF(Payroll!$I$6:$I$56,BI2)*Projections!$B$117</f>
        <v>0</v>
      </c>
      <c r="BJ161" s="56">
        <f>COUNTIF(Payroll!$I$6:$I$56,BJ2)*Projections!$B$117</f>
        <v>0</v>
      </c>
      <c r="BK161" s="56">
        <f>COUNTIF(Payroll!$I$6:$I$56,BK2)*Projections!$B$117</f>
        <v>0</v>
      </c>
      <c r="BL161" s="56">
        <f>COUNTIF(Payroll!$I$6:$I$56,BL2)*Projections!$B$117</f>
        <v>0</v>
      </c>
      <c r="BM161" s="56">
        <f>COUNTIF(Payroll!$I$6:$I$56,BM2)*Projections!$B$117</f>
        <v>0</v>
      </c>
      <c r="BN161" s="56">
        <f>COUNTIF(Payroll!$I$6:$I$56,BN2)*Projections!$B$117</f>
        <v>0</v>
      </c>
      <c r="BO161" s="56">
        <f>COUNTIF(Payroll!$I$6:$I$56,BO2)*Projections!$B$117</f>
        <v>0</v>
      </c>
      <c r="BP161" s="56">
        <f>COUNTIF(Payroll!$I$6:$I$56,BP2)*Projections!$B$117</f>
        <v>0</v>
      </c>
      <c r="BQ161" s="56">
        <f>COUNTIF(Payroll!$I$6:$I$56,BQ2)*Projections!$B$117</f>
        <v>0</v>
      </c>
      <c r="BR161" s="56">
        <f>COUNTIF(Payroll!$I$6:$I$56,BR2)*Projections!$B$117</f>
        <v>0</v>
      </c>
      <c r="BS161" s="56">
        <f>COUNTIF(Payroll!$I$6:$I$56,BS2)*Projections!$B$117</f>
        <v>0</v>
      </c>
      <c r="BT161" s="56">
        <f>COUNTIF(Payroll!$I$6:$I$56,BT2)*Projections!$B$117</f>
        <v>0</v>
      </c>
      <c r="BU161" s="56">
        <f>COUNTIF(Payroll!$I$6:$I$56,BU2)*Projections!$B$117</f>
        <v>0</v>
      </c>
      <c r="BV161" s="56">
        <f>COUNTIF(Payroll!$I$6:$I$56,BV2)*Projections!$B$117</f>
        <v>0</v>
      </c>
      <c r="BW161" s="56">
        <f>COUNTIF(Payroll!$I$6:$I$56,BW2)*Projections!$B$117</f>
        <v>0</v>
      </c>
      <c r="BX161" s="56">
        <f>COUNTIF(Payroll!$I$6:$I$56,BX2)*Projections!$B$117</f>
        <v>0</v>
      </c>
      <c r="BY161" s="56">
        <f>COUNTIF(Payroll!$I$6:$I$56,BY2)*Projections!$B$117</f>
        <v>0</v>
      </c>
      <c r="BZ161" s="56">
        <f>COUNTIF(Payroll!$I$6:$I$56,BZ2)*Projections!$B$117</f>
        <v>0</v>
      </c>
      <c r="CA161" s="56">
        <f>COUNTIF(Payroll!$I$6:$I$56,CA2)*Projections!$B$117</f>
        <v>0</v>
      </c>
      <c r="CB161" s="56">
        <f>COUNTIF(Payroll!$I$6:$I$56,CB2)*Projections!$B$117</f>
        <v>0</v>
      </c>
      <c r="CC161" s="56">
        <f>COUNTIF(Payroll!$I$6:$I$56,CC2)*Projections!$B$117</f>
        <v>0</v>
      </c>
      <c r="CD161" s="56">
        <f>COUNTIF(Payroll!$I$6:$I$56,CD2)*Projections!$B$117</f>
        <v>0</v>
      </c>
      <c r="CE161" s="56">
        <f>COUNTIF(Payroll!$I$6:$I$56,CE2)*Projections!$B$117</f>
        <v>0</v>
      </c>
      <c r="CF161" s="56">
        <f>COUNTIF(Payroll!$I$6:$I$56,CF2)*Projections!$B$117</f>
        <v>0</v>
      </c>
      <c r="CG161" s="56">
        <f>COUNTIF(Payroll!$I$6:$I$56,CG2)*Projections!$B$117</f>
        <v>0</v>
      </c>
      <c r="CH161" s="56">
        <f>COUNTIF(Payroll!$I$6:$I$56,CH2)*Projections!$B$117</f>
        <v>0</v>
      </c>
      <c r="CI161" s="56">
        <f>COUNTIF(Payroll!$I$6:$I$56,CI2)*Projections!$B$117</f>
        <v>0</v>
      </c>
      <c r="CJ161" s="56">
        <f>COUNTIF(Payroll!$I$6:$I$56,CJ2)*Projections!$B$117</f>
        <v>0</v>
      </c>
      <c r="CK161" s="56">
        <f>COUNTIF(Payroll!$I$6:$I$56,CK2)*Projections!$B$117</f>
        <v>0</v>
      </c>
      <c r="CL161" s="56">
        <f>COUNTIF(Payroll!$I$6:$I$56,CL2)*Projections!$B$117</f>
        <v>0</v>
      </c>
      <c r="CM161" s="56">
        <f>COUNTIF(Payroll!$I$6:$I$56,CM2)*Projections!$B$117</f>
        <v>0</v>
      </c>
      <c r="CN161" s="56">
        <f>COUNTIF(Payroll!$I$6:$I$56,CN2)*Projections!$B$117</f>
        <v>0</v>
      </c>
      <c r="CO161" s="56">
        <f>COUNTIF(Payroll!$I$6:$I$56,CO2)*Projections!$B$117</f>
        <v>0</v>
      </c>
      <c r="CP161" s="56">
        <f>COUNTIF(Payroll!$I$6:$I$56,CP2)*Projections!$B$117</f>
        <v>0</v>
      </c>
      <c r="CQ161" s="56">
        <f>COUNTIF(Payroll!$I$6:$I$56,CQ2)*Projections!$B$117</f>
        <v>0</v>
      </c>
      <c r="CR161" s="56">
        <f>COUNTIF(Payroll!$I$6:$I$56,CR2)*Projections!$B$117</f>
        <v>0</v>
      </c>
      <c r="CS161" s="56">
        <f>COUNTIF(Payroll!$I$6:$I$56,CS2)*Projections!$B$117</f>
        <v>0</v>
      </c>
      <c r="CT161" s="56">
        <f>COUNTIF(Payroll!$I$6:$I$56,CT2)*Projections!$B$117</f>
        <v>0</v>
      </c>
      <c r="CU161" s="56">
        <f>COUNTIF(Payroll!$I$6:$I$56,CU2)*Projections!$B$117</f>
        <v>0</v>
      </c>
      <c r="CV161" s="56">
        <f>COUNTIF(Payroll!$I$6:$I$56,CV2)*Projections!$B$117</f>
        <v>0</v>
      </c>
      <c r="CW161" s="56">
        <f>COUNTIF(Payroll!$I$6:$I$56,CW2)*Projections!$B$117</f>
        <v>0</v>
      </c>
      <c r="CX161" s="56">
        <f>COUNTIF(Payroll!$I$6:$I$56,CX2)*Projections!$B$117</f>
        <v>0</v>
      </c>
    </row>
    <row r="162" ht="15.75" customHeight="1" outlineLevel="1">
      <c r="A162" s="56" t="str">
        <f>Projections!A120</f>
        <v>Asset 1</v>
      </c>
      <c r="B162" s="56"/>
      <c r="C162" s="56"/>
      <c r="D162" s="56"/>
      <c r="E162" s="56">
        <f>IF(E2=Projections!$E$120,Projections!$B$120,0)</f>
        <v>0</v>
      </c>
      <c r="F162" s="56">
        <f>IF(F2=Projections!$E$120,Projections!$B$120,0)</f>
        <v>0</v>
      </c>
      <c r="G162" s="56">
        <f>IF(G2=Projections!$E$120,Projections!$B$120,0)</f>
        <v>0</v>
      </c>
      <c r="H162" s="56">
        <f>IF(H2=Projections!$E$120,Projections!$B$120,0)</f>
        <v>0</v>
      </c>
      <c r="I162" s="56">
        <f>IF(I2=Projections!$E$120,Projections!$B$120,0)</f>
        <v>0</v>
      </c>
      <c r="J162" s="56">
        <f>IF(J2=Projections!$E$120,Projections!$B$120,0)</f>
        <v>0</v>
      </c>
      <c r="K162" s="56">
        <f>IF(K2=Projections!$E$120,Projections!$B$120,0)</f>
        <v>0</v>
      </c>
      <c r="L162" s="56">
        <f>IF(L2=Projections!$E$120,Projections!$B$120,0)</f>
        <v>0</v>
      </c>
      <c r="M162" s="56">
        <f>IF(M2=Projections!$E$120,Projections!$B$120,0)</f>
        <v>0</v>
      </c>
      <c r="N162" s="56">
        <f>IF(N2=Projections!$E$120,Projections!$B$120,0)</f>
        <v>0</v>
      </c>
      <c r="O162" s="56">
        <f>IF(O2=Projections!$E$120,Projections!$B$120,0)</f>
        <v>0</v>
      </c>
      <c r="P162" s="56">
        <f>IF(P2=Projections!$E$120,Projections!$B$120,0)</f>
        <v>0</v>
      </c>
      <c r="Q162" s="56">
        <f>IF(Q2=Projections!$E$120,Projections!$B$120,0)</f>
        <v>0</v>
      </c>
      <c r="R162" s="56">
        <f>IF(R2=Projections!$E$120,Projections!$B$120,0)</f>
        <v>0</v>
      </c>
      <c r="S162" s="56">
        <f>IF(S2=Projections!$E$120,Projections!$B$120,0)</f>
        <v>0</v>
      </c>
      <c r="T162" s="56">
        <f>IF(T2=Projections!$E$120,Projections!$B$120,0)</f>
        <v>0</v>
      </c>
      <c r="U162" s="56">
        <f>IF(U2=Projections!$E$120,Projections!$B$120,0)</f>
        <v>0</v>
      </c>
      <c r="V162" s="56">
        <f>IF(V2=Projections!$E$120,Projections!$B$120,0)</f>
        <v>0</v>
      </c>
      <c r="W162" s="56">
        <f>IF(W2=Projections!$E$120,Projections!$B$120,0)</f>
        <v>0</v>
      </c>
      <c r="X162" s="56">
        <f>IF(X2=Projections!$E$120,Projections!$B$120,0)</f>
        <v>0</v>
      </c>
      <c r="Y162" s="56">
        <f>IF(Y2=Projections!$E$120,Projections!$B$120,0)</f>
        <v>0</v>
      </c>
      <c r="Z162" s="56">
        <f>IF(Z2=Projections!$E$120,Projections!$B$120,0)</f>
        <v>0</v>
      </c>
      <c r="AA162" s="56">
        <f>IF(AA2=Projections!$E$120,Projections!$B$120,0)</f>
        <v>0</v>
      </c>
      <c r="AB162" s="56">
        <f>IF(AB2=Projections!$E$120,Projections!$B$120,0)</f>
        <v>0</v>
      </c>
      <c r="AC162" s="56">
        <f>IF(AC2=Projections!$E$120,Projections!$B$120,0)</f>
        <v>0</v>
      </c>
      <c r="AD162" s="56">
        <f>IF(AD2=Projections!$E$120,Projections!$B$120,0)</f>
        <v>0</v>
      </c>
      <c r="AE162" s="56">
        <f>IF(AE2=Projections!$E$120,Projections!$B$120,0)</f>
        <v>0</v>
      </c>
      <c r="AF162" s="56">
        <f>IF(AF2=Projections!$E$120,Projections!$B$120,0)</f>
        <v>0</v>
      </c>
      <c r="AG162" s="56">
        <f>IF(AG2=Projections!$E$120,Projections!$B$120,0)</f>
        <v>0</v>
      </c>
      <c r="AH162" s="56">
        <f>IF(AH2=Projections!$E$120,Projections!$B$120,0)</f>
        <v>0</v>
      </c>
      <c r="AI162" s="56">
        <f>IF(AI2=Projections!$E$120,Projections!$B$120,0)</f>
        <v>0</v>
      </c>
      <c r="AJ162" s="56">
        <f>IF(AJ2=Projections!$E$120,Projections!$B$120,0)</f>
        <v>0</v>
      </c>
      <c r="AK162" s="56">
        <f>IF(AK2=Projections!$E$120,Projections!$B$120,0)</f>
        <v>0</v>
      </c>
      <c r="AL162" s="56">
        <f>IF(AL2=Projections!$E$120,Projections!$B$120,0)</f>
        <v>0</v>
      </c>
      <c r="AM162" s="56">
        <f>IF(AM2=Projections!$E$120,Projections!$B$120,0)</f>
        <v>0</v>
      </c>
      <c r="AN162" s="56">
        <f>IF(AN2=Projections!$E$120,Projections!$B$120,0)</f>
        <v>0</v>
      </c>
      <c r="AO162" s="56">
        <f>IF(AO2=Projections!$E$120,Projections!$B$120,0)</f>
        <v>0</v>
      </c>
      <c r="AP162" s="56">
        <f>IF(AP2=Projections!$E$120,Projections!$B$120,0)</f>
        <v>0</v>
      </c>
      <c r="AQ162" s="56">
        <f>IF(AQ2=Projections!$E$120,Projections!$B$120,0)</f>
        <v>0</v>
      </c>
      <c r="AR162" s="56">
        <f>IF(AR2=Projections!$E$120,Projections!$B$120,0)</f>
        <v>0</v>
      </c>
      <c r="AS162" s="56">
        <f>IF(AS2=Projections!$E$120,Projections!$B$120,0)</f>
        <v>0</v>
      </c>
      <c r="AT162" s="56">
        <f>IF(AT2=Projections!$E$120,Projections!$B$120,0)</f>
        <v>0</v>
      </c>
      <c r="AU162" s="56">
        <f>IF(AU2=Projections!$E$120,Projections!$B$120,0)</f>
        <v>0</v>
      </c>
      <c r="AV162" s="56">
        <f>IF(AV2=Projections!$E$120,Projections!$B$120,0)</f>
        <v>0</v>
      </c>
      <c r="AW162" s="56">
        <f>IF(AW2=Projections!$E$120,Projections!$B$120,0)</f>
        <v>0</v>
      </c>
      <c r="AX162" s="56">
        <f>IF(AX2=Projections!$E$120,Projections!$B$120,0)</f>
        <v>0</v>
      </c>
      <c r="AY162" s="56">
        <f>IF(AY2=Projections!$E$120,Projections!$B$120,0)</f>
        <v>0</v>
      </c>
      <c r="AZ162" s="56">
        <f>IF(AZ2=Projections!$E$120,Projections!$B$120,0)</f>
        <v>0</v>
      </c>
      <c r="BA162" s="56">
        <f>IF(BA2=Projections!$E$120,Projections!$B$120,0)</f>
        <v>0</v>
      </c>
      <c r="BB162" s="56">
        <f>IF(BB2=Projections!$E$120,Projections!$B$120,0)</f>
        <v>0</v>
      </c>
      <c r="BC162" s="56">
        <f>IF(BC2=Projections!$E$120,Projections!$B$120,0)</f>
        <v>0</v>
      </c>
      <c r="BD162" s="56">
        <f>IF(BD2=Projections!$E$120,Projections!$B$120,0)</f>
        <v>0</v>
      </c>
      <c r="BE162" s="56">
        <f>IF(BE2=Projections!$E$120,Projections!$B$120,0)</f>
        <v>0</v>
      </c>
      <c r="BF162" s="56">
        <f>IF(BF2=Projections!$E$120,Projections!$B$120,0)</f>
        <v>0</v>
      </c>
      <c r="BG162" s="56">
        <f>IF(BG2=Projections!$E$120,Projections!$B$120,0)</f>
        <v>0</v>
      </c>
      <c r="BH162" s="56">
        <f>IF(BH2=Projections!$E$120,Projections!$B$120,0)</f>
        <v>0</v>
      </c>
      <c r="BI162" s="56">
        <f>IF(BI2=Projections!$E$120,Projections!$B$120,0)</f>
        <v>0</v>
      </c>
      <c r="BJ162" s="56">
        <f>IF(BJ2=Projections!$E$120,Projections!$B$120,0)</f>
        <v>0</v>
      </c>
      <c r="BK162" s="56">
        <f>IF(BK2=Projections!$E$120,Projections!$B$120,0)</f>
        <v>0</v>
      </c>
      <c r="BL162" s="56">
        <f>IF(BL2=Projections!$E$120,Projections!$B$120,0)</f>
        <v>0</v>
      </c>
      <c r="BM162" s="56">
        <f>IF(BM2=Projections!$E$120,Projections!$B$120,0)</f>
        <v>0</v>
      </c>
      <c r="BN162" s="56">
        <f>IF(BN2=Projections!$E$120,Projections!$B$120,0)</f>
        <v>0</v>
      </c>
      <c r="BO162" s="56">
        <f>IF(BO2=Projections!$E$120,Projections!$B$120,0)</f>
        <v>0</v>
      </c>
      <c r="BP162" s="56">
        <f>IF(BP2=Projections!$E$120,Projections!$B$120,0)</f>
        <v>0</v>
      </c>
      <c r="BQ162" s="56">
        <f>IF(BQ2=Projections!$E$120,Projections!$B$120,0)</f>
        <v>0</v>
      </c>
      <c r="BR162" s="56">
        <f>IF(BR2=Projections!$E$120,Projections!$B$120,0)</f>
        <v>0</v>
      </c>
      <c r="BS162" s="56">
        <f>IF(BS2=Projections!$E$120,Projections!$B$120,0)</f>
        <v>0</v>
      </c>
      <c r="BT162" s="56">
        <f>IF(BT2=Projections!$E$120,Projections!$B$120,0)</f>
        <v>0</v>
      </c>
      <c r="BU162" s="56">
        <f>IF(BU2=Projections!$E$120,Projections!$B$120,0)</f>
        <v>0</v>
      </c>
      <c r="BV162" s="56">
        <f>IF(BV2=Projections!$E$120,Projections!$B$120,0)</f>
        <v>0</v>
      </c>
      <c r="BW162" s="56">
        <f>IF(BW2=Projections!$E$120,Projections!$B$120,0)</f>
        <v>0</v>
      </c>
      <c r="BX162" s="56">
        <f>IF(BX2=Projections!$E$120,Projections!$B$120,0)</f>
        <v>0</v>
      </c>
      <c r="BY162" s="56">
        <f>IF(BY2=Projections!$E$120,Projections!$B$120,0)</f>
        <v>0</v>
      </c>
      <c r="BZ162" s="56">
        <f>IF(BZ2=Projections!$E$120,Projections!$B$120,0)</f>
        <v>0</v>
      </c>
      <c r="CA162" s="56">
        <f>IF(CA2=Projections!$E$120,Projections!$B$120,0)</f>
        <v>0</v>
      </c>
      <c r="CB162" s="56">
        <f>IF(CB2=Projections!$E$120,Projections!$B$120,0)</f>
        <v>0</v>
      </c>
      <c r="CC162" s="56">
        <f>IF(CC2=Projections!$E$120,Projections!$B$120,0)</f>
        <v>0</v>
      </c>
      <c r="CD162" s="56">
        <f>IF(CD2=Projections!$E$120,Projections!$B$120,0)</f>
        <v>0</v>
      </c>
      <c r="CE162" s="56">
        <f>IF(CE2=Projections!$E$120,Projections!$B$120,0)</f>
        <v>0</v>
      </c>
      <c r="CF162" s="56">
        <f>IF(CF2=Projections!$E$120,Projections!$B$120,0)</f>
        <v>0</v>
      </c>
      <c r="CG162" s="56">
        <f>IF(CG2=Projections!$E$120,Projections!$B$120,0)</f>
        <v>0</v>
      </c>
      <c r="CH162" s="56">
        <f>IF(CH2=Projections!$E$120,Projections!$B$120,0)</f>
        <v>0</v>
      </c>
      <c r="CI162" s="56">
        <f>IF(CI2=Projections!$E$120,Projections!$B$120,0)</f>
        <v>0</v>
      </c>
      <c r="CJ162" s="56">
        <f>IF(CJ2=Projections!$E$120,Projections!$B$120,0)</f>
        <v>0</v>
      </c>
      <c r="CK162" s="56">
        <f>IF(CK2=Projections!$E$120,Projections!$B$120,0)</f>
        <v>0</v>
      </c>
      <c r="CL162" s="56">
        <f>IF(CL2=Projections!$E$120,Projections!$B$120,0)</f>
        <v>0</v>
      </c>
      <c r="CM162" s="56">
        <f>IF(CM2=Projections!$E$120,Projections!$B$120,0)</f>
        <v>0</v>
      </c>
      <c r="CN162" s="56">
        <f>IF(CN2=Projections!$E$120,Projections!$B$120,0)</f>
        <v>0</v>
      </c>
      <c r="CO162" s="56">
        <f>IF(CO2=Projections!$E$120,Projections!$B$120,0)</f>
        <v>0</v>
      </c>
      <c r="CP162" s="56">
        <f>IF(CP2=Projections!$E$120,Projections!$B$120,0)</f>
        <v>0</v>
      </c>
      <c r="CQ162" s="56">
        <f>IF(CQ2=Projections!$E$120,Projections!$B$120,0)</f>
        <v>0</v>
      </c>
      <c r="CR162" s="56">
        <f>IF(CR2=Projections!$E$120,Projections!$B$120,0)</f>
        <v>0</v>
      </c>
      <c r="CS162" s="56">
        <f>IF(CS2=Projections!$E$120,Projections!$B$120,0)</f>
        <v>0</v>
      </c>
      <c r="CT162" s="56">
        <f>IF(CT2=Projections!$E$120,Projections!$B$120,0)</f>
        <v>0</v>
      </c>
      <c r="CU162" s="56">
        <f>IF(CU2=Projections!$E$120,Projections!$B$120,0)</f>
        <v>0</v>
      </c>
      <c r="CV162" s="56">
        <f>IF(CV2=Projections!$E$120,Projections!$B$120,0)</f>
        <v>0</v>
      </c>
      <c r="CW162" s="56">
        <f>IF(CW2=Projections!$E$120,Projections!$B$120,0)</f>
        <v>0</v>
      </c>
      <c r="CX162" s="56">
        <f>IF(CX2=Projections!$E$120,Projections!$B$120,0)</f>
        <v>0</v>
      </c>
    </row>
    <row r="163" ht="15.75" customHeight="1" outlineLevel="1">
      <c r="A163" s="56" t="str">
        <f>Projections!A121</f>
        <v>Asset 2</v>
      </c>
      <c r="B163" s="56"/>
      <c r="C163" s="56"/>
      <c r="D163" s="56"/>
      <c r="E163" s="56">
        <f>IF(E2=Projections!$E$121,Projections!$B$121,0)</f>
        <v>0</v>
      </c>
      <c r="F163" s="56">
        <f>IF(F2=Projections!$E$121,Projections!$B$121,0)</f>
        <v>0</v>
      </c>
      <c r="G163" s="56">
        <f>IF(G2=Projections!$E$121,Projections!$B$121,0)</f>
        <v>0</v>
      </c>
      <c r="H163" s="56">
        <f>IF(H2=Projections!$E$121,Projections!$B$121,0)</f>
        <v>0</v>
      </c>
      <c r="I163" s="56">
        <f>IF(I2=Projections!$E$121,Projections!$B$121,0)</f>
        <v>0</v>
      </c>
      <c r="J163" s="56">
        <f>IF(J2=Projections!$E$121,Projections!$B$121,0)</f>
        <v>0</v>
      </c>
      <c r="K163" s="56">
        <f>IF(K2=Projections!$E$121,Projections!$B$121,0)</f>
        <v>0</v>
      </c>
      <c r="L163" s="56">
        <f>IF(L2=Projections!$E$121,Projections!$B$121,0)</f>
        <v>0</v>
      </c>
      <c r="M163" s="56">
        <f>IF(M2=Projections!$E$121,Projections!$B$121,0)</f>
        <v>0</v>
      </c>
      <c r="N163" s="56">
        <f>IF(N2=Projections!$E$121,Projections!$B$121,0)</f>
        <v>0</v>
      </c>
      <c r="O163" s="56">
        <f>IF(O2=Projections!$E$121,Projections!$B$121,0)</f>
        <v>0</v>
      </c>
      <c r="P163" s="56">
        <f>IF(P2=Projections!$E$121,Projections!$B$121,0)</f>
        <v>0</v>
      </c>
      <c r="Q163" s="56">
        <f>IF(Q2=Projections!$E$121,Projections!$B$121,0)</f>
        <v>0</v>
      </c>
      <c r="R163" s="56">
        <f>IF(R2=Projections!$E$121,Projections!$B$121,0)</f>
        <v>0</v>
      </c>
      <c r="S163" s="56">
        <f>IF(S2=Projections!$E$121,Projections!$B$121,0)</f>
        <v>0</v>
      </c>
      <c r="T163" s="56">
        <f>IF(T2=Projections!$E$121,Projections!$B$121,0)</f>
        <v>0</v>
      </c>
      <c r="U163" s="56">
        <f>IF(U2=Projections!$E$121,Projections!$B$121,0)</f>
        <v>0</v>
      </c>
      <c r="V163" s="56">
        <f>IF(V2=Projections!$E$121,Projections!$B$121,0)</f>
        <v>0</v>
      </c>
      <c r="W163" s="56">
        <f>IF(W2=Projections!$E$121,Projections!$B$121,0)</f>
        <v>0</v>
      </c>
      <c r="X163" s="56">
        <f>IF(X2=Projections!$E$121,Projections!$B$121,0)</f>
        <v>0</v>
      </c>
      <c r="Y163" s="56">
        <f>IF(Y2=Projections!$E$121,Projections!$B$121,0)</f>
        <v>0</v>
      </c>
      <c r="Z163" s="56">
        <f>IF(Z2=Projections!$E$121,Projections!$B$121,0)</f>
        <v>0</v>
      </c>
      <c r="AA163" s="56">
        <f>IF(AA2=Projections!$E$121,Projections!$B$121,0)</f>
        <v>0</v>
      </c>
      <c r="AB163" s="56">
        <f>IF(AB2=Projections!$E$121,Projections!$B$121,0)</f>
        <v>0</v>
      </c>
      <c r="AC163" s="56">
        <f>IF(AC2=Projections!$E$121,Projections!$B$121,0)</f>
        <v>0</v>
      </c>
      <c r="AD163" s="56">
        <f>IF(AD2=Projections!$E$121,Projections!$B$121,0)</f>
        <v>0</v>
      </c>
      <c r="AE163" s="56">
        <f>IF(AE2=Projections!$E$121,Projections!$B$121,0)</f>
        <v>0</v>
      </c>
      <c r="AF163" s="56">
        <f>IF(AF2=Projections!$E$121,Projections!$B$121,0)</f>
        <v>0</v>
      </c>
      <c r="AG163" s="56">
        <f>IF(AG2=Projections!$E$121,Projections!$B$121,0)</f>
        <v>0</v>
      </c>
      <c r="AH163" s="56">
        <f>IF(AH2=Projections!$E$121,Projections!$B$121,0)</f>
        <v>0</v>
      </c>
      <c r="AI163" s="56">
        <f>IF(AI2=Projections!$E$121,Projections!$B$121,0)</f>
        <v>0</v>
      </c>
      <c r="AJ163" s="56">
        <f>IF(AJ2=Projections!$E$121,Projections!$B$121,0)</f>
        <v>0</v>
      </c>
      <c r="AK163" s="56">
        <f>IF(AK2=Projections!$E$121,Projections!$B$121,0)</f>
        <v>0</v>
      </c>
      <c r="AL163" s="56">
        <f>IF(AL2=Projections!$E$121,Projections!$B$121,0)</f>
        <v>0</v>
      </c>
      <c r="AM163" s="56">
        <f>IF(AM2=Projections!$E$121,Projections!$B$121,0)</f>
        <v>0</v>
      </c>
      <c r="AN163" s="56">
        <f>IF(AN2=Projections!$E$121,Projections!$B$121,0)</f>
        <v>0</v>
      </c>
      <c r="AO163" s="56">
        <f>IF(AO2=Projections!$E$121,Projections!$B$121,0)</f>
        <v>0</v>
      </c>
      <c r="AP163" s="56">
        <f>IF(AP2=Projections!$E$121,Projections!$B$121,0)</f>
        <v>0</v>
      </c>
      <c r="AQ163" s="56">
        <f>IF(AQ2=Projections!$E$121,Projections!$B$121,0)</f>
        <v>0</v>
      </c>
      <c r="AR163" s="56">
        <f>IF(AR2=Projections!$E$121,Projections!$B$121,0)</f>
        <v>0</v>
      </c>
      <c r="AS163" s="56">
        <f>IF(AS2=Projections!$E$121,Projections!$B$121,0)</f>
        <v>0</v>
      </c>
      <c r="AT163" s="56">
        <f>IF(AT2=Projections!$E$121,Projections!$B$121,0)</f>
        <v>0</v>
      </c>
      <c r="AU163" s="56">
        <f>IF(AU2=Projections!$E$121,Projections!$B$121,0)</f>
        <v>0</v>
      </c>
      <c r="AV163" s="56">
        <f>IF(AV2=Projections!$E$121,Projections!$B$121,0)</f>
        <v>0</v>
      </c>
      <c r="AW163" s="56">
        <f>IF(AW2=Projections!$E$121,Projections!$B$121,0)</f>
        <v>0</v>
      </c>
      <c r="AX163" s="56">
        <f>IF(AX2=Projections!$E$121,Projections!$B$121,0)</f>
        <v>0</v>
      </c>
      <c r="AY163" s="56">
        <f>IF(AY2=Projections!$E$121,Projections!$B$121,0)</f>
        <v>0</v>
      </c>
      <c r="AZ163" s="56">
        <f>IF(AZ2=Projections!$E$121,Projections!$B$121,0)</f>
        <v>0</v>
      </c>
      <c r="BA163" s="56">
        <f>IF(BA2=Projections!$E$121,Projections!$B$121,0)</f>
        <v>0</v>
      </c>
      <c r="BB163" s="56">
        <f>IF(BB2=Projections!$E$121,Projections!$B$121,0)</f>
        <v>0</v>
      </c>
      <c r="BC163" s="56">
        <f>IF(BC2=Projections!$E$121,Projections!$B$121,0)</f>
        <v>0</v>
      </c>
      <c r="BD163" s="56">
        <f>IF(BD2=Projections!$E$121,Projections!$B$121,0)</f>
        <v>0</v>
      </c>
      <c r="BE163" s="56">
        <f>IF(BE2=Projections!$E$121,Projections!$B$121,0)</f>
        <v>0</v>
      </c>
      <c r="BF163" s="56">
        <f>IF(BF2=Projections!$E$121,Projections!$B$121,0)</f>
        <v>0</v>
      </c>
      <c r="BG163" s="56">
        <f>IF(BG2=Projections!$E$121,Projections!$B$121,0)</f>
        <v>0</v>
      </c>
      <c r="BH163" s="56">
        <f>IF(BH2=Projections!$E$121,Projections!$B$121,0)</f>
        <v>0</v>
      </c>
      <c r="BI163" s="56">
        <f>IF(BI2=Projections!$E$121,Projections!$B$121,0)</f>
        <v>0</v>
      </c>
      <c r="BJ163" s="56">
        <f>IF(BJ2=Projections!$E$121,Projections!$B$121,0)</f>
        <v>0</v>
      </c>
      <c r="BK163" s="56">
        <f>IF(BK2=Projections!$E$121,Projections!$B$121,0)</f>
        <v>0</v>
      </c>
      <c r="BL163" s="56">
        <f>IF(BL2=Projections!$E$121,Projections!$B$121,0)</f>
        <v>0</v>
      </c>
      <c r="BM163" s="56">
        <f>IF(BM2=Projections!$E$121,Projections!$B$121,0)</f>
        <v>0</v>
      </c>
      <c r="BN163" s="56">
        <f>IF(BN2=Projections!$E$121,Projections!$B$121,0)</f>
        <v>0</v>
      </c>
      <c r="BO163" s="56">
        <f>IF(BO2=Projections!$E$121,Projections!$B$121,0)</f>
        <v>0</v>
      </c>
      <c r="BP163" s="56">
        <f>IF(BP2=Projections!$E$121,Projections!$B$121,0)</f>
        <v>0</v>
      </c>
      <c r="BQ163" s="56">
        <f>IF(BQ2=Projections!$E$121,Projections!$B$121,0)</f>
        <v>0</v>
      </c>
      <c r="BR163" s="56">
        <f>IF(BR2=Projections!$E$121,Projections!$B$121,0)</f>
        <v>0</v>
      </c>
      <c r="BS163" s="56">
        <f>IF(BS2=Projections!$E$121,Projections!$B$121,0)</f>
        <v>0</v>
      </c>
      <c r="BT163" s="56">
        <f>IF(BT2=Projections!$E$121,Projections!$B$121,0)</f>
        <v>0</v>
      </c>
      <c r="BU163" s="56">
        <f>IF(BU2=Projections!$E$121,Projections!$B$121,0)</f>
        <v>0</v>
      </c>
      <c r="BV163" s="56">
        <f>IF(BV2=Projections!$E$121,Projections!$B$121,0)</f>
        <v>0</v>
      </c>
      <c r="BW163" s="56">
        <f>IF(BW2=Projections!$E$121,Projections!$B$121,0)</f>
        <v>0</v>
      </c>
      <c r="BX163" s="56">
        <f>IF(BX2=Projections!$E$121,Projections!$B$121,0)</f>
        <v>0</v>
      </c>
      <c r="BY163" s="56">
        <f>IF(BY2=Projections!$E$121,Projections!$B$121,0)</f>
        <v>0</v>
      </c>
      <c r="BZ163" s="56">
        <f>IF(BZ2=Projections!$E$121,Projections!$B$121,0)</f>
        <v>0</v>
      </c>
      <c r="CA163" s="56">
        <f>IF(CA2=Projections!$E$121,Projections!$B$121,0)</f>
        <v>0</v>
      </c>
      <c r="CB163" s="56">
        <f>IF(CB2=Projections!$E$121,Projections!$B$121,0)</f>
        <v>0</v>
      </c>
      <c r="CC163" s="56">
        <f>IF(CC2=Projections!$E$121,Projections!$B$121,0)</f>
        <v>0</v>
      </c>
      <c r="CD163" s="56">
        <f>IF(CD2=Projections!$E$121,Projections!$B$121,0)</f>
        <v>0</v>
      </c>
      <c r="CE163" s="56">
        <f>IF(CE2=Projections!$E$121,Projections!$B$121,0)</f>
        <v>0</v>
      </c>
      <c r="CF163" s="56">
        <f>IF(CF2=Projections!$E$121,Projections!$B$121,0)</f>
        <v>0</v>
      </c>
      <c r="CG163" s="56">
        <f>IF(CG2=Projections!$E$121,Projections!$B$121,0)</f>
        <v>0</v>
      </c>
      <c r="CH163" s="56">
        <f>IF(CH2=Projections!$E$121,Projections!$B$121,0)</f>
        <v>0</v>
      </c>
      <c r="CI163" s="56">
        <f>IF(CI2=Projections!$E$121,Projections!$B$121,0)</f>
        <v>0</v>
      </c>
      <c r="CJ163" s="56">
        <f>IF(CJ2=Projections!$E$121,Projections!$B$121,0)</f>
        <v>0</v>
      </c>
      <c r="CK163" s="56">
        <f>IF(CK2=Projections!$E$121,Projections!$B$121,0)</f>
        <v>0</v>
      </c>
      <c r="CL163" s="56">
        <f>IF(CL2=Projections!$E$121,Projections!$B$121,0)</f>
        <v>0</v>
      </c>
      <c r="CM163" s="56">
        <f>IF(CM2=Projections!$E$121,Projections!$B$121,0)</f>
        <v>0</v>
      </c>
      <c r="CN163" s="56">
        <f>IF(CN2=Projections!$E$121,Projections!$B$121,0)</f>
        <v>0</v>
      </c>
      <c r="CO163" s="56">
        <f>IF(CO2=Projections!$E$121,Projections!$B$121,0)</f>
        <v>0</v>
      </c>
      <c r="CP163" s="56">
        <f>IF(CP2=Projections!$E$121,Projections!$B$121,0)</f>
        <v>0</v>
      </c>
      <c r="CQ163" s="56">
        <f>IF(CQ2=Projections!$E$121,Projections!$B$121,0)</f>
        <v>0</v>
      </c>
      <c r="CR163" s="56">
        <f>IF(CR2=Projections!$E$121,Projections!$B$121,0)</f>
        <v>0</v>
      </c>
      <c r="CS163" s="56">
        <f>IF(CS2=Projections!$E$121,Projections!$B$121,0)</f>
        <v>0</v>
      </c>
      <c r="CT163" s="56">
        <f>IF(CT2=Projections!$E$121,Projections!$B$121,0)</f>
        <v>0</v>
      </c>
      <c r="CU163" s="56">
        <f>IF(CU2=Projections!$E$121,Projections!$B$121,0)</f>
        <v>0</v>
      </c>
      <c r="CV163" s="56">
        <f>IF(CV2=Projections!$E$121,Projections!$B$121,0)</f>
        <v>0</v>
      </c>
      <c r="CW163" s="56">
        <f>IF(CW2=Projections!$E$121,Projections!$B$121,0)</f>
        <v>0</v>
      </c>
      <c r="CX163" s="56">
        <f>IF(CX2=Projections!$E$121,Projections!$B$121,0)</f>
        <v>0</v>
      </c>
    </row>
    <row r="164" ht="15.75" customHeight="1" outlineLevel="1">
      <c r="A164" s="56" t="str">
        <f>Projections!A122</f>
        <v>Asset 3</v>
      </c>
      <c r="B164" s="56"/>
      <c r="C164" s="56"/>
      <c r="D164" s="56"/>
      <c r="E164" s="56">
        <f>IF(E2=Projections!$E$122,Projections!$B$122,0)</f>
        <v>0</v>
      </c>
      <c r="F164" s="56">
        <f>IF(F2=Projections!$E$122,Projections!$B$122,0)</f>
        <v>0</v>
      </c>
      <c r="G164" s="56">
        <f>IF(G2=Projections!$E$122,Projections!$B$122,0)</f>
        <v>0</v>
      </c>
      <c r="H164" s="56">
        <f>IF(H2=Projections!$E$122,Projections!$B$122,0)</f>
        <v>0</v>
      </c>
      <c r="I164" s="56">
        <f>IF(I2=Projections!$E$122,Projections!$B$122,0)</f>
        <v>0</v>
      </c>
      <c r="J164" s="56">
        <f>IF(J2=Projections!$E$122,Projections!$B$122,0)</f>
        <v>0</v>
      </c>
      <c r="K164" s="56">
        <f>IF(K2=Projections!$E$122,Projections!$B$122,0)</f>
        <v>0</v>
      </c>
      <c r="L164" s="56">
        <f>IF(L2=Projections!$E$122,Projections!$B$122,0)</f>
        <v>0</v>
      </c>
      <c r="M164" s="56">
        <f>IF(M2=Projections!$E$122,Projections!$B$122,0)</f>
        <v>0</v>
      </c>
      <c r="N164" s="56">
        <f>IF(N2=Projections!$E$122,Projections!$B$122,0)</f>
        <v>0</v>
      </c>
      <c r="O164" s="56">
        <f>IF(O2=Projections!$E$122,Projections!$B$122,0)</f>
        <v>0</v>
      </c>
      <c r="P164" s="56">
        <f>IF(P2=Projections!$E$122,Projections!$B$122,0)</f>
        <v>0</v>
      </c>
      <c r="Q164" s="56">
        <f>IF(Q2=Projections!$E$122,Projections!$B$122,0)</f>
        <v>0</v>
      </c>
      <c r="R164" s="56">
        <f>IF(R2=Projections!$E$122,Projections!$B$122,0)</f>
        <v>0</v>
      </c>
      <c r="S164" s="56">
        <f>IF(S2=Projections!$E$122,Projections!$B$122,0)</f>
        <v>0</v>
      </c>
      <c r="T164" s="56">
        <f>IF(T2=Projections!$E$122,Projections!$B$122,0)</f>
        <v>0</v>
      </c>
      <c r="U164" s="56">
        <f>IF(U2=Projections!$E$122,Projections!$B$122,0)</f>
        <v>0</v>
      </c>
      <c r="V164" s="56">
        <f>IF(V2=Projections!$E$122,Projections!$B$122,0)</f>
        <v>0</v>
      </c>
      <c r="W164" s="56">
        <f>IF(W2=Projections!$E$122,Projections!$B$122,0)</f>
        <v>0</v>
      </c>
      <c r="X164" s="56">
        <f>IF(X2=Projections!$E$122,Projections!$B$122,0)</f>
        <v>0</v>
      </c>
      <c r="Y164" s="56">
        <f>IF(Y2=Projections!$E$122,Projections!$B$122,0)</f>
        <v>0</v>
      </c>
      <c r="Z164" s="56">
        <f>IF(Z2=Projections!$E$122,Projections!$B$122,0)</f>
        <v>0</v>
      </c>
      <c r="AA164" s="56">
        <f>IF(AA2=Projections!$E$122,Projections!$B$122,0)</f>
        <v>0</v>
      </c>
      <c r="AB164" s="56">
        <f>IF(AB2=Projections!$E$122,Projections!$B$122,0)</f>
        <v>0</v>
      </c>
      <c r="AC164" s="56">
        <f>IF(AC2=Projections!$E$122,Projections!$B$122,0)</f>
        <v>0</v>
      </c>
      <c r="AD164" s="56">
        <f>IF(AD2=Projections!$E$122,Projections!$B$122,0)</f>
        <v>0</v>
      </c>
      <c r="AE164" s="56">
        <f>IF(AE2=Projections!$E$122,Projections!$B$122,0)</f>
        <v>0</v>
      </c>
      <c r="AF164" s="56">
        <f>IF(AF2=Projections!$E$122,Projections!$B$122,0)</f>
        <v>0</v>
      </c>
      <c r="AG164" s="56">
        <f>IF(AG2=Projections!$E$122,Projections!$B$122,0)</f>
        <v>0</v>
      </c>
      <c r="AH164" s="56">
        <f>IF(AH2=Projections!$E$122,Projections!$B$122,0)</f>
        <v>0</v>
      </c>
      <c r="AI164" s="56">
        <f>IF(AI2=Projections!$E$122,Projections!$B$122,0)</f>
        <v>0</v>
      </c>
      <c r="AJ164" s="56">
        <f>IF(AJ2=Projections!$E$122,Projections!$B$122,0)</f>
        <v>0</v>
      </c>
      <c r="AK164" s="56">
        <f>IF(AK2=Projections!$E$122,Projections!$B$122,0)</f>
        <v>0</v>
      </c>
      <c r="AL164" s="56">
        <f>IF(AL2=Projections!$E$122,Projections!$B$122,0)</f>
        <v>0</v>
      </c>
      <c r="AM164" s="56">
        <f>IF(AM2=Projections!$E$122,Projections!$B$122,0)</f>
        <v>0</v>
      </c>
      <c r="AN164" s="56">
        <f>IF(AN2=Projections!$E$122,Projections!$B$122,0)</f>
        <v>0</v>
      </c>
      <c r="AO164" s="56">
        <f>IF(AO2=Projections!$E$122,Projections!$B$122,0)</f>
        <v>0</v>
      </c>
      <c r="AP164" s="56">
        <f>IF(AP2=Projections!$E$122,Projections!$B$122,0)</f>
        <v>0</v>
      </c>
      <c r="AQ164" s="56">
        <f>IF(AQ2=Projections!$E$122,Projections!$B$122,0)</f>
        <v>0</v>
      </c>
      <c r="AR164" s="56">
        <f>IF(AR2=Projections!$E$122,Projections!$B$122,0)</f>
        <v>0</v>
      </c>
      <c r="AS164" s="56">
        <f>IF(AS2=Projections!$E$122,Projections!$B$122,0)</f>
        <v>0</v>
      </c>
      <c r="AT164" s="56">
        <f>IF(AT2=Projections!$E$122,Projections!$B$122,0)</f>
        <v>0</v>
      </c>
      <c r="AU164" s="56">
        <f>IF(AU2=Projections!$E$122,Projections!$B$122,0)</f>
        <v>0</v>
      </c>
      <c r="AV164" s="56">
        <f>IF(AV2=Projections!$E$122,Projections!$B$122,0)</f>
        <v>0</v>
      </c>
      <c r="AW164" s="56">
        <f>IF(AW2=Projections!$E$122,Projections!$B$122,0)</f>
        <v>0</v>
      </c>
      <c r="AX164" s="56">
        <f>IF(AX2=Projections!$E$122,Projections!$B$122,0)</f>
        <v>0</v>
      </c>
      <c r="AY164" s="56">
        <f>IF(AY2=Projections!$E$122,Projections!$B$122,0)</f>
        <v>0</v>
      </c>
      <c r="AZ164" s="56">
        <f>IF(AZ2=Projections!$E$122,Projections!$B$122,0)</f>
        <v>0</v>
      </c>
      <c r="BA164" s="56">
        <f>IF(BA2=Projections!$E$122,Projections!$B$122,0)</f>
        <v>0</v>
      </c>
      <c r="BB164" s="56">
        <f>IF(BB2=Projections!$E$122,Projections!$B$122,0)</f>
        <v>0</v>
      </c>
      <c r="BC164" s="56">
        <f>IF(BC2=Projections!$E$122,Projections!$B$122,0)</f>
        <v>0</v>
      </c>
      <c r="BD164" s="56">
        <f>IF(BD2=Projections!$E$122,Projections!$B$122,0)</f>
        <v>0</v>
      </c>
      <c r="BE164" s="56">
        <f>IF(BE2=Projections!$E$122,Projections!$B$122,0)</f>
        <v>0</v>
      </c>
      <c r="BF164" s="56">
        <f>IF(BF2=Projections!$E$122,Projections!$B$122,0)</f>
        <v>0</v>
      </c>
      <c r="BG164" s="56">
        <f>IF(BG2=Projections!$E$122,Projections!$B$122,0)</f>
        <v>0</v>
      </c>
      <c r="BH164" s="56">
        <f>IF(BH2=Projections!$E$122,Projections!$B$122,0)</f>
        <v>0</v>
      </c>
      <c r="BI164" s="56">
        <f>IF(BI2=Projections!$E$122,Projections!$B$122,0)</f>
        <v>0</v>
      </c>
      <c r="BJ164" s="56">
        <f>IF(BJ2=Projections!$E$122,Projections!$B$122,0)</f>
        <v>0</v>
      </c>
      <c r="BK164" s="56">
        <f>IF(BK2=Projections!$E$122,Projections!$B$122,0)</f>
        <v>0</v>
      </c>
      <c r="BL164" s="56">
        <f>IF(BL2=Projections!$E$122,Projections!$B$122,0)</f>
        <v>0</v>
      </c>
      <c r="BM164" s="56">
        <f>IF(BM2=Projections!$E$122,Projections!$B$122,0)</f>
        <v>0</v>
      </c>
      <c r="BN164" s="56">
        <f>IF(BN2=Projections!$E$122,Projections!$B$122,0)</f>
        <v>0</v>
      </c>
      <c r="BO164" s="56">
        <f>IF(BO2=Projections!$E$122,Projections!$B$122,0)</f>
        <v>0</v>
      </c>
      <c r="BP164" s="56">
        <f>IF(BP2=Projections!$E$122,Projections!$B$122,0)</f>
        <v>0</v>
      </c>
      <c r="BQ164" s="56">
        <f>IF(BQ2=Projections!$E$122,Projections!$B$122,0)</f>
        <v>0</v>
      </c>
      <c r="BR164" s="56">
        <f>IF(BR2=Projections!$E$122,Projections!$B$122,0)</f>
        <v>0</v>
      </c>
      <c r="BS164" s="56">
        <f>IF(BS2=Projections!$E$122,Projections!$B$122,0)</f>
        <v>0</v>
      </c>
      <c r="BT164" s="56">
        <f>IF(BT2=Projections!$E$122,Projections!$B$122,0)</f>
        <v>0</v>
      </c>
      <c r="BU164" s="56">
        <f>IF(BU2=Projections!$E$122,Projections!$B$122,0)</f>
        <v>0</v>
      </c>
      <c r="BV164" s="56">
        <f>IF(BV2=Projections!$E$122,Projections!$B$122,0)</f>
        <v>0</v>
      </c>
      <c r="BW164" s="56">
        <f>IF(BW2=Projections!$E$122,Projections!$B$122,0)</f>
        <v>0</v>
      </c>
      <c r="BX164" s="56">
        <f>IF(BX2=Projections!$E$122,Projections!$B$122,0)</f>
        <v>0</v>
      </c>
      <c r="BY164" s="56">
        <f>IF(BY2=Projections!$E$122,Projections!$B$122,0)</f>
        <v>0</v>
      </c>
      <c r="BZ164" s="56">
        <f>IF(BZ2=Projections!$E$122,Projections!$B$122,0)</f>
        <v>0</v>
      </c>
      <c r="CA164" s="56">
        <f>IF(CA2=Projections!$E$122,Projections!$B$122,0)</f>
        <v>0</v>
      </c>
      <c r="CB164" s="56">
        <f>IF(CB2=Projections!$E$122,Projections!$B$122,0)</f>
        <v>0</v>
      </c>
      <c r="CC164" s="56">
        <f>IF(CC2=Projections!$E$122,Projections!$B$122,0)</f>
        <v>0</v>
      </c>
      <c r="CD164" s="56">
        <f>IF(CD2=Projections!$E$122,Projections!$B$122,0)</f>
        <v>0</v>
      </c>
      <c r="CE164" s="56">
        <f>IF(CE2=Projections!$E$122,Projections!$B$122,0)</f>
        <v>0</v>
      </c>
      <c r="CF164" s="56">
        <f>IF(CF2=Projections!$E$122,Projections!$B$122,0)</f>
        <v>0</v>
      </c>
      <c r="CG164" s="56">
        <f>IF(CG2=Projections!$E$122,Projections!$B$122,0)</f>
        <v>0</v>
      </c>
      <c r="CH164" s="56">
        <f>IF(CH2=Projections!$E$122,Projections!$B$122,0)</f>
        <v>0</v>
      </c>
      <c r="CI164" s="56">
        <f>IF(CI2=Projections!$E$122,Projections!$B$122,0)</f>
        <v>0</v>
      </c>
      <c r="CJ164" s="56">
        <f>IF(CJ2=Projections!$E$122,Projections!$B$122,0)</f>
        <v>0</v>
      </c>
      <c r="CK164" s="56">
        <f>IF(CK2=Projections!$E$122,Projections!$B$122,0)</f>
        <v>0</v>
      </c>
      <c r="CL164" s="56">
        <f>IF(CL2=Projections!$E$122,Projections!$B$122,0)</f>
        <v>0</v>
      </c>
      <c r="CM164" s="56">
        <f>IF(CM2=Projections!$E$122,Projections!$B$122,0)</f>
        <v>0</v>
      </c>
      <c r="CN164" s="56">
        <f>IF(CN2=Projections!$E$122,Projections!$B$122,0)</f>
        <v>0</v>
      </c>
      <c r="CO164" s="56">
        <f>IF(CO2=Projections!$E$122,Projections!$B$122,0)</f>
        <v>0</v>
      </c>
      <c r="CP164" s="56">
        <f>IF(CP2=Projections!$E$122,Projections!$B$122,0)</f>
        <v>0</v>
      </c>
      <c r="CQ164" s="56">
        <f>IF(CQ2=Projections!$E$122,Projections!$B$122,0)</f>
        <v>0</v>
      </c>
      <c r="CR164" s="56">
        <f>IF(CR2=Projections!$E$122,Projections!$B$122,0)</f>
        <v>0</v>
      </c>
      <c r="CS164" s="56">
        <f>IF(CS2=Projections!$E$122,Projections!$B$122,0)</f>
        <v>0</v>
      </c>
      <c r="CT164" s="56">
        <f>IF(CT2=Projections!$E$122,Projections!$B$122,0)</f>
        <v>0</v>
      </c>
      <c r="CU164" s="56">
        <f>IF(CU2=Projections!$E$122,Projections!$B$122,0)</f>
        <v>0</v>
      </c>
      <c r="CV164" s="56">
        <f>IF(CV2=Projections!$E$122,Projections!$B$122,0)</f>
        <v>0</v>
      </c>
      <c r="CW164" s="56">
        <f>IF(CW2=Projections!$E$122,Projections!$B$122,0)</f>
        <v>0</v>
      </c>
      <c r="CX164" s="56">
        <f>IF(CX2=Projections!$E$122,Projections!$B$122,0)</f>
        <v>0</v>
      </c>
    </row>
    <row r="165" ht="15.75" customHeight="1" outlineLevel="1">
      <c r="A165" s="56" t="str">
        <f>Projections!A123</f>
        <v>Asset 4</v>
      </c>
      <c r="B165" s="56"/>
      <c r="C165" s="56"/>
      <c r="D165" s="56"/>
      <c r="E165" s="56">
        <f>IF(E2=Projections!$E$123,Projections!$B$123,0)</f>
        <v>0</v>
      </c>
      <c r="F165" s="56">
        <f>IF(F2=Projections!$E$123,Projections!$B$123,0)</f>
        <v>0</v>
      </c>
      <c r="G165" s="56">
        <f>IF(G2=Projections!$E$123,Projections!$B$123,0)</f>
        <v>0</v>
      </c>
      <c r="H165" s="56">
        <f>IF(H2=Projections!$E$123,Projections!$B$123,0)</f>
        <v>0</v>
      </c>
      <c r="I165" s="56">
        <f>IF(I2=Projections!$E$123,Projections!$B$123,0)</f>
        <v>0</v>
      </c>
      <c r="J165" s="56">
        <f>IF(J2=Projections!$E$123,Projections!$B$123,0)</f>
        <v>0</v>
      </c>
      <c r="K165" s="56">
        <f>IF(K2=Projections!$E$123,Projections!$B$123,0)</f>
        <v>0</v>
      </c>
      <c r="L165" s="56">
        <f>IF(L2=Projections!$E$123,Projections!$B$123,0)</f>
        <v>0</v>
      </c>
      <c r="M165" s="56">
        <f>IF(M2=Projections!$E$123,Projections!$B$123,0)</f>
        <v>0</v>
      </c>
      <c r="N165" s="56">
        <f>IF(N2=Projections!$E$123,Projections!$B$123,0)</f>
        <v>0</v>
      </c>
      <c r="O165" s="56">
        <f>IF(O2=Projections!$E$123,Projections!$B$123,0)</f>
        <v>0</v>
      </c>
      <c r="P165" s="56">
        <f>IF(P2=Projections!$E$123,Projections!$B$123,0)</f>
        <v>0</v>
      </c>
      <c r="Q165" s="56">
        <f>IF(Q2=Projections!$E$123,Projections!$B$123,0)</f>
        <v>0</v>
      </c>
      <c r="R165" s="56">
        <f>IF(R2=Projections!$E$123,Projections!$B$123,0)</f>
        <v>0</v>
      </c>
      <c r="S165" s="56">
        <f>IF(S2=Projections!$E$123,Projections!$B$123,0)</f>
        <v>0</v>
      </c>
      <c r="T165" s="56">
        <f>IF(T2=Projections!$E$123,Projections!$B$123,0)</f>
        <v>0</v>
      </c>
      <c r="U165" s="56">
        <f>IF(U2=Projections!$E$123,Projections!$B$123,0)</f>
        <v>0</v>
      </c>
      <c r="V165" s="56">
        <f>IF(V2=Projections!$E$123,Projections!$B$123,0)</f>
        <v>0</v>
      </c>
      <c r="W165" s="56">
        <f>IF(W2=Projections!$E$123,Projections!$B$123,0)</f>
        <v>0</v>
      </c>
      <c r="X165" s="56">
        <f>IF(X2=Projections!$E$123,Projections!$B$123,0)</f>
        <v>0</v>
      </c>
      <c r="Y165" s="56">
        <f>IF(Y2=Projections!$E$123,Projections!$B$123,0)</f>
        <v>0</v>
      </c>
      <c r="Z165" s="56">
        <f>IF(Z2=Projections!$E$123,Projections!$B$123,0)</f>
        <v>0</v>
      </c>
      <c r="AA165" s="56">
        <f>IF(AA2=Projections!$E$123,Projections!$B$123,0)</f>
        <v>0</v>
      </c>
      <c r="AB165" s="56">
        <f>IF(AB2=Projections!$E$123,Projections!$B$123,0)</f>
        <v>0</v>
      </c>
      <c r="AC165" s="56">
        <f>IF(AC2=Projections!$E$123,Projections!$B$123,0)</f>
        <v>0</v>
      </c>
      <c r="AD165" s="56">
        <f>IF(AD2=Projections!$E$123,Projections!$B$123,0)</f>
        <v>0</v>
      </c>
      <c r="AE165" s="56">
        <f>IF(AE2=Projections!$E$123,Projections!$B$123,0)</f>
        <v>0</v>
      </c>
      <c r="AF165" s="56">
        <f>IF(AF2=Projections!$E$123,Projections!$B$123,0)</f>
        <v>0</v>
      </c>
      <c r="AG165" s="56">
        <f>IF(AG2=Projections!$E$123,Projections!$B$123,0)</f>
        <v>0</v>
      </c>
      <c r="AH165" s="56">
        <f>IF(AH2=Projections!$E$123,Projections!$B$123,0)</f>
        <v>0</v>
      </c>
      <c r="AI165" s="56">
        <f>IF(AI2=Projections!$E$123,Projections!$B$123,0)</f>
        <v>0</v>
      </c>
      <c r="AJ165" s="56">
        <f>IF(AJ2=Projections!$E$123,Projections!$B$123,0)</f>
        <v>0</v>
      </c>
      <c r="AK165" s="56">
        <f>IF(AK2=Projections!$E$123,Projections!$B$123,0)</f>
        <v>0</v>
      </c>
      <c r="AL165" s="56">
        <f>IF(AL2=Projections!$E$123,Projections!$B$123,0)</f>
        <v>0</v>
      </c>
      <c r="AM165" s="56">
        <f>IF(AM2=Projections!$E$123,Projections!$B$123,0)</f>
        <v>0</v>
      </c>
      <c r="AN165" s="56">
        <f>IF(AN2=Projections!$E$123,Projections!$B$123,0)</f>
        <v>0</v>
      </c>
      <c r="AO165" s="56">
        <f>IF(AO2=Projections!$E$123,Projections!$B$123,0)</f>
        <v>0</v>
      </c>
      <c r="AP165" s="56">
        <f>IF(AP2=Projections!$E$123,Projections!$B$123,0)</f>
        <v>0</v>
      </c>
      <c r="AQ165" s="56">
        <f>IF(AQ2=Projections!$E$123,Projections!$B$123,0)</f>
        <v>0</v>
      </c>
      <c r="AR165" s="56">
        <f>IF(AR2=Projections!$E$123,Projections!$B$123,0)</f>
        <v>0</v>
      </c>
      <c r="AS165" s="56">
        <f>IF(AS2=Projections!$E$123,Projections!$B$123,0)</f>
        <v>0</v>
      </c>
      <c r="AT165" s="56">
        <f>IF(AT2=Projections!$E$123,Projections!$B$123,0)</f>
        <v>0</v>
      </c>
      <c r="AU165" s="56">
        <f>IF(AU2=Projections!$E$123,Projections!$B$123,0)</f>
        <v>0</v>
      </c>
      <c r="AV165" s="56">
        <f>IF(AV2=Projections!$E$123,Projections!$B$123,0)</f>
        <v>0</v>
      </c>
      <c r="AW165" s="56">
        <f>IF(AW2=Projections!$E$123,Projections!$B$123,0)</f>
        <v>0</v>
      </c>
      <c r="AX165" s="56">
        <f>IF(AX2=Projections!$E$123,Projections!$B$123,0)</f>
        <v>0</v>
      </c>
      <c r="AY165" s="56">
        <f>IF(AY2=Projections!$E$123,Projections!$B$123,0)</f>
        <v>0</v>
      </c>
      <c r="AZ165" s="56">
        <f>IF(AZ2=Projections!$E$123,Projections!$B$123,0)</f>
        <v>0</v>
      </c>
      <c r="BA165" s="56">
        <f>IF(BA2=Projections!$E$123,Projections!$B$123,0)</f>
        <v>0</v>
      </c>
      <c r="BB165" s="56">
        <f>IF(BB2=Projections!$E$123,Projections!$B$123,0)</f>
        <v>0</v>
      </c>
      <c r="BC165" s="56">
        <f>IF(BC2=Projections!$E$123,Projections!$B$123,0)</f>
        <v>0</v>
      </c>
      <c r="BD165" s="56">
        <f>IF(BD2=Projections!$E$123,Projections!$B$123,0)</f>
        <v>0</v>
      </c>
      <c r="BE165" s="56">
        <f>IF(BE2=Projections!$E$123,Projections!$B$123,0)</f>
        <v>0</v>
      </c>
      <c r="BF165" s="56">
        <f>IF(BF2=Projections!$E$123,Projections!$B$123,0)</f>
        <v>0</v>
      </c>
      <c r="BG165" s="56">
        <f>IF(BG2=Projections!$E$123,Projections!$B$123,0)</f>
        <v>0</v>
      </c>
      <c r="BH165" s="56">
        <f>IF(BH2=Projections!$E$123,Projections!$B$123,0)</f>
        <v>0</v>
      </c>
      <c r="BI165" s="56">
        <f>IF(BI2=Projections!$E$123,Projections!$B$123,0)</f>
        <v>0</v>
      </c>
      <c r="BJ165" s="56">
        <f>IF(BJ2=Projections!$E$123,Projections!$B$123,0)</f>
        <v>0</v>
      </c>
      <c r="BK165" s="56">
        <f>IF(BK2=Projections!$E$123,Projections!$B$123,0)</f>
        <v>0</v>
      </c>
      <c r="BL165" s="56">
        <f>IF(BL2=Projections!$E$123,Projections!$B$123,0)</f>
        <v>0</v>
      </c>
      <c r="BM165" s="56">
        <f>IF(BM2=Projections!$E$123,Projections!$B$123,0)</f>
        <v>0</v>
      </c>
      <c r="BN165" s="56">
        <f>IF(BN2=Projections!$E$123,Projections!$B$123,0)</f>
        <v>0</v>
      </c>
      <c r="BO165" s="56">
        <f>IF(BO2=Projections!$E$123,Projections!$B$123,0)</f>
        <v>0</v>
      </c>
      <c r="BP165" s="56">
        <f>IF(BP2=Projections!$E$123,Projections!$B$123,0)</f>
        <v>0</v>
      </c>
      <c r="BQ165" s="56">
        <f>IF(BQ2=Projections!$E$123,Projections!$B$123,0)</f>
        <v>0</v>
      </c>
      <c r="BR165" s="56">
        <f>IF(BR2=Projections!$E$123,Projections!$B$123,0)</f>
        <v>0</v>
      </c>
      <c r="BS165" s="56">
        <f>IF(BS2=Projections!$E$123,Projections!$B$123,0)</f>
        <v>0</v>
      </c>
      <c r="BT165" s="56">
        <f>IF(BT2=Projections!$E$123,Projections!$B$123,0)</f>
        <v>0</v>
      </c>
      <c r="BU165" s="56">
        <f>IF(BU2=Projections!$E$123,Projections!$B$123,0)</f>
        <v>0</v>
      </c>
      <c r="BV165" s="56">
        <f>IF(BV2=Projections!$E$123,Projections!$B$123,0)</f>
        <v>0</v>
      </c>
      <c r="BW165" s="56">
        <f>IF(BW2=Projections!$E$123,Projections!$B$123,0)</f>
        <v>0</v>
      </c>
      <c r="BX165" s="56">
        <f>IF(BX2=Projections!$E$123,Projections!$B$123,0)</f>
        <v>0</v>
      </c>
      <c r="BY165" s="56">
        <f>IF(BY2=Projections!$E$123,Projections!$B$123,0)</f>
        <v>0</v>
      </c>
      <c r="BZ165" s="56">
        <f>IF(BZ2=Projections!$E$123,Projections!$B$123,0)</f>
        <v>0</v>
      </c>
      <c r="CA165" s="56">
        <f>IF(CA2=Projections!$E$123,Projections!$B$123,0)</f>
        <v>0</v>
      </c>
      <c r="CB165" s="56">
        <f>IF(CB2=Projections!$E$123,Projections!$B$123,0)</f>
        <v>0</v>
      </c>
      <c r="CC165" s="56">
        <f>IF(CC2=Projections!$E$123,Projections!$B$123,0)</f>
        <v>0</v>
      </c>
      <c r="CD165" s="56">
        <f>IF(CD2=Projections!$E$123,Projections!$B$123,0)</f>
        <v>0</v>
      </c>
      <c r="CE165" s="56">
        <f>IF(CE2=Projections!$E$123,Projections!$B$123,0)</f>
        <v>0</v>
      </c>
      <c r="CF165" s="56">
        <f>IF(CF2=Projections!$E$123,Projections!$B$123,0)</f>
        <v>0</v>
      </c>
      <c r="CG165" s="56">
        <f>IF(CG2=Projections!$E$123,Projections!$B$123,0)</f>
        <v>0</v>
      </c>
      <c r="CH165" s="56">
        <f>IF(CH2=Projections!$E$123,Projections!$B$123,0)</f>
        <v>0</v>
      </c>
      <c r="CI165" s="56">
        <f>IF(CI2=Projections!$E$123,Projections!$B$123,0)</f>
        <v>0</v>
      </c>
      <c r="CJ165" s="56">
        <f>IF(CJ2=Projections!$E$123,Projections!$B$123,0)</f>
        <v>0</v>
      </c>
      <c r="CK165" s="56">
        <f>IF(CK2=Projections!$E$123,Projections!$B$123,0)</f>
        <v>0</v>
      </c>
      <c r="CL165" s="56">
        <f>IF(CL2=Projections!$E$123,Projections!$B$123,0)</f>
        <v>0</v>
      </c>
      <c r="CM165" s="56">
        <f>IF(CM2=Projections!$E$123,Projections!$B$123,0)</f>
        <v>0</v>
      </c>
      <c r="CN165" s="56">
        <f>IF(CN2=Projections!$E$123,Projections!$B$123,0)</f>
        <v>0</v>
      </c>
      <c r="CO165" s="56">
        <f>IF(CO2=Projections!$E$123,Projections!$B$123,0)</f>
        <v>0</v>
      </c>
      <c r="CP165" s="56">
        <f>IF(CP2=Projections!$E$123,Projections!$B$123,0)</f>
        <v>0</v>
      </c>
      <c r="CQ165" s="56">
        <f>IF(CQ2=Projections!$E$123,Projections!$B$123,0)</f>
        <v>0</v>
      </c>
      <c r="CR165" s="56">
        <f>IF(CR2=Projections!$E$123,Projections!$B$123,0)</f>
        <v>0</v>
      </c>
      <c r="CS165" s="56">
        <f>IF(CS2=Projections!$E$123,Projections!$B$123,0)</f>
        <v>0</v>
      </c>
      <c r="CT165" s="56">
        <f>IF(CT2=Projections!$E$123,Projections!$B$123,0)</f>
        <v>0</v>
      </c>
      <c r="CU165" s="56">
        <f>IF(CU2=Projections!$E$123,Projections!$B$123,0)</f>
        <v>0</v>
      </c>
      <c r="CV165" s="56">
        <f>IF(CV2=Projections!$E$123,Projections!$B$123,0)</f>
        <v>0</v>
      </c>
      <c r="CW165" s="56">
        <f>IF(CW2=Projections!$E$123,Projections!$B$123,0)</f>
        <v>0</v>
      </c>
      <c r="CX165" s="56">
        <f>IF(CX2=Projections!$E$123,Projections!$B$123,0)</f>
        <v>0</v>
      </c>
    </row>
    <row r="166" ht="15.75" customHeight="1" outlineLevel="1">
      <c r="A166" s="56" t="str">
        <f>Projections!A124</f>
        <v>Asset 5</v>
      </c>
      <c r="B166" s="56"/>
      <c r="C166" s="56"/>
      <c r="D166" s="56"/>
      <c r="E166" s="56">
        <f>IF(E2=Projections!$E$124,Projections!$B$124,0)</f>
        <v>0</v>
      </c>
      <c r="F166" s="56">
        <f>IF(F2=Projections!$E$124,Projections!$B$124,0)</f>
        <v>0</v>
      </c>
      <c r="G166" s="56">
        <f>IF(G2=Projections!$E$124,Projections!$B$124,0)</f>
        <v>0</v>
      </c>
      <c r="H166" s="56">
        <f>IF(H2=Projections!$E$124,Projections!$B$124,0)</f>
        <v>0</v>
      </c>
      <c r="I166" s="56">
        <f>IF(I2=Projections!$E$124,Projections!$B$124,0)</f>
        <v>0</v>
      </c>
      <c r="J166" s="56">
        <f>IF(J2=Projections!$E$124,Projections!$B$124,0)</f>
        <v>0</v>
      </c>
      <c r="K166" s="56">
        <f>IF(K2=Projections!$E$124,Projections!$B$124,0)</f>
        <v>0</v>
      </c>
      <c r="L166" s="56">
        <f>IF(L2=Projections!$E$124,Projections!$B$124,0)</f>
        <v>0</v>
      </c>
      <c r="M166" s="56">
        <f>IF(M2=Projections!$E$124,Projections!$B$124,0)</f>
        <v>0</v>
      </c>
      <c r="N166" s="56">
        <f>IF(N2=Projections!$E$124,Projections!$B$124,0)</f>
        <v>0</v>
      </c>
      <c r="O166" s="56">
        <f>IF(O2=Projections!$E$124,Projections!$B$124,0)</f>
        <v>0</v>
      </c>
      <c r="P166" s="56">
        <f>IF(P2=Projections!$E$124,Projections!$B$124,0)</f>
        <v>0</v>
      </c>
      <c r="Q166" s="56">
        <f>IF(Q2=Projections!$E$124,Projections!$B$124,0)</f>
        <v>0</v>
      </c>
      <c r="R166" s="56">
        <f>IF(R2=Projections!$E$124,Projections!$B$124,0)</f>
        <v>0</v>
      </c>
      <c r="S166" s="56">
        <f>IF(S2=Projections!$E$124,Projections!$B$124,0)</f>
        <v>0</v>
      </c>
      <c r="T166" s="56">
        <f>IF(T2=Projections!$E$124,Projections!$B$124,0)</f>
        <v>0</v>
      </c>
      <c r="U166" s="56">
        <f>IF(U2=Projections!$E$124,Projections!$B$124,0)</f>
        <v>0</v>
      </c>
      <c r="V166" s="56">
        <f>IF(V2=Projections!$E$124,Projections!$B$124,0)</f>
        <v>0</v>
      </c>
      <c r="W166" s="56">
        <f>IF(W2=Projections!$E$124,Projections!$B$124,0)</f>
        <v>0</v>
      </c>
      <c r="X166" s="56">
        <f>IF(X2=Projections!$E$124,Projections!$B$124,0)</f>
        <v>0</v>
      </c>
      <c r="Y166" s="56">
        <f>IF(Y2=Projections!$E$124,Projections!$B$124,0)</f>
        <v>0</v>
      </c>
      <c r="Z166" s="56">
        <f>IF(Z2=Projections!$E$124,Projections!$B$124,0)</f>
        <v>0</v>
      </c>
      <c r="AA166" s="56">
        <f>IF(AA2=Projections!$E$124,Projections!$B$124,0)</f>
        <v>0</v>
      </c>
      <c r="AB166" s="56">
        <f>IF(AB2=Projections!$E$124,Projections!$B$124,0)</f>
        <v>0</v>
      </c>
      <c r="AC166" s="56">
        <f>IF(AC2=Projections!$E$124,Projections!$B$124,0)</f>
        <v>0</v>
      </c>
      <c r="AD166" s="56">
        <f>IF(AD2=Projections!$E$124,Projections!$B$124,0)</f>
        <v>0</v>
      </c>
      <c r="AE166" s="56">
        <f>IF(AE2=Projections!$E$124,Projections!$B$124,0)</f>
        <v>0</v>
      </c>
      <c r="AF166" s="56">
        <f>IF(AF2=Projections!$E$124,Projections!$B$124,0)</f>
        <v>0</v>
      </c>
      <c r="AG166" s="56">
        <f>IF(AG2=Projections!$E$124,Projections!$B$124,0)</f>
        <v>0</v>
      </c>
      <c r="AH166" s="56">
        <f>IF(AH2=Projections!$E$124,Projections!$B$124,0)</f>
        <v>0</v>
      </c>
      <c r="AI166" s="56">
        <f>IF(AI2=Projections!$E$124,Projections!$B$124,0)</f>
        <v>0</v>
      </c>
      <c r="AJ166" s="56">
        <f>IF(AJ2=Projections!$E$124,Projections!$B$124,0)</f>
        <v>0</v>
      </c>
      <c r="AK166" s="56">
        <f>IF(AK2=Projections!$E$124,Projections!$B$124,0)</f>
        <v>0</v>
      </c>
      <c r="AL166" s="56">
        <f>IF(AL2=Projections!$E$124,Projections!$B$124,0)</f>
        <v>0</v>
      </c>
      <c r="AM166" s="56">
        <f>IF(AM2=Projections!$E$124,Projections!$B$124,0)</f>
        <v>0</v>
      </c>
      <c r="AN166" s="56">
        <f>IF(AN2=Projections!$E$124,Projections!$B$124,0)</f>
        <v>0</v>
      </c>
      <c r="AO166" s="56">
        <f>IF(AO2=Projections!$E$124,Projections!$B$124,0)</f>
        <v>0</v>
      </c>
      <c r="AP166" s="56">
        <f>IF(AP2=Projections!$E$124,Projections!$B$124,0)</f>
        <v>0</v>
      </c>
      <c r="AQ166" s="56">
        <f>IF(AQ2=Projections!$E$124,Projections!$B$124,0)</f>
        <v>0</v>
      </c>
      <c r="AR166" s="56">
        <f>IF(AR2=Projections!$E$124,Projections!$B$124,0)</f>
        <v>0</v>
      </c>
      <c r="AS166" s="56">
        <f>IF(AS2=Projections!$E$124,Projections!$B$124,0)</f>
        <v>0</v>
      </c>
      <c r="AT166" s="56">
        <f>IF(AT2=Projections!$E$124,Projections!$B$124,0)</f>
        <v>0</v>
      </c>
      <c r="AU166" s="56">
        <f>IF(AU2=Projections!$E$124,Projections!$B$124,0)</f>
        <v>0</v>
      </c>
      <c r="AV166" s="56">
        <f>IF(AV2=Projections!$E$124,Projections!$B$124,0)</f>
        <v>0</v>
      </c>
      <c r="AW166" s="56">
        <f>IF(AW2=Projections!$E$124,Projections!$B$124,0)</f>
        <v>0</v>
      </c>
      <c r="AX166" s="56">
        <f>IF(AX2=Projections!$E$124,Projections!$B$124,0)</f>
        <v>0</v>
      </c>
      <c r="AY166" s="56">
        <f>IF(AY2=Projections!$E$124,Projections!$B$124,0)</f>
        <v>0</v>
      </c>
      <c r="AZ166" s="56">
        <f>IF(AZ2=Projections!$E$124,Projections!$B$124,0)</f>
        <v>0</v>
      </c>
      <c r="BA166" s="56">
        <f>IF(BA2=Projections!$E$124,Projections!$B$124,0)</f>
        <v>0</v>
      </c>
      <c r="BB166" s="56">
        <f>IF(BB2=Projections!$E$124,Projections!$B$124,0)</f>
        <v>0</v>
      </c>
      <c r="BC166" s="56">
        <f>IF(BC2=Projections!$E$124,Projections!$B$124,0)</f>
        <v>0</v>
      </c>
      <c r="BD166" s="56">
        <f>IF(BD2=Projections!$E$124,Projections!$B$124,0)</f>
        <v>0</v>
      </c>
      <c r="BE166" s="56">
        <f>IF(BE2=Projections!$E$124,Projections!$B$124,0)</f>
        <v>0</v>
      </c>
      <c r="BF166" s="56">
        <f>IF(BF2=Projections!$E$124,Projections!$B$124,0)</f>
        <v>0</v>
      </c>
      <c r="BG166" s="56">
        <f>IF(BG2=Projections!$E$124,Projections!$B$124,0)</f>
        <v>0</v>
      </c>
      <c r="BH166" s="56">
        <f>IF(BH2=Projections!$E$124,Projections!$B$124,0)</f>
        <v>0</v>
      </c>
      <c r="BI166" s="56">
        <f>IF(BI2=Projections!$E$124,Projections!$B$124,0)</f>
        <v>0</v>
      </c>
      <c r="BJ166" s="56">
        <f>IF(BJ2=Projections!$E$124,Projections!$B$124,0)</f>
        <v>0</v>
      </c>
      <c r="BK166" s="56">
        <f>IF(BK2=Projections!$E$124,Projections!$B$124,0)</f>
        <v>0</v>
      </c>
      <c r="BL166" s="56">
        <f>IF(BL2=Projections!$E$124,Projections!$B$124,0)</f>
        <v>0</v>
      </c>
      <c r="BM166" s="56">
        <f>IF(BM2=Projections!$E$124,Projections!$B$124,0)</f>
        <v>0</v>
      </c>
      <c r="BN166" s="56">
        <f>IF(BN2=Projections!$E$124,Projections!$B$124,0)</f>
        <v>0</v>
      </c>
      <c r="BO166" s="56">
        <f>IF(BO2=Projections!$E$124,Projections!$B$124,0)</f>
        <v>0</v>
      </c>
      <c r="BP166" s="56">
        <f>IF(BP2=Projections!$E$124,Projections!$B$124,0)</f>
        <v>0</v>
      </c>
      <c r="BQ166" s="56">
        <f>IF(BQ2=Projections!$E$124,Projections!$B$124,0)</f>
        <v>0</v>
      </c>
      <c r="BR166" s="56">
        <f>IF(BR2=Projections!$E$124,Projections!$B$124,0)</f>
        <v>0</v>
      </c>
      <c r="BS166" s="56">
        <f>IF(BS2=Projections!$E$124,Projections!$B$124,0)</f>
        <v>0</v>
      </c>
      <c r="BT166" s="56">
        <f>IF(BT2=Projections!$E$124,Projections!$B$124,0)</f>
        <v>0</v>
      </c>
      <c r="BU166" s="56">
        <f>IF(BU2=Projections!$E$124,Projections!$B$124,0)</f>
        <v>0</v>
      </c>
      <c r="BV166" s="56">
        <f>IF(BV2=Projections!$E$124,Projections!$B$124,0)</f>
        <v>0</v>
      </c>
      <c r="BW166" s="56">
        <f>IF(BW2=Projections!$E$124,Projections!$B$124,0)</f>
        <v>0</v>
      </c>
      <c r="BX166" s="56">
        <f>IF(BX2=Projections!$E$124,Projections!$B$124,0)</f>
        <v>0</v>
      </c>
      <c r="BY166" s="56">
        <f>IF(BY2=Projections!$E$124,Projections!$B$124,0)</f>
        <v>0</v>
      </c>
      <c r="BZ166" s="56">
        <f>IF(BZ2=Projections!$E$124,Projections!$B$124,0)</f>
        <v>0</v>
      </c>
      <c r="CA166" s="56">
        <f>IF(CA2=Projections!$E$124,Projections!$B$124,0)</f>
        <v>0</v>
      </c>
      <c r="CB166" s="56">
        <f>IF(CB2=Projections!$E$124,Projections!$B$124,0)</f>
        <v>0</v>
      </c>
      <c r="CC166" s="56">
        <f>IF(CC2=Projections!$E$124,Projections!$B$124,0)</f>
        <v>0</v>
      </c>
      <c r="CD166" s="56">
        <f>IF(CD2=Projections!$E$124,Projections!$B$124,0)</f>
        <v>0</v>
      </c>
      <c r="CE166" s="56">
        <f>IF(CE2=Projections!$E$124,Projections!$B$124,0)</f>
        <v>0</v>
      </c>
      <c r="CF166" s="56">
        <f>IF(CF2=Projections!$E$124,Projections!$B$124,0)</f>
        <v>0</v>
      </c>
      <c r="CG166" s="56">
        <f>IF(CG2=Projections!$E$124,Projections!$B$124,0)</f>
        <v>0</v>
      </c>
      <c r="CH166" s="56">
        <f>IF(CH2=Projections!$E$124,Projections!$B$124,0)</f>
        <v>0</v>
      </c>
      <c r="CI166" s="56">
        <f>IF(CI2=Projections!$E$124,Projections!$B$124,0)</f>
        <v>0</v>
      </c>
      <c r="CJ166" s="56">
        <f>IF(CJ2=Projections!$E$124,Projections!$B$124,0)</f>
        <v>0</v>
      </c>
      <c r="CK166" s="56">
        <f>IF(CK2=Projections!$E$124,Projections!$B$124,0)</f>
        <v>0</v>
      </c>
      <c r="CL166" s="56">
        <f>IF(CL2=Projections!$E$124,Projections!$B$124,0)</f>
        <v>0</v>
      </c>
      <c r="CM166" s="56">
        <f>IF(CM2=Projections!$E$124,Projections!$B$124,0)</f>
        <v>0</v>
      </c>
      <c r="CN166" s="56">
        <f>IF(CN2=Projections!$E$124,Projections!$B$124,0)</f>
        <v>0</v>
      </c>
      <c r="CO166" s="56">
        <f>IF(CO2=Projections!$E$124,Projections!$B$124,0)</f>
        <v>0</v>
      </c>
      <c r="CP166" s="56">
        <f>IF(CP2=Projections!$E$124,Projections!$B$124,0)</f>
        <v>0</v>
      </c>
      <c r="CQ166" s="56">
        <f>IF(CQ2=Projections!$E$124,Projections!$B$124,0)</f>
        <v>0</v>
      </c>
      <c r="CR166" s="56">
        <f>IF(CR2=Projections!$E$124,Projections!$B$124,0)</f>
        <v>0</v>
      </c>
      <c r="CS166" s="56">
        <f>IF(CS2=Projections!$E$124,Projections!$B$124,0)</f>
        <v>0</v>
      </c>
      <c r="CT166" s="56">
        <f>IF(CT2=Projections!$E$124,Projections!$B$124,0)</f>
        <v>0</v>
      </c>
      <c r="CU166" s="56">
        <f>IF(CU2=Projections!$E$124,Projections!$B$124,0)</f>
        <v>0</v>
      </c>
      <c r="CV166" s="56">
        <f>IF(CV2=Projections!$E$124,Projections!$B$124,0)</f>
        <v>0</v>
      </c>
      <c r="CW166" s="56">
        <f>IF(CW2=Projections!$E$124,Projections!$B$124,0)</f>
        <v>0</v>
      </c>
      <c r="CX166" s="56">
        <f>IF(CX2=Projections!$E$124,Projections!$B$124,0)</f>
        <v>0</v>
      </c>
    </row>
    <row r="167" ht="15.75" customHeight="1" outlineLevel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  <c r="CS167" s="56"/>
      <c r="CT167" s="56"/>
      <c r="CU167" s="56"/>
      <c r="CV167" s="56"/>
      <c r="CW167" s="56"/>
      <c r="CX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</row>
    <row r="169" ht="15.75" customHeight="1">
      <c r="A169" s="146" t="s">
        <v>235</v>
      </c>
      <c r="B169" s="56"/>
      <c r="C169" s="56"/>
      <c r="D169" s="56"/>
      <c r="E169" s="60">
        <f t="shared" ref="E169:CX169" si="31">SUM(E170:E175)</f>
        <v>500</v>
      </c>
      <c r="F169" s="60">
        <f t="shared" si="31"/>
        <v>500</v>
      </c>
      <c r="G169" s="60">
        <f t="shared" si="31"/>
        <v>500</v>
      </c>
      <c r="H169" s="60">
        <f t="shared" si="31"/>
        <v>500</v>
      </c>
      <c r="I169" s="60">
        <f t="shared" si="31"/>
        <v>500</v>
      </c>
      <c r="J169" s="60">
        <f t="shared" si="31"/>
        <v>500</v>
      </c>
      <c r="K169" s="60">
        <f t="shared" si="31"/>
        <v>500</v>
      </c>
      <c r="L169" s="60">
        <f t="shared" si="31"/>
        <v>500</v>
      </c>
      <c r="M169" s="60">
        <f t="shared" si="31"/>
        <v>500</v>
      </c>
      <c r="N169" s="60">
        <f t="shared" si="31"/>
        <v>500</v>
      </c>
      <c r="O169" s="60">
        <f t="shared" si="31"/>
        <v>500</v>
      </c>
      <c r="P169" s="60">
        <f t="shared" si="31"/>
        <v>500</v>
      </c>
      <c r="Q169" s="60">
        <f t="shared" si="31"/>
        <v>500</v>
      </c>
      <c r="R169" s="60">
        <f t="shared" si="31"/>
        <v>500</v>
      </c>
      <c r="S169" s="60">
        <f t="shared" si="31"/>
        <v>500</v>
      </c>
      <c r="T169" s="60">
        <f t="shared" si="31"/>
        <v>500</v>
      </c>
      <c r="U169" s="60">
        <f t="shared" si="31"/>
        <v>500</v>
      </c>
      <c r="V169" s="60">
        <f t="shared" si="31"/>
        <v>500</v>
      </c>
      <c r="W169" s="60">
        <f t="shared" si="31"/>
        <v>500</v>
      </c>
      <c r="X169" s="60">
        <f t="shared" si="31"/>
        <v>500</v>
      </c>
      <c r="Y169" s="60">
        <f t="shared" si="31"/>
        <v>500</v>
      </c>
      <c r="Z169" s="60">
        <f t="shared" si="31"/>
        <v>500</v>
      </c>
      <c r="AA169" s="60">
        <f t="shared" si="31"/>
        <v>500</v>
      </c>
      <c r="AB169" s="60">
        <f t="shared" si="31"/>
        <v>500</v>
      </c>
      <c r="AC169" s="60">
        <f t="shared" si="31"/>
        <v>0</v>
      </c>
      <c r="AD169" s="60">
        <f t="shared" si="31"/>
        <v>166.6666667</v>
      </c>
      <c r="AE169" s="60">
        <f t="shared" si="31"/>
        <v>166.6666667</v>
      </c>
      <c r="AF169" s="60">
        <f t="shared" si="31"/>
        <v>166.6666667</v>
      </c>
      <c r="AG169" s="60">
        <f t="shared" si="31"/>
        <v>166.6666667</v>
      </c>
      <c r="AH169" s="60">
        <f t="shared" si="31"/>
        <v>166.6666667</v>
      </c>
      <c r="AI169" s="60">
        <f t="shared" si="31"/>
        <v>166.6666667</v>
      </c>
      <c r="AJ169" s="60">
        <f t="shared" si="31"/>
        <v>166.6666667</v>
      </c>
      <c r="AK169" s="60">
        <f t="shared" si="31"/>
        <v>166.6666667</v>
      </c>
      <c r="AL169" s="60">
        <f t="shared" si="31"/>
        <v>250</v>
      </c>
      <c r="AM169" s="60">
        <f t="shared" si="31"/>
        <v>250</v>
      </c>
      <c r="AN169" s="60">
        <f t="shared" si="31"/>
        <v>250</v>
      </c>
      <c r="AO169" s="60">
        <f t="shared" si="31"/>
        <v>333.3333333</v>
      </c>
      <c r="AP169" s="60">
        <f t="shared" si="31"/>
        <v>750</v>
      </c>
      <c r="AQ169" s="60">
        <f t="shared" si="31"/>
        <v>750</v>
      </c>
      <c r="AR169" s="60">
        <f t="shared" si="31"/>
        <v>750</v>
      </c>
      <c r="AS169" s="60">
        <f t="shared" si="31"/>
        <v>750</v>
      </c>
      <c r="AT169" s="60">
        <f t="shared" si="31"/>
        <v>750</v>
      </c>
      <c r="AU169" s="60">
        <f t="shared" si="31"/>
        <v>750</v>
      </c>
      <c r="AV169" s="60">
        <f t="shared" si="31"/>
        <v>750</v>
      </c>
      <c r="AW169" s="60">
        <f t="shared" si="31"/>
        <v>750</v>
      </c>
      <c r="AX169" s="60">
        <f t="shared" si="31"/>
        <v>750</v>
      </c>
      <c r="AY169" s="60">
        <f t="shared" si="31"/>
        <v>750</v>
      </c>
      <c r="AZ169" s="60">
        <f t="shared" si="31"/>
        <v>750</v>
      </c>
      <c r="BA169" s="60">
        <f t="shared" si="31"/>
        <v>750</v>
      </c>
      <c r="BB169" s="60">
        <f t="shared" si="31"/>
        <v>583.3333333</v>
      </c>
      <c r="BC169" s="60">
        <f t="shared" si="31"/>
        <v>583.3333333</v>
      </c>
      <c r="BD169" s="60">
        <f t="shared" si="31"/>
        <v>583.3333333</v>
      </c>
      <c r="BE169" s="60">
        <f t="shared" si="31"/>
        <v>583.3333333</v>
      </c>
      <c r="BF169" s="60">
        <f t="shared" si="31"/>
        <v>583.3333333</v>
      </c>
      <c r="BG169" s="60">
        <f t="shared" si="31"/>
        <v>583.3333333</v>
      </c>
      <c r="BH169" s="60">
        <f t="shared" si="31"/>
        <v>583.3333333</v>
      </c>
      <c r="BI169" s="60">
        <f t="shared" si="31"/>
        <v>583.3333333</v>
      </c>
      <c r="BJ169" s="60">
        <f t="shared" si="31"/>
        <v>500</v>
      </c>
      <c r="BK169" s="60">
        <f t="shared" si="31"/>
        <v>500</v>
      </c>
      <c r="BL169" s="60">
        <f t="shared" si="31"/>
        <v>500</v>
      </c>
      <c r="BM169" s="60">
        <f t="shared" si="31"/>
        <v>416.6666667</v>
      </c>
      <c r="BN169" s="60">
        <f t="shared" si="31"/>
        <v>0</v>
      </c>
      <c r="BO169" s="60">
        <f t="shared" si="31"/>
        <v>0</v>
      </c>
      <c r="BP169" s="60">
        <f t="shared" si="31"/>
        <v>0</v>
      </c>
      <c r="BQ169" s="60">
        <f t="shared" si="31"/>
        <v>0</v>
      </c>
      <c r="BR169" s="60">
        <f t="shared" si="31"/>
        <v>0</v>
      </c>
      <c r="BS169" s="60">
        <f t="shared" si="31"/>
        <v>0</v>
      </c>
      <c r="BT169" s="60">
        <f t="shared" si="31"/>
        <v>0</v>
      </c>
      <c r="BU169" s="60">
        <f t="shared" si="31"/>
        <v>0</v>
      </c>
      <c r="BV169" s="60">
        <f t="shared" si="31"/>
        <v>0</v>
      </c>
      <c r="BW169" s="60">
        <f t="shared" si="31"/>
        <v>0</v>
      </c>
      <c r="BX169" s="60">
        <f t="shared" si="31"/>
        <v>0</v>
      </c>
      <c r="BY169" s="60">
        <f t="shared" si="31"/>
        <v>0</v>
      </c>
      <c r="BZ169" s="60">
        <f t="shared" si="31"/>
        <v>0</v>
      </c>
      <c r="CA169" s="60">
        <f t="shared" si="31"/>
        <v>0</v>
      </c>
      <c r="CB169" s="60">
        <f t="shared" si="31"/>
        <v>0</v>
      </c>
      <c r="CC169" s="60">
        <f t="shared" si="31"/>
        <v>0</v>
      </c>
      <c r="CD169" s="60">
        <f t="shared" si="31"/>
        <v>0</v>
      </c>
      <c r="CE169" s="60">
        <f t="shared" si="31"/>
        <v>0</v>
      </c>
      <c r="CF169" s="60">
        <f t="shared" si="31"/>
        <v>0</v>
      </c>
      <c r="CG169" s="60">
        <f t="shared" si="31"/>
        <v>0</v>
      </c>
      <c r="CH169" s="60">
        <f t="shared" si="31"/>
        <v>0</v>
      </c>
      <c r="CI169" s="60">
        <f t="shared" si="31"/>
        <v>0</v>
      </c>
      <c r="CJ169" s="60">
        <f t="shared" si="31"/>
        <v>0</v>
      </c>
      <c r="CK169" s="60">
        <f t="shared" si="31"/>
        <v>0</v>
      </c>
      <c r="CL169" s="60">
        <f t="shared" si="31"/>
        <v>0</v>
      </c>
      <c r="CM169" s="60">
        <f t="shared" si="31"/>
        <v>0</v>
      </c>
      <c r="CN169" s="60">
        <f t="shared" si="31"/>
        <v>0</v>
      </c>
      <c r="CO169" s="60">
        <f t="shared" si="31"/>
        <v>0</v>
      </c>
      <c r="CP169" s="60">
        <f t="shared" si="31"/>
        <v>0</v>
      </c>
      <c r="CQ169" s="60">
        <f t="shared" si="31"/>
        <v>0</v>
      </c>
      <c r="CR169" s="60">
        <f t="shared" si="31"/>
        <v>0</v>
      </c>
      <c r="CS169" s="60">
        <f t="shared" si="31"/>
        <v>0</v>
      </c>
      <c r="CT169" s="60">
        <f t="shared" si="31"/>
        <v>0</v>
      </c>
      <c r="CU169" s="60">
        <f t="shared" si="31"/>
        <v>0</v>
      </c>
      <c r="CV169" s="60">
        <f t="shared" si="31"/>
        <v>0</v>
      </c>
      <c r="CW169" s="60">
        <f t="shared" si="31"/>
        <v>0</v>
      </c>
      <c r="CX169" s="60">
        <f t="shared" si="31"/>
        <v>0</v>
      </c>
    </row>
    <row r="170" ht="15.75" customHeight="1" outlineLevel="1">
      <c r="A170" s="56" t="str">
        <f t="shared" ref="A170:A175" si="32">A161</f>
        <v>Computers</v>
      </c>
      <c r="B170" s="56"/>
      <c r="C170" s="56"/>
      <c r="D170" s="56"/>
      <c r="E170" s="56">
        <f>iferror((COUNTIF(Payroll!$I:$I,"&lt;="&amp;E2)-COUNTIF(Payroll!$I:$I,"&lt;="&amp;EDATE(E2,-Projections!$C$117)))*(Projections!$B$117/Projections!$C$117),0)</f>
        <v>500</v>
      </c>
      <c r="F170" s="56">
        <f>iferror((COUNTIF(Payroll!$I:$I,"&lt;="&amp;F2)-COUNTIF(Payroll!$I:$I,"&lt;="&amp;EDATE(F2,-Projections!$C$117)))*(Projections!$B$117/Projections!$C$117),0)</f>
        <v>500</v>
      </c>
      <c r="G170" s="56">
        <f>iferror((COUNTIF(Payroll!$I:$I,"&lt;="&amp;G2)-COUNTIF(Payroll!$I:$I,"&lt;="&amp;EDATE(G2,-Projections!$C$117)))*(Projections!$B$117/Projections!$C$117),0)</f>
        <v>500</v>
      </c>
      <c r="H170" s="56">
        <f>iferror((COUNTIF(Payroll!$I:$I,"&lt;="&amp;H2)-COUNTIF(Payroll!$I:$I,"&lt;="&amp;EDATE(H2,-Projections!$C$117)))*(Projections!$B$117/Projections!$C$117),0)</f>
        <v>500</v>
      </c>
      <c r="I170" s="56">
        <f>iferror((COUNTIF(Payroll!$I:$I,"&lt;="&amp;I2)-COUNTIF(Payroll!$I:$I,"&lt;="&amp;EDATE(I2,-Projections!$C$117)))*(Projections!$B$117/Projections!$C$117),0)</f>
        <v>500</v>
      </c>
      <c r="J170" s="56">
        <f>iferror((COUNTIF(Payroll!$I:$I,"&lt;="&amp;J2)-COUNTIF(Payroll!$I:$I,"&lt;="&amp;EDATE(J2,-Projections!$C$117)))*(Projections!$B$117/Projections!$C$117),0)</f>
        <v>500</v>
      </c>
      <c r="K170" s="56">
        <f>iferror((COUNTIF(Payroll!$I:$I,"&lt;="&amp;K2)-COUNTIF(Payroll!$I:$I,"&lt;="&amp;EDATE(K2,-Projections!$C$117)))*(Projections!$B$117/Projections!$C$117),0)</f>
        <v>500</v>
      </c>
      <c r="L170" s="56">
        <f>iferror((COUNTIF(Payroll!$I:$I,"&lt;="&amp;L2)-COUNTIF(Payroll!$I:$I,"&lt;="&amp;EDATE(L2,-Projections!$C$117)))*(Projections!$B$117/Projections!$C$117),0)</f>
        <v>500</v>
      </c>
      <c r="M170" s="56">
        <f>iferror((COUNTIF(Payroll!$I:$I,"&lt;="&amp;M2)-COUNTIF(Payroll!$I:$I,"&lt;="&amp;EDATE(M2,-Projections!$C$117)))*(Projections!$B$117/Projections!$C$117),0)</f>
        <v>500</v>
      </c>
      <c r="N170" s="56">
        <f>iferror((COUNTIF(Payroll!$I:$I,"&lt;="&amp;N2)-COUNTIF(Payroll!$I:$I,"&lt;="&amp;EDATE(N2,-Projections!$C$117)))*(Projections!$B$117/Projections!$C$117),0)</f>
        <v>500</v>
      </c>
      <c r="O170" s="56">
        <f>iferror((COUNTIF(Payroll!$I:$I,"&lt;="&amp;O2)-COUNTIF(Payroll!$I:$I,"&lt;="&amp;EDATE(O2,-Projections!$C$117)))*(Projections!$B$117/Projections!$C$117),0)</f>
        <v>500</v>
      </c>
      <c r="P170" s="56">
        <f>iferror((COUNTIF(Payroll!$I:$I,"&lt;="&amp;P2)-COUNTIF(Payroll!$I:$I,"&lt;="&amp;EDATE(P2,-Projections!$C$117)))*(Projections!$B$117/Projections!$C$117),0)</f>
        <v>500</v>
      </c>
      <c r="Q170" s="56">
        <f>iferror((COUNTIF(Payroll!$I:$I,"&lt;="&amp;Q2)-COUNTIF(Payroll!$I:$I,"&lt;="&amp;EDATE(Q2,-Projections!$C$117)))*(Projections!$B$117/Projections!$C$117),0)</f>
        <v>500</v>
      </c>
      <c r="R170" s="56">
        <f>iferror((COUNTIF(Payroll!$I:$I,"&lt;="&amp;R2)-COUNTIF(Payroll!$I:$I,"&lt;="&amp;EDATE(R2,-Projections!$C$117)))*(Projections!$B$117/Projections!$C$117),0)</f>
        <v>500</v>
      </c>
      <c r="S170" s="56">
        <f>iferror((COUNTIF(Payroll!$I:$I,"&lt;="&amp;S2)-COUNTIF(Payroll!$I:$I,"&lt;="&amp;EDATE(S2,-Projections!$C$117)))*(Projections!$B$117/Projections!$C$117),0)</f>
        <v>500</v>
      </c>
      <c r="T170" s="56">
        <f>iferror((COUNTIF(Payroll!$I:$I,"&lt;="&amp;T2)-COUNTIF(Payroll!$I:$I,"&lt;="&amp;EDATE(T2,-Projections!$C$117)))*(Projections!$B$117/Projections!$C$117),0)</f>
        <v>500</v>
      </c>
      <c r="U170" s="56">
        <f>iferror((COUNTIF(Payroll!$I:$I,"&lt;="&amp;U2)-COUNTIF(Payroll!$I:$I,"&lt;="&amp;EDATE(U2,-Projections!$C$117)))*(Projections!$B$117/Projections!$C$117),0)</f>
        <v>500</v>
      </c>
      <c r="V170" s="56">
        <f>iferror((COUNTIF(Payroll!$I:$I,"&lt;="&amp;V2)-COUNTIF(Payroll!$I:$I,"&lt;="&amp;EDATE(V2,-Projections!$C$117)))*(Projections!$B$117/Projections!$C$117),0)</f>
        <v>500</v>
      </c>
      <c r="W170" s="56">
        <f>iferror((COUNTIF(Payroll!$I:$I,"&lt;="&amp;W2)-COUNTIF(Payroll!$I:$I,"&lt;="&amp;EDATE(W2,-Projections!$C$117)))*(Projections!$B$117/Projections!$C$117),0)</f>
        <v>500</v>
      </c>
      <c r="X170" s="56">
        <f>iferror((COUNTIF(Payroll!$I:$I,"&lt;="&amp;X2)-COUNTIF(Payroll!$I:$I,"&lt;="&amp;EDATE(X2,-Projections!$C$117)))*(Projections!$B$117/Projections!$C$117),0)</f>
        <v>500</v>
      </c>
      <c r="Y170" s="56">
        <f>iferror((COUNTIF(Payroll!$I:$I,"&lt;="&amp;Y2)-COUNTIF(Payroll!$I:$I,"&lt;="&amp;EDATE(Y2,-Projections!$C$117)))*(Projections!$B$117/Projections!$C$117),0)</f>
        <v>500</v>
      </c>
      <c r="Z170" s="56">
        <f>iferror((COUNTIF(Payroll!$I:$I,"&lt;="&amp;Z2)-COUNTIF(Payroll!$I:$I,"&lt;="&amp;EDATE(Z2,-Projections!$C$117)))*(Projections!$B$117/Projections!$C$117),0)</f>
        <v>500</v>
      </c>
      <c r="AA170" s="56">
        <f>iferror((COUNTIF(Payroll!$I:$I,"&lt;="&amp;AA2)-COUNTIF(Payroll!$I:$I,"&lt;="&amp;EDATE(AA2,-Projections!$C$117)))*(Projections!$B$117/Projections!$C$117),0)</f>
        <v>500</v>
      </c>
      <c r="AB170" s="56">
        <f>iferror((COUNTIF(Payroll!$I:$I,"&lt;="&amp;AB2)-COUNTIF(Payroll!$I:$I,"&lt;="&amp;EDATE(AB2,-Projections!$C$117)))*(Projections!$B$117/Projections!$C$117),0)</f>
        <v>500</v>
      </c>
      <c r="AC170" s="56">
        <f>iferror((COUNTIF(Payroll!$I:$I,"&lt;="&amp;AC2)-COUNTIF(Payroll!$I:$I,"&lt;="&amp;EDATE(AC2,-Projections!$C$117)))*(Projections!$B$117/Projections!$C$117),0)</f>
        <v>0</v>
      </c>
      <c r="AD170" s="56">
        <f>iferror((COUNTIF(Payroll!$I:$I,"&lt;="&amp;AD2)-COUNTIF(Payroll!$I:$I,"&lt;="&amp;EDATE(AD2,-Projections!$C$117)))*(Projections!$B$117/Projections!$C$117),0)</f>
        <v>166.6666667</v>
      </c>
      <c r="AE170" s="56">
        <f>iferror((COUNTIF(Payroll!$I:$I,"&lt;="&amp;AE2)-COUNTIF(Payroll!$I:$I,"&lt;="&amp;EDATE(AE2,-Projections!$C$117)))*(Projections!$B$117/Projections!$C$117),0)</f>
        <v>166.6666667</v>
      </c>
      <c r="AF170" s="56">
        <f>iferror((COUNTIF(Payroll!$I:$I,"&lt;="&amp;AF2)-COUNTIF(Payroll!$I:$I,"&lt;="&amp;EDATE(AF2,-Projections!$C$117)))*(Projections!$B$117/Projections!$C$117),0)</f>
        <v>166.6666667</v>
      </c>
      <c r="AG170" s="56">
        <f>iferror((COUNTIF(Payroll!$I:$I,"&lt;="&amp;AG2)-COUNTIF(Payroll!$I:$I,"&lt;="&amp;EDATE(AG2,-Projections!$C$117)))*(Projections!$B$117/Projections!$C$117),0)</f>
        <v>166.6666667</v>
      </c>
      <c r="AH170" s="56">
        <f>iferror((COUNTIF(Payroll!$I:$I,"&lt;="&amp;AH2)-COUNTIF(Payroll!$I:$I,"&lt;="&amp;EDATE(AH2,-Projections!$C$117)))*(Projections!$B$117/Projections!$C$117),0)</f>
        <v>166.6666667</v>
      </c>
      <c r="AI170" s="56">
        <f>iferror((COUNTIF(Payroll!$I:$I,"&lt;="&amp;AI2)-COUNTIF(Payroll!$I:$I,"&lt;="&amp;EDATE(AI2,-Projections!$C$117)))*(Projections!$B$117/Projections!$C$117),0)</f>
        <v>166.6666667</v>
      </c>
      <c r="AJ170" s="56">
        <f>iferror((COUNTIF(Payroll!$I:$I,"&lt;="&amp;AJ2)-COUNTIF(Payroll!$I:$I,"&lt;="&amp;EDATE(AJ2,-Projections!$C$117)))*(Projections!$B$117/Projections!$C$117),0)</f>
        <v>166.6666667</v>
      </c>
      <c r="AK170" s="56">
        <f>iferror((COUNTIF(Payroll!$I:$I,"&lt;="&amp;AK2)-COUNTIF(Payroll!$I:$I,"&lt;="&amp;EDATE(AK2,-Projections!$C$117)))*(Projections!$B$117/Projections!$C$117),0)</f>
        <v>166.6666667</v>
      </c>
      <c r="AL170" s="56">
        <f>iferror((COUNTIF(Payroll!$I:$I,"&lt;="&amp;AL2)-COUNTIF(Payroll!$I:$I,"&lt;="&amp;EDATE(AL2,-Projections!$C$117)))*(Projections!$B$117/Projections!$C$117),0)</f>
        <v>250</v>
      </c>
      <c r="AM170" s="56">
        <f>iferror((COUNTIF(Payroll!$I:$I,"&lt;="&amp;AM2)-COUNTIF(Payroll!$I:$I,"&lt;="&amp;EDATE(AM2,-Projections!$C$117)))*(Projections!$B$117/Projections!$C$117),0)</f>
        <v>250</v>
      </c>
      <c r="AN170" s="56">
        <f>iferror((COUNTIF(Payroll!$I:$I,"&lt;="&amp;AN2)-COUNTIF(Payroll!$I:$I,"&lt;="&amp;EDATE(AN2,-Projections!$C$117)))*(Projections!$B$117/Projections!$C$117),0)</f>
        <v>250</v>
      </c>
      <c r="AO170" s="56">
        <f>iferror((COUNTIF(Payroll!$I:$I,"&lt;="&amp;AO2)-COUNTIF(Payroll!$I:$I,"&lt;="&amp;EDATE(AO2,-Projections!$C$117)))*(Projections!$B$117/Projections!$C$117),0)</f>
        <v>333.3333333</v>
      </c>
      <c r="AP170" s="56">
        <f>iferror((COUNTIF(Payroll!$I:$I,"&lt;="&amp;AP2)-COUNTIF(Payroll!$I:$I,"&lt;="&amp;EDATE(AP2,-Projections!$C$117)))*(Projections!$B$117/Projections!$C$117),0)</f>
        <v>750</v>
      </c>
      <c r="AQ170" s="56">
        <f>iferror((COUNTIF(Payroll!$I:$I,"&lt;="&amp;AQ2)-COUNTIF(Payroll!$I:$I,"&lt;="&amp;EDATE(AQ2,-Projections!$C$117)))*(Projections!$B$117/Projections!$C$117),0)</f>
        <v>750</v>
      </c>
      <c r="AR170" s="56">
        <f>iferror((COUNTIF(Payroll!$I:$I,"&lt;="&amp;AR2)-COUNTIF(Payroll!$I:$I,"&lt;="&amp;EDATE(AR2,-Projections!$C$117)))*(Projections!$B$117/Projections!$C$117),0)</f>
        <v>750</v>
      </c>
      <c r="AS170" s="56">
        <f>iferror((COUNTIF(Payroll!$I:$I,"&lt;="&amp;AS2)-COUNTIF(Payroll!$I:$I,"&lt;="&amp;EDATE(AS2,-Projections!$C$117)))*(Projections!$B$117/Projections!$C$117),0)</f>
        <v>750</v>
      </c>
      <c r="AT170" s="56">
        <f>iferror((COUNTIF(Payroll!$I:$I,"&lt;="&amp;AT2)-COUNTIF(Payroll!$I:$I,"&lt;="&amp;EDATE(AT2,-Projections!$C$117)))*(Projections!$B$117/Projections!$C$117),0)</f>
        <v>750</v>
      </c>
      <c r="AU170" s="56">
        <f>iferror((COUNTIF(Payroll!$I:$I,"&lt;="&amp;AU2)-COUNTIF(Payroll!$I:$I,"&lt;="&amp;EDATE(AU2,-Projections!$C$117)))*(Projections!$B$117/Projections!$C$117),0)</f>
        <v>750</v>
      </c>
      <c r="AV170" s="56">
        <f>iferror((COUNTIF(Payroll!$I:$I,"&lt;="&amp;AV2)-COUNTIF(Payroll!$I:$I,"&lt;="&amp;EDATE(AV2,-Projections!$C$117)))*(Projections!$B$117/Projections!$C$117),0)</f>
        <v>750</v>
      </c>
      <c r="AW170" s="56">
        <f>iferror((COUNTIF(Payroll!$I:$I,"&lt;="&amp;AW2)-COUNTIF(Payroll!$I:$I,"&lt;="&amp;EDATE(AW2,-Projections!$C$117)))*(Projections!$B$117/Projections!$C$117),0)</f>
        <v>750</v>
      </c>
      <c r="AX170" s="56">
        <f>iferror((COUNTIF(Payroll!$I:$I,"&lt;="&amp;AX2)-COUNTIF(Payroll!$I:$I,"&lt;="&amp;EDATE(AX2,-Projections!$C$117)))*(Projections!$B$117/Projections!$C$117),0)</f>
        <v>750</v>
      </c>
      <c r="AY170" s="56">
        <f>iferror((COUNTIF(Payroll!$I:$I,"&lt;="&amp;AY2)-COUNTIF(Payroll!$I:$I,"&lt;="&amp;EDATE(AY2,-Projections!$C$117)))*(Projections!$B$117/Projections!$C$117),0)</f>
        <v>750</v>
      </c>
      <c r="AZ170" s="56">
        <f>iferror((COUNTIF(Payroll!$I:$I,"&lt;="&amp;AZ2)-COUNTIF(Payroll!$I:$I,"&lt;="&amp;EDATE(AZ2,-Projections!$C$117)))*(Projections!$B$117/Projections!$C$117),0)</f>
        <v>750</v>
      </c>
      <c r="BA170" s="56">
        <f>iferror((COUNTIF(Payroll!$I:$I,"&lt;="&amp;BA2)-COUNTIF(Payroll!$I:$I,"&lt;="&amp;EDATE(BA2,-Projections!$C$117)))*(Projections!$B$117/Projections!$C$117),0)</f>
        <v>750</v>
      </c>
      <c r="BB170" s="56">
        <f>iferror((COUNTIF(Payroll!$I:$I,"&lt;="&amp;BB2)-COUNTIF(Payroll!$I:$I,"&lt;="&amp;EDATE(BB2,-Projections!$C$117)))*(Projections!$B$117/Projections!$C$117),0)</f>
        <v>583.3333333</v>
      </c>
      <c r="BC170" s="56">
        <f>iferror((COUNTIF(Payroll!$I:$I,"&lt;="&amp;BC2)-COUNTIF(Payroll!$I:$I,"&lt;="&amp;EDATE(BC2,-Projections!$C$117)))*(Projections!$B$117/Projections!$C$117),0)</f>
        <v>583.3333333</v>
      </c>
      <c r="BD170" s="56">
        <f>iferror((COUNTIF(Payroll!$I:$I,"&lt;="&amp;BD2)-COUNTIF(Payroll!$I:$I,"&lt;="&amp;EDATE(BD2,-Projections!$C$117)))*(Projections!$B$117/Projections!$C$117),0)</f>
        <v>583.3333333</v>
      </c>
      <c r="BE170" s="56">
        <f>iferror((COUNTIF(Payroll!$I:$I,"&lt;="&amp;BE2)-COUNTIF(Payroll!$I:$I,"&lt;="&amp;EDATE(BE2,-Projections!$C$117)))*(Projections!$B$117/Projections!$C$117),0)</f>
        <v>583.3333333</v>
      </c>
      <c r="BF170" s="56">
        <f>iferror((COUNTIF(Payroll!$I:$I,"&lt;="&amp;BF2)-COUNTIF(Payroll!$I:$I,"&lt;="&amp;EDATE(BF2,-Projections!$C$117)))*(Projections!$B$117/Projections!$C$117),0)</f>
        <v>583.3333333</v>
      </c>
      <c r="BG170" s="56">
        <f>iferror((COUNTIF(Payroll!$I:$I,"&lt;="&amp;BG2)-COUNTIF(Payroll!$I:$I,"&lt;="&amp;EDATE(BG2,-Projections!$C$117)))*(Projections!$B$117/Projections!$C$117),0)</f>
        <v>583.3333333</v>
      </c>
      <c r="BH170" s="56">
        <f>iferror((COUNTIF(Payroll!$I:$I,"&lt;="&amp;BH2)-COUNTIF(Payroll!$I:$I,"&lt;="&amp;EDATE(BH2,-Projections!$C$117)))*(Projections!$B$117/Projections!$C$117),0)</f>
        <v>583.3333333</v>
      </c>
      <c r="BI170" s="56">
        <f>iferror((COUNTIF(Payroll!$I:$I,"&lt;="&amp;BI2)-COUNTIF(Payroll!$I:$I,"&lt;="&amp;EDATE(BI2,-Projections!$C$117)))*(Projections!$B$117/Projections!$C$117),0)</f>
        <v>583.3333333</v>
      </c>
      <c r="BJ170" s="56">
        <f>iferror((COUNTIF(Payroll!$I:$I,"&lt;="&amp;BJ2)-COUNTIF(Payroll!$I:$I,"&lt;="&amp;EDATE(BJ2,-Projections!$C$117)))*(Projections!$B$117/Projections!$C$117),0)</f>
        <v>500</v>
      </c>
      <c r="BK170" s="56">
        <f>iferror((COUNTIF(Payroll!$I:$I,"&lt;="&amp;BK2)-COUNTIF(Payroll!$I:$I,"&lt;="&amp;EDATE(BK2,-Projections!$C$117)))*(Projections!$B$117/Projections!$C$117),0)</f>
        <v>500</v>
      </c>
      <c r="BL170" s="56">
        <f>iferror((COUNTIF(Payroll!$I:$I,"&lt;="&amp;BL2)-COUNTIF(Payroll!$I:$I,"&lt;="&amp;EDATE(BL2,-Projections!$C$117)))*(Projections!$B$117/Projections!$C$117),0)</f>
        <v>500</v>
      </c>
      <c r="BM170" s="56">
        <f>iferror((COUNTIF(Payroll!$I:$I,"&lt;="&amp;BM2)-COUNTIF(Payroll!$I:$I,"&lt;="&amp;EDATE(BM2,-Projections!$C$117)))*(Projections!$B$117/Projections!$C$117),0)</f>
        <v>416.6666667</v>
      </c>
      <c r="BN170" s="56">
        <f>iferror((COUNTIF(Payroll!$I:$I,"&lt;="&amp;BN2)-COUNTIF(Payroll!$I:$I,"&lt;="&amp;EDATE(BN2,-Projections!$C$117)))*(Projections!$B$117/Projections!$C$117),0)</f>
        <v>0</v>
      </c>
      <c r="BO170" s="56">
        <f>iferror((COUNTIF(Payroll!$I:$I,"&lt;="&amp;BO2)-COUNTIF(Payroll!$I:$I,"&lt;="&amp;EDATE(BO2,-Projections!$C$117)))*(Projections!$B$117/Projections!$C$117),0)</f>
        <v>0</v>
      </c>
      <c r="BP170" s="56">
        <f>iferror((COUNTIF(Payroll!$I:$I,"&lt;="&amp;BP2)-COUNTIF(Payroll!$I:$I,"&lt;="&amp;EDATE(BP2,-Projections!$C$117)))*(Projections!$B$117/Projections!$C$117),0)</f>
        <v>0</v>
      </c>
      <c r="BQ170" s="56">
        <f>iferror((COUNTIF(Payroll!$I:$I,"&lt;="&amp;BQ2)-COUNTIF(Payroll!$I:$I,"&lt;="&amp;EDATE(BQ2,-Projections!$C$117)))*(Projections!$B$117/Projections!$C$117),0)</f>
        <v>0</v>
      </c>
      <c r="BR170" s="56">
        <f>iferror((COUNTIF(Payroll!$I:$I,"&lt;="&amp;BR2)-COUNTIF(Payroll!$I:$I,"&lt;="&amp;EDATE(BR2,-Projections!$C$117)))*(Projections!$B$117/Projections!$C$117),0)</f>
        <v>0</v>
      </c>
      <c r="BS170" s="56">
        <f>iferror((COUNTIF(Payroll!$I:$I,"&lt;="&amp;BS2)-COUNTIF(Payroll!$I:$I,"&lt;="&amp;EDATE(BS2,-Projections!$C$117)))*(Projections!$B$117/Projections!$C$117),0)</f>
        <v>0</v>
      </c>
      <c r="BT170" s="56">
        <f>iferror((COUNTIF(Payroll!$I:$I,"&lt;="&amp;BT2)-COUNTIF(Payroll!$I:$I,"&lt;="&amp;EDATE(BT2,-Projections!$C$117)))*(Projections!$B$117/Projections!$C$117),0)</f>
        <v>0</v>
      </c>
      <c r="BU170" s="56">
        <f>iferror((COUNTIF(Payroll!$I:$I,"&lt;="&amp;BU2)-COUNTIF(Payroll!$I:$I,"&lt;="&amp;EDATE(BU2,-Projections!$C$117)))*(Projections!$B$117/Projections!$C$117),0)</f>
        <v>0</v>
      </c>
      <c r="BV170" s="56">
        <f>iferror((COUNTIF(Payroll!$I:$I,"&lt;="&amp;BV2)-COUNTIF(Payroll!$I:$I,"&lt;="&amp;EDATE(BV2,-Projections!$C$117)))*(Projections!$B$117/Projections!$C$117),0)</f>
        <v>0</v>
      </c>
      <c r="BW170" s="56">
        <f>iferror((COUNTIF(Payroll!$I:$I,"&lt;="&amp;BW2)-COUNTIF(Payroll!$I:$I,"&lt;="&amp;EDATE(BW2,-Projections!$C$117)))*(Projections!$B$117/Projections!$C$117),0)</f>
        <v>0</v>
      </c>
      <c r="BX170" s="56">
        <f>iferror((COUNTIF(Payroll!$I:$I,"&lt;="&amp;BX2)-COUNTIF(Payroll!$I:$I,"&lt;="&amp;EDATE(BX2,-Projections!$C$117)))*(Projections!$B$117/Projections!$C$117),0)</f>
        <v>0</v>
      </c>
      <c r="BY170" s="56">
        <f>iferror((COUNTIF(Payroll!$I:$I,"&lt;="&amp;BY2)-COUNTIF(Payroll!$I:$I,"&lt;="&amp;EDATE(BY2,-Projections!$C$117)))*(Projections!$B$117/Projections!$C$117),0)</f>
        <v>0</v>
      </c>
      <c r="BZ170" s="56">
        <f>iferror((COUNTIF(Payroll!$I:$I,"&lt;="&amp;BZ2)-COUNTIF(Payroll!$I:$I,"&lt;="&amp;EDATE(BZ2,-Projections!$C$117)))*(Projections!$B$117/Projections!$C$117),0)</f>
        <v>0</v>
      </c>
      <c r="CA170" s="56">
        <f>iferror((COUNTIF(Payroll!$I:$I,"&lt;="&amp;CA2)-COUNTIF(Payroll!$I:$I,"&lt;="&amp;EDATE(CA2,-Projections!$C$117)))*(Projections!$B$117/Projections!$C$117),0)</f>
        <v>0</v>
      </c>
      <c r="CB170" s="56">
        <f>iferror((COUNTIF(Payroll!$I:$I,"&lt;="&amp;CB2)-COUNTIF(Payroll!$I:$I,"&lt;="&amp;EDATE(CB2,-Projections!$C$117)))*(Projections!$B$117/Projections!$C$117),0)</f>
        <v>0</v>
      </c>
      <c r="CC170" s="56">
        <f>iferror((COUNTIF(Payroll!$I:$I,"&lt;="&amp;CC2)-COUNTIF(Payroll!$I:$I,"&lt;="&amp;EDATE(CC2,-Projections!$C$117)))*(Projections!$B$117/Projections!$C$117),0)</f>
        <v>0</v>
      </c>
      <c r="CD170" s="56">
        <f>iferror((COUNTIF(Payroll!$I:$I,"&lt;="&amp;CD2)-COUNTIF(Payroll!$I:$I,"&lt;="&amp;EDATE(CD2,-Projections!$C$117)))*(Projections!$B$117/Projections!$C$117),0)</f>
        <v>0</v>
      </c>
      <c r="CE170" s="56">
        <f>iferror((COUNTIF(Payroll!$I:$I,"&lt;="&amp;CE2)-COUNTIF(Payroll!$I:$I,"&lt;="&amp;EDATE(CE2,-Projections!$C$117)))*(Projections!$B$117/Projections!$C$117),0)</f>
        <v>0</v>
      </c>
      <c r="CF170" s="56">
        <f>iferror((COUNTIF(Payroll!$I:$I,"&lt;="&amp;CF2)-COUNTIF(Payroll!$I:$I,"&lt;="&amp;EDATE(CF2,-Projections!$C$117)))*(Projections!$B$117/Projections!$C$117),0)</f>
        <v>0</v>
      </c>
      <c r="CG170" s="56">
        <f>iferror((COUNTIF(Payroll!$I:$I,"&lt;="&amp;CG2)-COUNTIF(Payroll!$I:$I,"&lt;="&amp;EDATE(CG2,-Projections!$C$117)))*(Projections!$B$117/Projections!$C$117),0)</f>
        <v>0</v>
      </c>
      <c r="CH170" s="56">
        <f>iferror((COUNTIF(Payroll!$I:$I,"&lt;="&amp;CH2)-COUNTIF(Payroll!$I:$I,"&lt;="&amp;EDATE(CH2,-Projections!$C$117)))*(Projections!$B$117/Projections!$C$117),0)</f>
        <v>0</v>
      </c>
      <c r="CI170" s="56">
        <f>iferror((COUNTIF(Payroll!$I:$I,"&lt;="&amp;CI2)-COUNTIF(Payroll!$I:$I,"&lt;="&amp;EDATE(CI2,-Projections!$C$117)))*(Projections!$B$117/Projections!$C$117),0)</f>
        <v>0</v>
      </c>
      <c r="CJ170" s="56">
        <f>iferror((COUNTIF(Payroll!$I:$I,"&lt;="&amp;CJ2)-COUNTIF(Payroll!$I:$I,"&lt;="&amp;EDATE(CJ2,-Projections!$C$117)))*(Projections!$B$117/Projections!$C$117),0)</f>
        <v>0</v>
      </c>
      <c r="CK170" s="56">
        <f>iferror((COUNTIF(Payroll!$I:$I,"&lt;="&amp;CK2)-COUNTIF(Payroll!$I:$I,"&lt;="&amp;EDATE(CK2,-Projections!$C$117)))*(Projections!$B$117/Projections!$C$117),0)</f>
        <v>0</v>
      </c>
      <c r="CL170" s="56">
        <f>iferror((COUNTIF(Payroll!$I:$I,"&lt;="&amp;CL2)-COUNTIF(Payroll!$I:$I,"&lt;="&amp;EDATE(CL2,-Projections!$C$117)))*(Projections!$B$117/Projections!$C$117),0)</f>
        <v>0</v>
      </c>
      <c r="CM170" s="56">
        <f>iferror((COUNTIF(Payroll!$I:$I,"&lt;="&amp;CM2)-COUNTIF(Payroll!$I:$I,"&lt;="&amp;EDATE(CM2,-Projections!$C$117)))*(Projections!$B$117/Projections!$C$117),0)</f>
        <v>0</v>
      </c>
      <c r="CN170" s="56">
        <f>iferror((COUNTIF(Payroll!$I:$I,"&lt;="&amp;CN2)-COUNTIF(Payroll!$I:$I,"&lt;="&amp;EDATE(CN2,-Projections!$C$117)))*(Projections!$B$117/Projections!$C$117),0)</f>
        <v>0</v>
      </c>
      <c r="CO170" s="56">
        <f>iferror((COUNTIF(Payroll!$I:$I,"&lt;="&amp;CO2)-COUNTIF(Payroll!$I:$I,"&lt;="&amp;EDATE(CO2,-Projections!$C$117)))*(Projections!$B$117/Projections!$C$117),0)</f>
        <v>0</v>
      </c>
      <c r="CP170" s="56">
        <f>iferror((COUNTIF(Payroll!$I:$I,"&lt;="&amp;CP2)-COUNTIF(Payroll!$I:$I,"&lt;="&amp;EDATE(CP2,-Projections!$C$117)))*(Projections!$B$117/Projections!$C$117),0)</f>
        <v>0</v>
      </c>
      <c r="CQ170" s="56">
        <f>iferror((COUNTIF(Payroll!$I:$I,"&lt;="&amp;CQ2)-COUNTIF(Payroll!$I:$I,"&lt;="&amp;EDATE(CQ2,-Projections!$C$117)))*(Projections!$B$117/Projections!$C$117),0)</f>
        <v>0</v>
      </c>
      <c r="CR170" s="56">
        <f>iferror((COUNTIF(Payroll!$I:$I,"&lt;="&amp;CR2)-COUNTIF(Payroll!$I:$I,"&lt;="&amp;EDATE(CR2,-Projections!$C$117)))*(Projections!$B$117/Projections!$C$117),0)</f>
        <v>0</v>
      </c>
      <c r="CS170" s="56">
        <f>iferror((COUNTIF(Payroll!$I:$I,"&lt;="&amp;CS2)-COUNTIF(Payroll!$I:$I,"&lt;="&amp;EDATE(CS2,-Projections!$C$117)))*(Projections!$B$117/Projections!$C$117),0)</f>
        <v>0</v>
      </c>
      <c r="CT170" s="56">
        <f>iferror((COUNTIF(Payroll!$I:$I,"&lt;="&amp;CT2)-COUNTIF(Payroll!$I:$I,"&lt;="&amp;EDATE(CT2,-Projections!$C$117)))*(Projections!$B$117/Projections!$C$117),0)</f>
        <v>0</v>
      </c>
      <c r="CU170" s="56">
        <f>iferror((COUNTIF(Payroll!$I:$I,"&lt;="&amp;CU2)-COUNTIF(Payroll!$I:$I,"&lt;="&amp;EDATE(CU2,-Projections!$C$117)))*(Projections!$B$117/Projections!$C$117),0)</f>
        <v>0</v>
      </c>
      <c r="CV170" s="56">
        <f>iferror((COUNTIF(Payroll!$I:$I,"&lt;="&amp;CV2)-COUNTIF(Payroll!$I:$I,"&lt;="&amp;EDATE(CV2,-Projections!$C$117)))*(Projections!$B$117/Projections!$C$117),0)</f>
        <v>0</v>
      </c>
      <c r="CW170" s="56">
        <f>iferror((COUNTIF(Payroll!$I:$I,"&lt;="&amp;CW2)-COUNTIF(Payroll!$I:$I,"&lt;="&amp;EDATE(CW2,-Projections!$C$117)))*(Projections!$B$117/Projections!$C$117),0)</f>
        <v>0</v>
      </c>
      <c r="CX170" s="56">
        <f>iferror((COUNTIF(Payroll!$I:$I,"&lt;="&amp;CX2)-COUNTIF(Payroll!$I:$I,"&lt;="&amp;EDATE(CX2,-Projections!$C$117)))*(Projections!$B$117/Projections!$C$117),0)</f>
        <v>0</v>
      </c>
    </row>
    <row r="171" ht="15.75" customHeight="1" outlineLevel="1">
      <c r="A171" s="56" t="str">
        <f t="shared" si="32"/>
        <v>Asset 1</v>
      </c>
      <c r="B171" s="56"/>
      <c r="C171" s="56"/>
      <c r="D171" s="56"/>
      <c r="E171" s="56">
        <f>IFERROR(IF(AND(E$2&gt;=Projections!$E120,E$2&lt;=EDATE(Projections!$E120,Projections!$C120)),Projections!$B120/Projections!$C120,0),0)</f>
        <v>0</v>
      </c>
      <c r="F171" s="56">
        <f>IFERROR(IF(AND(F$2&gt;=Projections!$E120,F$2&lt;=EDATE(Projections!$E120,Projections!$C120)),Projections!$B120/Projections!$C120,0),0)</f>
        <v>0</v>
      </c>
      <c r="G171" s="56">
        <f>IFERROR(IF(AND(G$2&gt;=Projections!$E120,G$2&lt;=EDATE(Projections!$E120,Projections!$C120)),Projections!$B120/Projections!$C120,0),0)</f>
        <v>0</v>
      </c>
      <c r="H171" s="56">
        <f>IFERROR(IF(AND(H$2&gt;=Projections!$E120,H$2&lt;=EDATE(Projections!$E120,Projections!$C120)),Projections!$B120/Projections!$C120,0),0)</f>
        <v>0</v>
      </c>
      <c r="I171" s="56">
        <f>IFERROR(IF(AND(I$2&gt;=Projections!$E120,I$2&lt;=EDATE(Projections!$E120,Projections!$C120)),Projections!$B120/Projections!$C120,0),0)</f>
        <v>0</v>
      </c>
      <c r="J171" s="56">
        <f>IFERROR(IF(AND(J$2&gt;=Projections!$E120,J$2&lt;=EDATE(Projections!$E120,Projections!$C120)),Projections!$B120/Projections!$C120,0),0)</f>
        <v>0</v>
      </c>
      <c r="K171" s="56">
        <f>IFERROR(IF(AND(K$2&gt;=Projections!$E120,K$2&lt;=EDATE(Projections!$E120,Projections!$C120)),Projections!$B120/Projections!$C120,0),0)</f>
        <v>0</v>
      </c>
      <c r="L171" s="56">
        <f>IFERROR(IF(AND(L$2&gt;=Projections!$E120,L$2&lt;=EDATE(Projections!$E120,Projections!$C120)),Projections!$B120/Projections!$C120,0),0)</f>
        <v>0</v>
      </c>
      <c r="M171" s="56">
        <f>IFERROR(IF(AND(M$2&gt;=Projections!$E120,M$2&lt;=EDATE(Projections!$E120,Projections!$C120)),Projections!$B120/Projections!$C120,0),0)</f>
        <v>0</v>
      </c>
      <c r="N171" s="56">
        <f>IFERROR(IF(AND(N$2&gt;=Projections!$E120,N$2&lt;=EDATE(Projections!$E120,Projections!$C120)),Projections!$B120/Projections!$C120,0),0)</f>
        <v>0</v>
      </c>
      <c r="O171" s="56">
        <f>IFERROR(IF(AND(O$2&gt;=Projections!$E120,O$2&lt;=EDATE(Projections!$E120,Projections!$C120)),Projections!$B120/Projections!$C120,0),0)</f>
        <v>0</v>
      </c>
      <c r="P171" s="56">
        <f>IFERROR(IF(AND(P$2&gt;=Projections!$E120,P$2&lt;=EDATE(Projections!$E120,Projections!$C120)),Projections!$B120/Projections!$C120,0),0)</f>
        <v>0</v>
      </c>
      <c r="Q171" s="56">
        <f>IFERROR(IF(AND(Q$2&gt;=Projections!$E120,Q$2&lt;=EDATE(Projections!$E120,Projections!$C120)),Projections!$B120/Projections!$C120,0),0)</f>
        <v>0</v>
      </c>
      <c r="R171" s="56">
        <f>IFERROR(IF(AND(R$2&gt;=Projections!$E120,R$2&lt;=EDATE(Projections!$E120,Projections!$C120)),Projections!$B120/Projections!$C120,0),0)</f>
        <v>0</v>
      </c>
      <c r="S171" s="56">
        <f>IFERROR(IF(AND(S$2&gt;=Projections!$E120,S$2&lt;=EDATE(Projections!$E120,Projections!$C120)),Projections!$B120/Projections!$C120,0),0)</f>
        <v>0</v>
      </c>
      <c r="T171" s="56">
        <f>IFERROR(IF(AND(T$2&gt;=Projections!$E120,T$2&lt;=EDATE(Projections!$E120,Projections!$C120)),Projections!$B120/Projections!$C120,0),0)</f>
        <v>0</v>
      </c>
      <c r="U171" s="56">
        <f>IFERROR(IF(AND(U$2&gt;=Projections!$E120,U$2&lt;=EDATE(Projections!$E120,Projections!$C120)),Projections!$B120/Projections!$C120,0),0)</f>
        <v>0</v>
      </c>
      <c r="V171" s="56">
        <f>IFERROR(IF(AND(V$2&gt;=Projections!$E120,V$2&lt;=EDATE(Projections!$E120,Projections!$C120)),Projections!$B120/Projections!$C120,0),0)</f>
        <v>0</v>
      </c>
      <c r="W171" s="56">
        <f>IFERROR(IF(AND(W$2&gt;=Projections!$E120,W$2&lt;=EDATE(Projections!$E120,Projections!$C120)),Projections!$B120/Projections!$C120,0),0)</f>
        <v>0</v>
      </c>
      <c r="X171" s="56">
        <f>IFERROR(IF(AND(X$2&gt;=Projections!$E120,X$2&lt;=EDATE(Projections!$E120,Projections!$C120)),Projections!$B120/Projections!$C120,0),0)</f>
        <v>0</v>
      </c>
      <c r="Y171" s="56">
        <f>IFERROR(IF(AND(Y$2&gt;=Projections!$E120,Y$2&lt;=EDATE(Projections!$E120,Projections!$C120)),Projections!$B120/Projections!$C120,0),0)</f>
        <v>0</v>
      </c>
      <c r="Z171" s="56">
        <f>IFERROR(IF(AND(Z$2&gt;=Projections!$E120,Z$2&lt;=EDATE(Projections!$E120,Projections!$C120)),Projections!$B120/Projections!$C120,0),0)</f>
        <v>0</v>
      </c>
      <c r="AA171" s="56">
        <f>IFERROR(IF(AND(AA$2&gt;=Projections!$E120,AA$2&lt;=EDATE(Projections!$E120,Projections!$C120)),Projections!$B120/Projections!$C120,0),0)</f>
        <v>0</v>
      </c>
      <c r="AB171" s="56">
        <f>IFERROR(IF(AND(AB$2&gt;=Projections!$E120,AB$2&lt;=EDATE(Projections!$E120,Projections!$C120)),Projections!$B120/Projections!$C120,0),0)</f>
        <v>0</v>
      </c>
      <c r="AC171" s="56">
        <f>IFERROR(IF(AND(AC$2&gt;=Projections!$E120,AC$2&lt;=EDATE(Projections!$E120,Projections!$C120)),Projections!$B120/Projections!$C120,0),0)</f>
        <v>0</v>
      </c>
      <c r="AD171" s="56">
        <f>IFERROR(IF(AND(AD$2&gt;=Projections!$E120,AD$2&lt;=EDATE(Projections!$E120,Projections!$C120)),Projections!$B120/Projections!$C120,0),0)</f>
        <v>0</v>
      </c>
      <c r="AE171" s="56">
        <f>IFERROR(IF(AND(AE$2&gt;=Projections!$E120,AE$2&lt;=EDATE(Projections!$E120,Projections!$C120)),Projections!$B120/Projections!$C120,0),0)</f>
        <v>0</v>
      </c>
      <c r="AF171" s="56">
        <f>IFERROR(IF(AND(AF$2&gt;=Projections!$E120,AF$2&lt;=EDATE(Projections!$E120,Projections!$C120)),Projections!$B120/Projections!$C120,0),0)</f>
        <v>0</v>
      </c>
      <c r="AG171" s="56">
        <f>IFERROR(IF(AND(AG$2&gt;=Projections!$E120,AG$2&lt;=EDATE(Projections!$E120,Projections!$C120)),Projections!$B120/Projections!$C120,0),0)</f>
        <v>0</v>
      </c>
      <c r="AH171" s="56">
        <f>IFERROR(IF(AND(AH$2&gt;=Projections!$E120,AH$2&lt;=EDATE(Projections!$E120,Projections!$C120)),Projections!$B120/Projections!$C120,0),0)</f>
        <v>0</v>
      </c>
      <c r="AI171" s="56">
        <f>IFERROR(IF(AND(AI$2&gt;=Projections!$E120,AI$2&lt;=EDATE(Projections!$E120,Projections!$C120)),Projections!$B120/Projections!$C120,0),0)</f>
        <v>0</v>
      </c>
      <c r="AJ171" s="56">
        <f>IFERROR(IF(AND(AJ$2&gt;=Projections!$E120,AJ$2&lt;=EDATE(Projections!$E120,Projections!$C120)),Projections!$B120/Projections!$C120,0),0)</f>
        <v>0</v>
      </c>
      <c r="AK171" s="56">
        <f>IFERROR(IF(AND(AK$2&gt;=Projections!$E120,AK$2&lt;=EDATE(Projections!$E120,Projections!$C120)),Projections!$B120/Projections!$C120,0),0)</f>
        <v>0</v>
      </c>
      <c r="AL171" s="56">
        <f>IFERROR(IF(AND(AL$2&gt;=Projections!$E120,AL$2&lt;=EDATE(Projections!$E120,Projections!$C120)),Projections!$B120/Projections!$C120,0),0)</f>
        <v>0</v>
      </c>
      <c r="AM171" s="56">
        <f>IFERROR(IF(AND(AM$2&gt;=Projections!$E120,AM$2&lt;=EDATE(Projections!$E120,Projections!$C120)),Projections!$B120/Projections!$C120,0),0)</f>
        <v>0</v>
      </c>
      <c r="AN171" s="56">
        <f>IFERROR(IF(AND(AN$2&gt;=Projections!$E120,AN$2&lt;=EDATE(Projections!$E120,Projections!$C120)),Projections!$B120/Projections!$C120,0),0)</f>
        <v>0</v>
      </c>
      <c r="AO171" s="56">
        <f>IFERROR(IF(AND(AO$2&gt;=Projections!$E120,AO$2&lt;=EDATE(Projections!$E120,Projections!$C120)),Projections!$B120/Projections!$C120,0),0)</f>
        <v>0</v>
      </c>
      <c r="AP171" s="56">
        <f>IFERROR(IF(AND(AP$2&gt;=Projections!$E120,AP$2&lt;=EDATE(Projections!$E120,Projections!$C120)),Projections!$B120/Projections!$C120,0),0)</f>
        <v>0</v>
      </c>
      <c r="AQ171" s="56">
        <f>IFERROR(IF(AND(AQ$2&gt;=Projections!$E120,AQ$2&lt;=EDATE(Projections!$E120,Projections!$C120)),Projections!$B120/Projections!$C120,0),0)</f>
        <v>0</v>
      </c>
      <c r="AR171" s="56">
        <f>IFERROR(IF(AND(AR$2&gt;=Projections!$E120,AR$2&lt;=EDATE(Projections!$E120,Projections!$C120)),Projections!$B120/Projections!$C120,0),0)</f>
        <v>0</v>
      </c>
      <c r="AS171" s="56">
        <f>IFERROR(IF(AND(AS$2&gt;=Projections!$E120,AS$2&lt;=EDATE(Projections!$E120,Projections!$C120)),Projections!$B120/Projections!$C120,0),0)</f>
        <v>0</v>
      </c>
      <c r="AT171" s="56">
        <f>IFERROR(IF(AND(AT$2&gt;=Projections!$E120,AT$2&lt;=EDATE(Projections!$E120,Projections!$C120)),Projections!$B120/Projections!$C120,0),0)</f>
        <v>0</v>
      </c>
      <c r="AU171" s="56">
        <f>IFERROR(IF(AND(AU$2&gt;=Projections!$E120,AU$2&lt;=EDATE(Projections!$E120,Projections!$C120)),Projections!$B120/Projections!$C120,0),0)</f>
        <v>0</v>
      </c>
      <c r="AV171" s="56">
        <f>IFERROR(IF(AND(AV$2&gt;=Projections!$E120,AV$2&lt;=EDATE(Projections!$E120,Projections!$C120)),Projections!$B120/Projections!$C120,0),0)</f>
        <v>0</v>
      </c>
      <c r="AW171" s="56">
        <f>IFERROR(IF(AND(AW$2&gt;=Projections!$E120,AW$2&lt;=EDATE(Projections!$E120,Projections!$C120)),Projections!$B120/Projections!$C120,0),0)</f>
        <v>0</v>
      </c>
      <c r="AX171" s="56">
        <f>IFERROR(IF(AND(AX$2&gt;=Projections!$E120,AX$2&lt;=EDATE(Projections!$E120,Projections!$C120)),Projections!$B120/Projections!$C120,0),0)</f>
        <v>0</v>
      </c>
      <c r="AY171" s="56">
        <f>IFERROR(IF(AND(AY$2&gt;=Projections!$E120,AY$2&lt;=EDATE(Projections!$E120,Projections!$C120)),Projections!$B120/Projections!$C120,0),0)</f>
        <v>0</v>
      </c>
      <c r="AZ171" s="56">
        <f>IFERROR(IF(AND(AZ$2&gt;=Projections!$E120,AZ$2&lt;=EDATE(Projections!$E120,Projections!$C120)),Projections!$B120/Projections!$C120,0),0)</f>
        <v>0</v>
      </c>
      <c r="BA171" s="56">
        <f>IFERROR(IF(AND(BA$2&gt;=Projections!$E120,BA$2&lt;=EDATE(Projections!$E120,Projections!$C120)),Projections!$B120/Projections!$C120,0),0)</f>
        <v>0</v>
      </c>
      <c r="BB171" s="56">
        <f>IFERROR(IF(AND(BB$2&gt;=Projections!$E120,BB$2&lt;=EDATE(Projections!$E120,Projections!$C120)),Projections!$B120/Projections!$C120,0),0)</f>
        <v>0</v>
      </c>
      <c r="BC171" s="56">
        <f>IFERROR(IF(AND(BC$2&gt;=Projections!$E120,BC$2&lt;=EDATE(Projections!$E120,Projections!$C120)),Projections!$B120/Projections!$C120,0),0)</f>
        <v>0</v>
      </c>
      <c r="BD171" s="56">
        <f>IFERROR(IF(AND(BD$2&gt;=Projections!$E120,BD$2&lt;=EDATE(Projections!$E120,Projections!$C120)),Projections!$B120/Projections!$C120,0),0)</f>
        <v>0</v>
      </c>
      <c r="BE171" s="56">
        <f>IFERROR(IF(AND(BE$2&gt;=Projections!$E120,BE$2&lt;=EDATE(Projections!$E120,Projections!$C120)),Projections!$B120/Projections!$C120,0),0)</f>
        <v>0</v>
      </c>
      <c r="BF171" s="56">
        <f>IFERROR(IF(AND(BF$2&gt;=Projections!$E120,BF$2&lt;=EDATE(Projections!$E120,Projections!$C120)),Projections!$B120/Projections!$C120,0),0)</f>
        <v>0</v>
      </c>
      <c r="BG171" s="56">
        <f>IFERROR(IF(AND(BG$2&gt;=Projections!$E120,BG$2&lt;=EDATE(Projections!$E120,Projections!$C120)),Projections!$B120/Projections!$C120,0),0)</f>
        <v>0</v>
      </c>
      <c r="BH171" s="56">
        <f>IFERROR(IF(AND(BH$2&gt;=Projections!$E120,BH$2&lt;=EDATE(Projections!$E120,Projections!$C120)),Projections!$B120/Projections!$C120,0),0)</f>
        <v>0</v>
      </c>
      <c r="BI171" s="56">
        <f>IFERROR(IF(AND(BI$2&gt;=Projections!$E120,BI$2&lt;=EDATE(Projections!$E120,Projections!$C120)),Projections!$B120/Projections!$C120,0),0)</f>
        <v>0</v>
      </c>
      <c r="BJ171" s="56">
        <f>IFERROR(IF(AND(BJ$2&gt;=Projections!$E120,BJ$2&lt;=EDATE(Projections!$E120,Projections!$C120)),Projections!$B120/Projections!$C120,0),0)</f>
        <v>0</v>
      </c>
      <c r="BK171" s="56">
        <f>IFERROR(IF(AND(BK$2&gt;=Projections!$E120,BK$2&lt;=EDATE(Projections!$E120,Projections!$C120)),Projections!$B120/Projections!$C120,0),0)</f>
        <v>0</v>
      </c>
      <c r="BL171" s="56">
        <f>IFERROR(IF(AND(BL$2&gt;=Projections!$E120,BL$2&lt;=EDATE(Projections!$E120,Projections!$C120)),Projections!$B120/Projections!$C120,0),0)</f>
        <v>0</v>
      </c>
      <c r="BM171" s="56">
        <f>IFERROR(IF(AND(BM$2&gt;=Projections!$E120,BM$2&lt;=EDATE(Projections!$E120,Projections!$C120)),Projections!$B120/Projections!$C120,0),0)</f>
        <v>0</v>
      </c>
      <c r="BN171" s="56">
        <f>IFERROR(IF(AND(BN$2&gt;=Projections!$E120,BN$2&lt;=EDATE(Projections!$E120,Projections!$C120)),Projections!$B120/Projections!$C120,0),0)</f>
        <v>0</v>
      </c>
      <c r="BO171" s="56">
        <f>IFERROR(IF(AND(BO$2&gt;=Projections!$E120,BO$2&lt;=EDATE(Projections!$E120,Projections!$C120)),Projections!$B120/Projections!$C120,0),0)</f>
        <v>0</v>
      </c>
      <c r="BP171" s="56">
        <f>IFERROR(IF(AND(BP$2&gt;=Projections!$E120,BP$2&lt;=EDATE(Projections!$E120,Projections!$C120)),Projections!$B120/Projections!$C120,0),0)</f>
        <v>0</v>
      </c>
      <c r="BQ171" s="56">
        <f>IFERROR(IF(AND(BQ$2&gt;=Projections!$E120,BQ$2&lt;=EDATE(Projections!$E120,Projections!$C120)),Projections!$B120/Projections!$C120,0),0)</f>
        <v>0</v>
      </c>
      <c r="BR171" s="56">
        <f>IFERROR(IF(AND(BR$2&gt;=Projections!$E120,BR$2&lt;=EDATE(Projections!$E120,Projections!$C120)),Projections!$B120/Projections!$C120,0),0)</f>
        <v>0</v>
      </c>
      <c r="BS171" s="56">
        <f>IFERROR(IF(AND(BS$2&gt;=Projections!$E120,BS$2&lt;=EDATE(Projections!$E120,Projections!$C120)),Projections!$B120/Projections!$C120,0),0)</f>
        <v>0</v>
      </c>
      <c r="BT171" s="56">
        <f>IFERROR(IF(AND(BT$2&gt;=Projections!$E120,BT$2&lt;=EDATE(Projections!$E120,Projections!$C120)),Projections!$B120/Projections!$C120,0),0)</f>
        <v>0</v>
      </c>
      <c r="BU171" s="56">
        <f>IFERROR(IF(AND(BU$2&gt;=Projections!$E120,BU$2&lt;=EDATE(Projections!$E120,Projections!$C120)),Projections!$B120/Projections!$C120,0),0)</f>
        <v>0</v>
      </c>
      <c r="BV171" s="56">
        <f>IFERROR(IF(AND(BV$2&gt;=Projections!$E120,BV$2&lt;=EDATE(Projections!$E120,Projections!$C120)),Projections!$B120/Projections!$C120,0),0)</f>
        <v>0</v>
      </c>
      <c r="BW171" s="56">
        <f>IFERROR(IF(AND(BW$2&gt;=Projections!$E120,BW$2&lt;=EDATE(Projections!$E120,Projections!$C120)),Projections!$B120/Projections!$C120,0),0)</f>
        <v>0</v>
      </c>
      <c r="BX171" s="56">
        <f>IFERROR(IF(AND(BX$2&gt;=Projections!$E120,BX$2&lt;=EDATE(Projections!$E120,Projections!$C120)),Projections!$B120/Projections!$C120,0),0)</f>
        <v>0</v>
      </c>
      <c r="BY171" s="56">
        <f>IFERROR(IF(AND(BY$2&gt;=Projections!$E120,BY$2&lt;=EDATE(Projections!$E120,Projections!$C120)),Projections!$B120/Projections!$C120,0),0)</f>
        <v>0</v>
      </c>
      <c r="BZ171" s="56">
        <f>IFERROR(IF(AND(BZ$2&gt;=Projections!$E120,BZ$2&lt;=EDATE(Projections!$E120,Projections!$C120)),Projections!$B120/Projections!$C120,0),0)</f>
        <v>0</v>
      </c>
      <c r="CA171" s="56">
        <f>IFERROR(IF(AND(CA$2&gt;=Projections!$E120,CA$2&lt;=EDATE(Projections!$E120,Projections!$C120)),Projections!$B120/Projections!$C120,0),0)</f>
        <v>0</v>
      </c>
      <c r="CB171" s="56">
        <f>IFERROR(IF(AND(CB$2&gt;=Projections!$E120,CB$2&lt;=EDATE(Projections!$E120,Projections!$C120)),Projections!$B120/Projections!$C120,0),0)</f>
        <v>0</v>
      </c>
      <c r="CC171" s="56">
        <f>IFERROR(IF(AND(CC$2&gt;=Projections!$E120,CC$2&lt;=EDATE(Projections!$E120,Projections!$C120)),Projections!$B120/Projections!$C120,0),0)</f>
        <v>0</v>
      </c>
      <c r="CD171" s="56">
        <f>IFERROR(IF(AND(CD$2&gt;=Projections!$E120,CD$2&lt;=EDATE(Projections!$E120,Projections!$C120)),Projections!$B120/Projections!$C120,0),0)</f>
        <v>0</v>
      </c>
      <c r="CE171" s="56">
        <f>IFERROR(IF(AND(CE$2&gt;=Projections!$E120,CE$2&lt;=EDATE(Projections!$E120,Projections!$C120)),Projections!$B120/Projections!$C120,0),0)</f>
        <v>0</v>
      </c>
      <c r="CF171" s="56">
        <f>IFERROR(IF(AND(CF$2&gt;=Projections!$E120,CF$2&lt;=EDATE(Projections!$E120,Projections!$C120)),Projections!$B120/Projections!$C120,0),0)</f>
        <v>0</v>
      </c>
      <c r="CG171" s="56">
        <f>IFERROR(IF(AND(CG$2&gt;=Projections!$E120,CG$2&lt;=EDATE(Projections!$E120,Projections!$C120)),Projections!$B120/Projections!$C120,0),0)</f>
        <v>0</v>
      </c>
      <c r="CH171" s="56">
        <f>IFERROR(IF(AND(CH$2&gt;=Projections!$E120,CH$2&lt;=EDATE(Projections!$E120,Projections!$C120)),Projections!$B120/Projections!$C120,0),0)</f>
        <v>0</v>
      </c>
      <c r="CI171" s="56">
        <f>IFERROR(IF(AND(CI$2&gt;=Projections!$E120,CI$2&lt;=EDATE(Projections!$E120,Projections!$C120)),Projections!$B120/Projections!$C120,0),0)</f>
        <v>0</v>
      </c>
      <c r="CJ171" s="56">
        <f>IFERROR(IF(AND(CJ$2&gt;=Projections!$E120,CJ$2&lt;=EDATE(Projections!$E120,Projections!$C120)),Projections!$B120/Projections!$C120,0),0)</f>
        <v>0</v>
      </c>
      <c r="CK171" s="56">
        <f>IFERROR(IF(AND(CK$2&gt;=Projections!$E120,CK$2&lt;=EDATE(Projections!$E120,Projections!$C120)),Projections!$B120/Projections!$C120,0),0)</f>
        <v>0</v>
      </c>
      <c r="CL171" s="56">
        <f>IFERROR(IF(AND(CL$2&gt;=Projections!$E120,CL$2&lt;=EDATE(Projections!$E120,Projections!$C120)),Projections!$B120/Projections!$C120,0),0)</f>
        <v>0</v>
      </c>
      <c r="CM171" s="56">
        <f>IFERROR(IF(AND(CM$2&gt;=Projections!$E120,CM$2&lt;=EDATE(Projections!$E120,Projections!$C120)),Projections!$B120/Projections!$C120,0),0)</f>
        <v>0</v>
      </c>
      <c r="CN171" s="56">
        <f>IFERROR(IF(AND(CN$2&gt;=Projections!$E120,CN$2&lt;=EDATE(Projections!$E120,Projections!$C120)),Projections!$B120/Projections!$C120,0),0)</f>
        <v>0</v>
      </c>
      <c r="CO171" s="56">
        <f>IFERROR(IF(AND(CO$2&gt;=Projections!$E120,CO$2&lt;=EDATE(Projections!$E120,Projections!$C120)),Projections!$B120/Projections!$C120,0),0)</f>
        <v>0</v>
      </c>
      <c r="CP171" s="56">
        <f>IFERROR(IF(AND(CP$2&gt;=Projections!$E120,CP$2&lt;=EDATE(Projections!$E120,Projections!$C120)),Projections!$B120/Projections!$C120,0),0)</f>
        <v>0</v>
      </c>
      <c r="CQ171" s="56">
        <f>IFERROR(IF(AND(CQ$2&gt;=Projections!$E120,CQ$2&lt;=EDATE(Projections!$E120,Projections!$C120)),Projections!$B120/Projections!$C120,0),0)</f>
        <v>0</v>
      </c>
      <c r="CR171" s="56">
        <f>IFERROR(IF(AND(CR$2&gt;=Projections!$E120,CR$2&lt;=EDATE(Projections!$E120,Projections!$C120)),Projections!$B120/Projections!$C120,0),0)</f>
        <v>0</v>
      </c>
      <c r="CS171" s="56">
        <f>IFERROR(IF(AND(CS$2&gt;=Projections!$E120,CS$2&lt;=EDATE(Projections!$E120,Projections!$C120)),Projections!$B120/Projections!$C120,0),0)</f>
        <v>0</v>
      </c>
      <c r="CT171" s="56">
        <f>IFERROR(IF(AND(CT$2&gt;=Projections!$E120,CT$2&lt;=EDATE(Projections!$E120,Projections!$C120)),Projections!$B120/Projections!$C120,0),0)</f>
        <v>0</v>
      </c>
      <c r="CU171" s="56">
        <f>IFERROR(IF(AND(CU$2&gt;=Projections!$E120,CU$2&lt;=EDATE(Projections!$E120,Projections!$C120)),Projections!$B120/Projections!$C120,0),0)</f>
        <v>0</v>
      </c>
      <c r="CV171" s="56">
        <f>IFERROR(IF(AND(CV$2&gt;=Projections!$E120,CV$2&lt;=EDATE(Projections!$E120,Projections!$C120)),Projections!$B120/Projections!$C120,0),0)</f>
        <v>0</v>
      </c>
      <c r="CW171" s="56">
        <f>IFERROR(IF(AND(CW$2&gt;=Projections!$E120,CW$2&lt;=EDATE(Projections!$E120,Projections!$C120)),Projections!$B120/Projections!$C120,0),0)</f>
        <v>0</v>
      </c>
      <c r="CX171" s="56">
        <f>IFERROR(IF(AND(CX$2&gt;=Projections!$E120,CX$2&lt;=EDATE(Projections!$E120,Projections!$C120)),Projections!$B120/Projections!$C120,0),0)</f>
        <v>0</v>
      </c>
    </row>
    <row r="172" ht="15.75" customHeight="1" outlineLevel="1">
      <c r="A172" s="56" t="str">
        <f t="shared" si="32"/>
        <v>Asset 2</v>
      </c>
      <c r="B172" s="56"/>
      <c r="C172" s="56"/>
      <c r="D172" s="56"/>
      <c r="E172" s="56">
        <f>IFERROR(IF(AND(E$2&gt;=Projections!$E121,E$2&lt;=EDATE(Projections!$E121,Projections!$C121)),Projections!$B121/Projections!$C121,0),0)</f>
        <v>0</v>
      </c>
      <c r="F172" s="56">
        <f>IFERROR(IF(AND(F$2&gt;=Projections!$E121,F$2&lt;=EDATE(Projections!$E121,Projections!$C121)),Projections!$B121/Projections!$C121,0),0)</f>
        <v>0</v>
      </c>
      <c r="G172" s="56">
        <f>IFERROR(IF(AND(G$2&gt;=Projections!$E121,G$2&lt;=EDATE(Projections!$E121,Projections!$C121)),Projections!$B121/Projections!$C121,0),0)</f>
        <v>0</v>
      </c>
      <c r="H172" s="56">
        <f>IFERROR(IF(AND(H$2&gt;=Projections!$E121,H$2&lt;=EDATE(Projections!$E121,Projections!$C121)),Projections!$B121/Projections!$C121,0),0)</f>
        <v>0</v>
      </c>
      <c r="I172" s="56">
        <f>IFERROR(IF(AND(I$2&gt;=Projections!$E121,I$2&lt;=EDATE(Projections!$E121,Projections!$C121)),Projections!$B121/Projections!$C121,0),0)</f>
        <v>0</v>
      </c>
      <c r="J172" s="56">
        <f>IFERROR(IF(AND(J$2&gt;=Projections!$E121,J$2&lt;=EDATE(Projections!$E121,Projections!$C121)),Projections!$B121/Projections!$C121,0),0)</f>
        <v>0</v>
      </c>
      <c r="K172" s="56">
        <f>IFERROR(IF(AND(K$2&gt;=Projections!$E121,K$2&lt;=EDATE(Projections!$E121,Projections!$C121)),Projections!$B121/Projections!$C121,0),0)</f>
        <v>0</v>
      </c>
      <c r="L172" s="56">
        <f>IFERROR(IF(AND(L$2&gt;=Projections!$E121,L$2&lt;=EDATE(Projections!$E121,Projections!$C121)),Projections!$B121/Projections!$C121,0),0)</f>
        <v>0</v>
      </c>
      <c r="M172" s="56">
        <f>IFERROR(IF(AND(M$2&gt;=Projections!$E121,M$2&lt;=EDATE(Projections!$E121,Projections!$C121)),Projections!$B121/Projections!$C121,0),0)</f>
        <v>0</v>
      </c>
      <c r="N172" s="56">
        <f>IFERROR(IF(AND(N$2&gt;=Projections!$E121,N$2&lt;=EDATE(Projections!$E121,Projections!$C121)),Projections!$B121/Projections!$C121,0),0)</f>
        <v>0</v>
      </c>
      <c r="O172" s="56">
        <f>IFERROR(IF(AND(O$2&gt;=Projections!$E121,O$2&lt;=EDATE(Projections!$E121,Projections!$C121)),Projections!$B121/Projections!$C121,0),0)</f>
        <v>0</v>
      </c>
      <c r="P172" s="56">
        <f>IFERROR(IF(AND(P$2&gt;=Projections!$E121,P$2&lt;=EDATE(Projections!$E121,Projections!$C121)),Projections!$B121/Projections!$C121,0),0)</f>
        <v>0</v>
      </c>
      <c r="Q172" s="56">
        <f>IFERROR(IF(AND(Q$2&gt;=Projections!$E121,Q$2&lt;=EDATE(Projections!$E121,Projections!$C121)),Projections!$B121/Projections!$C121,0),0)</f>
        <v>0</v>
      </c>
      <c r="R172" s="56">
        <f>IFERROR(IF(AND(R$2&gt;=Projections!$E121,R$2&lt;=EDATE(Projections!$E121,Projections!$C121)),Projections!$B121/Projections!$C121,0),0)</f>
        <v>0</v>
      </c>
      <c r="S172" s="56">
        <f>IFERROR(IF(AND(S$2&gt;=Projections!$E121,S$2&lt;=EDATE(Projections!$E121,Projections!$C121)),Projections!$B121/Projections!$C121,0),0)</f>
        <v>0</v>
      </c>
      <c r="T172" s="56">
        <f>IFERROR(IF(AND(T$2&gt;=Projections!$E121,T$2&lt;=EDATE(Projections!$E121,Projections!$C121)),Projections!$B121/Projections!$C121,0),0)</f>
        <v>0</v>
      </c>
      <c r="U172" s="56">
        <f>IFERROR(IF(AND(U$2&gt;=Projections!$E121,U$2&lt;=EDATE(Projections!$E121,Projections!$C121)),Projections!$B121/Projections!$C121,0),0)</f>
        <v>0</v>
      </c>
      <c r="V172" s="56">
        <f>IFERROR(IF(AND(V$2&gt;=Projections!$E121,V$2&lt;=EDATE(Projections!$E121,Projections!$C121)),Projections!$B121/Projections!$C121,0),0)</f>
        <v>0</v>
      </c>
      <c r="W172" s="56">
        <f>IFERROR(IF(AND(W$2&gt;=Projections!$E121,W$2&lt;=EDATE(Projections!$E121,Projections!$C121)),Projections!$B121/Projections!$C121,0),0)</f>
        <v>0</v>
      </c>
      <c r="X172" s="56">
        <f>IFERROR(IF(AND(X$2&gt;=Projections!$E121,X$2&lt;=EDATE(Projections!$E121,Projections!$C121)),Projections!$B121/Projections!$C121,0),0)</f>
        <v>0</v>
      </c>
      <c r="Y172" s="56">
        <f>IFERROR(IF(AND(Y$2&gt;=Projections!$E121,Y$2&lt;=EDATE(Projections!$E121,Projections!$C121)),Projections!$B121/Projections!$C121,0),0)</f>
        <v>0</v>
      </c>
      <c r="Z172" s="56">
        <f>IFERROR(IF(AND(Z$2&gt;=Projections!$E121,Z$2&lt;=EDATE(Projections!$E121,Projections!$C121)),Projections!$B121/Projections!$C121,0),0)</f>
        <v>0</v>
      </c>
      <c r="AA172" s="56">
        <f>IFERROR(IF(AND(AA$2&gt;=Projections!$E121,AA$2&lt;=EDATE(Projections!$E121,Projections!$C121)),Projections!$B121/Projections!$C121,0),0)</f>
        <v>0</v>
      </c>
      <c r="AB172" s="56">
        <f>IFERROR(IF(AND(AB$2&gt;=Projections!$E121,AB$2&lt;=EDATE(Projections!$E121,Projections!$C121)),Projections!$B121/Projections!$C121,0),0)</f>
        <v>0</v>
      </c>
      <c r="AC172" s="56">
        <f>IFERROR(IF(AND(AC$2&gt;=Projections!$E121,AC$2&lt;=EDATE(Projections!$E121,Projections!$C121)),Projections!$B121/Projections!$C121,0),0)</f>
        <v>0</v>
      </c>
      <c r="AD172" s="56">
        <f>IFERROR(IF(AND(AD$2&gt;=Projections!$E121,AD$2&lt;=EDATE(Projections!$E121,Projections!$C121)),Projections!$B121/Projections!$C121,0),0)</f>
        <v>0</v>
      </c>
      <c r="AE172" s="56">
        <f>IFERROR(IF(AND(AE$2&gt;=Projections!$E121,AE$2&lt;=EDATE(Projections!$E121,Projections!$C121)),Projections!$B121/Projections!$C121,0),0)</f>
        <v>0</v>
      </c>
      <c r="AF172" s="56">
        <f>IFERROR(IF(AND(AF$2&gt;=Projections!$E121,AF$2&lt;=EDATE(Projections!$E121,Projections!$C121)),Projections!$B121/Projections!$C121,0),0)</f>
        <v>0</v>
      </c>
      <c r="AG172" s="56">
        <f>IFERROR(IF(AND(AG$2&gt;=Projections!$E121,AG$2&lt;=EDATE(Projections!$E121,Projections!$C121)),Projections!$B121/Projections!$C121,0),0)</f>
        <v>0</v>
      </c>
      <c r="AH172" s="56">
        <f>IFERROR(IF(AND(AH$2&gt;=Projections!$E121,AH$2&lt;=EDATE(Projections!$E121,Projections!$C121)),Projections!$B121/Projections!$C121,0),0)</f>
        <v>0</v>
      </c>
      <c r="AI172" s="56">
        <f>IFERROR(IF(AND(AI$2&gt;=Projections!$E121,AI$2&lt;=EDATE(Projections!$E121,Projections!$C121)),Projections!$B121/Projections!$C121,0),0)</f>
        <v>0</v>
      </c>
      <c r="AJ172" s="56">
        <f>IFERROR(IF(AND(AJ$2&gt;=Projections!$E121,AJ$2&lt;=EDATE(Projections!$E121,Projections!$C121)),Projections!$B121/Projections!$C121,0),0)</f>
        <v>0</v>
      </c>
      <c r="AK172" s="56">
        <f>IFERROR(IF(AND(AK$2&gt;=Projections!$E121,AK$2&lt;=EDATE(Projections!$E121,Projections!$C121)),Projections!$B121/Projections!$C121,0),0)</f>
        <v>0</v>
      </c>
      <c r="AL172" s="56">
        <f>IFERROR(IF(AND(AL$2&gt;=Projections!$E121,AL$2&lt;=EDATE(Projections!$E121,Projections!$C121)),Projections!$B121/Projections!$C121,0),0)</f>
        <v>0</v>
      </c>
      <c r="AM172" s="56">
        <f>IFERROR(IF(AND(AM$2&gt;=Projections!$E121,AM$2&lt;=EDATE(Projections!$E121,Projections!$C121)),Projections!$B121/Projections!$C121,0),0)</f>
        <v>0</v>
      </c>
      <c r="AN172" s="56">
        <f>IFERROR(IF(AND(AN$2&gt;=Projections!$E121,AN$2&lt;=EDATE(Projections!$E121,Projections!$C121)),Projections!$B121/Projections!$C121,0),0)</f>
        <v>0</v>
      </c>
      <c r="AO172" s="56">
        <f>IFERROR(IF(AND(AO$2&gt;=Projections!$E121,AO$2&lt;=EDATE(Projections!$E121,Projections!$C121)),Projections!$B121/Projections!$C121,0),0)</f>
        <v>0</v>
      </c>
      <c r="AP172" s="56">
        <f>IFERROR(IF(AND(AP$2&gt;=Projections!$E121,AP$2&lt;=EDATE(Projections!$E121,Projections!$C121)),Projections!$B121/Projections!$C121,0),0)</f>
        <v>0</v>
      </c>
      <c r="AQ172" s="56">
        <f>IFERROR(IF(AND(AQ$2&gt;=Projections!$E121,AQ$2&lt;=EDATE(Projections!$E121,Projections!$C121)),Projections!$B121/Projections!$C121,0),0)</f>
        <v>0</v>
      </c>
      <c r="AR172" s="56">
        <f>IFERROR(IF(AND(AR$2&gt;=Projections!$E121,AR$2&lt;=EDATE(Projections!$E121,Projections!$C121)),Projections!$B121/Projections!$C121,0),0)</f>
        <v>0</v>
      </c>
      <c r="AS172" s="56">
        <f>IFERROR(IF(AND(AS$2&gt;=Projections!$E121,AS$2&lt;=EDATE(Projections!$E121,Projections!$C121)),Projections!$B121/Projections!$C121,0),0)</f>
        <v>0</v>
      </c>
      <c r="AT172" s="56">
        <f>IFERROR(IF(AND(AT$2&gt;=Projections!$E121,AT$2&lt;=EDATE(Projections!$E121,Projections!$C121)),Projections!$B121/Projections!$C121,0),0)</f>
        <v>0</v>
      </c>
      <c r="AU172" s="56">
        <f>IFERROR(IF(AND(AU$2&gt;=Projections!$E121,AU$2&lt;=EDATE(Projections!$E121,Projections!$C121)),Projections!$B121/Projections!$C121,0),0)</f>
        <v>0</v>
      </c>
      <c r="AV172" s="56">
        <f>IFERROR(IF(AND(AV$2&gt;=Projections!$E121,AV$2&lt;=EDATE(Projections!$E121,Projections!$C121)),Projections!$B121/Projections!$C121,0),0)</f>
        <v>0</v>
      </c>
      <c r="AW172" s="56">
        <f>IFERROR(IF(AND(AW$2&gt;=Projections!$E121,AW$2&lt;=EDATE(Projections!$E121,Projections!$C121)),Projections!$B121/Projections!$C121,0),0)</f>
        <v>0</v>
      </c>
      <c r="AX172" s="56">
        <f>IFERROR(IF(AND(AX$2&gt;=Projections!$E121,AX$2&lt;=EDATE(Projections!$E121,Projections!$C121)),Projections!$B121/Projections!$C121,0),0)</f>
        <v>0</v>
      </c>
      <c r="AY172" s="56">
        <f>IFERROR(IF(AND(AY$2&gt;=Projections!$E121,AY$2&lt;=EDATE(Projections!$E121,Projections!$C121)),Projections!$B121/Projections!$C121,0),0)</f>
        <v>0</v>
      </c>
      <c r="AZ172" s="56">
        <f>IFERROR(IF(AND(AZ$2&gt;=Projections!$E121,AZ$2&lt;=EDATE(Projections!$E121,Projections!$C121)),Projections!$B121/Projections!$C121,0),0)</f>
        <v>0</v>
      </c>
      <c r="BA172" s="56">
        <f>IFERROR(IF(AND(BA$2&gt;=Projections!$E121,BA$2&lt;=EDATE(Projections!$E121,Projections!$C121)),Projections!$B121/Projections!$C121,0),0)</f>
        <v>0</v>
      </c>
      <c r="BB172" s="56">
        <f>IFERROR(IF(AND(BB$2&gt;=Projections!$E121,BB$2&lt;=EDATE(Projections!$E121,Projections!$C121)),Projections!$B121/Projections!$C121,0),0)</f>
        <v>0</v>
      </c>
      <c r="BC172" s="56">
        <f>IFERROR(IF(AND(BC$2&gt;=Projections!$E121,BC$2&lt;=EDATE(Projections!$E121,Projections!$C121)),Projections!$B121/Projections!$C121,0),0)</f>
        <v>0</v>
      </c>
      <c r="BD172" s="56">
        <f>IFERROR(IF(AND(BD$2&gt;=Projections!$E121,BD$2&lt;=EDATE(Projections!$E121,Projections!$C121)),Projections!$B121/Projections!$C121,0),0)</f>
        <v>0</v>
      </c>
      <c r="BE172" s="56">
        <f>IFERROR(IF(AND(BE$2&gt;=Projections!$E121,BE$2&lt;=EDATE(Projections!$E121,Projections!$C121)),Projections!$B121/Projections!$C121,0),0)</f>
        <v>0</v>
      </c>
      <c r="BF172" s="56">
        <f>IFERROR(IF(AND(BF$2&gt;=Projections!$E121,BF$2&lt;=EDATE(Projections!$E121,Projections!$C121)),Projections!$B121/Projections!$C121,0),0)</f>
        <v>0</v>
      </c>
      <c r="BG172" s="56">
        <f>IFERROR(IF(AND(BG$2&gt;=Projections!$E121,BG$2&lt;=EDATE(Projections!$E121,Projections!$C121)),Projections!$B121/Projections!$C121,0),0)</f>
        <v>0</v>
      </c>
      <c r="BH172" s="56">
        <f>IFERROR(IF(AND(BH$2&gt;=Projections!$E121,BH$2&lt;=EDATE(Projections!$E121,Projections!$C121)),Projections!$B121/Projections!$C121,0),0)</f>
        <v>0</v>
      </c>
      <c r="BI172" s="56">
        <f>IFERROR(IF(AND(BI$2&gt;=Projections!$E121,BI$2&lt;=EDATE(Projections!$E121,Projections!$C121)),Projections!$B121/Projections!$C121,0),0)</f>
        <v>0</v>
      </c>
      <c r="BJ172" s="56">
        <f>IFERROR(IF(AND(BJ$2&gt;=Projections!$E121,BJ$2&lt;=EDATE(Projections!$E121,Projections!$C121)),Projections!$B121/Projections!$C121,0),0)</f>
        <v>0</v>
      </c>
      <c r="BK172" s="56">
        <f>IFERROR(IF(AND(BK$2&gt;=Projections!$E121,BK$2&lt;=EDATE(Projections!$E121,Projections!$C121)),Projections!$B121/Projections!$C121,0),0)</f>
        <v>0</v>
      </c>
      <c r="BL172" s="56">
        <f>IFERROR(IF(AND(BL$2&gt;=Projections!$E121,BL$2&lt;=EDATE(Projections!$E121,Projections!$C121)),Projections!$B121/Projections!$C121,0),0)</f>
        <v>0</v>
      </c>
      <c r="BM172" s="56">
        <f>IFERROR(IF(AND(BM$2&gt;=Projections!$E121,BM$2&lt;=EDATE(Projections!$E121,Projections!$C121)),Projections!$B121/Projections!$C121,0),0)</f>
        <v>0</v>
      </c>
      <c r="BN172" s="56">
        <f>IFERROR(IF(AND(BN$2&gt;=Projections!$E121,BN$2&lt;=EDATE(Projections!$E121,Projections!$C121)),Projections!$B121/Projections!$C121,0),0)</f>
        <v>0</v>
      </c>
      <c r="BO172" s="56">
        <f>IFERROR(IF(AND(BO$2&gt;=Projections!$E121,BO$2&lt;=EDATE(Projections!$E121,Projections!$C121)),Projections!$B121/Projections!$C121,0),0)</f>
        <v>0</v>
      </c>
      <c r="BP172" s="56">
        <f>IFERROR(IF(AND(BP$2&gt;=Projections!$E121,BP$2&lt;=EDATE(Projections!$E121,Projections!$C121)),Projections!$B121/Projections!$C121,0),0)</f>
        <v>0</v>
      </c>
      <c r="BQ172" s="56">
        <f>IFERROR(IF(AND(BQ$2&gt;=Projections!$E121,BQ$2&lt;=EDATE(Projections!$E121,Projections!$C121)),Projections!$B121/Projections!$C121,0),0)</f>
        <v>0</v>
      </c>
      <c r="BR172" s="56">
        <f>IFERROR(IF(AND(BR$2&gt;=Projections!$E121,BR$2&lt;=EDATE(Projections!$E121,Projections!$C121)),Projections!$B121/Projections!$C121,0),0)</f>
        <v>0</v>
      </c>
      <c r="BS172" s="56">
        <f>IFERROR(IF(AND(BS$2&gt;=Projections!$E121,BS$2&lt;=EDATE(Projections!$E121,Projections!$C121)),Projections!$B121/Projections!$C121,0),0)</f>
        <v>0</v>
      </c>
      <c r="BT172" s="56">
        <f>IFERROR(IF(AND(BT$2&gt;=Projections!$E121,BT$2&lt;=EDATE(Projections!$E121,Projections!$C121)),Projections!$B121/Projections!$C121,0),0)</f>
        <v>0</v>
      </c>
      <c r="BU172" s="56">
        <f>IFERROR(IF(AND(BU$2&gt;=Projections!$E121,BU$2&lt;=EDATE(Projections!$E121,Projections!$C121)),Projections!$B121/Projections!$C121,0),0)</f>
        <v>0</v>
      </c>
      <c r="BV172" s="56">
        <f>IFERROR(IF(AND(BV$2&gt;=Projections!$E121,BV$2&lt;=EDATE(Projections!$E121,Projections!$C121)),Projections!$B121/Projections!$C121,0),0)</f>
        <v>0</v>
      </c>
      <c r="BW172" s="56">
        <f>IFERROR(IF(AND(BW$2&gt;=Projections!$E121,BW$2&lt;=EDATE(Projections!$E121,Projections!$C121)),Projections!$B121/Projections!$C121,0),0)</f>
        <v>0</v>
      </c>
      <c r="BX172" s="56">
        <f>IFERROR(IF(AND(BX$2&gt;=Projections!$E121,BX$2&lt;=EDATE(Projections!$E121,Projections!$C121)),Projections!$B121/Projections!$C121,0),0)</f>
        <v>0</v>
      </c>
      <c r="BY172" s="56">
        <f>IFERROR(IF(AND(BY$2&gt;=Projections!$E121,BY$2&lt;=EDATE(Projections!$E121,Projections!$C121)),Projections!$B121/Projections!$C121,0),0)</f>
        <v>0</v>
      </c>
      <c r="BZ172" s="56">
        <f>IFERROR(IF(AND(BZ$2&gt;=Projections!$E121,BZ$2&lt;=EDATE(Projections!$E121,Projections!$C121)),Projections!$B121/Projections!$C121,0),0)</f>
        <v>0</v>
      </c>
      <c r="CA172" s="56">
        <f>IFERROR(IF(AND(CA$2&gt;=Projections!$E121,CA$2&lt;=EDATE(Projections!$E121,Projections!$C121)),Projections!$B121/Projections!$C121,0),0)</f>
        <v>0</v>
      </c>
      <c r="CB172" s="56">
        <f>IFERROR(IF(AND(CB$2&gt;=Projections!$E121,CB$2&lt;=EDATE(Projections!$E121,Projections!$C121)),Projections!$B121/Projections!$C121,0),0)</f>
        <v>0</v>
      </c>
      <c r="CC172" s="56">
        <f>IFERROR(IF(AND(CC$2&gt;=Projections!$E121,CC$2&lt;=EDATE(Projections!$E121,Projections!$C121)),Projections!$B121/Projections!$C121,0),0)</f>
        <v>0</v>
      </c>
      <c r="CD172" s="56">
        <f>IFERROR(IF(AND(CD$2&gt;=Projections!$E121,CD$2&lt;=EDATE(Projections!$E121,Projections!$C121)),Projections!$B121/Projections!$C121,0),0)</f>
        <v>0</v>
      </c>
      <c r="CE172" s="56">
        <f>IFERROR(IF(AND(CE$2&gt;=Projections!$E121,CE$2&lt;=EDATE(Projections!$E121,Projections!$C121)),Projections!$B121/Projections!$C121,0),0)</f>
        <v>0</v>
      </c>
      <c r="CF172" s="56">
        <f>IFERROR(IF(AND(CF$2&gt;=Projections!$E121,CF$2&lt;=EDATE(Projections!$E121,Projections!$C121)),Projections!$B121/Projections!$C121,0),0)</f>
        <v>0</v>
      </c>
      <c r="CG172" s="56">
        <f>IFERROR(IF(AND(CG$2&gt;=Projections!$E121,CG$2&lt;=EDATE(Projections!$E121,Projections!$C121)),Projections!$B121/Projections!$C121,0),0)</f>
        <v>0</v>
      </c>
      <c r="CH172" s="56">
        <f>IFERROR(IF(AND(CH$2&gt;=Projections!$E121,CH$2&lt;=EDATE(Projections!$E121,Projections!$C121)),Projections!$B121/Projections!$C121,0),0)</f>
        <v>0</v>
      </c>
      <c r="CI172" s="56">
        <f>IFERROR(IF(AND(CI$2&gt;=Projections!$E121,CI$2&lt;=EDATE(Projections!$E121,Projections!$C121)),Projections!$B121/Projections!$C121,0),0)</f>
        <v>0</v>
      </c>
      <c r="CJ172" s="56">
        <f>IFERROR(IF(AND(CJ$2&gt;=Projections!$E121,CJ$2&lt;=EDATE(Projections!$E121,Projections!$C121)),Projections!$B121/Projections!$C121,0),0)</f>
        <v>0</v>
      </c>
      <c r="CK172" s="56">
        <f>IFERROR(IF(AND(CK$2&gt;=Projections!$E121,CK$2&lt;=EDATE(Projections!$E121,Projections!$C121)),Projections!$B121/Projections!$C121,0),0)</f>
        <v>0</v>
      </c>
      <c r="CL172" s="56">
        <f>IFERROR(IF(AND(CL$2&gt;=Projections!$E121,CL$2&lt;=EDATE(Projections!$E121,Projections!$C121)),Projections!$B121/Projections!$C121,0),0)</f>
        <v>0</v>
      </c>
      <c r="CM172" s="56">
        <f>IFERROR(IF(AND(CM$2&gt;=Projections!$E121,CM$2&lt;=EDATE(Projections!$E121,Projections!$C121)),Projections!$B121/Projections!$C121,0),0)</f>
        <v>0</v>
      </c>
      <c r="CN172" s="56">
        <f>IFERROR(IF(AND(CN$2&gt;=Projections!$E121,CN$2&lt;=EDATE(Projections!$E121,Projections!$C121)),Projections!$B121/Projections!$C121,0),0)</f>
        <v>0</v>
      </c>
      <c r="CO172" s="56">
        <f>IFERROR(IF(AND(CO$2&gt;=Projections!$E121,CO$2&lt;=EDATE(Projections!$E121,Projections!$C121)),Projections!$B121/Projections!$C121,0),0)</f>
        <v>0</v>
      </c>
      <c r="CP172" s="56">
        <f>IFERROR(IF(AND(CP$2&gt;=Projections!$E121,CP$2&lt;=EDATE(Projections!$E121,Projections!$C121)),Projections!$B121/Projections!$C121,0),0)</f>
        <v>0</v>
      </c>
      <c r="CQ172" s="56">
        <f>IFERROR(IF(AND(CQ$2&gt;=Projections!$E121,CQ$2&lt;=EDATE(Projections!$E121,Projections!$C121)),Projections!$B121/Projections!$C121,0),0)</f>
        <v>0</v>
      </c>
      <c r="CR172" s="56">
        <f>IFERROR(IF(AND(CR$2&gt;=Projections!$E121,CR$2&lt;=EDATE(Projections!$E121,Projections!$C121)),Projections!$B121/Projections!$C121,0),0)</f>
        <v>0</v>
      </c>
      <c r="CS172" s="56">
        <f>IFERROR(IF(AND(CS$2&gt;=Projections!$E121,CS$2&lt;=EDATE(Projections!$E121,Projections!$C121)),Projections!$B121/Projections!$C121,0),0)</f>
        <v>0</v>
      </c>
      <c r="CT172" s="56">
        <f>IFERROR(IF(AND(CT$2&gt;=Projections!$E121,CT$2&lt;=EDATE(Projections!$E121,Projections!$C121)),Projections!$B121/Projections!$C121,0),0)</f>
        <v>0</v>
      </c>
      <c r="CU172" s="56">
        <f>IFERROR(IF(AND(CU$2&gt;=Projections!$E121,CU$2&lt;=EDATE(Projections!$E121,Projections!$C121)),Projections!$B121/Projections!$C121,0),0)</f>
        <v>0</v>
      </c>
      <c r="CV172" s="56">
        <f>IFERROR(IF(AND(CV$2&gt;=Projections!$E121,CV$2&lt;=EDATE(Projections!$E121,Projections!$C121)),Projections!$B121/Projections!$C121,0),0)</f>
        <v>0</v>
      </c>
      <c r="CW172" s="56">
        <f>IFERROR(IF(AND(CW$2&gt;=Projections!$E121,CW$2&lt;=EDATE(Projections!$E121,Projections!$C121)),Projections!$B121/Projections!$C121,0),0)</f>
        <v>0</v>
      </c>
      <c r="CX172" s="56">
        <f>IFERROR(IF(AND(CX$2&gt;=Projections!$E121,CX$2&lt;=EDATE(Projections!$E121,Projections!$C121)),Projections!$B121/Projections!$C121,0),0)</f>
        <v>0</v>
      </c>
    </row>
    <row r="173" ht="15.75" customHeight="1" outlineLevel="1">
      <c r="A173" s="56" t="str">
        <f t="shared" si="32"/>
        <v>Asset 3</v>
      </c>
      <c r="B173" s="56"/>
      <c r="C173" s="56"/>
      <c r="D173" s="56"/>
      <c r="E173" s="56">
        <f>IFERROR(IF(AND(E$2&gt;=Projections!$E122,E$2&lt;=EDATE(Projections!$E122,Projections!$C122)),Projections!$B122/Projections!$C122,0),0)</f>
        <v>0</v>
      </c>
      <c r="F173" s="56">
        <f>IFERROR(IF(AND(F$2&gt;=Projections!$E122,F$2&lt;=EDATE(Projections!$E122,Projections!$C122)),Projections!$B122/Projections!$C122,0),0)</f>
        <v>0</v>
      </c>
      <c r="G173" s="56">
        <f>IFERROR(IF(AND(G$2&gt;=Projections!$E122,G$2&lt;=EDATE(Projections!$E122,Projections!$C122)),Projections!$B122/Projections!$C122,0),0)</f>
        <v>0</v>
      </c>
      <c r="H173" s="56">
        <f>IFERROR(IF(AND(H$2&gt;=Projections!$E122,H$2&lt;=EDATE(Projections!$E122,Projections!$C122)),Projections!$B122/Projections!$C122,0),0)</f>
        <v>0</v>
      </c>
      <c r="I173" s="56">
        <f>IFERROR(IF(AND(I$2&gt;=Projections!$E122,I$2&lt;=EDATE(Projections!$E122,Projections!$C122)),Projections!$B122/Projections!$C122,0),0)</f>
        <v>0</v>
      </c>
      <c r="J173" s="56">
        <f>IFERROR(IF(AND(J$2&gt;=Projections!$E122,J$2&lt;=EDATE(Projections!$E122,Projections!$C122)),Projections!$B122/Projections!$C122,0),0)</f>
        <v>0</v>
      </c>
      <c r="K173" s="56">
        <f>IFERROR(IF(AND(K$2&gt;=Projections!$E122,K$2&lt;=EDATE(Projections!$E122,Projections!$C122)),Projections!$B122/Projections!$C122,0),0)</f>
        <v>0</v>
      </c>
      <c r="L173" s="56">
        <f>IFERROR(IF(AND(L$2&gt;=Projections!$E122,L$2&lt;=EDATE(Projections!$E122,Projections!$C122)),Projections!$B122/Projections!$C122,0),0)</f>
        <v>0</v>
      </c>
      <c r="M173" s="56">
        <f>IFERROR(IF(AND(M$2&gt;=Projections!$E122,M$2&lt;=EDATE(Projections!$E122,Projections!$C122)),Projections!$B122/Projections!$C122,0),0)</f>
        <v>0</v>
      </c>
      <c r="N173" s="56">
        <f>IFERROR(IF(AND(N$2&gt;=Projections!$E122,N$2&lt;=EDATE(Projections!$E122,Projections!$C122)),Projections!$B122/Projections!$C122,0),0)</f>
        <v>0</v>
      </c>
      <c r="O173" s="56">
        <f>IFERROR(IF(AND(O$2&gt;=Projections!$E122,O$2&lt;=EDATE(Projections!$E122,Projections!$C122)),Projections!$B122/Projections!$C122,0),0)</f>
        <v>0</v>
      </c>
      <c r="P173" s="56">
        <f>IFERROR(IF(AND(P$2&gt;=Projections!$E122,P$2&lt;=EDATE(Projections!$E122,Projections!$C122)),Projections!$B122/Projections!$C122,0),0)</f>
        <v>0</v>
      </c>
      <c r="Q173" s="56">
        <f>IFERROR(IF(AND(Q$2&gt;=Projections!$E122,Q$2&lt;=EDATE(Projections!$E122,Projections!$C122)),Projections!$B122/Projections!$C122,0),0)</f>
        <v>0</v>
      </c>
      <c r="R173" s="56">
        <f>IFERROR(IF(AND(R$2&gt;=Projections!$E122,R$2&lt;=EDATE(Projections!$E122,Projections!$C122)),Projections!$B122/Projections!$C122,0),0)</f>
        <v>0</v>
      </c>
      <c r="S173" s="56">
        <f>IFERROR(IF(AND(S$2&gt;=Projections!$E122,S$2&lt;=EDATE(Projections!$E122,Projections!$C122)),Projections!$B122/Projections!$C122,0),0)</f>
        <v>0</v>
      </c>
      <c r="T173" s="56">
        <f>IFERROR(IF(AND(T$2&gt;=Projections!$E122,T$2&lt;=EDATE(Projections!$E122,Projections!$C122)),Projections!$B122/Projections!$C122,0),0)</f>
        <v>0</v>
      </c>
      <c r="U173" s="56">
        <f>IFERROR(IF(AND(U$2&gt;=Projections!$E122,U$2&lt;=EDATE(Projections!$E122,Projections!$C122)),Projections!$B122/Projections!$C122,0),0)</f>
        <v>0</v>
      </c>
      <c r="V173" s="56">
        <f>IFERROR(IF(AND(V$2&gt;=Projections!$E122,V$2&lt;=EDATE(Projections!$E122,Projections!$C122)),Projections!$B122/Projections!$C122,0),0)</f>
        <v>0</v>
      </c>
      <c r="W173" s="56">
        <f>IFERROR(IF(AND(W$2&gt;=Projections!$E122,W$2&lt;=EDATE(Projections!$E122,Projections!$C122)),Projections!$B122/Projections!$C122,0),0)</f>
        <v>0</v>
      </c>
      <c r="X173" s="56">
        <f>IFERROR(IF(AND(X$2&gt;=Projections!$E122,X$2&lt;=EDATE(Projections!$E122,Projections!$C122)),Projections!$B122/Projections!$C122,0),0)</f>
        <v>0</v>
      </c>
      <c r="Y173" s="56">
        <f>IFERROR(IF(AND(Y$2&gt;=Projections!$E122,Y$2&lt;=EDATE(Projections!$E122,Projections!$C122)),Projections!$B122/Projections!$C122,0),0)</f>
        <v>0</v>
      </c>
      <c r="Z173" s="56">
        <f>IFERROR(IF(AND(Z$2&gt;=Projections!$E122,Z$2&lt;=EDATE(Projections!$E122,Projections!$C122)),Projections!$B122/Projections!$C122,0),0)</f>
        <v>0</v>
      </c>
      <c r="AA173" s="56">
        <f>IFERROR(IF(AND(AA$2&gt;=Projections!$E122,AA$2&lt;=EDATE(Projections!$E122,Projections!$C122)),Projections!$B122/Projections!$C122,0),0)</f>
        <v>0</v>
      </c>
      <c r="AB173" s="56">
        <f>IFERROR(IF(AND(AB$2&gt;=Projections!$E122,AB$2&lt;=EDATE(Projections!$E122,Projections!$C122)),Projections!$B122/Projections!$C122,0),0)</f>
        <v>0</v>
      </c>
      <c r="AC173" s="56">
        <f>IFERROR(IF(AND(AC$2&gt;=Projections!$E122,AC$2&lt;=EDATE(Projections!$E122,Projections!$C122)),Projections!$B122/Projections!$C122,0),0)</f>
        <v>0</v>
      </c>
      <c r="AD173" s="56">
        <f>IFERROR(IF(AND(AD$2&gt;=Projections!$E122,AD$2&lt;=EDATE(Projections!$E122,Projections!$C122)),Projections!$B122/Projections!$C122,0),0)</f>
        <v>0</v>
      </c>
      <c r="AE173" s="56">
        <f>IFERROR(IF(AND(AE$2&gt;=Projections!$E122,AE$2&lt;=EDATE(Projections!$E122,Projections!$C122)),Projections!$B122/Projections!$C122,0),0)</f>
        <v>0</v>
      </c>
      <c r="AF173" s="56">
        <f>IFERROR(IF(AND(AF$2&gt;=Projections!$E122,AF$2&lt;=EDATE(Projections!$E122,Projections!$C122)),Projections!$B122/Projections!$C122,0),0)</f>
        <v>0</v>
      </c>
      <c r="AG173" s="56">
        <f>IFERROR(IF(AND(AG$2&gt;=Projections!$E122,AG$2&lt;=EDATE(Projections!$E122,Projections!$C122)),Projections!$B122/Projections!$C122,0),0)</f>
        <v>0</v>
      </c>
      <c r="AH173" s="56">
        <f>IFERROR(IF(AND(AH$2&gt;=Projections!$E122,AH$2&lt;=EDATE(Projections!$E122,Projections!$C122)),Projections!$B122/Projections!$C122,0),0)</f>
        <v>0</v>
      </c>
      <c r="AI173" s="56">
        <f>IFERROR(IF(AND(AI$2&gt;=Projections!$E122,AI$2&lt;=EDATE(Projections!$E122,Projections!$C122)),Projections!$B122/Projections!$C122,0),0)</f>
        <v>0</v>
      </c>
      <c r="AJ173" s="56">
        <f>IFERROR(IF(AND(AJ$2&gt;=Projections!$E122,AJ$2&lt;=EDATE(Projections!$E122,Projections!$C122)),Projections!$B122/Projections!$C122,0),0)</f>
        <v>0</v>
      </c>
      <c r="AK173" s="56">
        <f>IFERROR(IF(AND(AK$2&gt;=Projections!$E122,AK$2&lt;=EDATE(Projections!$E122,Projections!$C122)),Projections!$B122/Projections!$C122,0),0)</f>
        <v>0</v>
      </c>
      <c r="AL173" s="56">
        <f>IFERROR(IF(AND(AL$2&gt;=Projections!$E122,AL$2&lt;=EDATE(Projections!$E122,Projections!$C122)),Projections!$B122/Projections!$C122,0),0)</f>
        <v>0</v>
      </c>
      <c r="AM173" s="56">
        <f>IFERROR(IF(AND(AM$2&gt;=Projections!$E122,AM$2&lt;=EDATE(Projections!$E122,Projections!$C122)),Projections!$B122/Projections!$C122,0),0)</f>
        <v>0</v>
      </c>
      <c r="AN173" s="56">
        <f>IFERROR(IF(AND(AN$2&gt;=Projections!$E122,AN$2&lt;=EDATE(Projections!$E122,Projections!$C122)),Projections!$B122/Projections!$C122,0),0)</f>
        <v>0</v>
      </c>
      <c r="AO173" s="56">
        <f>IFERROR(IF(AND(AO$2&gt;=Projections!$E122,AO$2&lt;=EDATE(Projections!$E122,Projections!$C122)),Projections!$B122/Projections!$C122,0),0)</f>
        <v>0</v>
      </c>
      <c r="AP173" s="56">
        <f>IFERROR(IF(AND(AP$2&gt;=Projections!$E122,AP$2&lt;=EDATE(Projections!$E122,Projections!$C122)),Projections!$B122/Projections!$C122,0),0)</f>
        <v>0</v>
      </c>
      <c r="AQ173" s="56">
        <f>IFERROR(IF(AND(AQ$2&gt;=Projections!$E122,AQ$2&lt;=EDATE(Projections!$E122,Projections!$C122)),Projections!$B122/Projections!$C122,0),0)</f>
        <v>0</v>
      </c>
      <c r="AR173" s="56">
        <f>IFERROR(IF(AND(AR$2&gt;=Projections!$E122,AR$2&lt;=EDATE(Projections!$E122,Projections!$C122)),Projections!$B122/Projections!$C122,0),0)</f>
        <v>0</v>
      </c>
      <c r="AS173" s="56">
        <f>IFERROR(IF(AND(AS$2&gt;=Projections!$E122,AS$2&lt;=EDATE(Projections!$E122,Projections!$C122)),Projections!$B122/Projections!$C122,0),0)</f>
        <v>0</v>
      </c>
      <c r="AT173" s="56">
        <f>IFERROR(IF(AND(AT$2&gt;=Projections!$E122,AT$2&lt;=EDATE(Projections!$E122,Projections!$C122)),Projections!$B122/Projections!$C122,0),0)</f>
        <v>0</v>
      </c>
      <c r="AU173" s="56">
        <f>IFERROR(IF(AND(AU$2&gt;=Projections!$E122,AU$2&lt;=EDATE(Projections!$E122,Projections!$C122)),Projections!$B122/Projections!$C122,0),0)</f>
        <v>0</v>
      </c>
      <c r="AV173" s="56">
        <f>IFERROR(IF(AND(AV$2&gt;=Projections!$E122,AV$2&lt;=EDATE(Projections!$E122,Projections!$C122)),Projections!$B122/Projections!$C122,0),0)</f>
        <v>0</v>
      </c>
      <c r="AW173" s="56">
        <f>IFERROR(IF(AND(AW$2&gt;=Projections!$E122,AW$2&lt;=EDATE(Projections!$E122,Projections!$C122)),Projections!$B122/Projections!$C122,0),0)</f>
        <v>0</v>
      </c>
      <c r="AX173" s="56">
        <f>IFERROR(IF(AND(AX$2&gt;=Projections!$E122,AX$2&lt;=EDATE(Projections!$E122,Projections!$C122)),Projections!$B122/Projections!$C122,0),0)</f>
        <v>0</v>
      </c>
      <c r="AY173" s="56">
        <f>IFERROR(IF(AND(AY$2&gt;=Projections!$E122,AY$2&lt;=EDATE(Projections!$E122,Projections!$C122)),Projections!$B122/Projections!$C122,0),0)</f>
        <v>0</v>
      </c>
      <c r="AZ173" s="56">
        <f>IFERROR(IF(AND(AZ$2&gt;=Projections!$E122,AZ$2&lt;=EDATE(Projections!$E122,Projections!$C122)),Projections!$B122/Projections!$C122,0),0)</f>
        <v>0</v>
      </c>
      <c r="BA173" s="56">
        <f>IFERROR(IF(AND(BA$2&gt;=Projections!$E122,BA$2&lt;=EDATE(Projections!$E122,Projections!$C122)),Projections!$B122/Projections!$C122,0),0)</f>
        <v>0</v>
      </c>
      <c r="BB173" s="56">
        <f>IFERROR(IF(AND(BB$2&gt;=Projections!$E122,BB$2&lt;=EDATE(Projections!$E122,Projections!$C122)),Projections!$B122/Projections!$C122,0),0)</f>
        <v>0</v>
      </c>
      <c r="BC173" s="56">
        <f>IFERROR(IF(AND(BC$2&gt;=Projections!$E122,BC$2&lt;=EDATE(Projections!$E122,Projections!$C122)),Projections!$B122/Projections!$C122,0),0)</f>
        <v>0</v>
      </c>
      <c r="BD173" s="56">
        <f>IFERROR(IF(AND(BD$2&gt;=Projections!$E122,BD$2&lt;=EDATE(Projections!$E122,Projections!$C122)),Projections!$B122/Projections!$C122,0),0)</f>
        <v>0</v>
      </c>
      <c r="BE173" s="56">
        <f>IFERROR(IF(AND(BE$2&gt;=Projections!$E122,BE$2&lt;=EDATE(Projections!$E122,Projections!$C122)),Projections!$B122/Projections!$C122,0),0)</f>
        <v>0</v>
      </c>
      <c r="BF173" s="56">
        <f>IFERROR(IF(AND(BF$2&gt;=Projections!$E122,BF$2&lt;=EDATE(Projections!$E122,Projections!$C122)),Projections!$B122/Projections!$C122,0),0)</f>
        <v>0</v>
      </c>
      <c r="BG173" s="56">
        <f>IFERROR(IF(AND(BG$2&gt;=Projections!$E122,BG$2&lt;=EDATE(Projections!$E122,Projections!$C122)),Projections!$B122/Projections!$C122,0),0)</f>
        <v>0</v>
      </c>
      <c r="BH173" s="56">
        <f>IFERROR(IF(AND(BH$2&gt;=Projections!$E122,BH$2&lt;=EDATE(Projections!$E122,Projections!$C122)),Projections!$B122/Projections!$C122,0),0)</f>
        <v>0</v>
      </c>
      <c r="BI173" s="56">
        <f>IFERROR(IF(AND(BI$2&gt;=Projections!$E122,BI$2&lt;=EDATE(Projections!$E122,Projections!$C122)),Projections!$B122/Projections!$C122,0),0)</f>
        <v>0</v>
      </c>
      <c r="BJ173" s="56">
        <f>IFERROR(IF(AND(BJ$2&gt;=Projections!$E122,BJ$2&lt;=EDATE(Projections!$E122,Projections!$C122)),Projections!$B122/Projections!$C122,0),0)</f>
        <v>0</v>
      </c>
      <c r="BK173" s="56">
        <f>IFERROR(IF(AND(BK$2&gt;=Projections!$E122,BK$2&lt;=EDATE(Projections!$E122,Projections!$C122)),Projections!$B122/Projections!$C122,0),0)</f>
        <v>0</v>
      </c>
      <c r="BL173" s="56">
        <f>IFERROR(IF(AND(BL$2&gt;=Projections!$E122,BL$2&lt;=EDATE(Projections!$E122,Projections!$C122)),Projections!$B122/Projections!$C122,0),0)</f>
        <v>0</v>
      </c>
      <c r="BM173" s="56">
        <f>IFERROR(IF(AND(BM$2&gt;=Projections!$E122,BM$2&lt;=EDATE(Projections!$E122,Projections!$C122)),Projections!$B122/Projections!$C122,0),0)</f>
        <v>0</v>
      </c>
      <c r="BN173" s="56">
        <f>IFERROR(IF(AND(BN$2&gt;=Projections!$E122,BN$2&lt;=EDATE(Projections!$E122,Projections!$C122)),Projections!$B122/Projections!$C122,0),0)</f>
        <v>0</v>
      </c>
      <c r="BO173" s="56">
        <f>IFERROR(IF(AND(BO$2&gt;=Projections!$E122,BO$2&lt;=EDATE(Projections!$E122,Projections!$C122)),Projections!$B122/Projections!$C122,0),0)</f>
        <v>0</v>
      </c>
      <c r="BP173" s="56">
        <f>IFERROR(IF(AND(BP$2&gt;=Projections!$E122,BP$2&lt;=EDATE(Projections!$E122,Projections!$C122)),Projections!$B122/Projections!$C122,0),0)</f>
        <v>0</v>
      </c>
      <c r="BQ173" s="56">
        <f>IFERROR(IF(AND(BQ$2&gt;=Projections!$E122,BQ$2&lt;=EDATE(Projections!$E122,Projections!$C122)),Projections!$B122/Projections!$C122,0),0)</f>
        <v>0</v>
      </c>
      <c r="BR173" s="56">
        <f>IFERROR(IF(AND(BR$2&gt;=Projections!$E122,BR$2&lt;=EDATE(Projections!$E122,Projections!$C122)),Projections!$B122/Projections!$C122,0),0)</f>
        <v>0</v>
      </c>
      <c r="BS173" s="56">
        <f>IFERROR(IF(AND(BS$2&gt;=Projections!$E122,BS$2&lt;=EDATE(Projections!$E122,Projections!$C122)),Projections!$B122/Projections!$C122,0),0)</f>
        <v>0</v>
      </c>
      <c r="BT173" s="56">
        <f>IFERROR(IF(AND(BT$2&gt;=Projections!$E122,BT$2&lt;=EDATE(Projections!$E122,Projections!$C122)),Projections!$B122/Projections!$C122,0),0)</f>
        <v>0</v>
      </c>
      <c r="BU173" s="56">
        <f>IFERROR(IF(AND(BU$2&gt;=Projections!$E122,BU$2&lt;=EDATE(Projections!$E122,Projections!$C122)),Projections!$B122/Projections!$C122,0),0)</f>
        <v>0</v>
      </c>
      <c r="BV173" s="56">
        <f>IFERROR(IF(AND(BV$2&gt;=Projections!$E122,BV$2&lt;=EDATE(Projections!$E122,Projections!$C122)),Projections!$B122/Projections!$C122,0),0)</f>
        <v>0</v>
      </c>
      <c r="BW173" s="56">
        <f>IFERROR(IF(AND(BW$2&gt;=Projections!$E122,BW$2&lt;=EDATE(Projections!$E122,Projections!$C122)),Projections!$B122/Projections!$C122,0),0)</f>
        <v>0</v>
      </c>
      <c r="BX173" s="56">
        <f>IFERROR(IF(AND(BX$2&gt;=Projections!$E122,BX$2&lt;=EDATE(Projections!$E122,Projections!$C122)),Projections!$B122/Projections!$C122,0),0)</f>
        <v>0</v>
      </c>
      <c r="BY173" s="56">
        <f>IFERROR(IF(AND(BY$2&gt;=Projections!$E122,BY$2&lt;=EDATE(Projections!$E122,Projections!$C122)),Projections!$B122/Projections!$C122,0),0)</f>
        <v>0</v>
      </c>
      <c r="BZ173" s="56">
        <f>IFERROR(IF(AND(BZ$2&gt;=Projections!$E122,BZ$2&lt;=EDATE(Projections!$E122,Projections!$C122)),Projections!$B122/Projections!$C122,0),0)</f>
        <v>0</v>
      </c>
      <c r="CA173" s="56">
        <f>IFERROR(IF(AND(CA$2&gt;=Projections!$E122,CA$2&lt;=EDATE(Projections!$E122,Projections!$C122)),Projections!$B122/Projections!$C122,0),0)</f>
        <v>0</v>
      </c>
      <c r="CB173" s="56">
        <f>IFERROR(IF(AND(CB$2&gt;=Projections!$E122,CB$2&lt;=EDATE(Projections!$E122,Projections!$C122)),Projections!$B122/Projections!$C122,0),0)</f>
        <v>0</v>
      </c>
      <c r="CC173" s="56">
        <f>IFERROR(IF(AND(CC$2&gt;=Projections!$E122,CC$2&lt;=EDATE(Projections!$E122,Projections!$C122)),Projections!$B122/Projections!$C122,0),0)</f>
        <v>0</v>
      </c>
      <c r="CD173" s="56">
        <f>IFERROR(IF(AND(CD$2&gt;=Projections!$E122,CD$2&lt;=EDATE(Projections!$E122,Projections!$C122)),Projections!$B122/Projections!$C122,0),0)</f>
        <v>0</v>
      </c>
      <c r="CE173" s="56">
        <f>IFERROR(IF(AND(CE$2&gt;=Projections!$E122,CE$2&lt;=EDATE(Projections!$E122,Projections!$C122)),Projections!$B122/Projections!$C122,0),0)</f>
        <v>0</v>
      </c>
      <c r="CF173" s="56">
        <f>IFERROR(IF(AND(CF$2&gt;=Projections!$E122,CF$2&lt;=EDATE(Projections!$E122,Projections!$C122)),Projections!$B122/Projections!$C122,0),0)</f>
        <v>0</v>
      </c>
      <c r="CG173" s="56">
        <f>IFERROR(IF(AND(CG$2&gt;=Projections!$E122,CG$2&lt;=EDATE(Projections!$E122,Projections!$C122)),Projections!$B122/Projections!$C122,0),0)</f>
        <v>0</v>
      </c>
      <c r="CH173" s="56">
        <f>IFERROR(IF(AND(CH$2&gt;=Projections!$E122,CH$2&lt;=EDATE(Projections!$E122,Projections!$C122)),Projections!$B122/Projections!$C122,0),0)</f>
        <v>0</v>
      </c>
      <c r="CI173" s="56">
        <f>IFERROR(IF(AND(CI$2&gt;=Projections!$E122,CI$2&lt;=EDATE(Projections!$E122,Projections!$C122)),Projections!$B122/Projections!$C122,0),0)</f>
        <v>0</v>
      </c>
      <c r="CJ173" s="56">
        <f>IFERROR(IF(AND(CJ$2&gt;=Projections!$E122,CJ$2&lt;=EDATE(Projections!$E122,Projections!$C122)),Projections!$B122/Projections!$C122,0),0)</f>
        <v>0</v>
      </c>
      <c r="CK173" s="56">
        <f>IFERROR(IF(AND(CK$2&gt;=Projections!$E122,CK$2&lt;=EDATE(Projections!$E122,Projections!$C122)),Projections!$B122/Projections!$C122,0),0)</f>
        <v>0</v>
      </c>
      <c r="CL173" s="56">
        <f>IFERROR(IF(AND(CL$2&gt;=Projections!$E122,CL$2&lt;=EDATE(Projections!$E122,Projections!$C122)),Projections!$B122/Projections!$C122,0),0)</f>
        <v>0</v>
      </c>
      <c r="CM173" s="56">
        <f>IFERROR(IF(AND(CM$2&gt;=Projections!$E122,CM$2&lt;=EDATE(Projections!$E122,Projections!$C122)),Projections!$B122/Projections!$C122,0),0)</f>
        <v>0</v>
      </c>
      <c r="CN173" s="56">
        <f>IFERROR(IF(AND(CN$2&gt;=Projections!$E122,CN$2&lt;=EDATE(Projections!$E122,Projections!$C122)),Projections!$B122/Projections!$C122,0),0)</f>
        <v>0</v>
      </c>
      <c r="CO173" s="56">
        <f>IFERROR(IF(AND(CO$2&gt;=Projections!$E122,CO$2&lt;=EDATE(Projections!$E122,Projections!$C122)),Projections!$B122/Projections!$C122,0),0)</f>
        <v>0</v>
      </c>
      <c r="CP173" s="56">
        <f>IFERROR(IF(AND(CP$2&gt;=Projections!$E122,CP$2&lt;=EDATE(Projections!$E122,Projections!$C122)),Projections!$B122/Projections!$C122,0),0)</f>
        <v>0</v>
      </c>
      <c r="CQ173" s="56">
        <f>IFERROR(IF(AND(CQ$2&gt;=Projections!$E122,CQ$2&lt;=EDATE(Projections!$E122,Projections!$C122)),Projections!$B122/Projections!$C122,0),0)</f>
        <v>0</v>
      </c>
      <c r="CR173" s="56">
        <f>IFERROR(IF(AND(CR$2&gt;=Projections!$E122,CR$2&lt;=EDATE(Projections!$E122,Projections!$C122)),Projections!$B122/Projections!$C122,0),0)</f>
        <v>0</v>
      </c>
      <c r="CS173" s="56">
        <f>IFERROR(IF(AND(CS$2&gt;=Projections!$E122,CS$2&lt;=EDATE(Projections!$E122,Projections!$C122)),Projections!$B122/Projections!$C122,0),0)</f>
        <v>0</v>
      </c>
      <c r="CT173" s="56">
        <f>IFERROR(IF(AND(CT$2&gt;=Projections!$E122,CT$2&lt;=EDATE(Projections!$E122,Projections!$C122)),Projections!$B122/Projections!$C122,0),0)</f>
        <v>0</v>
      </c>
      <c r="CU173" s="56">
        <f>IFERROR(IF(AND(CU$2&gt;=Projections!$E122,CU$2&lt;=EDATE(Projections!$E122,Projections!$C122)),Projections!$B122/Projections!$C122,0),0)</f>
        <v>0</v>
      </c>
      <c r="CV173" s="56">
        <f>IFERROR(IF(AND(CV$2&gt;=Projections!$E122,CV$2&lt;=EDATE(Projections!$E122,Projections!$C122)),Projections!$B122/Projections!$C122,0),0)</f>
        <v>0</v>
      </c>
      <c r="CW173" s="56">
        <f>IFERROR(IF(AND(CW$2&gt;=Projections!$E122,CW$2&lt;=EDATE(Projections!$E122,Projections!$C122)),Projections!$B122/Projections!$C122,0),0)</f>
        <v>0</v>
      </c>
      <c r="CX173" s="56">
        <f>IFERROR(IF(AND(CX$2&gt;=Projections!$E122,CX$2&lt;=EDATE(Projections!$E122,Projections!$C122)),Projections!$B122/Projections!$C122,0),0)</f>
        <v>0</v>
      </c>
    </row>
    <row r="174" ht="15.75" customHeight="1" outlineLevel="1">
      <c r="A174" s="56" t="str">
        <f t="shared" si="32"/>
        <v>Asset 4</v>
      </c>
      <c r="B174" s="56"/>
      <c r="C174" s="56"/>
      <c r="D174" s="56"/>
      <c r="E174" s="56">
        <f>IFERROR(IF(AND(E$2&gt;=Projections!$E123,E$2&lt;=EDATE(Projections!$E123,Projections!$C123)),Projections!$B123/Projections!$C123,0),0)</f>
        <v>0</v>
      </c>
      <c r="F174" s="56">
        <f>IFERROR(IF(AND(F$2&gt;=Projections!$E123,F$2&lt;=EDATE(Projections!$E123,Projections!$C123)),Projections!$B123/Projections!$C123,0),0)</f>
        <v>0</v>
      </c>
      <c r="G174" s="56">
        <f>IFERROR(IF(AND(G$2&gt;=Projections!$E123,G$2&lt;=EDATE(Projections!$E123,Projections!$C123)),Projections!$B123/Projections!$C123,0),0)</f>
        <v>0</v>
      </c>
      <c r="H174" s="56">
        <f>IFERROR(IF(AND(H$2&gt;=Projections!$E123,H$2&lt;=EDATE(Projections!$E123,Projections!$C123)),Projections!$B123/Projections!$C123,0),0)</f>
        <v>0</v>
      </c>
      <c r="I174" s="56">
        <f>IFERROR(IF(AND(I$2&gt;=Projections!$E123,I$2&lt;=EDATE(Projections!$E123,Projections!$C123)),Projections!$B123/Projections!$C123,0),0)</f>
        <v>0</v>
      </c>
      <c r="J174" s="56">
        <f>IFERROR(IF(AND(J$2&gt;=Projections!$E123,J$2&lt;=EDATE(Projections!$E123,Projections!$C123)),Projections!$B123/Projections!$C123,0),0)</f>
        <v>0</v>
      </c>
      <c r="K174" s="56">
        <f>IFERROR(IF(AND(K$2&gt;=Projections!$E123,K$2&lt;=EDATE(Projections!$E123,Projections!$C123)),Projections!$B123/Projections!$C123,0),0)</f>
        <v>0</v>
      </c>
      <c r="L174" s="56">
        <f>IFERROR(IF(AND(L$2&gt;=Projections!$E123,L$2&lt;=EDATE(Projections!$E123,Projections!$C123)),Projections!$B123/Projections!$C123,0),0)</f>
        <v>0</v>
      </c>
      <c r="M174" s="56">
        <f>IFERROR(IF(AND(M$2&gt;=Projections!$E123,M$2&lt;=EDATE(Projections!$E123,Projections!$C123)),Projections!$B123/Projections!$C123,0),0)</f>
        <v>0</v>
      </c>
      <c r="N174" s="56">
        <f>IFERROR(IF(AND(N$2&gt;=Projections!$E123,N$2&lt;=EDATE(Projections!$E123,Projections!$C123)),Projections!$B123/Projections!$C123,0),0)</f>
        <v>0</v>
      </c>
      <c r="O174" s="56">
        <f>IFERROR(IF(AND(O$2&gt;=Projections!$E123,O$2&lt;=EDATE(Projections!$E123,Projections!$C123)),Projections!$B123/Projections!$C123,0),0)</f>
        <v>0</v>
      </c>
      <c r="P174" s="56">
        <f>IFERROR(IF(AND(P$2&gt;=Projections!$E123,P$2&lt;=EDATE(Projections!$E123,Projections!$C123)),Projections!$B123/Projections!$C123,0),0)</f>
        <v>0</v>
      </c>
      <c r="Q174" s="56">
        <f>IFERROR(IF(AND(Q$2&gt;=Projections!$E123,Q$2&lt;=EDATE(Projections!$E123,Projections!$C123)),Projections!$B123/Projections!$C123,0),0)</f>
        <v>0</v>
      </c>
      <c r="R174" s="56">
        <f>IFERROR(IF(AND(R$2&gt;=Projections!$E123,R$2&lt;=EDATE(Projections!$E123,Projections!$C123)),Projections!$B123/Projections!$C123,0),0)</f>
        <v>0</v>
      </c>
      <c r="S174" s="56">
        <f>IFERROR(IF(AND(S$2&gt;=Projections!$E123,S$2&lt;=EDATE(Projections!$E123,Projections!$C123)),Projections!$B123/Projections!$C123,0),0)</f>
        <v>0</v>
      </c>
      <c r="T174" s="56">
        <f>IFERROR(IF(AND(T$2&gt;=Projections!$E123,T$2&lt;=EDATE(Projections!$E123,Projections!$C123)),Projections!$B123/Projections!$C123,0),0)</f>
        <v>0</v>
      </c>
      <c r="U174" s="56">
        <f>IFERROR(IF(AND(U$2&gt;=Projections!$E123,U$2&lt;=EDATE(Projections!$E123,Projections!$C123)),Projections!$B123/Projections!$C123,0),0)</f>
        <v>0</v>
      </c>
      <c r="V174" s="56">
        <f>IFERROR(IF(AND(V$2&gt;=Projections!$E123,V$2&lt;=EDATE(Projections!$E123,Projections!$C123)),Projections!$B123/Projections!$C123,0),0)</f>
        <v>0</v>
      </c>
      <c r="W174" s="56">
        <f>IFERROR(IF(AND(W$2&gt;=Projections!$E123,W$2&lt;=EDATE(Projections!$E123,Projections!$C123)),Projections!$B123/Projections!$C123,0),0)</f>
        <v>0</v>
      </c>
      <c r="X174" s="56">
        <f>IFERROR(IF(AND(X$2&gt;=Projections!$E123,X$2&lt;=EDATE(Projections!$E123,Projections!$C123)),Projections!$B123/Projections!$C123,0),0)</f>
        <v>0</v>
      </c>
      <c r="Y174" s="56">
        <f>IFERROR(IF(AND(Y$2&gt;=Projections!$E123,Y$2&lt;=EDATE(Projections!$E123,Projections!$C123)),Projections!$B123/Projections!$C123,0),0)</f>
        <v>0</v>
      </c>
      <c r="Z174" s="56">
        <f>IFERROR(IF(AND(Z$2&gt;=Projections!$E123,Z$2&lt;=EDATE(Projections!$E123,Projections!$C123)),Projections!$B123/Projections!$C123,0),0)</f>
        <v>0</v>
      </c>
      <c r="AA174" s="56">
        <f>IFERROR(IF(AND(AA$2&gt;=Projections!$E123,AA$2&lt;=EDATE(Projections!$E123,Projections!$C123)),Projections!$B123/Projections!$C123,0),0)</f>
        <v>0</v>
      </c>
      <c r="AB174" s="56">
        <f>IFERROR(IF(AND(AB$2&gt;=Projections!$E123,AB$2&lt;=EDATE(Projections!$E123,Projections!$C123)),Projections!$B123/Projections!$C123,0),0)</f>
        <v>0</v>
      </c>
      <c r="AC174" s="56">
        <f>IFERROR(IF(AND(AC$2&gt;=Projections!$E123,AC$2&lt;=EDATE(Projections!$E123,Projections!$C123)),Projections!$B123/Projections!$C123,0),0)</f>
        <v>0</v>
      </c>
      <c r="AD174" s="56">
        <f>IFERROR(IF(AND(AD$2&gt;=Projections!$E123,AD$2&lt;=EDATE(Projections!$E123,Projections!$C123)),Projections!$B123/Projections!$C123,0),0)</f>
        <v>0</v>
      </c>
      <c r="AE174" s="56">
        <f>IFERROR(IF(AND(AE$2&gt;=Projections!$E123,AE$2&lt;=EDATE(Projections!$E123,Projections!$C123)),Projections!$B123/Projections!$C123,0),0)</f>
        <v>0</v>
      </c>
      <c r="AF174" s="56">
        <f>IFERROR(IF(AND(AF$2&gt;=Projections!$E123,AF$2&lt;=EDATE(Projections!$E123,Projections!$C123)),Projections!$B123/Projections!$C123,0),0)</f>
        <v>0</v>
      </c>
      <c r="AG174" s="56">
        <f>IFERROR(IF(AND(AG$2&gt;=Projections!$E123,AG$2&lt;=EDATE(Projections!$E123,Projections!$C123)),Projections!$B123/Projections!$C123,0),0)</f>
        <v>0</v>
      </c>
      <c r="AH174" s="56">
        <f>IFERROR(IF(AND(AH$2&gt;=Projections!$E123,AH$2&lt;=EDATE(Projections!$E123,Projections!$C123)),Projections!$B123/Projections!$C123,0),0)</f>
        <v>0</v>
      </c>
      <c r="AI174" s="56">
        <f>IFERROR(IF(AND(AI$2&gt;=Projections!$E123,AI$2&lt;=EDATE(Projections!$E123,Projections!$C123)),Projections!$B123/Projections!$C123,0),0)</f>
        <v>0</v>
      </c>
      <c r="AJ174" s="56">
        <f>IFERROR(IF(AND(AJ$2&gt;=Projections!$E123,AJ$2&lt;=EDATE(Projections!$E123,Projections!$C123)),Projections!$B123/Projections!$C123,0),0)</f>
        <v>0</v>
      </c>
      <c r="AK174" s="56">
        <f>IFERROR(IF(AND(AK$2&gt;=Projections!$E123,AK$2&lt;=EDATE(Projections!$E123,Projections!$C123)),Projections!$B123/Projections!$C123,0),0)</f>
        <v>0</v>
      </c>
      <c r="AL174" s="56">
        <f>IFERROR(IF(AND(AL$2&gt;=Projections!$E123,AL$2&lt;=EDATE(Projections!$E123,Projections!$C123)),Projections!$B123/Projections!$C123,0),0)</f>
        <v>0</v>
      </c>
      <c r="AM174" s="56">
        <f>IFERROR(IF(AND(AM$2&gt;=Projections!$E123,AM$2&lt;=EDATE(Projections!$E123,Projections!$C123)),Projections!$B123/Projections!$C123,0),0)</f>
        <v>0</v>
      </c>
      <c r="AN174" s="56">
        <f>IFERROR(IF(AND(AN$2&gt;=Projections!$E123,AN$2&lt;=EDATE(Projections!$E123,Projections!$C123)),Projections!$B123/Projections!$C123,0),0)</f>
        <v>0</v>
      </c>
      <c r="AO174" s="56">
        <f>IFERROR(IF(AND(AO$2&gt;=Projections!$E123,AO$2&lt;=EDATE(Projections!$E123,Projections!$C123)),Projections!$B123/Projections!$C123,0),0)</f>
        <v>0</v>
      </c>
      <c r="AP174" s="56">
        <f>IFERROR(IF(AND(AP$2&gt;=Projections!$E123,AP$2&lt;=EDATE(Projections!$E123,Projections!$C123)),Projections!$B123/Projections!$C123,0),0)</f>
        <v>0</v>
      </c>
      <c r="AQ174" s="56">
        <f>IFERROR(IF(AND(AQ$2&gt;=Projections!$E123,AQ$2&lt;=EDATE(Projections!$E123,Projections!$C123)),Projections!$B123/Projections!$C123,0),0)</f>
        <v>0</v>
      </c>
      <c r="AR174" s="56">
        <f>IFERROR(IF(AND(AR$2&gt;=Projections!$E123,AR$2&lt;=EDATE(Projections!$E123,Projections!$C123)),Projections!$B123/Projections!$C123,0),0)</f>
        <v>0</v>
      </c>
      <c r="AS174" s="56">
        <f>IFERROR(IF(AND(AS$2&gt;=Projections!$E123,AS$2&lt;=EDATE(Projections!$E123,Projections!$C123)),Projections!$B123/Projections!$C123,0),0)</f>
        <v>0</v>
      </c>
      <c r="AT174" s="56">
        <f>IFERROR(IF(AND(AT$2&gt;=Projections!$E123,AT$2&lt;=EDATE(Projections!$E123,Projections!$C123)),Projections!$B123/Projections!$C123,0),0)</f>
        <v>0</v>
      </c>
      <c r="AU174" s="56">
        <f>IFERROR(IF(AND(AU$2&gt;=Projections!$E123,AU$2&lt;=EDATE(Projections!$E123,Projections!$C123)),Projections!$B123/Projections!$C123,0),0)</f>
        <v>0</v>
      </c>
      <c r="AV174" s="56">
        <f>IFERROR(IF(AND(AV$2&gt;=Projections!$E123,AV$2&lt;=EDATE(Projections!$E123,Projections!$C123)),Projections!$B123/Projections!$C123,0),0)</f>
        <v>0</v>
      </c>
      <c r="AW174" s="56">
        <f>IFERROR(IF(AND(AW$2&gt;=Projections!$E123,AW$2&lt;=EDATE(Projections!$E123,Projections!$C123)),Projections!$B123/Projections!$C123,0),0)</f>
        <v>0</v>
      </c>
      <c r="AX174" s="56">
        <f>IFERROR(IF(AND(AX$2&gt;=Projections!$E123,AX$2&lt;=EDATE(Projections!$E123,Projections!$C123)),Projections!$B123/Projections!$C123,0),0)</f>
        <v>0</v>
      </c>
      <c r="AY174" s="56">
        <f>IFERROR(IF(AND(AY$2&gt;=Projections!$E123,AY$2&lt;=EDATE(Projections!$E123,Projections!$C123)),Projections!$B123/Projections!$C123,0),0)</f>
        <v>0</v>
      </c>
      <c r="AZ174" s="56">
        <f>IFERROR(IF(AND(AZ$2&gt;=Projections!$E123,AZ$2&lt;=EDATE(Projections!$E123,Projections!$C123)),Projections!$B123/Projections!$C123,0),0)</f>
        <v>0</v>
      </c>
      <c r="BA174" s="56">
        <f>IFERROR(IF(AND(BA$2&gt;=Projections!$E123,BA$2&lt;=EDATE(Projections!$E123,Projections!$C123)),Projections!$B123/Projections!$C123,0),0)</f>
        <v>0</v>
      </c>
      <c r="BB174" s="56">
        <f>IFERROR(IF(AND(BB$2&gt;=Projections!$E123,BB$2&lt;=EDATE(Projections!$E123,Projections!$C123)),Projections!$B123/Projections!$C123,0),0)</f>
        <v>0</v>
      </c>
      <c r="BC174" s="56">
        <f>IFERROR(IF(AND(BC$2&gt;=Projections!$E123,BC$2&lt;=EDATE(Projections!$E123,Projections!$C123)),Projections!$B123/Projections!$C123,0),0)</f>
        <v>0</v>
      </c>
      <c r="BD174" s="56">
        <f>IFERROR(IF(AND(BD$2&gt;=Projections!$E123,BD$2&lt;=EDATE(Projections!$E123,Projections!$C123)),Projections!$B123/Projections!$C123,0),0)</f>
        <v>0</v>
      </c>
      <c r="BE174" s="56">
        <f>IFERROR(IF(AND(BE$2&gt;=Projections!$E123,BE$2&lt;=EDATE(Projections!$E123,Projections!$C123)),Projections!$B123/Projections!$C123,0),0)</f>
        <v>0</v>
      </c>
      <c r="BF174" s="56">
        <f>IFERROR(IF(AND(BF$2&gt;=Projections!$E123,BF$2&lt;=EDATE(Projections!$E123,Projections!$C123)),Projections!$B123/Projections!$C123,0),0)</f>
        <v>0</v>
      </c>
      <c r="BG174" s="56">
        <f>IFERROR(IF(AND(BG$2&gt;=Projections!$E123,BG$2&lt;=EDATE(Projections!$E123,Projections!$C123)),Projections!$B123/Projections!$C123,0),0)</f>
        <v>0</v>
      </c>
      <c r="BH174" s="56">
        <f>IFERROR(IF(AND(BH$2&gt;=Projections!$E123,BH$2&lt;=EDATE(Projections!$E123,Projections!$C123)),Projections!$B123/Projections!$C123,0),0)</f>
        <v>0</v>
      </c>
      <c r="BI174" s="56">
        <f>IFERROR(IF(AND(BI$2&gt;=Projections!$E123,BI$2&lt;=EDATE(Projections!$E123,Projections!$C123)),Projections!$B123/Projections!$C123,0),0)</f>
        <v>0</v>
      </c>
      <c r="BJ174" s="56">
        <f>IFERROR(IF(AND(BJ$2&gt;=Projections!$E123,BJ$2&lt;=EDATE(Projections!$E123,Projections!$C123)),Projections!$B123/Projections!$C123,0),0)</f>
        <v>0</v>
      </c>
      <c r="BK174" s="56">
        <f>IFERROR(IF(AND(BK$2&gt;=Projections!$E123,BK$2&lt;=EDATE(Projections!$E123,Projections!$C123)),Projections!$B123/Projections!$C123,0),0)</f>
        <v>0</v>
      </c>
      <c r="BL174" s="56">
        <f>IFERROR(IF(AND(BL$2&gt;=Projections!$E123,BL$2&lt;=EDATE(Projections!$E123,Projections!$C123)),Projections!$B123/Projections!$C123,0),0)</f>
        <v>0</v>
      </c>
      <c r="BM174" s="56">
        <f>IFERROR(IF(AND(BM$2&gt;=Projections!$E123,BM$2&lt;=EDATE(Projections!$E123,Projections!$C123)),Projections!$B123/Projections!$C123,0),0)</f>
        <v>0</v>
      </c>
      <c r="BN174" s="56">
        <f>IFERROR(IF(AND(BN$2&gt;=Projections!$E123,BN$2&lt;=EDATE(Projections!$E123,Projections!$C123)),Projections!$B123/Projections!$C123,0),0)</f>
        <v>0</v>
      </c>
      <c r="BO174" s="56">
        <f>IFERROR(IF(AND(BO$2&gt;=Projections!$E123,BO$2&lt;=EDATE(Projections!$E123,Projections!$C123)),Projections!$B123/Projections!$C123,0),0)</f>
        <v>0</v>
      </c>
      <c r="BP174" s="56">
        <f>IFERROR(IF(AND(BP$2&gt;=Projections!$E123,BP$2&lt;=EDATE(Projections!$E123,Projections!$C123)),Projections!$B123/Projections!$C123,0),0)</f>
        <v>0</v>
      </c>
      <c r="BQ174" s="56">
        <f>IFERROR(IF(AND(BQ$2&gt;=Projections!$E123,BQ$2&lt;=EDATE(Projections!$E123,Projections!$C123)),Projections!$B123/Projections!$C123,0),0)</f>
        <v>0</v>
      </c>
      <c r="BR174" s="56">
        <f>IFERROR(IF(AND(BR$2&gt;=Projections!$E123,BR$2&lt;=EDATE(Projections!$E123,Projections!$C123)),Projections!$B123/Projections!$C123,0),0)</f>
        <v>0</v>
      </c>
      <c r="BS174" s="56">
        <f>IFERROR(IF(AND(BS$2&gt;=Projections!$E123,BS$2&lt;=EDATE(Projections!$E123,Projections!$C123)),Projections!$B123/Projections!$C123,0),0)</f>
        <v>0</v>
      </c>
      <c r="BT174" s="56">
        <f>IFERROR(IF(AND(BT$2&gt;=Projections!$E123,BT$2&lt;=EDATE(Projections!$E123,Projections!$C123)),Projections!$B123/Projections!$C123,0),0)</f>
        <v>0</v>
      </c>
      <c r="BU174" s="56">
        <f>IFERROR(IF(AND(BU$2&gt;=Projections!$E123,BU$2&lt;=EDATE(Projections!$E123,Projections!$C123)),Projections!$B123/Projections!$C123,0),0)</f>
        <v>0</v>
      </c>
      <c r="BV174" s="56">
        <f>IFERROR(IF(AND(BV$2&gt;=Projections!$E123,BV$2&lt;=EDATE(Projections!$E123,Projections!$C123)),Projections!$B123/Projections!$C123,0),0)</f>
        <v>0</v>
      </c>
      <c r="BW174" s="56">
        <f>IFERROR(IF(AND(BW$2&gt;=Projections!$E123,BW$2&lt;=EDATE(Projections!$E123,Projections!$C123)),Projections!$B123/Projections!$C123,0),0)</f>
        <v>0</v>
      </c>
      <c r="BX174" s="56">
        <f>IFERROR(IF(AND(BX$2&gt;=Projections!$E123,BX$2&lt;=EDATE(Projections!$E123,Projections!$C123)),Projections!$B123/Projections!$C123,0),0)</f>
        <v>0</v>
      </c>
      <c r="BY174" s="56">
        <f>IFERROR(IF(AND(BY$2&gt;=Projections!$E123,BY$2&lt;=EDATE(Projections!$E123,Projections!$C123)),Projections!$B123/Projections!$C123,0),0)</f>
        <v>0</v>
      </c>
      <c r="BZ174" s="56">
        <f>IFERROR(IF(AND(BZ$2&gt;=Projections!$E123,BZ$2&lt;=EDATE(Projections!$E123,Projections!$C123)),Projections!$B123/Projections!$C123,0),0)</f>
        <v>0</v>
      </c>
      <c r="CA174" s="56">
        <f>IFERROR(IF(AND(CA$2&gt;=Projections!$E123,CA$2&lt;=EDATE(Projections!$E123,Projections!$C123)),Projections!$B123/Projections!$C123,0),0)</f>
        <v>0</v>
      </c>
      <c r="CB174" s="56">
        <f>IFERROR(IF(AND(CB$2&gt;=Projections!$E123,CB$2&lt;=EDATE(Projections!$E123,Projections!$C123)),Projections!$B123/Projections!$C123,0),0)</f>
        <v>0</v>
      </c>
      <c r="CC174" s="56">
        <f>IFERROR(IF(AND(CC$2&gt;=Projections!$E123,CC$2&lt;=EDATE(Projections!$E123,Projections!$C123)),Projections!$B123/Projections!$C123,0),0)</f>
        <v>0</v>
      </c>
      <c r="CD174" s="56">
        <f>IFERROR(IF(AND(CD$2&gt;=Projections!$E123,CD$2&lt;=EDATE(Projections!$E123,Projections!$C123)),Projections!$B123/Projections!$C123,0),0)</f>
        <v>0</v>
      </c>
      <c r="CE174" s="56">
        <f>IFERROR(IF(AND(CE$2&gt;=Projections!$E123,CE$2&lt;=EDATE(Projections!$E123,Projections!$C123)),Projections!$B123/Projections!$C123,0),0)</f>
        <v>0</v>
      </c>
      <c r="CF174" s="56">
        <f>IFERROR(IF(AND(CF$2&gt;=Projections!$E123,CF$2&lt;=EDATE(Projections!$E123,Projections!$C123)),Projections!$B123/Projections!$C123,0),0)</f>
        <v>0</v>
      </c>
      <c r="CG174" s="56">
        <f>IFERROR(IF(AND(CG$2&gt;=Projections!$E123,CG$2&lt;=EDATE(Projections!$E123,Projections!$C123)),Projections!$B123/Projections!$C123,0),0)</f>
        <v>0</v>
      </c>
      <c r="CH174" s="56">
        <f>IFERROR(IF(AND(CH$2&gt;=Projections!$E123,CH$2&lt;=EDATE(Projections!$E123,Projections!$C123)),Projections!$B123/Projections!$C123,0),0)</f>
        <v>0</v>
      </c>
      <c r="CI174" s="56">
        <f>IFERROR(IF(AND(CI$2&gt;=Projections!$E123,CI$2&lt;=EDATE(Projections!$E123,Projections!$C123)),Projections!$B123/Projections!$C123,0),0)</f>
        <v>0</v>
      </c>
      <c r="CJ174" s="56">
        <f>IFERROR(IF(AND(CJ$2&gt;=Projections!$E123,CJ$2&lt;=EDATE(Projections!$E123,Projections!$C123)),Projections!$B123/Projections!$C123,0),0)</f>
        <v>0</v>
      </c>
      <c r="CK174" s="56">
        <f>IFERROR(IF(AND(CK$2&gt;=Projections!$E123,CK$2&lt;=EDATE(Projections!$E123,Projections!$C123)),Projections!$B123/Projections!$C123,0),0)</f>
        <v>0</v>
      </c>
      <c r="CL174" s="56">
        <f>IFERROR(IF(AND(CL$2&gt;=Projections!$E123,CL$2&lt;=EDATE(Projections!$E123,Projections!$C123)),Projections!$B123/Projections!$C123,0),0)</f>
        <v>0</v>
      </c>
      <c r="CM174" s="56">
        <f>IFERROR(IF(AND(CM$2&gt;=Projections!$E123,CM$2&lt;=EDATE(Projections!$E123,Projections!$C123)),Projections!$B123/Projections!$C123,0),0)</f>
        <v>0</v>
      </c>
      <c r="CN174" s="56">
        <f>IFERROR(IF(AND(CN$2&gt;=Projections!$E123,CN$2&lt;=EDATE(Projections!$E123,Projections!$C123)),Projections!$B123/Projections!$C123,0),0)</f>
        <v>0</v>
      </c>
      <c r="CO174" s="56">
        <f>IFERROR(IF(AND(CO$2&gt;=Projections!$E123,CO$2&lt;=EDATE(Projections!$E123,Projections!$C123)),Projections!$B123/Projections!$C123,0),0)</f>
        <v>0</v>
      </c>
      <c r="CP174" s="56">
        <f>IFERROR(IF(AND(CP$2&gt;=Projections!$E123,CP$2&lt;=EDATE(Projections!$E123,Projections!$C123)),Projections!$B123/Projections!$C123,0),0)</f>
        <v>0</v>
      </c>
      <c r="CQ174" s="56">
        <f>IFERROR(IF(AND(CQ$2&gt;=Projections!$E123,CQ$2&lt;=EDATE(Projections!$E123,Projections!$C123)),Projections!$B123/Projections!$C123,0),0)</f>
        <v>0</v>
      </c>
      <c r="CR174" s="56">
        <f>IFERROR(IF(AND(CR$2&gt;=Projections!$E123,CR$2&lt;=EDATE(Projections!$E123,Projections!$C123)),Projections!$B123/Projections!$C123,0),0)</f>
        <v>0</v>
      </c>
      <c r="CS174" s="56">
        <f>IFERROR(IF(AND(CS$2&gt;=Projections!$E123,CS$2&lt;=EDATE(Projections!$E123,Projections!$C123)),Projections!$B123/Projections!$C123,0),0)</f>
        <v>0</v>
      </c>
      <c r="CT174" s="56">
        <f>IFERROR(IF(AND(CT$2&gt;=Projections!$E123,CT$2&lt;=EDATE(Projections!$E123,Projections!$C123)),Projections!$B123/Projections!$C123,0),0)</f>
        <v>0</v>
      </c>
      <c r="CU174" s="56">
        <f>IFERROR(IF(AND(CU$2&gt;=Projections!$E123,CU$2&lt;=EDATE(Projections!$E123,Projections!$C123)),Projections!$B123/Projections!$C123,0),0)</f>
        <v>0</v>
      </c>
      <c r="CV174" s="56">
        <f>IFERROR(IF(AND(CV$2&gt;=Projections!$E123,CV$2&lt;=EDATE(Projections!$E123,Projections!$C123)),Projections!$B123/Projections!$C123,0),0)</f>
        <v>0</v>
      </c>
      <c r="CW174" s="56">
        <f>IFERROR(IF(AND(CW$2&gt;=Projections!$E123,CW$2&lt;=EDATE(Projections!$E123,Projections!$C123)),Projections!$B123/Projections!$C123,0),0)</f>
        <v>0</v>
      </c>
      <c r="CX174" s="56">
        <f>IFERROR(IF(AND(CX$2&gt;=Projections!$E123,CX$2&lt;=EDATE(Projections!$E123,Projections!$C123)),Projections!$B123/Projections!$C123,0),0)</f>
        <v>0</v>
      </c>
    </row>
    <row r="175" ht="15.75" customHeight="1" outlineLevel="1">
      <c r="A175" s="56" t="str">
        <f t="shared" si="32"/>
        <v>Asset 5</v>
      </c>
      <c r="B175" s="56"/>
      <c r="C175" s="56"/>
      <c r="D175" s="56"/>
      <c r="E175" s="56">
        <f>IFERROR(IF(AND(E$2&gt;=Projections!$E124,E$2&lt;=EDATE(Projections!$E124,Projections!$C124)),Projections!$B124/Projections!$C124,0),0)</f>
        <v>0</v>
      </c>
      <c r="F175" s="56">
        <f>IFERROR(IF(AND(F$2&gt;=Projections!$E124,F$2&lt;=EDATE(Projections!$E124,Projections!$C124)),Projections!$B124/Projections!$C124,0),0)</f>
        <v>0</v>
      </c>
      <c r="G175" s="56">
        <f>IFERROR(IF(AND(G$2&gt;=Projections!$E124,G$2&lt;=EDATE(Projections!$E124,Projections!$C124)),Projections!$B124/Projections!$C124,0),0)</f>
        <v>0</v>
      </c>
      <c r="H175" s="56">
        <f>IFERROR(IF(AND(H$2&gt;=Projections!$E124,H$2&lt;=EDATE(Projections!$E124,Projections!$C124)),Projections!$B124/Projections!$C124,0),0)</f>
        <v>0</v>
      </c>
      <c r="I175" s="56">
        <f>IFERROR(IF(AND(I$2&gt;=Projections!$E124,I$2&lt;=EDATE(Projections!$E124,Projections!$C124)),Projections!$B124/Projections!$C124,0),0)</f>
        <v>0</v>
      </c>
      <c r="J175" s="56">
        <f>IFERROR(IF(AND(J$2&gt;=Projections!$E124,J$2&lt;=EDATE(Projections!$E124,Projections!$C124)),Projections!$B124/Projections!$C124,0),0)</f>
        <v>0</v>
      </c>
      <c r="K175" s="56">
        <f>IFERROR(IF(AND(K$2&gt;=Projections!$E124,K$2&lt;=EDATE(Projections!$E124,Projections!$C124)),Projections!$B124/Projections!$C124,0),0)</f>
        <v>0</v>
      </c>
      <c r="L175" s="56">
        <f>IFERROR(IF(AND(L$2&gt;=Projections!$E124,L$2&lt;=EDATE(Projections!$E124,Projections!$C124)),Projections!$B124/Projections!$C124,0),0)</f>
        <v>0</v>
      </c>
      <c r="M175" s="56">
        <f>IFERROR(IF(AND(M$2&gt;=Projections!$E124,M$2&lt;=EDATE(Projections!$E124,Projections!$C124)),Projections!$B124/Projections!$C124,0),0)</f>
        <v>0</v>
      </c>
      <c r="N175" s="56">
        <f>IFERROR(IF(AND(N$2&gt;=Projections!$E124,N$2&lt;=EDATE(Projections!$E124,Projections!$C124)),Projections!$B124/Projections!$C124,0),0)</f>
        <v>0</v>
      </c>
      <c r="O175" s="56">
        <f>IFERROR(IF(AND(O$2&gt;=Projections!$E124,O$2&lt;=EDATE(Projections!$E124,Projections!$C124)),Projections!$B124/Projections!$C124,0),0)</f>
        <v>0</v>
      </c>
      <c r="P175" s="56">
        <f>IFERROR(IF(AND(P$2&gt;=Projections!$E124,P$2&lt;=EDATE(Projections!$E124,Projections!$C124)),Projections!$B124/Projections!$C124,0),0)</f>
        <v>0</v>
      </c>
      <c r="Q175" s="56">
        <f>IFERROR(IF(AND(Q$2&gt;=Projections!$E124,Q$2&lt;=EDATE(Projections!$E124,Projections!$C124)),Projections!$B124/Projections!$C124,0),0)</f>
        <v>0</v>
      </c>
      <c r="R175" s="56">
        <f>IFERROR(IF(AND(R$2&gt;=Projections!$E124,R$2&lt;=EDATE(Projections!$E124,Projections!$C124)),Projections!$B124/Projections!$C124,0),0)</f>
        <v>0</v>
      </c>
      <c r="S175" s="56">
        <f>IFERROR(IF(AND(S$2&gt;=Projections!$E124,S$2&lt;=EDATE(Projections!$E124,Projections!$C124)),Projections!$B124/Projections!$C124,0),0)</f>
        <v>0</v>
      </c>
      <c r="T175" s="56">
        <f>IFERROR(IF(AND(T$2&gt;=Projections!$E124,T$2&lt;=EDATE(Projections!$E124,Projections!$C124)),Projections!$B124/Projections!$C124,0),0)</f>
        <v>0</v>
      </c>
      <c r="U175" s="56">
        <f>IFERROR(IF(AND(U$2&gt;=Projections!$E124,U$2&lt;=EDATE(Projections!$E124,Projections!$C124)),Projections!$B124/Projections!$C124,0),0)</f>
        <v>0</v>
      </c>
      <c r="V175" s="56">
        <f>IFERROR(IF(AND(V$2&gt;=Projections!$E124,V$2&lt;=EDATE(Projections!$E124,Projections!$C124)),Projections!$B124/Projections!$C124,0),0)</f>
        <v>0</v>
      </c>
      <c r="W175" s="56">
        <f>IFERROR(IF(AND(W$2&gt;=Projections!$E124,W$2&lt;=EDATE(Projections!$E124,Projections!$C124)),Projections!$B124/Projections!$C124,0),0)</f>
        <v>0</v>
      </c>
      <c r="X175" s="56">
        <f>IFERROR(IF(AND(X$2&gt;=Projections!$E124,X$2&lt;=EDATE(Projections!$E124,Projections!$C124)),Projections!$B124/Projections!$C124,0),0)</f>
        <v>0</v>
      </c>
      <c r="Y175" s="56">
        <f>IFERROR(IF(AND(Y$2&gt;=Projections!$E124,Y$2&lt;=EDATE(Projections!$E124,Projections!$C124)),Projections!$B124/Projections!$C124,0),0)</f>
        <v>0</v>
      </c>
      <c r="Z175" s="56">
        <f>IFERROR(IF(AND(Z$2&gt;=Projections!$E124,Z$2&lt;=EDATE(Projections!$E124,Projections!$C124)),Projections!$B124/Projections!$C124,0),0)</f>
        <v>0</v>
      </c>
      <c r="AA175" s="56">
        <f>IFERROR(IF(AND(AA$2&gt;=Projections!$E124,AA$2&lt;=EDATE(Projections!$E124,Projections!$C124)),Projections!$B124/Projections!$C124,0),0)</f>
        <v>0</v>
      </c>
      <c r="AB175" s="56">
        <f>IFERROR(IF(AND(AB$2&gt;=Projections!$E124,AB$2&lt;=EDATE(Projections!$E124,Projections!$C124)),Projections!$B124/Projections!$C124,0),0)</f>
        <v>0</v>
      </c>
      <c r="AC175" s="56">
        <f>IFERROR(IF(AND(AC$2&gt;=Projections!$E124,AC$2&lt;=EDATE(Projections!$E124,Projections!$C124)),Projections!$B124/Projections!$C124,0),0)</f>
        <v>0</v>
      </c>
      <c r="AD175" s="56">
        <f>IFERROR(IF(AND(AD$2&gt;=Projections!$E124,AD$2&lt;=EDATE(Projections!$E124,Projections!$C124)),Projections!$B124/Projections!$C124,0),0)</f>
        <v>0</v>
      </c>
      <c r="AE175" s="56">
        <f>IFERROR(IF(AND(AE$2&gt;=Projections!$E124,AE$2&lt;=EDATE(Projections!$E124,Projections!$C124)),Projections!$B124/Projections!$C124,0),0)</f>
        <v>0</v>
      </c>
      <c r="AF175" s="56">
        <f>IFERROR(IF(AND(AF$2&gt;=Projections!$E124,AF$2&lt;=EDATE(Projections!$E124,Projections!$C124)),Projections!$B124/Projections!$C124,0),0)</f>
        <v>0</v>
      </c>
      <c r="AG175" s="56">
        <f>IFERROR(IF(AND(AG$2&gt;=Projections!$E124,AG$2&lt;=EDATE(Projections!$E124,Projections!$C124)),Projections!$B124/Projections!$C124,0),0)</f>
        <v>0</v>
      </c>
      <c r="AH175" s="56">
        <f>IFERROR(IF(AND(AH$2&gt;=Projections!$E124,AH$2&lt;=EDATE(Projections!$E124,Projections!$C124)),Projections!$B124/Projections!$C124,0),0)</f>
        <v>0</v>
      </c>
      <c r="AI175" s="56">
        <f>IFERROR(IF(AND(AI$2&gt;=Projections!$E124,AI$2&lt;=EDATE(Projections!$E124,Projections!$C124)),Projections!$B124/Projections!$C124,0),0)</f>
        <v>0</v>
      </c>
      <c r="AJ175" s="56">
        <f>IFERROR(IF(AND(AJ$2&gt;=Projections!$E124,AJ$2&lt;=EDATE(Projections!$E124,Projections!$C124)),Projections!$B124/Projections!$C124,0),0)</f>
        <v>0</v>
      </c>
      <c r="AK175" s="56">
        <f>IFERROR(IF(AND(AK$2&gt;=Projections!$E124,AK$2&lt;=EDATE(Projections!$E124,Projections!$C124)),Projections!$B124/Projections!$C124,0),0)</f>
        <v>0</v>
      </c>
      <c r="AL175" s="56">
        <f>IFERROR(IF(AND(AL$2&gt;=Projections!$E124,AL$2&lt;=EDATE(Projections!$E124,Projections!$C124)),Projections!$B124/Projections!$C124,0),0)</f>
        <v>0</v>
      </c>
      <c r="AM175" s="56">
        <f>IFERROR(IF(AND(AM$2&gt;=Projections!$E124,AM$2&lt;=EDATE(Projections!$E124,Projections!$C124)),Projections!$B124/Projections!$C124,0),0)</f>
        <v>0</v>
      </c>
      <c r="AN175" s="56">
        <f>IFERROR(IF(AND(AN$2&gt;=Projections!$E124,AN$2&lt;=EDATE(Projections!$E124,Projections!$C124)),Projections!$B124/Projections!$C124,0),0)</f>
        <v>0</v>
      </c>
      <c r="AO175" s="56">
        <f>IFERROR(IF(AND(AO$2&gt;=Projections!$E124,AO$2&lt;=EDATE(Projections!$E124,Projections!$C124)),Projections!$B124/Projections!$C124,0),0)</f>
        <v>0</v>
      </c>
      <c r="AP175" s="56">
        <f>IFERROR(IF(AND(AP$2&gt;=Projections!$E124,AP$2&lt;=EDATE(Projections!$E124,Projections!$C124)),Projections!$B124/Projections!$C124,0),0)</f>
        <v>0</v>
      </c>
      <c r="AQ175" s="56">
        <f>IFERROR(IF(AND(AQ$2&gt;=Projections!$E124,AQ$2&lt;=EDATE(Projections!$E124,Projections!$C124)),Projections!$B124/Projections!$C124,0),0)</f>
        <v>0</v>
      </c>
      <c r="AR175" s="56">
        <f>IFERROR(IF(AND(AR$2&gt;=Projections!$E124,AR$2&lt;=EDATE(Projections!$E124,Projections!$C124)),Projections!$B124/Projections!$C124,0),0)</f>
        <v>0</v>
      </c>
      <c r="AS175" s="56">
        <f>IFERROR(IF(AND(AS$2&gt;=Projections!$E124,AS$2&lt;=EDATE(Projections!$E124,Projections!$C124)),Projections!$B124/Projections!$C124,0),0)</f>
        <v>0</v>
      </c>
      <c r="AT175" s="56">
        <f>IFERROR(IF(AND(AT$2&gt;=Projections!$E124,AT$2&lt;=EDATE(Projections!$E124,Projections!$C124)),Projections!$B124/Projections!$C124,0),0)</f>
        <v>0</v>
      </c>
      <c r="AU175" s="56">
        <f>IFERROR(IF(AND(AU$2&gt;=Projections!$E124,AU$2&lt;=EDATE(Projections!$E124,Projections!$C124)),Projections!$B124/Projections!$C124,0),0)</f>
        <v>0</v>
      </c>
      <c r="AV175" s="56">
        <f>IFERROR(IF(AND(AV$2&gt;=Projections!$E124,AV$2&lt;=EDATE(Projections!$E124,Projections!$C124)),Projections!$B124/Projections!$C124,0),0)</f>
        <v>0</v>
      </c>
      <c r="AW175" s="56">
        <f>IFERROR(IF(AND(AW$2&gt;=Projections!$E124,AW$2&lt;=EDATE(Projections!$E124,Projections!$C124)),Projections!$B124/Projections!$C124,0),0)</f>
        <v>0</v>
      </c>
      <c r="AX175" s="56">
        <f>IFERROR(IF(AND(AX$2&gt;=Projections!$E124,AX$2&lt;=EDATE(Projections!$E124,Projections!$C124)),Projections!$B124/Projections!$C124,0),0)</f>
        <v>0</v>
      </c>
      <c r="AY175" s="56">
        <f>IFERROR(IF(AND(AY$2&gt;=Projections!$E124,AY$2&lt;=EDATE(Projections!$E124,Projections!$C124)),Projections!$B124/Projections!$C124,0),0)</f>
        <v>0</v>
      </c>
      <c r="AZ175" s="56">
        <f>IFERROR(IF(AND(AZ$2&gt;=Projections!$E124,AZ$2&lt;=EDATE(Projections!$E124,Projections!$C124)),Projections!$B124/Projections!$C124,0),0)</f>
        <v>0</v>
      </c>
      <c r="BA175" s="56">
        <f>IFERROR(IF(AND(BA$2&gt;=Projections!$E124,BA$2&lt;=EDATE(Projections!$E124,Projections!$C124)),Projections!$B124/Projections!$C124,0),0)</f>
        <v>0</v>
      </c>
      <c r="BB175" s="56">
        <f>IFERROR(IF(AND(BB$2&gt;=Projections!$E124,BB$2&lt;=EDATE(Projections!$E124,Projections!$C124)),Projections!$B124/Projections!$C124,0),0)</f>
        <v>0</v>
      </c>
      <c r="BC175" s="56">
        <f>IFERROR(IF(AND(BC$2&gt;=Projections!$E124,BC$2&lt;=EDATE(Projections!$E124,Projections!$C124)),Projections!$B124/Projections!$C124,0),0)</f>
        <v>0</v>
      </c>
      <c r="BD175" s="56">
        <f>IFERROR(IF(AND(BD$2&gt;=Projections!$E124,BD$2&lt;=EDATE(Projections!$E124,Projections!$C124)),Projections!$B124/Projections!$C124,0),0)</f>
        <v>0</v>
      </c>
      <c r="BE175" s="56">
        <f>IFERROR(IF(AND(BE$2&gt;=Projections!$E124,BE$2&lt;=EDATE(Projections!$E124,Projections!$C124)),Projections!$B124/Projections!$C124,0),0)</f>
        <v>0</v>
      </c>
      <c r="BF175" s="56">
        <f>IFERROR(IF(AND(BF$2&gt;=Projections!$E124,BF$2&lt;=EDATE(Projections!$E124,Projections!$C124)),Projections!$B124/Projections!$C124,0),0)</f>
        <v>0</v>
      </c>
      <c r="BG175" s="56">
        <f>IFERROR(IF(AND(BG$2&gt;=Projections!$E124,BG$2&lt;=EDATE(Projections!$E124,Projections!$C124)),Projections!$B124/Projections!$C124,0),0)</f>
        <v>0</v>
      </c>
      <c r="BH175" s="56">
        <f>IFERROR(IF(AND(BH$2&gt;=Projections!$E124,BH$2&lt;=EDATE(Projections!$E124,Projections!$C124)),Projections!$B124/Projections!$C124,0),0)</f>
        <v>0</v>
      </c>
      <c r="BI175" s="56">
        <f>IFERROR(IF(AND(BI$2&gt;=Projections!$E124,BI$2&lt;=EDATE(Projections!$E124,Projections!$C124)),Projections!$B124/Projections!$C124,0),0)</f>
        <v>0</v>
      </c>
      <c r="BJ175" s="56">
        <f>IFERROR(IF(AND(BJ$2&gt;=Projections!$E124,BJ$2&lt;=EDATE(Projections!$E124,Projections!$C124)),Projections!$B124/Projections!$C124,0),0)</f>
        <v>0</v>
      </c>
      <c r="BK175" s="56">
        <f>IFERROR(IF(AND(BK$2&gt;=Projections!$E124,BK$2&lt;=EDATE(Projections!$E124,Projections!$C124)),Projections!$B124/Projections!$C124,0),0)</f>
        <v>0</v>
      </c>
      <c r="BL175" s="56">
        <f>IFERROR(IF(AND(BL$2&gt;=Projections!$E124,BL$2&lt;=EDATE(Projections!$E124,Projections!$C124)),Projections!$B124/Projections!$C124,0),0)</f>
        <v>0</v>
      </c>
      <c r="BM175" s="56">
        <f>IFERROR(IF(AND(BM$2&gt;=Projections!$E124,BM$2&lt;=EDATE(Projections!$E124,Projections!$C124)),Projections!$B124/Projections!$C124,0),0)</f>
        <v>0</v>
      </c>
      <c r="BN175" s="56">
        <f>IFERROR(IF(AND(BN$2&gt;=Projections!$E124,BN$2&lt;=EDATE(Projections!$E124,Projections!$C124)),Projections!$B124/Projections!$C124,0),0)</f>
        <v>0</v>
      </c>
      <c r="BO175" s="56">
        <f>IFERROR(IF(AND(BO$2&gt;=Projections!$E124,BO$2&lt;=EDATE(Projections!$E124,Projections!$C124)),Projections!$B124/Projections!$C124,0),0)</f>
        <v>0</v>
      </c>
      <c r="BP175" s="56">
        <f>IFERROR(IF(AND(BP$2&gt;=Projections!$E124,BP$2&lt;=EDATE(Projections!$E124,Projections!$C124)),Projections!$B124/Projections!$C124,0),0)</f>
        <v>0</v>
      </c>
      <c r="BQ175" s="56">
        <f>IFERROR(IF(AND(BQ$2&gt;=Projections!$E124,BQ$2&lt;=EDATE(Projections!$E124,Projections!$C124)),Projections!$B124/Projections!$C124,0),0)</f>
        <v>0</v>
      </c>
      <c r="BR175" s="56">
        <f>IFERROR(IF(AND(BR$2&gt;=Projections!$E124,BR$2&lt;=EDATE(Projections!$E124,Projections!$C124)),Projections!$B124/Projections!$C124,0),0)</f>
        <v>0</v>
      </c>
      <c r="BS175" s="56">
        <f>IFERROR(IF(AND(BS$2&gt;=Projections!$E124,BS$2&lt;=EDATE(Projections!$E124,Projections!$C124)),Projections!$B124/Projections!$C124,0),0)</f>
        <v>0</v>
      </c>
      <c r="BT175" s="56">
        <f>IFERROR(IF(AND(BT$2&gt;=Projections!$E124,BT$2&lt;=EDATE(Projections!$E124,Projections!$C124)),Projections!$B124/Projections!$C124,0),0)</f>
        <v>0</v>
      </c>
      <c r="BU175" s="56">
        <f>IFERROR(IF(AND(BU$2&gt;=Projections!$E124,BU$2&lt;=EDATE(Projections!$E124,Projections!$C124)),Projections!$B124/Projections!$C124,0),0)</f>
        <v>0</v>
      </c>
      <c r="BV175" s="56">
        <f>IFERROR(IF(AND(BV$2&gt;=Projections!$E124,BV$2&lt;=EDATE(Projections!$E124,Projections!$C124)),Projections!$B124/Projections!$C124,0),0)</f>
        <v>0</v>
      </c>
      <c r="BW175" s="56">
        <f>IFERROR(IF(AND(BW$2&gt;=Projections!$E124,BW$2&lt;=EDATE(Projections!$E124,Projections!$C124)),Projections!$B124/Projections!$C124,0),0)</f>
        <v>0</v>
      </c>
      <c r="BX175" s="56">
        <f>IFERROR(IF(AND(BX$2&gt;=Projections!$E124,BX$2&lt;=EDATE(Projections!$E124,Projections!$C124)),Projections!$B124/Projections!$C124,0),0)</f>
        <v>0</v>
      </c>
      <c r="BY175" s="56">
        <f>IFERROR(IF(AND(BY$2&gt;=Projections!$E124,BY$2&lt;=EDATE(Projections!$E124,Projections!$C124)),Projections!$B124/Projections!$C124,0),0)</f>
        <v>0</v>
      </c>
      <c r="BZ175" s="56">
        <f>IFERROR(IF(AND(BZ$2&gt;=Projections!$E124,BZ$2&lt;=EDATE(Projections!$E124,Projections!$C124)),Projections!$B124/Projections!$C124,0),0)</f>
        <v>0</v>
      </c>
      <c r="CA175" s="56">
        <f>IFERROR(IF(AND(CA$2&gt;=Projections!$E124,CA$2&lt;=EDATE(Projections!$E124,Projections!$C124)),Projections!$B124/Projections!$C124,0),0)</f>
        <v>0</v>
      </c>
      <c r="CB175" s="56">
        <f>IFERROR(IF(AND(CB$2&gt;=Projections!$E124,CB$2&lt;=EDATE(Projections!$E124,Projections!$C124)),Projections!$B124/Projections!$C124,0),0)</f>
        <v>0</v>
      </c>
      <c r="CC175" s="56">
        <f>IFERROR(IF(AND(CC$2&gt;=Projections!$E124,CC$2&lt;=EDATE(Projections!$E124,Projections!$C124)),Projections!$B124/Projections!$C124,0),0)</f>
        <v>0</v>
      </c>
      <c r="CD175" s="56">
        <f>IFERROR(IF(AND(CD$2&gt;=Projections!$E124,CD$2&lt;=EDATE(Projections!$E124,Projections!$C124)),Projections!$B124/Projections!$C124,0),0)</f>
        <v>0</v>
      </c>
      <c r="CE175" s="56">
        <f>IFERROR(IF(AND(CE$2&gt;=Projections!$E124,CE$2&lt;=EDATE(Projections!$E124,Projections!$C124)),Projections!$B124/Projections!$C124,0),0)</f>
        <v>0</v>
      </c>
      <c r="CF175" s="56">
        <f>IFERROR(IF(AND(CF$2&gt;=Projections!$E124,CF$2&lt;=EDATE(Projections!$E124,Projections!$C124)),Projections!$B124/Projections!$C124,0),0)</f>
        <v>0</v>
      </c>
      <c r="CG175" s="56">
        <f>IFERROR(IF(AND(CG$2&gt;=Projections!$E124,CG$2&lt;=EDATE(Projections!$E124,Projections!$C124)),Projections!$B124/Projections!$C124,0),0)</f>
        <v>0</v>
      </c>
      <c r="CH175" s="56">
        <f>IFERROR(IF(AND(CH$2&gt;=Projections!$E124,CH$2&lt;=EDATE(Projections!$E124,Projections!$C124)),Projections!$B124/Projections!$C124,0),0)</f>
        <v>0</v>
      </c>
      <c r="CI175" s="56">
        <f>IFERROR(IF(AND(CI$2&gt;=Projections!$E124,CI$2&lt;=EDATE(Projections!$E124,Projections!$C124)),Projections!$B124/Projections!$C124,0),0)</f>
        <v>0</v>
      </c>
      <c r="CJ175" s="56">
        <f>IFERROR(IF(AND(CJ$2&gt;=Projections!$E124,CJ$2&lt;=EDATE(Projections!$E124,Projections!$C124)),Projections!$B124/Projections!$C124,0),0)</f>
        <v>0</v>
      </c>
      <c r="CK175" s="56">
        <f>IFERROR(IF(AND(CK$2&gt;=Projections!$E124,CK$2&lt;=EDATE(Projections!$E124,Projections!$C124)),Projections!$B124/Projections!$C124,0),0)</f>
        <v>0</v>
      </c>
      <c r="CL175" s="56">
        <f>IFERROR(IF(AND(CL$2&gt;=Projections!$E124,CL$2&lt;=EDATE(Projections!$E124,Projections!$C124)),Projections!$B124/Projections!$C124,0),0)</f>
        <v>0</v>
      </c>
      <c r="CM175" s="56">
        <f>IFERROR(IF(AND(CM$2&gt;=Projections!$E124,CM$2&lt;=EDATE(Projections!$E124,Projections!$C124)),Projections!$B124/Projections!$C124,0),0)</f>
        <v>0</v>
      </c>
      <c r="CN175" s="56">
        <f>IFERROR(IF(AND(CN$2&gt;=Projections!$E124,CN$2&lt;=EDATE(Projections!$E124,Projections!$C124)),Projections!$B124/Projections!$C124,0),0)</f>
        <v>0</v>
      </c>
      <c r="CO175" s="56">
        <f>IFERROR(IF(AND(CO$2&gt;=Projections!$E124,CO$2&lt;=EDATE(Projections!$E124,Projections!$C124)),Projections!$B124/Projections!$C124,0),0)</f>
        <v>0</v>
      </c>
      <c r="CP175" s="56">
        <f>IFERROR(IF(AND(CP$2&gt;=Projections!$E124,CP$2&lt;=EDATE(Projections!$E124,Projections!$C124)),Projections!$B124/Projections!$C124,0),0)</f>
        <v>0</v>
      </c>
      <c r="CQ175" s="56">
        <f>IFERROR(IF(AND(CQ$2&gt;=Projections!$E124,CQ$2&lt;=EDATE(Projections!$E124,Projections!$C124)),Projections!$B124/Projections!$C124,0),0)</f>
        <v>0</v>
      </c>
      <c r="CR175" s="56">
        <f>IFERROR(IF(AND(CR$2&gt;=Projections!$E124,CR$2&lt;=EDATE(Projections!$E124,Projections!$C124)),Projections!$B124/Projections!$C124,0),0)</f>
        <v>0</v>
      </c>
      <c r="CS175" s="56">
        <f>IFERROR(IF(AND(CS$2&gt;=Projections!$E124,CS$2&lt;=EDATE(Projections!$E124,Projections!$C124)),Projections!$B124/Projections!$C124,0),0)</f>
        <v>0</v>
      </c>
      <c r="CT175" s="56">
        <f>IFERROR(IF(AND(CT$2&gt;=Projections!$E124,CT$2&lt;=EDATE(Projections!$E124,Projections!$C124)),Projections!$B124/Projections!$C124,0),0)</f>
        <v>0</v>
      </c>
      <c r="CU175" s="56">
        <f>IFERROR(IF(AND(CU$2&gt;=Projections!$E124,CU$2&lt;=EDATE(Projections!$E124,Projections!$C124)),Projections!$B124/Projections!$C124,0),0)</f>
        <v>0</v>
      </c>
      <c r="CV175" s="56">
        <f>IFERROR(IF(AND(CV$2&gt;=Projections!$E124,CV$2&lt;=EDATE(Projections!$E124,Projections!$C124)),Projections!$B124/Projections!$C124,0),0)</f>
        <v>0</v>
      </c>
      <c r="CW175" s="56">
        <f>IFERROR(IF(AND(CW$2&gt;=Projections!$E124,CW$2&lt;=EDATE(Projections!$E124,Projections!$C124)),Projections!$B124/Projections!$C124,0),0)</f>
        <v>0</v>
      </c>
      <c r="CX175" s="56">
        <f>IFERROR(IF(AND(CX$2&gt;=Projections!$E124,CX$2&lt;=EDATE(Projections!$E124,Projections!$C124)),Projections!$B124/Projections!$C124,0),0)</f>
        <v>0</v>
      </c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</row>
  </sheetData>
  <dataValidations>
    <dataValidation type="list" allowBlank="1" showErrorMessage="1" sqref="B57 B65 B68 B92 B104 B115 B140 B143 B151 B160">
      <formula1>"Marketing,Development,Operations,Capital Expenditures"</formula1>
    </dataValidation>
  </dataValidations>
  <printOptions horizontalCentered="1"/>
  <pageMargins bottom="0.27238067787283665" footer="0.0" header="0.0" left="0.7" right="0.7" top="0.75"/>
  <pageSetup fitToHeight="0"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4.38"/>
    <col customWidth="1" min="3" max="6" width="12.63"/>
  </cols>
  <sheetData>
    <row r="1" ht="22.5" customHeight="1">
      <c r="A1" s="151" t="str">
        <f>Settings!B4</f>
        <v>Healthy4U</v>
      </c>
      <c r="B1" s="152"/>
      <c r="C1" s="153"/>
      <c r="D1" s="152"/>
      <c r="E1" s="152"/>
      <c r="F1" s="153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3"/>
      <c r="X1" s="153"/>
      <c r="Y1" s="153"/>
      <c r="Z1" s="153"/>
      <c r="AA1" s="153"/>
      <c r="AB1" s="153"/>
      <c r="AC1" s="153"/>
      <c r="AD1" s="153"/>
      <c r="AE1" s="152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</row>
    <row r="2" ht="24.0" customHeight="1">
      <c r="A2" s="123" t="s">
        <v>204</v>
      </c>
      <c r="B2" s="105"/>
      <c r="C2" s="125">
        <f>'Monthly forecast'!D2</f>
        <v>45108</v>
      </c>
      <c r="D2" s="126">
        <f>'Monthly forecast'!E2</f>
        <v>45139</v>
      </c>
      <c r="E2" s="126">
        <f t="shared" ref="E2:CW2" si="1">EDATE(D2,1)</f>
        <v>45170</v>
      </c>
      <c r="F2" s="126">
        <f t="shared" si="1"/>
        <v>45200</v>
      </c>
      <c r="G2" s="126">
        <f t="shared" si="1"/>
        <v>45231</v>
      </c>
      <c r="H2" s="126">
        <f t="shared" si="1"/>
        <v>45261</v>
      </c>
      <c r="I2" s="126">
        <f t="shared" si="1"/>
        <v>45292</v>
      </c>
      <c r="J2" s="126">
        <f t="shared" si="1"/>
        <v>45323</v>
      </c>
      <c r="K2" s="126">
        <f t="shared" si="1"/>
        <v>45352</v>
      </c>
      <c r="L2" s="126">
        <f t="shared" si="1"/>
        <v>45383</v>
      </c>
      <c r="M2" s="126">
        <f t="shared" si="1"/>
        <v>45413</v>
      </c>
      <c r="N2" s="126">
        <f t="shared" si="1"/>
        <v>45444</v>
      </c>
      <c r="O2" s="126">
        <f t="shared" si="1"/>
        <v>45474</v>
      </c>
      <c r="P2" s="126">
        <f t="shared" si="1"/>
        <v>45505</v>
      </c>
      <c r="Q2" s="126">
        <f t="shared" si="1"/>
        <v>45536</v>
      </c>
      <c r="R2" s="126">
        <f t="shared" si="1"/>
        <v>45566</v>
      </c>
      <c r="S2" s="126">
        <f t="shared" si="1"/>
        <v>45597</v>
      </c>
      <c r="T2" s="126">
        <f t="shared" si="1"/>
        <v>45627</v>
      </c>
      <c r="U2" s="126">
        <f t="shared" si="1"/>
        <v>45658</v>
      </c>
      <c r="V2" s="126">
        <f t="shared" si="1"/>
        <v>45689</v>
      </c>
      <c r="W2" s="126">
        <f t="shared" si="1"/>
        <v>45717</v>
      </c>
      <c r="X2" s="126">
        <f t="shared" si="1"/>
        <v>45748</v>
      </c>
      <c r="Y2" s="126">
        <f t="shared" si="1"/>
        <v>45778</v>
      </c>
      <c r="Z2" s="126">
        <f t="shared" si="1"/>
        <v>45809</v>
      </c>
      <c r="AA2" s="126">
        <f t="shared" si="1"/>
        <v>45839</v>
      </c>
      <c r="AB2" s="126">
        <f t="shared" si="1"/>
        <v>45870</v>
      </c>
      <c r="AC2" s="126">
        <f t="shared" si="1"/>
        <v>45901</v>
      </c>
      <c r="AD2" s="126">
        <f t="shared" si="1"/>
        <v>45931</v>
      </c>
      <c r="AE2" s="126">
        <f t="shared" si="1"/>
        <v>45962</v>
      </c>
      <c r="AF2" s="126">
        <f t="shared" si="1"/>
        <v>45992</v>
      </c>
      <c r="AG2" s="126">
        <f t="shared" si="1"/>
        <v>46023</v>
      </c>
      <c r="AH2" s="126">
        <f t="shared" si="1"/>
        <v>46054</v>
      </c>
      <c r="AI2" s="126">
        <f t="shared" si="1"/>
        <v>46082</v>
      </c>
      <c r="AJ2" s="126">
        <f t="shared" si="1"/>
        <v>46113</v>
      </c>
      <c r="AK2" s="126">
        <f t="shared" si="1"/>
        <v>46143</v>
      </c>
      <c r="AL2" s="126">
        <f t="shared" si="1"/>
        <v>46174</v>
      </c>
      <c r="AM2" s="126">
        <f t="shared" si="1"/>
        <v>46204</v>
      </c>
      <c r="AN2" s="126">
        <f t="shared" si="1"/>
        <v>46235</v>
      </c>
      <c r="AO2" s="126">
        <f t="shared" si="1"/>
        <v>46266</v>
      </c>
      <c r="AP2" s="126">
        <f t="shared" si="1"/>
        <v>46296</v>
      </c>
      <c r="AQ2" s="126">
        <f t="shared" si="1"/>
        <v>46327</v>
      </c>
      <c r="AR2" s="126">
        <f t="shared" si="1"/>
        <v>46357</v>
      </c>
      <c r="AS2" s="126">
        <f t="shared" si="1"/>
        <v>46388</v>
      </c>
      <c r="AT2" s="126">
        <f t="shared" si="1"/>
        <v>46419</v>
      </c>
      <c r="AU2" s="126">
        <f t="shared" si="1"/>
        <v>46447</v>
      </c>
      <c r="AV2" s="126">
        <f t="shared" si="1"/>
        <v>46478</v>
      </c>
      <c r="AW2" s="126">
        <f t="shared" si="1"/>
        <v>46508</v>
      </c>
      <c r="AX2" s="126">
        <f t="shared" si="1"/>
        <v>46539</v>
      </c>
      <c r="AY2" s="126">
        <f t="shared" si="1"/>
        <v>46569</v>
      </c>
      <c r="AZ2" s="126">
        <f t="shared" si="1"/>
        <v>46600</v>
      </c>
      <c r="BA2" s="126">
        <f t="shared" si="1"/>
        <v>46631</v>
      </c>
      <c r="BB2" s="126">
        <f t="shared" si="1"/>
        <v>46661</v>
      </c>
      <c r="BC2" s="126">
        <f t="shared" si="1"/>
        <v>46692</v>
      </c>
      <c r="BD2" s="126">
        <f t="shared" si="1"/>
        <v>46722</v>
      </c>
      <c r="BE2" s="126">
        <f t="shared" si="1"/>
        <v>46753</v>
      </c>
      <c r="BF2" s="126">
        <f t="shared" si="1"/>
        <v>46784</v>
      </c>
      <c r="BG2" s="126">
        <f t="shared" si="1"/>
        <v>46813</v>
      </c>
      <c r="BH2" s="126">
        <f t="shared" si="1"/>
        <v>46844</v>
      </c>
      <c r="BI2" s="126">
        <f t="shared" si="1"/>
        <v>46874</v>
      </c>
      <c r="BJ2" s="126">
        <f t="shared" si="1"/>
        <v>46905</v>
      </c>
      <c r="BK2" s="126">
        <f t="shared" si="1"/>
        <v>46935</v>
      </c>
      <c r="BL2" s="126">
        <f t="shared" si="1"/>
        <v>46966</v>
      </c>
      <c r="BM2" s="126">
        <f t="shared" si="1"/>
        <v>46997</v>
      </c>
      <c r="BN2" s="126">
        <f t="shared" si="1"/>
        <v>47027</v>
      </c>
      <c r="BO2" s="126">
        <f t="shared" si="1"/>
        <v>47058</v>
      </c>
      <c r="BP2" s="126">
        <f t="shared" si="1"/>
        <v>47088</v>
      </c>
      <c r="BQ2" s="126">
        <f t="shared" si="1"/>
        <v>47119</v>
      </c>
      <c r="BR2" s="126">
        <f t="shared" si="1"/>
        <v>47150</v>
      </c>
      <c r="BS2" s="126">
        <f t="shared" si="1"/>
        <v>47178</v>
      </c>
      <c r="BT2" s="126">
        <f t="shared" si="1"/>
        <v>47209</v>
      </c>
      <c r="BU2" s="126">
        <f t="shared" si="1"/>
        <v>47239</v>
      </c>
      <c r="BV2" s="126">
        <f t="shared" si="1"/>
        <v>47270</v>
      </c>
      <c r="BW2" s="126">
        <f t="shared" si="1"/>
        <v>47300</v>
      </c>
      <c r="BX2" s="126">
        <f t="shared" si="1"/>
        <v>47331</v>
      </c>
      <c r="BY2" s="126">
        <f t="shared" si="1"/>
        <v>47362</v>
      </c>
      <c r="BZ2" s="126">
        <f t="shared" si="1"/>
        <v>47392</v>
      </c>
      <c r="CA2" s="126">
        <f t="shared" si="1"/>
        <v>47423</v>
      </c>
      <c r="CB2" s="126">
        <f t="shared" si="1"/>
        <v>47453</v>
      </c>
      <c r="CC2" s="126">
        <f t="shared" si="1"/>
        <v>47484</v>
      </c>
      <c r="CD2" s="126">
        <f t="shared" si="1"/>
        <v>47515</v>
      </c>
      <c r="CE2" s="126">
        <f t="shared" si="1"/>
        <v>47543</v>
      </c>
      <c r="CF2" s="126">
        <f t="shared" si="1"/>
        <v>47574</v>
      </c>
      <c r="CG2" s="126">
        <f t="shared" si="1"/>
        <v>47604</v>
      </c>
      <c r="CH2" s="126">
        <f t="shared" si="1"/>
        <v>47635</v>
      </c>
      <c r="CI2" s="126">
        <f t="shared" si="1"/>
        <v>47665</v>
      </c>
      <c r="CJ2" s="126">
        <f t="shared" si="1"/>
        <v>47696</v>
      </c>
      <c r="CK2" s="126">
        <f t="shared" si="1"/>
        <v>47727</v>
      </c>
      <c r="CL2" s="126">
        <f t="shared" si="1"/>
        <v>47757</v>
      </c>
      <c r="CM2" s="126">
        <f t="shared" si="1"/>
        <v>47788</v>
      </c>
      <c r="CN2" s="126">
        <f t="shared" si="1"/>
        <v>47818</v>
      </c>
      <c r="CO2" s="126">
        <f t="shared" si="1"/>
        <v>47849</v>
      </c>
      <c r="CP2" s="126">
        <f t="shared" si="1"/>
        <v>47880</v>
      </c>
      <c r="CQ2" s="126">
        <f t="shared" si="1"/>
        <v>47908</v>
      </c>
      <c r="CR2" s="126">
        <f t="shared" si="1"/>
        <v>47939</v>
      </c>
      <c r="CS2" s="126">
        <f t="shared" si="1"/>
        <v>47969</v>
      </c>
      <c r="CT2" s="126">
        <f t="shared" si="1"/>
        <v>48000</v>
      </c>
      <c r="CU2" s="126">
        <f t="shared" si="1"/>
        <v>48030</v>
      </c>
      <c r="CV2" s="126">
        <f t="shared" si="1"/>
        <v>48061</v>
      </c>
      <c r="CW2" s="126">
        <f t="shared" si="1"/>
        <v>48092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ht="15.75" customHeight="1">
      <c r="A4" s="130" t="str">
        <f>'Monthly forecast'!A15</f>
        <v>REVENUE STREAM 1: SELF-SERVICE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ht="15.75" customHeight="1">
      <c r="A6" s="1" t="s">
        <v>236</v>
      </c>
      <c r="B6" s="1"/>
      <c r="C6" s="154">
        <f>IF(C2&gt;=Projections!$D$28,Projections!$B$28,0)</f>
        <v>0</v>
      </c>
      <c r="D6" s="154">
        <f>IF(D2&gt;=Projections!$D$28,Projections!$B$28,0)</f>
        <v>100</v>
      </c>
      <c r="E6" s="154">
        <f>IF(E2&gt;=Projections!$D$28,Projections!$B$28,0)</f>
        <v>100</v>
      </c>
      <c r="F6" s="154">
        <f>IF(F2&gt;=Projections!$D$28,Projections!$B$28,0)</f>
        <v>100</v>
      </c>
      <c r="G6" s="154">
        <f>IF(G2&gt;=Projections!$D$28,Projections!$B$28,0)</f>
        <v>100</v>
      </c>
      <c r="H6" s="154">
        <f>IF(H2&gt;=Projections!$D$28,Projections!$B$28,0)</f>
        <v>100</v>
      </c>
      <c r="I6" s="154">
        <f>IF(I2&gt;=Projections!$D$28,Projections!$B$28,0)</f>
        <v>100</v>
      </c>
      <c r="J6" s="154">
        <f>IF(J2&gt;=Projections!$D$28,Projections!$B$28,0)</f>
        <v>100</v>
      </c>
      <c r="K6" s="154">
        <f>IF(K2&gt;=Projections!$D$28,Projections!$B$28,0)</f>
        <v>100</v>
      </c>
      <c r="L6" s="154">
        <f>IF(L2&gt;=Projections!$D$28,Projections!$B$28,0)</f>
        <v>100</v>
      </c>
      <c r="M6" s="154">
        <f>IF(M2&gt;=Projections!$D$28,Projections!$B$28,0)</f>
        <v>100</v>
      </c>
      <c r="N6" s="154">
        <f>IF(N2&gt;=Projections!$D$28,Projections!$B$28,0)</f>
        <v>100</v>
      </c>
      <c r="O6" s="154">
        <f>IF(O2&gt;=Projections!$D$28,Projections!$B$28,0)</f>
        <v>100</v>
      </c>
      <c r="P6" s="154">
        <f>IF(P2&gt;=Projections!$D$28,Projections!$B$28,0)</f>
        <v>100</v>
      </c>
      <c r="Q6" s="154">
        <f>IF(Q2&gt;=Projections!$D$28,Projections!$B$28,0)</f>
        <v>100</v>
      </c>
      <c r="R6" s="154">
        <f>IF(R2&gt;=Projections!$D$28,Projections!$B$28,0)</f>
        <v>100</v>
      </c>
      <c r="S6" s="154">
        <f>IF(S2&gt;=Projections!$D$28,Projections!$B$28,0)</f>
        <v>100</v>
      </c>
      <c r="T6" s="154">
        <f>IF(T2&gt;=Projections!$D$28,Projections!$B$28,0)</f>
        <v>100</v>
      </c>
      <c r="U6" s="154">
        <f>IF(U2&gt;=Projections!$D$28,Projections!$B$28,0)</f>
        <v>100</v>
      </c>
      <c r="V6" s="154">
        <f>IF(V2&gt;=Projections!$D$28,Projections!$B$28,0)</f>
        <v>100</v>
      </c>
      <c r="W6" s="154">
        <f>IF(W2&gt;=Projections!$D$28,Projections!$B$28,0)</f>
        <v>100</v>
      </c>
      <c r="X6" s="154">
        <f>IF(X2&gt;=Projections!$D$28,Projections!$B$28,0)</f>
        <v>100</v>
      </c>
      <c r="Y6" s="154">
        <f>IF(Y2&gt;=Projections!$D$28,Projections!$B$28,0)</f>
        <v>100</v>
      </c>
      <c r="Z6" s="154">
        <f>IF(Z2&gt;=Projections!$D$28,Projections!$B$28,0)</f>
        <v>100</v>
      </c>
      <c r="AA6" s="154">
        <f>IF(AA2&gt;=Projections!$D$28,Projections!$B$28,0)</f>
        <v>100</v>
      </c>
      <c r="AB6" s="154">
        <f>IF(AB2&gt;=Projections!$D$28,Projections!$B$28,0)</f>
        <v>100</v>
      </c>
      <c r="AC6" s="154">
        <f>IF(AC2&gt;=Projections!$D$28,Projections!$B$28,0)</f>
        <v>100</v>
      </c>
      <c r="AD6" s="154">
        <f>IF(AD2&gt;=Projections!$D$28,Projections!$B$28,0)</f>
        <v>100</v>
      </c>
      <c r="AE6" s="154">
        <f>IF(AE2&gt;=Projections!$D$28,Projections!$B$28,0)</f>
        <v>100</v>
      </c>
      <c r="AF6" s="154">
        <f>IF(AF2&gt;=Projections!$D$28,Projections!$B$28,0)</f>
        <v>100</v>
      </c>
      <c r="AG6" s="154">
        <f>IF(AG2&gt;=Projections!$D$28,Projections!$B$28,0)</f>
        <v>100</v>
      </c>
      <c r="AH6" s="154">
        <f>IF(AH2&gt;=Projections!$D$28,Projections!$B$28,0)</f>
        <v>100</v>
      </c>
      <c r="AI6" s="154">
        <f>IF(AI2&gt;=Projections!$D$28,Projections!$B$28,0)</f>
        <v>100</v>
      </c>
      <c r="AJ6" s="154">
        <f>IF(AJ2&gt;=Projections!$D$28,Projections!$B$28,0)</f>
        <v>100</v>
      </c>
      <c r="AK6" s="154">
        <f>IF(AK2&gt;=Projections!$D$28,Projections!$B$28,0)</f>
        <v>100</v>
      </c>
      <c r="AL6" s="154">
        <f>IF(AL2&gt;=Projections!$D$28,Projections!$B$28,0)</f>
        <v>100</v>
      </c>
      <c r="AM6" s="154">
        <f>IF(AM2&gt;=Projections!$D$28,Projections!$B$28,0)</f>
        <v>100</v>
      </c>
      <c r="AN6" s="154">
        <f>IF(AN2&gt;=Projections!$D$28,Projections!$B$28,0)</f>
        <v>100</v>
      </c>
      <c r="AO6" s="154">
        <f>IF(AO2&gt;=Projections!$D$28,Projections!$B$28,0)</f>
        <v>100</v>
      </c>
      <c r="AP6" s="154">
        <f>IF(AP2&gt;=Projections!$D$28,Projections!$B$28,0)</f>
        <v>100</v>
      </c>
      <c r="AQ6" s="154">
        <f>IF(AQ2&gt;=Projections!$D$28,Projections!$B$28,0)</f>
        <v>100</v>
      </c>
      <c r="AR6" s="154">
        <f>IF(AR2&gt;=Projections!$D$28,Projections!$B$28,0)</f>
        <v>100</v>
      </c>
      <c r="AS6" s="154">
        <f>IF(AS2&gt;=Projections!$D$28,Projections!$B$28,0)</f>
        <v>100</v>
      </c>
      <c r="AT6" s="154">
        <f>IF(AT2&gt;=Projections!$D$28,Projections!$B$28,0)</f>
        <v>100</v>
      </c>
      <c r="AU6" s="154">
        <f>IF(AU2&gt;=Projections!$D$28,Projections!$B$28,0)</f>
        <v>100</v>
      </c>
      <c r="AV6" s="154">
        <f>IF(AV2&gt;=Projections!$D$28,Projections!$B$28,0)</f>
        <v>100</v>
      </c>
      <c r="AW6" s="154">
        <f>IF(AW2&gt;=Projections!$D$28,Projections!$B$28,0)</f>
        <v>100</v>
      </c>
      <c r="AX6" s="154">
        <f>IF(AX2&gt;=Projections!$D$28,Projections!$B$28,0)</f>
        <v>100</v>
      </c>
      <c r="AY6" s="154">
        <f>IF(AY2&gt;=Projections!$D$28,Projections!$B$28,0)</f>
        <v>100</v>
      </c>
      <c r="AZ6" s="154">
        <f>IF(AZ2&gt;=Projections!$D$28,Projections!$B$28,0)</f>
        <v>100</v>
      </c>
      <c r="BA6" s="154">
        <f>IF(BA2&gt;=Projections!$D$28,Projections!$B$28,0)</f>
        <v>100</v>
      </c>
      <c r="BB6" s="154">
        <f>IF(BB2&gt;=Projections!$D$28,Projections!$B$28,0)</f>
        <v>100</v>
      </c>
      <c r="BC6" s="154">
        <f>IF(BC2&gt;=Projections!$D$28,Projections!$B$28,0)</f>
        <v>100</v>
      </c>
      <c r="BD6" s="154">
        <f>IF(BD2&gt;=Projections!$D$28,Projections!$B$28,0)</f>
        <v>100</v>
      </c>
      <c r="BE6" s="154">
        <f>IF(BE2&gt;=Projections!$D$28,Projections!$B$28,0)</f>
        <v>100</v>
      </c>
      <c r="BF6" s="154">
        <f>IF(BF2&gt;=Projections!$D$28,Projections!$B$28,0)</f>
        <v>100</v>
      </c>
      <c r="BG6" s="154">
        <f>IF(BG2&gt;=Projections!$D$28,Projections!$B$28,0)</f>
        <v>100</v>
      </c>
      <c r="BH6" s="154">
        <f>IF(BH2&gt;=Projections!$D$28,Projections!$B$28,0)</f>
        <v>100</v>
      </c>
      <c r="BI6" s="154">
        <f>IF(BI2&gt;=Projections!$D$28,Projections!$B$28,0)</f>
        <v>100</v>
      </c>
      <c r="BJ6" s="154">
        <f>IF(BJ2&gt;=Projections!$D$28,Projections!$B$28,0)</f>
        <v>100</v>
      </c>
      <c r="BK6" s="154">
        <f>IF(BK2&gt;=Projections!$D$28,Projections!$B$28,0)</f>
        <v>100</v>
      </c>
      <c r="BL6" s="154">
        <f>IF(BL2&gt;=Projections!$D$28,Projections!$B$28,0)</f>
        <v>100</v>
      </c>
      <c r="BM6" s="154">
        <f>IF(BM2&gt;=Projections!$D$28,Projections!$B$28,0)</f>
        <v>100</v>
      </c>
      <c r="BN6" s="154">
        <f>IF(BN2&gt;=Projections!$D$28,Projections!$B$28,0)</f>
        <v>100</v>
      </c>
      <c r="BO6" s="154">
        <f>IF(BO2&gt;=Projections!$D$28,Projections!$B$28,0)</f>
        <v>100</v>
      </c>
      <c r="BP6" s="154">
        <f>IF(BP2&gt;=Projections!$D$28,Projections!$B$28,0)</f>
        <v>100</v>
      </c>
      <c r="BQ6" s="154">
        <f>IF(BQ2&gt;=Projections!$D$28,Projections!$B$28,0)</f>
        <v>100</v>
      </c>
      <c r="BR6" s="154">
        <f>IF(BR2&gt;=Projections!$D$28,Projections!$B$28,0)</f>
        <v>100</v>
      </c>
      <c r="BS6" s="154">
        <f>IF(BS2&gt;=Projections!$D$28,Projections!$B$28,0)</f>
        <v>100</v>
      </c>
      <c r="BT6" s="154">
        <f>IF(BT2&gt;=Projections!$D$28,Projections!$B$28,0)</f>
        <v>100</v>
      </c>
      <c r="BU6" s="154">
        <f>IF(BU2&gt;=Projections!$D$28,Projections!$B$28,0)</f>
        <v>100</v>
      </c>
      <c r="BV6" s="154">
        <f>IF(BV2&gt;=Projections!$D$28,Projections!$B$28,0)</f>
        <v>100</v>
      </c>
      <c r="BW6" s="154">
        <f>IF(BW2&gt;=Projections!$D$28,Projections!$B$28,0)</f>
        <v>100</v>
      </c>
      <c r="BX6" s="154">
        <f>IF(BX2&gt;=Projections!$D$28,Projections!$B$28,0)</f>
        <v>100</v>
      </c>
      <c r="BY6" s="154">
        <f>IF(BY2&gt;=Projections!$D$28,Projections!$B$28,0)</f>
        <v>100</v>
      </c>
      <c r="BZ6" s="154">
        <f>IF(BZ2&gt;=Projections!$D$28,Projections!$B$28,0)</f>
        <v>100</v>
      </c>
      <c r="CA6" s="154">
        <f>IF(CA2&gt;=Projections!$D$28,Projections!$B$28,0)</f>
        <v>100</v>
      </c>
      <c r="CB6" s="154">
        <f>IF(CB2&gt;=Projections!$D$28,Projections!$B$28,0)</f>
        <v>100</v>
      </c>
      <c r="CC6" s="154">
        <f>IF(CC2&gt;=Projections!$D$28,Projections!$B$28,0)</f>
        <v>100</v>
      </c>
      <c r="CD6" s="154">
        <f>IF(CD2&gt;=Projections!$D$28,Projections!$B$28,0)</f>
        <v>100</v>
      </c>
      <c r="CE6" s="154">
        <f>IF(CE2&gt;=Projections!$D$28,Projections!$B$28,0)</f>
        <v>100</v>
      </c>
      <c r="CF6" s="154">
        <f>IF(CF2&gt;=Projections!$D$28,Projections!$B$28,0)</f>
        <v>100</v>
      </c>
      <c r="CG6" s="154">
        <f>IF(CG2&gt;=Projections!$D$28,Projections!$B$28,0)</f>
        <v>100</v>
      </c>
      <c r="CH6" s="154">
        <f>IF(CH2&gt;=Projections!$D$28,Projections!$B$28,0)</f>
        <v>100</v>
      </c>
      <c r="CI6" s="154">
        <f>IF(CI2&gt;=Projections!$D$28,Projections!$B$28,0)</f>
        <v>100</v>
      </c>
      <c r="CJ6" s="154">
        <f>IF(CJ2&gt;=Projections!$D$28,Projections!$B$28,0)</f>
        <v>100</v>
      </c>
      <c r="CK6" s="154">
        <f>IF(CK2&gt;=Projections!$D$28,Projections!$B$28,0)</f>
        <v>100</v>
      </c>
      <c r="CL6" s="154">
        <f>IF(CL2&gt;=Projections!$D$28,Projections!$B$28,0)</f>
        <v>100</v>
      </c>
      <c r="CM6" s="154">
        <f>IF(CM2&gt;=Projections!$D$28,Projections!$B$28,0)</f>
        <v>100</v>
      </c>
      <c r="CN6" s="154">
        <f>IF(CN2&gt;=Projections!$D$28,Projections!$B$28,0)</f>
        <v>100</v>
      </c>
      <c r="CO6" s="154">
        <f>IF(CO2&gt;=Projections!$D$28,Projections!$B$28,0)</f>
        <v>100</v>
      </c>
      <c r="CP6" s="154">
        <f>IF(CP2&gt;=Projections!$D$28,Projections!$B$28,0)</f>
        <v>100</v>
      </c>
      <c r="CQ6" s="154">
        <f>IF(CQ2&gt;=Projections!$D$28,Projections!$B$28,0)</f>
        <v>100</v>
      </c>
      <c r="CR6" s="154">
        <f>IF(CR2&gt;=Projections!$D$28,Projections!$B$28,0)</f>
        <v>100</v>
      </c>
      <c r="CS6" s="154">
        <f>IF(CS2&gt;=Projections!$D$28,Projections!$B$28,0)</f>
        <v>100</v>
      </c>
      <c r="CT6" s="154">
        <f>IF(CT2&gt;=Projections!$D$28,Projections!$B$28,0)</f>
        <v>100</v>
      </c>
      <c r="CU6" s="154">
        <f>IF(CU2&gt;=Projections!$D$28,Projections!$B$28,0)</f>
        <v>100</v>
      </c>
      <c r="CV6" s="154">
        <f>IF(CV2&gt;=Projections!$D$28,Projections!$B$28,0)</f>
        <v>100</v>
      </c>
      <c r="CW6" s="154">
        <f>IF(CW2&gt;=Projections!$D$28,Projections!$B$28,0)</f>
        <v>100</v>
      </c>
    </row>
    <row r="7" ht="15.75" customHeight="1">
      <c r="A7" s="1" t="s">
        <v>237</v>
      </c>
      <c r="B7" s="1"/>
      <c r="C7" s="154">
        <f t="shared" ref="C7:CW7" si="2">C6</f>
        <v>0</v>
      </c>
      <c r="D7" s="154">
        <f t="shared" si="2"/>
        <v>100</v>
      </c>
      <c r="E7" s="154">
        <f t="shared" si="2"/>
        <v>100</v>
      </c>
      <c r="F7" s="154">
        <f t="shared" si="2"/>
        <v>100</v>
      </c>
      <c r="G7" s="154">
        <f t="shared" si="2"/>
        <v>100</v>
      </c>
      <c r="H7" s="154">
        <f t="shared" si="2"/>
        <v>100</v>
      </c>
      <c r="I7" s="154">
        <f t="shared" si="2"/>
        <v>100</v>
      </c>
      <c r="J7" s="154">
        <f t="shared" si="2"/>
        <v>100</v>
      </c>
      <c r="K7" s="154">
        <f t="shared" si="2"/>
        <v>100</v>
      </c>
      <c r="L7" s="154">
        <f t="shared" si="2"/>
        <v>100</v>
      </c>
      <c r="M7" s="154">
        <f t="shared" si="2"/>
        <v>100</v>
      </c>
      <c r="N7" s="154">
        <f t="shared" si="2"/>
        <v>100</v>
      </c>
      <c r="O7" s="154">
        <f t="shared" si="2"/>
        <v>100</v>
      </c>
      <c r="P7" s="154">
        <f t="shared" si="2"/>
        <v>100</v>
      </c>
      <c r="Q7" s="154">
        <f t="shared" si="2"/>
        <v>100</v>
      </c>
      <c r="R7" s="154">
        <f t="shared" si="2"/>
        <v>100</v>
      </c>
      <c r="S7" s="154">
        <f t="shared" si="2"/>
        <v>100</v>
      </c>
      <c r="T7" s="154">
        <f t="shared" si="2"/>
        <v>100</v>
      </c>
      <c r="U7" s="154">
        <f t="shared" si="2"/>
        <v>100</v>
      </c>
      <c r="V7" s="154">
        <f t="shared" si="2"/>
        <v>100</v>
      </c>
      <c r="W7" s="154">
        <f t="shared" si="2"/>
        <v>100</v>
      </c>
      <c r="X7" s="154">
        <f t="shared" si="2"/>
        <v>100</v>
      </c>
      <c r="Y7" s="154">
        <f t="shared" si="2"/>
        <v>100</v>
      </c>
      <c r="Z7" s="154">
        <f t="shared" si="2"/>
        <v>100</v>
      </c>
      <c r="AA7" s="154">
        <f t="shared" si="2"/>
        <v>100</v>
      </c>
      <c r="AB7" s="154">
        <f t="shared" si="2"/>
        <v>100</v>
      </c>
      <c r="AC7" s="154">
        <f t="shared" si="2"/>
        <v>100</v>
      </c>
      <c r="AD7" s="154">
        <f t="shared" si="2"/>
        <v>100</v>
      </c>
      <c r="AE7" s="154">
        <f t="shared" si="2"/>
        <v>100</v>
      </c>
      <c r="AF7" s="154">
        <f t="shared" si="2"/>
        <v>100</v>
      </c>
      <c r="AG7" s="154">
        <f t="shared" si="2"/>
        <v>100</v>
      </c>
      <c r="AH7" s="154">
        <f t="shared" si="2"/>
        <v>100</v>
      </c>
      <c r="AI7" s="154">
        <f t="shared" si="2"/>
        <v>100</v>
      </c>
      <c r="AJ7" s="154">
        <f t="shared" si="2"/>
        <v>100</v>
      </c>
      <c r="AK7" s="154">
        <f t="shared" si="2"/>
        <v>100</v>
      </c>
      <c r="AL7" s="154">
        <f t="shared" si="2"/>
        <v>100</v>
      </c>
      <c r="AM7" s="154">
        <f t="shared" si="2"/>
        <v>100</v>
      </c>
      <c r="AN7" s="154">
        <f t="shared" si="2"/>
        <v>100</v>
      </c>
      <c r="AO7" s="154">
        <f t="shared" si="2"/>
        <v>100</v>
      </c>
      <c r="AP7" s="154">
        <f t="shared" si="2"/>
        <v>100</v>
      </c>
      <c r="AQ7" s="154">
        <f t="shared" si="2"/>
        <v>100</v>
      </c>
      <c r="AR7" s="154">
        <f t="shared" si="2"/>
        <v>100</v>
      </c>
      <c r="AS7" s="154">
        <f t="shared" si="2"/>
        <v>100</v>
      </c>
      <c r="AT7" s="154">
        <f t="shared" si="2"/>
        <v>100</v>
      </c>
      <c r="AU7" s="154">
        <f t="shared" si="2"/>
        <v>100</v>
      </c>
      <c r="AV7" s="154">
        <f t="shared" si="2"/>
        <v>100</v>
      </c>
      <c r="AW7" s="154">
        <f t="shared" si="2"/>
        <v>100</v>
      </c>
      <c r="AX7" s="154">
        <f t="shared" si="2"/>
        <v>100</v>
      </c>
      <c r="AY7" s="154">
        <f t="shared" si="2"/>
        <v>100</v>
      </c>
      <c r="AZ7" s="154">
        <f t="shared" si="2"/>
        <v>100</v>
      </c>
      <c r="BA7" s="154">
        <f t="shared" si="2"/>
        <v>100</v>
      </c>
      <c r="BB7" s="154">
        <f t="shared" si="2"/>
        <v>100</v>
      </c>
      <c r="BC7" s="154">
        <f t="shared" si="2"/>
        <v>100</v>
      </c>
      <c r="BD7" s="154">
        <f t="shared" si="2"/>
        <v>100</v>
      </c>
      <c r="BE7" s="154">
        <f t="shared" si="2"/>
        <v>100</v>
      </c>
      <c r="BF7" s="154">
        <f t="shared" si="2"/>
        <v>100</v>
      </c>
      <c r="BG7" s="154">
        <f t="shared" si="2"/>
        <v>100</v>
      </c>
      <c r="BH7" s="154">
        <f t="shared" si="2"/>
        <v>100</v>
      </c>
      <c r="BI7" s="154">
        <f t="shared" si="2"/>
        <v>100</v>
      </c>
      <c r="BJ7" s="154">
        <f t="shared" si="2"/>
        <v>100</v>
      </c>
      <c r="BK7" s="154">
        <f t="shared" si="2"/>
        <v>100</v>
      </c>
      <c r="BL7" s="154">
        <f t="shared" si="2"/>
        <v>100</v>
      </c>
      <c r="BM7" s="154">
        <f t="shared" si="2"/>
        <v>100</v>
      </c>
      <c r="BN7" s="154">
        <f t="shared" si="2"/>
        <v>100</v>
      </c>
      <c r="BO7" s="154">
        <f t="shared" si="2"/>
        <v>100</v>
      </c>
      <c r="BP7" s="154">
        <f t="shared" si="2"/>
        <v>100</v>
      </c>
      <c r="BQ7" s="154">
        <f t="shared" si="2"/>
        <v>100</v>
      </c>
      <c r="BR7" s="154">
        <f t="shared" si="2"/>
        <v>100</v>
      </c>
      <c r="BS7" s="154">
        <f t="shared" si="2"/>
        <v>100</v>
      </c>
      <c r="BT7" s="154">
        <f t="shared" si="2"/>
        <v>100</v>
      </c>
      <c r="BU7" s="154">
        <f t="shared" si="2"/>
        <v>100</v>
      </c>
      <c r="BV7" s="154">
        <f t="shared" si="2"/>
        <v>100</v>
      </c>
      <c r="BW7" s="154">
        <f t="shared" si="2"/>
        <v>100</v>
      </c>
      <c r="BX7" s="154">
        <f t="shared" si="2"/>
        <v>100</v>
      </c>
      <c r="BY7" s="154">
        <f t="shared" si="2"/>
        <v>100</v>
      </c>
      <c r="BZ7" s="154">
        <f t="shared" si="2"/>
        <v>100</v>
      </c>
      <c r="CA7" s="154">
        <f t="shared" si="2"/>
        <v>100</v>
      </c>
      <c r="CB7" s="154">
        <f t="shared" si="2"/>
        <v>100</v>
      </c>
      <c r="CC7" s="154">
        <f t="shared" si="2"/>
        <v>100</v>
      </c>
      <c r="CD7" s="154">
        <f t="shared" si="2"/>
        <v>100</v>
      </c>
      <c r="CE7" s="154">
        <f t="shared" si="2"/>
        <v>100</v>
      </c>
      <c r="CF7" s="154">
        <f t="shared" si="2"/>
        <v>100</v>
      </c>
      <c r="CG7" s="154">
        <f t="shared" si="2"/>
        <v>100</v>
      </c>
      <c r="CH7" s="154">
        <f t="shared" si="2"/>
        <v>100</v>
      </c>
      <c r="CI7" s="154">
        <f t="shared" si="2"/>
        <v>100</v>
      </c>
      <c r="CJ7" s="154">
        <f t="shared" si="2"/>
        <v>100</v>
      </c>
      <c r="CK7" s="154">
        <f t="shared" si="2"/>
        <v>100</v>
      </c>
      <c r="CL7" s="154">
        <f t="shared" si="2"/>
        <v>100</v>
      </c>
      <c r="CM7" s="154">
        <f t="shared" si="2"/>
        <v>100</v>
      </c>
      <c r="CN7" s="154">
        <f t="shared" si="2"/>
        <v>100</v>
      </c>
      <c r="CO7" s="154">
        <f t="shared" si="2"/>
        <v>100</v>
      </c>
      <c r="CP7" s="154">
        <f t="shared" si="2"/>
        <v>100</v>
      </c>
      <c r="CQ7" s="154">
        <f t="shared" si="2"/>
        <v>100</v>
      </c>
      <c r="CR7" s="154">
        <f t="shared" si="2"/>
        <v>100</v>
      </c>
      <c r="CS7" s="154">
        <f t="shared" si="2"/>
        <v>100</v>
      </c>
      <c r="CT7" s="154">
        <f t="shared" si="2"/>
        <v>100</v>
      </c>
      <c r="CU7" s="154">
        <f t="shared" si="2"/>
        <v>100</v>
      </c>
      <c r="CV7" s="154">
        <f t="shared" si="2"/>
        <v>100</v>
      </c>
      <c r="CW7" s="154">
        <f t="shared" si="2"/>
        <v>100</v>
      </c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ht="15.75" customHeight="1">
      <c r="A9" s="1" t="s">
        <v>238</v>
      </c>
      <c r="B9" s="1"/>
      <c r="C9" s="1" t="str">
        <f>'Monthly forecast'!D18</f>
        <v/>
      </c>
      <c r="D9" s="34">
        <f>'Monthly forecast'!E18</f>
        <v>0.15</v>
      </c>
      <c r="E9" s="34">
        <f>'Monthly forecast'!F18</f>
        <v>0.15</v>
      </c>
      <c r="F9" s="34">
        <f>'Monthly forecast'!G18</f>
        <v>0.15</v>
      </c>
      <c r="G9" s="34">
        <f>'Monthly forecast'!H18</f>
        <v>0.15</v>
      </c>
      <c r="H9" s="34">
        <f>'Monthly forecast'!I18</f>
        <v>0.15</v>
      </c>
      <c r="I9" s="34">
        <f>'Monthly forecast'!J18</f>
        <v>0.15</v>
      </c>
      <c r="J9" s="34">
        <f>'Monthly forecast'!K18</f>
        <v>0.15</v>
      </c>
      <c r="K9" s="34">
        <f>'Monthly forecast'!L18</f>
        <v>0.15</v>
      </c>
      <c r="L9" s="34">
        <f>'Monthly forecast'!M18</f>
        <v>0.15</v>
      </c>
      <c r="M9" s="34">
        <f>'Monthly forecast'!N18</f>
        <v>0.15</v>
      </c>
      <c r="N9" s="34">
        <f>'Monthly forecast'!O18</f>
        <v>0.15</v>
      </c>
      <c r="O9" s="34">
        <f>'Monthly forecast'!P18</f>
        <v>0.15</v>
      </c>
      <c r="P9" s="34">
        <f>'Monthly forecast'!Q18</f>
        <v>0.15</v>
      </c>
      <c r="Q9" s="34">
        <f>'Monthly forecast'!R18</f>
        <v>0.15</v>
      </c>
      <c r="R9" s="34">
        <f>'Monthly forecast'!S18</f>
        <v>0.15</v>
      </c>
      <c r="S9" s="34">
        <f>'Monthly forecast'!T18</f>
        <v>0.15</v>
      </c>
      <c r="T9" s="34">
        <f>'Monthly forecast'!U18</f>
        <v>0.15</v>
      </c>
      <c r="U9" s="34">
        <f>'Monthly forecast'!V18</f>
        <v>0.15</v>
      </c>
      <c r="V9" s="34">
        <f>'Monthly forecast'!W18</f>
        <v>0.15</v>
      </c>
      <c r="W9" s="34">
        <f>'Monthly forecast'!X18</f>
        <v>0.15</v>
      </c>
      <c r="X9" s="34">
        <f>'Monthly forecast'!Y18</f>
        <v>0.15</v>
      </c>
      <c r="Y9" s="34">
        <f>'Monthly forecast'!Z18</f>
        <v>0.15</v>
      </c>
      <c r="Z9" s="34">
        <f>'Monthly forecast'!AA18</f>
        <v>0.15</v>
      </c>
      <c r="AA9" s="34">
        <f>'Monthly forecast'!AB18</f>
        <v>0.15</v>
      </c>
      <c r="AB9" s="34">
        <f>'Monthly forecast'!AC18</f>
        <v>0.15</v>
      </c>
      <c r="AC9" s="34">
        <f>'Monthly forecast'!AD18</f>
        <v>0.15</v>
      </c>
      <c r="AD9" s="34">
        <f>'Monthly forecast'!AE18</f>
        <v>0.15</v>
      </c>
      <c r="AE9" s="34">
        <f>'Monthly forecast'!AF18</f>
        <v>0.15</v>
      </c>
      <c r="AF9" s="34">
        <f>'Monthly forecast'!AG18</f>
        <v>0.15</v>
      </c>
      <c r="AG9" s="34">
        <f>'Monthly forecast'!AH18</f>
        <v>0.15</v>
      </c>
      <c r="AH9" s="34">
        <f>'Monthly forecast'!AI18</f>
        <v>0.15</v>
      </c>
      <c r="AI9" s="34">
        <f>'Monthly forecast'!AJ18</f>
        <v>0.15</v>
      </c>
      <c r="AJ9" s="34">
        <f>'Monthly forecast'!AK18</f>
        <v>0.15</v>
      </c>
      <c r="AK9" s="34">
        <f>'Monthly forecast'!AL18</f>
        <v>0.15</v>
      </c>
      <c r="AL9" s="34">
        <f>'Monthly forecast'!AM18</f>
        <v>0.15</v>
      </c>
      <c r="AM9" s="34">
        <f>'Monthly forecast'!AN18</f>
        <v>0.15</v>
      </c>
      <c r="AN9" s="34">
        <f>'Monthly forecast'!AO18</f>
        <v>0.15</v>
      </c>
      <c r="AO9" s="34">
        <f>'Monthly forecast'!AP18</f>
        <v>0.15</v>
      </c>
      <c r="AP9" s="34">
        <f>'Monthly forecast'!AQ18</f>
        <v>0.15</v>
      </c>
      <c r="AQ9" s="34">
        <f>'Monthly forecast'!AR18</f>
        <v>0.15</v>
      </c>
      <c r="AR9" s="34">
        <f>'Monthly forecast'!AS18</f>
        <v>0.15</v>
      </c>
      <c r="AS9" s="34">
        <f>'Monthly forecast'!AT18</f>
        <v>0.15</v>
      </c>
      <c r="AT9" s="34">
        <f>'Monthly forecast'!AU18</f>
        <v>0.15</v>
      </c>
      <c r="AU9" s="34">
        <f>'Monthly forecast'!AV18</f>
        <v>0.15</v>
      </c>
      <c r="AV9" s="34">
        <f>'Monthly forecast'!AW18</f>
        <v>0.15</v>
      </c>
      <c r="AW9" s="34">
        <f>'Monthly forecast'!AX18</f>
        <v>0.15</v>
      </c>
      <c r="AX9" s="34">
        <f>'Monthly forecast'!AY18</f>
        <v>0.15</v>
      </c>
      <c r="AY9" s="34">
        <f>'Monthly forecast'!AZ18</f>
        <v>0.15</v>
      </c>
      <c r="AZ9" s="34">
        <f>'Monthly forecast'!BA18</f>
        <v>0.15</v>
      </c>
      <c r="BA9" s="34">
        <f>'Monthly forecast'!BB18</f>
        <v>0.15</v>
      </c>
      <c r="BB9" s="34">
        <f>'Monthly forecast'!BC18</f>
        <v>0.15</v>
      </c>
      <c r="BC9" s="34">
        <f>'Monthly forecast'!BD18</f>
        <v>0.15</v>
      </c>
      <c r="BD9" s="34">
        <f>'Monthly forecast'!BE18</f>
        <v>0.15</v>
      </c>
      <c r="BE9" s="34">
        <f>'Monthly forecast'!BF18</f>
        <v>0.15</v>
      </c>
      <c r="BF9" s="34">
        <f>'Monthly forecast'!BG18</f>
        <v>0.15</v>
      </c>
      <c r="BG9" s="34">
        <f>'Monthly forecast'!BH18</f>
        <v>0.15</v>
      </c>
      <c r="BH9" s="34">
        <f>'Monthly forecast'!BI18</f>
        <v>0.15</v>
      </c>
      <c r="BI9" s="34">
        <f>'Monthly forecast'!BJ18</f>
        <v>0.15</v>
      </c>
      <c r="BJ9" s="34">
        <f>'Monthly forecast'!BK18</f>
        <v>0.15</v>
      </c>
      <c r="BK9" s="34">
        <f>'Monthly forecast'!BL18</f>
        <v>0.15</v>
      </c>
      <c r="BL9" s="34">
        <f>'Monthly forecast'!BM18</f>
        <v>0.15</v>
      </c>
      <c r="BM9" s="34">
        <f>'Monthly forecast'!BN18</f>
        <v>0.15</v>
      </c>
      <c r="BN9" s="34">
        <f>'Monthly forecast'!BO18</f>
        <v>0.15</v>
      </c>
      <c r="BO9" s="34">
        <f>'Monthly forecast'!BP18</f>
        <v>0.15</v>
      </c>
      <c r="BP9" s="34">
        <f>'Monthly forecast'!BQ18</f>
        <v>0.15</v>
      </c>
      <c r="BQ9" s="34">
        <f>'Monthly forecast'!BR18</f>
        <v>0.15</v>
      </c>
      <c r="BR9" s="34">
        <f>'Monthly forecast'!BS18</f>
        <v>0.15</v>
      </c>
      <c r="BS9" s="34">
        <f>'Monthly forecast'!BT18</f>
        <v>0.15</v>
      </c>
      <c r="BT9" s="34">
        <f>'Monthly forecast'!BU18</f>
        <v>0.15</v>
      </c>
      <c r="BU9" s="34">
        <f>'Monthly forecast'!BV18</f>
        <v>0.15</v>
      </c>
      <c r="BV9" s="34">
        <f>'Monthly forecast'!BW18</f>
        <v>0.15</v>
      </c>
      <c r="BW9" s="34">
        <f>'Monthly forecast'!BX18</f>
        <v>0.15</v>
      </c>
      <c r="BX9" s="34">
        <f>'Monthly forecast'!BY18</f>
        <v>0.15</v>
      </c>
      <c r="BY9" s="34">
        <f>'Monthly forecast'!BZ18</f>
        <v>0.15</v>
      </c>
      <c r="BZ9" s="34">
        <f>'Monthly forecast'!CA18</f>
        <v>0.15</v>
      </c>
      <c r="CA9" s="34">
        <f>'Monthly forecast'!CB18</f>
        <v>0.15</v>
      </c>
      <c r="CB9" s="34">
        <f>'Monthly forecast'!CC18</f>
        <v>0.15</v>
      </c>
      <c r="CC9" s="34">
        <f>'Monthly forecast'!CD18</f>
        <v>0.15</v>
      </c>
      <c r="CD9" s="34">
        <f>'Monthly forecast'!CE18</f>
        <v>0.15</v>
      </c>
      <c r="CE9" s="34">
        <f>'Monthly forecast'!CF18</f>
        <v>0.15</v>
      </c>
      <c r="CF9" s="34">
        <f>'Monthly forecast'!CG18</f>
        <v>0.15</v>
      </c>
      <c r="CG9" s="34">
        <f>'Monthly forecast'!CH18</f>
        <v>0.15</v>
      </c>
      <c r="CH9" s="34">
        <f>'Monthly forecast'!CI18</f>
        <v>0.15</v>
      </c>
      <c r="CI9" s="34">
        <f>'Monthly forecast'!CJ18</f>
        <v>0.15</v>
      </c>
      <c r="CJ9" s="34">
        <f>'Monthly forecast'!CK18</f>
        <v>0.15</v>
      </c>
      <c r="CK9" s="34">
        <f>'Monthly forecast'!CL18</f>
        <v>0.15</v>
      </c>
      <c r="CL9" s="34">
        <f>'Monthly forecast'!CM18</f>
        <v>0.15</v>
      </c>
      <c r="CM9" s="34">
        <f>'Monthly forecast'!CN18</f>
        <v>0.15</v>
      </c>
      <c r="CN9" s="34">
        <f>'Monthly forecast'!CO18</f>
        <v>0.15</v>
      </c>
      <c r="CO9" s="34">
        <f>'Monthly forecast'!CP18</f>
        <v>0.15</v>
      </c>
      <c r="CP9" s="34">
        <f>'Monthly forecast'!CQ18</f>
        <v>0.15</v>
      </c>
      <c r="CQ9" s="34">
        <f>'Monthly forecast'!CR18</f>
        <v>0.15</v>
      </c>
      <c r="CR9" s="34">
        <f>'Monthly forecast'!CS18</f>
        <v>0.15</v>
      </c>
      <c r="CS9" s="34">
        <f>'Monthly forecast'!CT18</f>
        <v>0.15</v>
      </c>
      <c r="CT9" s="34">
        <f>'Monthly forecast'!CU18</f>
        <v>0.15</v>
      </c>
      <c r="CU9" s="34">
        <f>'Monthly forecast'!CV18</f>
        <v>0.15</v>
      </c>
      <c r="CV9" s="34">
        <f>'Monthly forecast'!CW18</f>
        <v>0.15</v>
      </c>
      <c r="CW9" s="34">
        <f>'Monthly forecast'!CX18</f>
        <v>0.15</v>
      </c>
    </row>
    <row r="10" ht="15.75" customHeight="1">
      <c r="A10" s="155" t="s">
        <v>239</v>
      </c>
      <c r="B10" s="155"/>
      <c r="C10" s="156">
        <f t="shared" ref="C10:CW10" si="3">IFERROR(1/C9,0)</f>
        <v>0</v>
      </c>
      <c r="D10" s="156">
        <f t="shared" si="3"/>
        <v>6.666666667</v>
      </c>
      <c r="E10" s="156">
        <f t="shared" si="3"/>
        <v>6.666666667</v>
      </c>
      <c r="F10" s="156">
        <f t="shared" si="3"/>
        <v>6.666666667</v>
      </c>
      <c r="G10" s="156">
        <f t="shared" si="3"/>
        <v>6.666666667</v>
      </c>
      <c r="H10" s="156">
        <f t="shared" si="3"/>
        <v>6.666666667</v>
      </c>
      <c r="I10" s="156">
        <f t="shared" si="3"/>
        <v>6.666666667</v>
      </c>
      <c r="J10" s="156">
        <f t="shared" si="3"/>
        <v>6.666666667</v>
      </c>
      <c r="K10" s="156">
        <f t="shared" si="3"/>
        <v>6.666666667</v>
      </c>
      <c r="L10" s="156">
        <f t="shared" si="3"/>
        <v>6.666666667</v>
      </c>
      <c r="M10" s="156">
        <f t="shared" si="3"/>
        <v>6.666666667</v>
      </c>
      <c r="N10" s="156">
        <f t="shared" si="3"/>
        <v>6.666666667</v>
      </c>
      <c r="O10" s="156">
        <f t="shared" si="3"/>
        <v>6.666666667</v>
      </c>
      <c r="P10" s="156">
        <f t="shared" si="3"/>
        <v>6.666666667</v>
      </c>
      <c r="Q10" s="156">
        <f t="shared" si="3"/>
        <v>6.666666667</v>
      </c>
      <c r="R10" s="156">
        <f t="shared" si="3"/>
        <v>6.666666667</v>
      </c>
      <c r="S10" s="156">
        <f t="shared" si="3"/>
        <v>6.666666667</v>
      </c>
      <c r="T10" s="156">
        <f t="shared" si="3"/>
        <v>6.666666667</v>
      </c>
      <c r="U10" s="156">
        <f t="shared" si="3"/>
        <v>6.666666667</v>
      </c>
      <c r="V10" s="156">
        <f t="shared" si="3"/>
        <v>6.666666667</v>
      </c>
      <c r="W10" s="156">
        <f t="shared" si="3"/>
        <v>6.666666667</v>
      </c>
      <c r="X10" s="156">
        <f t="shared" si="3"/>
        <v>6.666666667</v>
      </c>
      <c r="Y10" s="156">
        <f t="shared" si="3"/>
        <v>6.666666667</v>
      </c>
      <c r="Z10" s="156">
        <f t="shared" si="3"/>
        <v>6.666666667</v>
      </c>
      <c r="AA10" s="156">
        <f t="shared" si="3"/>
        <v>6.666666667</v>
      </c>
      <c r="AB10" s="156">
        <f t="shared" si="3"/>
        <v>6.666666667</v>
      </c>
      <c r="AC10" s="156">
        <f t="shared" si="3"/>
        <v>6.666666667</v>
      </c>
      <c r="AD10" s="156">
        <f t="shared" si="3"/>
        <v>6.666666667</v>
      </c>
      <c r="AE10" s="156">
        <f t="shared" si="3"/>
        <v>6.666666667</v>
      </c>
      <c r="AF10" s="156">
        <f t="shared" si="3"/>
        <v>6.666666667</v>
      </c>
      <c r="AG10" s="156">
        <f t="shared" si="3"/>
        <v>6.666666667</v>
      </c>
      <c r="AH10" s="156">
        <f t="shared" si="3"/>
        <v>6.666666667</v>
      </c>
      <c r="AI10" s="156">
        <f t="shared" si="3"/>
        <v>6.666666667</v>
      </c>
      <c r="AJ10" s="156">
        <f t="shared" si="3"/>
        <v>6.666666667</v>
      </c>
      <c r="AK10" s="156">
        <f t="shared" si="3"/>
        <v>6.666666667</v>
      </c>
      <c r="AL10" s="156">
        <f t="shared" si="3"/>
        <v>6.666666667</v>
      </c>
      <c r="AM10" s="156">
        <f t="shared" si="3"/>
        <v>6.666666667</v>
      </c>
      <c r="AN10" s="156">
        <f t="shared" si="3"/>
        <v>6.666666667</v>
      </c>
      <c r="AO10" s="156">
        <f t="shared" si="3"/>
        <v>6.666666667</v>
      </c>
      <c r="AP10" s="156">
        <f t="shared" si="3"/>
        <v>6.666666667</v>
      </c>
      <c r="AQ10" s="156">
        <f t="shared" si="3"/>
        <v>6.666666667</v>
      </c>
      <c r="AR10" s="156">
        <f t="shared" si="3"/>
        <v>6.666666667</v>
      </c>
      <c r="AS10" s="156">
        <f t="shared" si="3"/>
        <v>6.666666667</v>
      </c>
      <c r="AT10" s="156">
        <f t="shared" si="3"/>
        <v>6.666666667</v>
      </c>
      <c r="AU10" s="156">
        <f t="shared" si="3"/>
        <v>6.666666667</v>
      </c>
      <c r="AV10" s="156">
        <f t="shared" si="3"/>
        <v>6.666666667</v>
      </c>
      <c r="AW10" s="156">
        <f t="shared" si="3"/>
        <v>6.666666667</v>
      </c>
      <c r="AX10" s="156">
        <f t="shared" si="3"/>
        <v>6.666666667</v>
      </c>
      <c r="AY10" s="156">
        <f t="shared" si="3"/>
        <v>6.666666667</v>
      </c>
      <c r="AZ10" s="156">
        <f t="shared" si="3"/>
        <v>6.666666667</v>
      </c>
      <c r="BA10" s="156">
        <f t="shared" si="3"/>
        <v>6.666666667</v>
      </c>
      <c r="BB10" s="156">
        <f t="shared" si="3"/>
        <v>6.666666667</v>
      </c>
      <c r="BC10" s="156">
        <f t="shared" si="3"/>
        <v>6.666666667</v>
      </c>
      <c r="BD10" s="156">
        <f t="shared" si="3"/>
        <v>6.666666667</v>
      </c>
      <c r="BE10" s="156">
        <f t="shared" si="3"/>
        <v>6.666666667</v>
      </c>
      <c r="BF10" s="156">
        <f t="shared" si="3"/>
        <v>6.666666667</v>
      </c>
      <c r="BG10" s="156">
        <f t="shared" si="3"/>
        <v>6.666666667</v>
      </c>
      <c r="BH10" s="156">
        <f t="shared" si="3"/>
        <v>6.666666667</v>
      </c>
      <c r="BI10" s="156">
        <f t="shared" si="3"/>
        <v>6.666666667</v>
      </c>
      <c r="BJ10" s="156">
        <f t="shared" si="3"/>
        <v>6.666666667</v>
      </c>
      <c r="BK10" s="156">
        <f t="shared" si="3"/>
        <v>6.666666667</v>
      </c>
      <c r="BL10" s="156">
        <f t="shared" si="3"/>
        <v>6.666666667</v>
      </c>
      <c r="BM10" s="156">
        <f t="shared" si="3"/>
        <v>6.666666667</v>
      </c>
      <c r="BN10" s="156">
        <f t="shared" si="3"/>
        <v>6.666666667</v>
      </c>
      <c r="BO10" s="156">
        <f t="shared" si="3"/>
        <v>6.666666667</v>
      </c>
      <c r="BP10" s="156">
        <f t="shared" si="3"/>
        <v>6.666666667</v>
      </c>
      <c r="BQ10" s="156">
        <f t="shared" si="3"/>
        <v>6.666666667</v>
      </c>
      <c r="BR10" s="156">
        <f t="shared" si="3"/>
        <v>6.666666667</v>
      </c>
      <c r="BS10" s="156">
        <f t="shared" si="3"/>
        <v>6.666666667</v>
      </c>
      <c r="BT10" s="156">
        <f t="shared" si="3"/>
        <v>6.666666667</v>
      </c>
      <c r="BU10" s="156">
        <f t="shared" si="3"/>
        <v>6.666666667</v>
      </c>
      <c r="BV10" s="156">
        <f t="shared" si="3"/>
        <v>6.666666667</v>
      </c>
      <c r="BW10" s="156">
        <f t="shared" si="3"/>
        <v>6.666666667</v>
      </c>
      <c r="BX10" s="156">
        <f t="shared" si="3"/>
        <v>6.666666667</v>
      </c>
      <c r="BY10" s="156">
        <f t="shared" si="3"/>
        <v>6.666666667</v>
      </c>
      <c r="BZ10" s="156">
        <f t="shared" si="3"/>
        <v>6.666666667</v>
      </c>
      <c r="CA10" s="156">
        <f t="shared" si="3"/>
        <v>6.666666667</v>
      </c>
      <c r="CB10" s="156">
        <f t="shared" si="3"/>
        <v>6.666666667</v>
      </c>
      <c r="CC10" s="156">
        <f t="shared" si="3"/>
        <v>6.666666667</v>
      </c>
      <c r="CD10" s="156">
        <f t="shared" si="3"/>
        <v>6.666666667</v>
      </c>
      <c r="CE10" s="156">
        <f t="shared" si="3"/>
        <v>6.666666667</v>
      </c>
      <c r="CF10" s="156">
        <f t="shared" si="3"/>
        <v>6.666666667</v>
      </c>
      <c r="CG10" s="156">
        <f t="shared" si="3"/>
        <v>6.666666667</v>
      </c>
      <c r="CH10" s="156">
        <f t="shared" si="3"/>
        <v>6.666666667</v>
      </c>
      <c r="CI10" s="156">
        <f t="shared" si="3"/>
        <v>6.666666667</v>
      </c>
      <c r="CJ10" s="156">
        <f t="shared" si="3"/>
        <v>6.666666667</v>
      </c>
      <c r="CK10" s="156">
        <f t="shared" si="3"/>
        <v>6.666666667</v>
      </c>
      <c r="CL10" s="156">
        <f t="shared" si="3"/>
        <v>6.666666667</v>
      </c>
      <c r="CM10" s="156">
        <f t="shared" si="3"/>
        <v>6.666666667</v>
      </c>
      <c r="CN10" s="156">
        <f t="shared" si="3"/>
        <v>6.666666667</v>
      </c>
      <c r="CO10" s="156">
        <f t="shared" si="3"/>
        <v>6.666666667</v>
      </c>
      <c r="CP10" s="156">
        <f t="shared" si="3"/>
        <v>6.666666667</v>
      </c>
      <c r="CQ10" s="156">
        <f t="shared" si="3"/>
        <v>6.666666667</v>
      </c>
      <c r="CR10" s="156">
        <f t="shared" si="3"/>
        <v>6.666666667</v>
      </c>
      <c r="CS10" s="156">
        <f t="shared" si="3"/>
        <v>6.666666667</v>
      </c>
      <c r="CT10" s="156">
        <f t="shared" si="3"/>
        <v>6.666666667</v>
      </c>
      <c r="CU10" s="156">
        <f t="shared" si="3"/>
        <v>6.666666667</v>
      </c>
      <c r="CV10" s="156">
        <f t="shared" si="3"/>
        <v>6.666666667</v>
      </c>
      <c r="CW10" s="156">
        <f t="shared" si="3"/>
        <v>6.666666667</v>
      </c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ht="15.75" customHeight="1">
      <c r="A12" s="50" t="s">
        <v>240</v>
      </c>
      <c r="B12" s="50"/>
      <c r="C12" s="157">
        <f t="shared" ref="C12:CW12" si="4">C7*C10</f>
        <v>0</v>
      </c>
      <c r="D12" s="158">
        <f t="shared" si="4"/>
        <v>666.6666667</v>
      </c>
      <c r="E12" s="158">
        <f t="shared" si="4"/>
        <v>666.6666667</v>
      </c>
      <c r="F12" s="158">
        <f t="shared" si="4"/>
        <v>666.6666667</v>
      </c>
      <c r="G12" s="158">
        <f t="shared" si="4"/>
        <v>666.6666667</v>
      </c>
      <c r="H12" s="158">
        <f t="shared" si="4"/>
        <v>666.6666667</v>
      </c>
      <c r="I12" s="158">
        <f t="shared" si="4"/>
        <v>666.6666667</v>
      </c>
      <c r="J12" s="158">
        <f t="shared" si="4"/>
        <v>666.6666667</v>
      </c>
      <c r="K12" s="158">
        <f t="shared" si="4"/>
        <v>666.6666667</v>
      </c>
      <c r="L12" s="158">
        <f t="shared" si="4"/>
        <v>666.6666667</v>
      </c>
      <c r="M12" s="158">
        <f t="shared" si="4"/>
        <v>666.6666667</v>
      </c>
      <c r="N12" s="158">
        <f t="shared" si="4"/>
        <v>666.6666667</v>
      </c>
      <c r="O12" s="158">
        <f t="shared" si="4"/>
        <v>666.6666667</v>
      </c>
      <c r="P12" s="158">
        <f t="shared" si="4"/>
        <v>666.6666667</v>
      </c>
      <c r="Q12" s="158">
        <f t="shared" si="4"/>
        <v>666.6666667</v>
      </c>
      <c r="R12" s="158">
        <f t="shared" si="4"/>
        <v>666.6666667</v>
      </c>
      <c r="S12" s="158">
        <f t="shared" si="4"/>
        <v>666.6666667</v>
      </c>
      <c r="T12" s="158">
        <f t="shared" si="4"/>
        <v>666.6666667</v>
      </c>
      <c r="U12" s="158">
        <f t="shared" si="4"/>
        <v>666.6666667</v>
      </c>
      <c r="V12" s="158">
        <f t="shared" si="4"/>
        <v>666.6666667</v>
      </c>
      <c r="W12" s="158">
        <f t="shared" si="4"/>
        <v>666.6666667</v>
      </c>
      <c r="X12" s="158">
        <f t="shared" si="4"/>
        <v>666.6666667</v>
      </c>
      <c r="Y12" s="158">
        <f t="shared" si="4"/>
        <v>666.6666667</v>
      </c>
      <c r="Z12" s="158">
        <f t="shared" si="4"/>
        <v>666.6666667</v>
      </c>
      <c r="AA12" s="158">
        <f t="shared" si="4"/>
        <v>666.6666667</v>
      </c>
      <c r="AB12" s="158">
        <f t="shared" si="4"/>
        <v>666.6666667</v>
      </c>
      <c r="AC12" s="158">
        <f t="shared" si="4"/>
        <v>666.6666667</v>
      </c>
      <c r="AD12" s="158">
        <f t="shared" si="4"/>
        <v>666.6666667</v>
      </c>
      <c r="AE12" s="158">
        <f t="shared" si="4"/>
        <v>666.6666667</v>
      </c>
      <c r="AF12" s="158">
        <f t="shared" si="4"/>
        <v>666.6666667</v>
      </c>
      <c r="AG12" s="158">
        <f t="shared" si="4"/>
        <v>666.6666667</v>
      </c>
      <c r="AH12" s="158">
        <f t="shared" si="4"/>
        <v>666.6666667</v>
      </c>
      <c r="AI12" s="158">
        <f t="shared" si="4"/>
        <v>666.6666667</v>
      </c>
      <c r="AJ12" s="158">
        <f t="shared" si="4"/>
        <v>666.6666667</v>
      </c>
      <c r="AK12" s="158">
        <f t="shared" si="4"/>
        <v>666.6666667</v>
      </c>
      <c r="AL12" s="158">
        <f t="shared" si="4"/>
        <v>666.6666667</v>
      </c>
      <c r="AM12" s="158">
        <f t="shared" si="4"/>
        <v>666.6666667</v>
      </c>
      <c r="AN12" s="158">
        <f t="shared" si="4"/>
        <v>666.6666667</v>
      </c>
      <c r="AO12" s="158">
        <f t="shared" si="4"/>
        <v>666.6666667</v>
      </c>
      <c r="AP12" s="158">
        <f t="shared" si="4"/>
        <v>666.6666667</v>
      </c>
      <c r="AQ12" s="158">
        <f t="shared" si="4"/>
        <v>666.6666667</v>
      </c>
      <c r="AR12" s="158">
        <f t="shared" si="4"/>
        <v>666.6666667</v>
      </c>
      <c r="AS12" s="158">
        <f t="shared" si="4"/>
        <v>666.6666667</v>
      </c>
      <c r="AT12" s="158">
        <f t="shared" si="4"/>
        <v>666.6666667</v>
      </c>
      <c r="AU12" s="158">
        <f t="shared" si="4"/>
        <v>666.6666667</v>
      </c>
      <c r="AV12" s="158">
        <f t="shared" si="4"/>
        <v>666.6666667</v>
      </c>
      <c r="AW12" s="158">
        <f t="shared" si="4"/>
        <v>666.6666667</v>
      </c>
      <c r="AX12" s="158">
        <f t="shared" si="4"/>
        <v>666.6666667</v>
      </c>
      <c r="AY12" s="158">
        <f t="shared" si="4"/>
        <v>666.6666667</v>
      </c>
      <c r="AZ12" s="158">
        <f t="shared" si="4"/>
        <v>666.6666667</v>
      </c>
      <c r="BA12" s="158">
        <f t="shared" si="4"/>
        <v>666.6666667</v>
      </c>
      <c r="BB12" s="158">
        <f t="shared" si="4"/>
        <v>666.6666667</v>
      </c>
      <c r="BC12" s="158">
        <f t="shared" si="4"/>
        <v>666.6666667</v>
      </c>
      <c r="BD12" s="158">
        <f t="shared" si="4"/>
        <v>666.6666667</v>
      </c>
      <c r="BE12" s="158">
        <f t="shared" si="4"/>
        <v>666.6666667</v>
      </c>
      <c r="BF12" s="158">
        <f t="shared" si="4"/>
        <v>666.6666667</v>
      </c>
      <c r="BG12" s="158">
        <f t="shared" si="4"/>
        <v>666.6666667</v>
      </c>
      <c r="BH12" s="158">
        <f t="shared" si="4"/>
        <v>666.6666667</v>
      </c>
      <c r="BI12" s="158">
        <f t="shared" si="4"/>
        <v>666.6666667</v>
      </c>
      <c r="BJ12" s="158">
        <f t="shared" si="4"/>
        <v>666.6666667</v>
      </c>
      <c r="BK12" s="158">
        <f t="shared" si="4"/>
        <v>666.6666667</v>
      </c>
      <c r="BL12" s="158">
        <f t="shared" si="4"/>
        <v>666.6666667</v>
      </c>
      <c r="BM12" s="158">
        <f t="shared" si="4"/>
        <v>666.6666667</v>
      </c>
      <c r="BN12" s="158">
        <f t="shared" si="4"/>
        <v>666.6666667</v>
      </c>
      <c r="BO12" s="158">
        <f t="shared" si="4"/>
        <v>666.6666667</v>
      </c>
      <c r="BP12" s="158">
        <f t="shared" si="4"/>
        <v>666.6666667</v>
      </c>
      <c r="BQ12" s="158">
        <f t="shared" si="4"/>
        <v>666.6666667</v>
      </c>
      <c r="BR12" s="158">
        <f t="shared" si="4"/>
        <v>666.6666667</v>
      </c>
      <c r="BS12" s="158">
        <f t="shared" si="4"/>
        <v>666.6666667</v>
      </c>
      <c r="BT12" s="158">
        <f t="shared" si="4"/>
        <v>666.6666667</v>
      </c>
      <c r="BU12" s="158">
        <f t="shared" si="4"/>
        <v>666.6666667</v>
      </c>
      <c r="BV12" s="158">
        <f t="shared" si="4"/>
        <v>666.6666667</v>
      </c>
      <c r="BW12" s="158">
        <f t="shared" si="4"/>
        <v>666.6666667</v>
      </c>
      <c r="BX12" s="158">
        <f t="shared" si="4"/>
        <v>666.6666667</v>
      </c>
      <c r="BY12" s="158">
        <f t="shared" si="4"/>
        <v>666.6666667</v>
      </c>
      <c r="BZ12" s="158">
        <f t="shared" si="4"/>
        <v>666.6666667</v>
      </c>
      <c r="CA12" s="158">
        <f t="shared" si="4"/>
        <v>666.6666667</v>
      </c>
      <c r="CB12" s="158">
        <f t="shared" si="4"/>
        <v>666.6666667</v>
      </c>
      <c r="CC12" s="158">
        <f t="shared" si="4"/>
        <v>666.6666667</v>
      </c>
      <c r="CD12" s="158">
        <f t="shared" si="4"/>
        <v>666.6666667</v>
      </c>
      <c r="CE12" s="158">
        <f t="shared" si="4"/>
        <v>666.6666667</v>
      </c>
      <c r="CF12" s="158">
        <f t="shared" si="4"/>
        <v>666.6666667</v>
      </c>
      <c r="CG12" s="158">
        <f t="shared" si="4"/>
        <v>666.6666667</v>
      </c>
      <c r="CH12" s="158">
        <f t="shared" si="4"/>
        <v>666.6666667</v>
      </c>
      <c r="CI12" s="158">
        <f t="shared" si="4"/>
        <v>666.6666667</v>
      </c>
      <c r="CJ12" s="158">
        <f t="shared" si="4"/>
        <v>666.6666667</v>
      </c>
      <c r="CK12" s="158">
        <f t="shared" si="4"/>
        <v>666.6666667</v>
      </c>
      <c r="CL12" s="158">
        <f t="shared" si="4"/>
        <v>666.6666667</v>
      </c>
      <c r="CM12" s="158">
        <f t="shared" si="4"/>
        <v>666.6666667</v>
      </c>
      <c r="CN12" s="158">
        <f t="shared" si="4"/>
        <v>666.6666667</v>
      </c>
      <c r="CO12" s="158">
        <f t="shared" si="4"/>
        <v>666.6666667</v>
      </c>
      <c r="CP12" s="158">
        <f t="shared" si="4"/>
        <v>666.6666667</v>
      </c>
      <c r="CQ12" s="158">
        <f t="shared" si="4"/>
        <v>666.6666667</v>
      </c>
      <c r="CR12" s="158">
        <f t="shared" si="4"/>
        <v>666.6666667</v>
      </c>
      <c r="CS12" s="158">
        <f t="shared" si="4"/>
        <v>666.6666667</v>
      </c>
      <c r="CT12" s="158">
        <f t="shared" si="4"/>
        <v>666.6666667</v>
      </c>
      <c r="CU12" s="158">
        <f t="shared" si="4"/>
        <v>666.6666667</v>
      </c>
      <c r="CV12" s="158">
        <f t="shared" si="4"/>
        <v>666.6666667</v>
      </c>
      <c r="CW12" s="158">
        <f t="shared" si="4"/>
        <v>666.6666667</v>
      </c>
    </row>
    <row r="13" ht="15.75" customHeight="1">
      <c r="A13" s="1" t="s">
        <v>241</v>
      </c>
      <c r="B13" s="1"/>
      <c r="C13" s="154">
        <f t="shared" ref="C13:CW13" si="5">C7*3</f>
        <v>0</v>
      </c>
      <c r="D13" s="159">
        <f t="shared" si="5"/>
        <v>300</v>
      </c>
      <c r="E13" s="159">
        <f t="shared" si="5"/>
        <v>300</v>
      </c>
      <c r="F13" s="159">
        <f t="shared" si="5"/>
        <v>300</v>
      </c>
      <c r="G13" s="159">
        <f t="shared" si="5"/>
        <v>300</v>
      </c>
      <c r="H13" s="159">
        <f t="shared" si="5"/>
        <v>300</v>
      </c>
      <c r="I13" s="159">
        <f t="shared" si="5"/>
        <v>300</v>
      </c>
      <c r="J13" s="159">
        <f t="shared" si="5"/>
        <v>300</v>
      </c>
      <c r="K13" s="159">
        <f t="shared" si="5"/>
        <v>300</v>
      </c>
      <c r="L13" s="159">
        <f t="shared" si="5"/>
        <v>300</v>
      </c>
      <c r="M13" s="159">
        <f t="shared" si="5"/>
        <v>300</v>
      </c>
      <c r="N13" s="159">
        <f t="shared" si="5"/>
        <v>300</v>
      </c>
      <c r="O13" s="159">
        <f t="shared" si="5"/>
        <v>300</v>
      </c>
      <c r="P13" s="159">
        <f t="shared" si="5"/>
        <v>300</v>
      </c>
      <c r="Q13" s="159">
        <f t="shared" si="5"/>
        <v>300</v>
      </c>
      <c r="R13" s="159">
        <f t="shared" si="5"/>
        <v>300</v>
      </c>
      <c r="S13" s="159">
        <f t="shared" si="5"/>
        <v>300</v>
      </c>
      <c r="T13" s="159">
        <f t="shared" si="5"/>
        <v>300</v>
      </c>
      <c r="U13" s="159">
        <f t="shared" si="5"/>
        <v>300</v>
      </c>
      <c r="V13" s="159">
        <f t="shared" si="5"/>
        <v>300</v>
      </c>
      <c r="W13" s="159">
        <f t="shared" si="5"/>
        <v>300</v>
      </c>
      <c r="X13" s="159">
        <f t="shared" si="5"/>
        <v>300</v>
      </c>
      <c r="Y13" s="159">
        <f t="shared" si="5"/>
        <v>300</v>
      </c>
      <c r="Z13" s="159">
        <f t="shared" si="5"/>
        <v>300</v>
      </c>
      <c r="AA13" s="159">
        <f t="shared" si="5"/>
        <v>300</v>
      </c>
      <c r="AB13" s="159">
        <f t="shared" si="5"/>
        <v>300</v>
      </c>
      <c r="AC13" s="159">
        <f t="shared" si="5"/>
        <v>300</v>
      </c>
      <c r="AD13" s="159">
        <f t="shared" si="5"/>
        <v>300</v>
      </c>
      <c r="AE13" s="159">
        <f t="shared" si="5"/>
        <v>300</v>
      </c>
      <c r="AF13" s="159">
        <f t="shared" si="5"/>
        <v>300</v>
      </c>
      <c r="AG13" s="159">
        <f t="shared" si="5"/>
        <v>300</v>
      </c>
      <c r="AH13" s="159">
        <f t="shared" si="5"/>
        <v>300</v>
      </c>
      <c r="AI13" s="159">
        <f t="shared" si="5"/>
        <v>300</v>
      </c>
      <c r="AJ13" s="159">
        <f t="shared" si="5"/>
        <v>300</v>
      </c>
      <c r="AK13" s="159">
        <f t="shared" si="5"/>
        <v>300</v>
      </c>
      <c r="AL13" s="159">
        <f t="shared" si="5"/>
        <v>300</v>
      </c>
      <c r="AM13" s="159">
        <f t="shared" si="5"/>
        <v>300</v>
      </c>
      <c r="AN13" s="159">
        <f t="shared" si="5"/>
        <v>300</v>
      </c>
      <c r="AO13" s="159">
        <f t="shared" si="5"/>
        <v>300</v>
      </c>
      <c r="AP13" s="159">
        <f t="shared" si="5"/>
        <v>300</v>
      </c>
      <c r="AQ13" s="159">
        <f t="shared" si="5"/>
        <v>300</v>
      </c>
      <c r="AR13" s="159">
        <f t="shared" si="5"/>
        <v>300</v>
      </c>
      <c r="AS13" s="159">
        <f t="shared" si="5"/>
        <v>300</v>
      </c>
      <c r="AT13" s="159">
        <f t="shared" si="5"/>
        <v>300</v>
      </c>
      <c r="AU13" s="159">
        <f t="shared" si="5"/>
        <v>300</v>
      </c>
      <c r="AV13" s="159">
        <f t="shared" si="5"/>
        <v>300</v>
      </c>
      <c r="AW13" s="159">
        <f t="shared" si="5"/>
        <v>300</v>
      </c>
      <c r="AX13" s="159">
        <f t="shared" si="5"/>
        <v>300</v>
      </c>
      <c r="AY13" s="159">
        <f t="shared" si="5"/>
        <v>300</v>
      </c>
      <c r="AZ13" s="159">
        <f t="shared" si="5"/>
        <v>300</v>
      </c>
      <c r="BA13" s="159">
        <f t="shared" si="5"/>
        <v>300</v>
      </c>
      <c r="BB13" s="159">
        <f t="shared" si="5"/>
        <v>300</v>
      </c>
      <c r="BC13" s="159">
        <f t="shared" si="5"/>
        <v>300</v>
      </c>
      <c r="BD13" s="159">
        <f t="shared" si="5"/>
        <v>300</v>
      </c>
      <c r="BE13" s="159">
        <f t="shared" si="5"/>
        <v>300</v>
      </c>
      <c r="BF13" s="159">
        <f t="shared" si="5"/>
        <v>300</v>
      </c>
      <c r="BG13" s="159">
        <f t="shared" si="5"/>
        <v>300</v>
      </c>
      <c r="BH13" s="159">
        <f t="shared" si="5"/>
        <v>300</v>
      </c>
      <c r="BI13" s="159">
        <f t="shared" si="5"/>
        <v>300</v>
      </c>
      <c r="BJ13" s="159">
        <f t="shared" si="5"/>
        <v>300</v>
      </c>
      <c r="BK13" s="159">
        <f t="shared" si="5"/>
        <v>300</v>
      </c>
      <c r="BL13" s="159">
        <f t="shared" si="5"/>
        <v>300</v>
      </c>
      <c r="BM13" s="159">
        <f t="shared" si="5"/>
        <v>300</v>
      </c>
      <c r="BN13" s="159">
        <f t="shared" si="5"/>
        <v>300</v>
      </c>
      <c r="BO13" s="159">
        <f t="shared" si="5"/>
        <v>300</v>
      </c>
      <c r="BP13" s="159">
        <f t="shared" si="5"/>
        <v>300</v>
      </c>
      <c r="BQ13" s="159">
        <f t="shared" si="5"/>
        <v>300</v>
      </c>
      <c r="BR13" s="159">
        <f t="shared" si="5"/>
        <v>300</v>
      </c>
      <c r="BS13" s="159">
        <f t="shared" si="5"/>
        <v>300</v>
      </c>
      <c r="BT13" s="159">
        <f t="shared" si="5"/>
        <v>300</v>
      </c>
      <c r="BU13" s="159">
        <f t="shared" si="5"/>
        <v>300</v>
      </c>
      <c r="BV13" s="159">
        <f t="shared" si="5"/>
        <v>300</v>
      </c>
      <c r="BW13" s="159">
        <f t="shared" si="5"/>
        <v>300</v>
      </c>
      <c r="BX13" s="159">
        <f t="shared" si="5"/>
        <v>300</v>
      </c>
      <c r="BY13" s="159">
        <f t="shared" si="5"/>
        <v>300</v>
      </c>
      <c r="BZ13" s="159">
        <f t="shared" si="5"/>
        <v>300</v>
      </c>
      <c r="CA13" s="159">
        <f t="shared" si="5"/>
        <v>300</v>
      </c>
      <c r="CB13" s="159">
        <f t="shared" si="5"/>
        <v>300</v>
      </c>
      <c r="CC13" s="159">
        <f t="shared" si="5"/>
        <v>300</v>
      </c>
      <c r="CD13" s="159">
        <f t="shared" si="5"/>
        <v>300</v>
      </c>
      <c r="CE13" s="159">
        <f t="shared" si="5"/>
        <v>300</v>
      </c>
      <c r="CF13" s="159">
        <f t="shared" si="5"/>
        <v>300</v>
      </c>
      <c r="CG13" s="159">
        <f t="shared" si="5"/>
        <v>300</v>
      </c>
      <c r="CH13" s="159">
        <f t="shared" si="5"/>
        <v>300</v>
      </c>
      <c r="CI13" s="159">
        <f t="shared" si="5"/>
        <v>300</v>
      </c>
      <c r="CJ13" s="159">
        <f t="shared" si="5"/>
        <v>300</v>
      </c>
      <c r="CK13" s="159">
        <f t="shared" si="5"/>
        <v>300</v>
      </c>
      <c r="CL13" s="159">
        <f t="shared" si="5"/>
        <v>300</v>
      </c>
      <c r="CM13" s="159">
        <f t="shared" si="5"/>
        <v>300</v>
      </c>
      <c r="CN13" s="159">
        <f t="shared" si="5"/>
        <v>300</v>
      </c>
      <c r="CO13" s="159">
        <f t="shared" si="5"/>
        <v>300</v>
      </c>
      <c r="CP13" s="159">
        <f t="shared" si="5"/>
        <v>300</v>
      </c>
      <c r="CQ13" s="159">
        <f t="shared" si="5"/>
        <v>300</v>
      </c>
      <c r="CR13" s="159">
        <f t="shared" si="5"/>
        <v>300</v>
      </c>
      <c r="CS13" s="159">
        <f t="shared" si="5"/>
        <v>300</v>
      </c>
      <c r="CT13" s="159">
        <f t="shared" si="5"/>
        <v>300</v>
      </c>
      <c r="CU13" s="159">
        <f t="shared" si="5"/>
        <v>300</v>
      </c>
      <c r="CV13" s="159">
        <f t="shared" si="5"/>
        <v>300</v>
      </c>
      <c r="CW13" s="159">
        <f t="shared" si="5"/>
        <v>300</v>
      </c>
    </row>
    <row r="14" ht="15.75" customHeight="1">
      <c r="A14" s="1" t="s">
        <v>242</v>
      </c>
      <c r="B14" s="1"/>
      <c r="C14" s="154">
        <f t="shared" ref="C14:CW14" si="6">C7*6</f>
        <v>0</v>
      </c>
      <c r="D14" s="159">
        <f t="shared" si="6"/>
        <v>600</v>
      </c>
      <c r="E14" s="159">
        <f t="shared" si="6"/>
        <v>600</v>
      </c>
      <c r="F14" s="159">
        <f t="shared" si="6"/>
        <v>600</v>
      </c>
      <c r="G14" s="159">
        <f t="shared" si="6"/>
        <v>600</v>
      </c>
      <c r="H14" s="159">
        <f t="shared" si="6"/>
        <v>600</v>
      </c>
      <c r="I14" s="159">
        <f t="shared" si="6"/>
        <v>600</v>
      </c>
      <c r="J14" s="159">
        <f t="shared" si="6"/>
        <v>600</v>
      </c>
      <c r="K14" s="159">
        <f t="shared" si="6"/>
        <v>600</v>
      </c>
      <c r="L14" s="159">
        <f t="shared" si="6"/>
        <v>600</v>
      </c>
      <c r="M14" s="159">
        <f t="shared" si="6"/>
        <v>600</v>
      </c>
      <c r="N14" s="159">
        <f t="shared" si="6"/>
        <v>600</v>
      </c>
      <c r="O14" s="159">
        <f t="shared" si="6"/>
        <v>600</v>
      </c>
      <c r="P14" s="159">
        <f t="shared" si="6"/>
        <v>600</v>
      </c>
      <c r="Q14" s="159">
        <f t="shared" si="6"/>
        <v>600</v>
      </c>
      <c r="R14" s="159">
        <f t="shared" si="6"/>
        <v>600</v>
      </c>
      <c r="S14" s="159">
        <f t="shared" si="6"/>
        <v>600</v>
      </c>
      <c r="T14" s="159">
        <f t="shared" si="6"/>
        <v>600</v>
      </c>
      <c r="U14" s="159">
        <f t="shared" si="6"/>
        <v>600</v>
      </c>
      <c r="V14" s="159">
        <f t="shared" si="6"/>
        <v>600</v>
      </c>
      <c r="W14" s="159">
        <f t="shared" si="6"/>
        <v>600</v>
      </c>
      <c r="X14" s="159">
        <f t="shared" si="6"/>
        <v>600</v>
      </c>
      <c r="Y14" s="159">
        <f t="shared" si="6"/>
        <v>600</v>
      </c>
      <c r="Z14" s="159">
        <f t="shared" si="6"/>
        <v>600</v>
      </c>
      <c r="AA14" s="159">
        <f t="shared" si="6"/>
        <v>600</v>
      </c>
      <c r="AB14" s="159">
        <f t="shared" si="6"/>
        <v>600</v>
      </c>
      <c r="AC14" s="159">
        <f t="shared" si="6"/>
        <v>600</v>
      </c>
      <c r="AD14" s="159">
        <f t="shared" si="6"/>
        <v>600</v>
      </c>
      <c r="AE14" s="159">
        <f t="shared" si="6"/>
        <v>600</v>
      </c>
      <c r="AF14" s="159">
        <f t="shared" si="6"/>
        <v>600</v>
      </c>
      <c r="AG14" s="159">
        <f t="shared" si="6"/>
        <v>600</v>
      </c>
      <c r="AH14" s="159">
        <f t="shared" si="6"/>
        <v>600</v>
      </c>
      <c r="AI14" s="159">
        <f t="shared" si="6"/>
        <v>600</v>
      </c>
      <c r="AJ14" s="159">
        <f t="shared" si="6"/>
        <v>600</v>
      </c>
      <c r="AK14" s="159">
        <f t="shared" si="6"/>
        <v>600</v>
      </c>
      <c r="AL14" s="159">
        <f t="shared" si="6"/>
        <v>600</v>
      </c>
      <c r="AM14" s="159">
        <f t="shared" si="6"/>
        <v>600</v>
      </c>
      <c r="AN14" s="159">
        <f t="shared" si="6"/>
        <v>600</v>
      </c>
      <c r="AO14" s="159">
        <f t="shared" si="6"/>
        <v>600</v>
      </c>
      <c r="AP14" s="159">
        <f t="shared" si="6"/>
        <v>600</v>
      </c>
      <c r="AQ14" s="159">
        <f t="shared" si="6"/>
        <v>600</v>
      </c>
      <c r="AR14" s="159">
        <f t="shared" si="6"/>
        <v>600</v>
      </c>
      <c r="AS14" s="159">
        <f t="shared" si="6"/>
        <v>600</v>
      </c>
      <c r="AT14" s="159">
        <f t="shared" si="6"/>
        <v>600</v>
      </c>
      <c r="AU14" s="159">
        <f t="shared" si="6"/>
        <v>600</v>
      </c>
      <c r="AV14" s="159">
        <f t="shared" si="6"/>
        <v>600</v>
      </c>
      <c r="AW14" s="159">
        <f t="shared" si="6"/>
        <v>600</v>
      </c>
      <c r="AX14" s="159">
        <f t="shared" si="6"/>
        <v>600</v>
      </c>
      <c r="AY14" s="159">
        <f t="shared" si="6"/>
        <v>600</v>
      </c>
      <c r="AZ14" s="159">
        <f t="shared" si="6"/>
        <v>600</v>
      </c>
      <c r="BA14" s="159">
        <f t="shared" si="6"/>
        <v>600</v>
      </c>
      <c r="BB14" s="159">
        <f t="shared" si="6"/>
        <v>600</v>
      </c>
      <c r="BC14" s="159">
        <f t="shared" si="6"/>
        <v>600</v>
      </c>
      <c r="BD14" s="159">
        <f t="shared" si="6"/>
        <v>600</v>
      </c>
      <c r="BE14" s="159">
        <f t="shared" si="6"/>
        <v>600</v>
      </c>
      <c r="BF14" s="159">
        <f t="shared" si="6"/>
        <v>600</v>
      </c>
      <c r="BG14" s="159">
        <f t="shared" si="6"/>
        <v>600</v>
      </c>
      <c r="BH14" s="159">
        <f t="shared" si="6"/>
        <v>600</v>
      </c>
      <c r="BI14" s="159">
        <f t="shared" si="6"/>
        <v>600</v>
      </c>
      <c r="BJ14" s="159">
        <f t="shared" si="6"/>
        <v>600</v>
      </c>
      <c r="BK14" s="159">
        <f t="shared" si="6"/>
        <v>600</v>
      </c>
      <c r="BL14" s="159">
        <f t="shared" si="6"/>
        <v>600</v>
      </c>
      <c r="BM14" s="159">
        <f t="shared" si="6"/>
        <v>600</v>
      </c>
      <c r="BN14" s="159">
        <f t="shared" si="6"/>
        <v>600</v>
      </c>
      <c r="BO14" s="159">
        <f t="shared" si="6"/>
        <v>600</v>
      </c>
      <c r="BP14" s="159">
        <f t="shared" si="6"/>
        <v>600</v>
      </c>
      <c r="BQ14" s="159">
        <f t="shared" si="6"/>
        <v>600</v>
      </c>
      <c r="BR14" s="159">
        <f t="shared" si="6"/>
        <v>600</v>
      </c>
      <c r="BS14" s="159">
        <f t="shared" si="6"/>
        <v>600</v>
      </c>
      <c r="BT14" s="159">
        <f t="shared" si="6"/>
        <v>600</v>
      </c>
      <c r="BU14" s="159">
        <f t="shared" si="6"/>
        <v>600</v>
      </c>
      <c r="BV14" s="159">
        <f t="shared" si="6"/>
        <v>600</v>
      </c>
      <c r="BW14" s="159">
        <f t="shared" si="6"/>
        <v>600</v>
      </c>
      <c r="BX14" s="159">
        <f t="shared" si="6"/>
        <v>600</v>
      </c>
      <c r="BY14" s="159">
        <f t="shared" si="6"/>
        <v>600</v>
      </c>
      <c r="BZ14" s="159">
        <f t="shared" si="6"/>
        <v>600</v>
      </c>
      <c r="CA14" s="159">
        <f t="shared" si="6"/>
        <v>600</v>
      </c>
      <c r="CB14" s="159">
        <f t="shared" si="6"/>
        <v>600</v>
      </c>
      <c r="CC14" s="159">
        <f t="shared" si="6"/>
        <v>600</v>
      </c>
      <c r="CD14" s="159">
        <f t="shared" si="6"/>
        <v>600</v>
      </c>
      <c r="CE14" s="159">
        <f t="shared" si="6"/>
        <v>600</v>
      </c>
      <c r="CF14" s="159">
        <f t="shared" si="6"/>
        <v>600</v>
      </c>
      <c r="CG14" s="159">
        <f t="shared" si="6"/>
        <v>600</v>
      </c>
      <c r="CH14" s="159">
        <f t="shared" si="6"/>
        <v>600</v>
      </c>
      <c r="CI14" s="159">
        <f t="shared" si="6"/>
        <v>600</v>
      </c>
      <c r="CJ14" s="159">
        <f t="shared" si="6"/>
        <v>600</v>
      </c>
      <c r="CK14" s="159">
        <f t="shared" si="6"/>
        <v>600</v>
      </c>
      <c r="CL14" s="159">
        <f t="shared" si="6"/>
        <v>600</v>
      </c>
      <c r="CM14" s="159">
        <f t="shared" si="6"/>
        <v>600</v>
      </c>
      <c r="CN14" s="159">
        <f t="shared" si="6"/>
        <v>600</v>
      </c>
      <c r="CO14" s="159">
        <f t="shared" si="6"/>
        <v>600</v>
      </c>
      <c r="CP14" s="159">
        <f t="shared" si="6"/>
        <v>600</v>
      </c>
      <c r="CQ14" s="159">
        <f t="shared" si="6"/>
        <v>600</v>
      </c>
      <c r="CR14" s="159">
        <f t="shared" si="6"/>
        <v>600</v>
      </c>
      <c r="CS14" s="159">
        <f t="shared" si="6"/>
        <v>600</v>
      </c>
      <c r="CT14" s="159">
        <f t="shared" si="6"/>
        <v>600</v>
      </c>
      <c r="CU14" s="159">
        <f t="shared" si="6"/>
        <v>600</v>
      </c>
      <c r="CV14" s="159">
        <f t="shared" si="6"/>
        <v>600</v>
      </c>
      <c r="CW14" s="159">
        <f t="shared" si="6"/>
        <v>600</v>
      </c>
    </row>
    <row r="15" ht="15.75" customHeight="1">
      <c r="A15" s="1" t="s">
        <v>243</v>
      </c>
      <c r="B15" s="1"/>
      <c r="C15" s="154">
        <f t="shared" ref="C15:CW15" si="7">C7*12</f>
        <v>0</v>
      </c>
      <c r="D15" s="159">
        <f t="shared" si="7"/>
        <v>1200</v>
      </c>
      <c r="E15" s="159">
        <f t="shared" si="7"/>
        <v>1200</v>
      </c>
      <c r="F15" s="159">
        <f t="shared" si="7"/>
        <v>1200</v>
      </c>
      <c r="G15" s="159">
        <f t="shared" si="7"/>
        <v>1200</v>
      </c>
      <c r="H15" s="159">
        <f t="shared" si="7"/>
        <v>1200</v>
      </c>
      <c r="I15" s="159">
        <f t="shared" si="7"/>
        <v>1200</v>
      </c>
      <c r="J15" s="159">
        <f t="shared" si="7"/>
        <v>1200</v>
      </c>
      <c r="K15" s="159">
        <f t="shared" si="7"/>
        <v>1200</v>
      </c>
      <c r="L15" s="159">
        <f t="shared" si="7"/>
        <v>1200</v>
      </c>
      <c r="M15" s="159">
        <f t="shared" si="7"/>
        <v>1200</v>
      </c>
      <c r="N15" s="159">
        <f t="shared" si="7"/>
        <v>1200</v>
      </c>
      <c r="O15" s="159">
        <f t="shared" si="7"/>
        <v>1200</v>
      </c>
      <c r="P15" s="159">
        <f t="shared" si="7"/>
        <v>1200</v>
      </c>
      <c r="Q15" s="159">
        <f t="shared" si="7"/>
        <v>1200</v>
      </c>
      <c r="R15" s="159">
        <f t="shared" si="7"/>
        <v>1200</v>
      </c>
      <c r="S15" s="159">
        <f t="shared" si="7"/>
        <v>1200</v>
      </c>
      <c r="T15" s="159">
        <f t="shared" si="7"/>
        <v>1200</v>
      </c>
      <c r="U15" s="159">
        <f t="shared" si="7"/>
        <v>1200</v>
      </c>
      <c r="V15" s="159">
        <f t="shared" si="7"/>
        <v>1200</v>
      </c>
      <c r="W15" s="159">
        <f t="shared" si="7"/>
        <v>1200</v>
      </c>
      <c r="X15" s="159">
        <f t="shared" si="7"/>
        <v>1200</v>
      </c>
      <c r="Y15" s="159">
        <f t="shared" si="7"/>
        <v>1200</v>
      </c>
      <c r="Z15" s="159">
        <f t="shared" si="7"/>
        <v>1200</v>
      </c>
      <c r="AA15" s="159">
        <f t="shared" si="7"/>
        <v>1200</v>
      </c>
      <c r="AB15" s="159">
        <f t="shared" si="7"/>
        <v>1200</v>
      </c>
      <c r="AC15" s="159">
        <f t="shared" si="7"/>
        <v>1200</v>
      </c>
      <c r="AD15" s="159">
        <f t="shared" si="7"/>
        <v>1200</v>
      </c>
      <c r="AE15" s="159">
        <f t="shared" si="7"/>
        <v>1200</v>
      </c>
      <c r="AF15" s="159">
        <f t="shared" si="7"/>
        <v>1200</v>
      </c>
      <c r="AG15" s="159">
        <f t="shared" si="7"/>
        <v>1200</v>
      </c>
      <c r="AH15" s="159">
        <f t="shared" si="7"/>
        <v>1200</v>
      </c>
      <c r="AI15" s="159">
        <f t="shared" si="7"/>
        <v>1200</v>
      </c>
      <c r="AJ15" s="159">
        <f t="shared" si="7"/>
        <v>1200</v>
      </c>
      <c r="AK15" s="159">
        <f t="shared" si="7"/>
        <v>1200</v>
      </c>
      <c r="AL15" s="159">
        <f t="shared" si="7"/>
        <v>1200</v>
      </c>
      <c r="AM15" s="159">
        <f t="shared" si="7"/>
        <v>1200</v>
      </c>
      <c r="AN15" s="159">
        <f t="shared" si="7"/>
        <v>1200</v>
      </c>
      <c r="AO15" s="159">
        <f t="shared" si="7"/>
        <v>1200</v>
      </c>
      <c r="AP15" s="159">
        <f t="shared" si="7"/>
        <v>1200</v>
      </c>
      <c r="AQ15" s="159">
        <f t="shared" si="7"/>
        <v>1200</v>
      </c>
      <c r="AR15" s="159">
        <f t="shared" si="7"/>
        <v>1200</v>
      </c>
      <c r="AS15" s="159">
        <f t="shared" si="7"/>
        <v>1200</v>
      </c>
      <c r="AT15" s="159">
        <f t="shared" si="7"/>
        <v>1200</v>
      </c>
      <c r="AU15" s="159">
        <f t="shared" si="7"/>
        <v>1200</v>
      </c>
      <c r="AV15" s="159">
        <f t="shared" si="7"/>
        <v>1200</v>
      </c>
      <c r="AW15" s="159">
        <f t="shared" si="7"/>
        <v>1200</v>
      </c>
      <c r="AX15" s="159">
        <f t="shared" si="7"/>
        <v>1200</v>
      </c>
      <c r="AY15" s="159">
        <f t="shared" si="7"/>
        <v>1200</v>
      </c>
      <c r="AZ15" s="159">
        <f t="shared" si="7"/>
        <v>1200</v>
      </c>
      <c r="BA15" s="159">
        <f t="shared" si="7"/>
        <v>1200</v>
      </c>
      <c r="BB15" s="159">
        <f t="shared" si="7"/>
        <v>1200</v>
      </c>
      <c r="BC15" s="159">
        <f t="shared" si="7"/>
        <v>1200</v>
      </c>
      <c r="BD15" s="159">
        <f t="shared" si="7"/>
        <v>1200</v>
      </c>
      <c r="BE15" s="159">
        <f t="shared" si="7"/>
        <v>1200</v>
      </c>
      <c r="BF15" s="159">
        <f t="shared" si="7"/>
        <v>1200</v>
      </c>
      <c r="BG15" s="159">
        <f t="shared" si="7"/>
        <v>1200</v>
      </c>
      <c r="BH15" s="159">
        <f t="shared" si="7"/>
        <v>1200</v>
      </c>
      <c r="BI15" s="159">
        <f t="shared" si="7"/>
        <v>1200</v>
      </c>
      <c r="BJ15" s="159">
        <f t="shared" si="7"/>
        <v>1200</v>
      </c>
      <c r="BK15" s="159">
        <f t="shared" si="7"/>
        <v>1200</v>
      </c>
      <c r="BL15" s="159">
        <f t="shared" si="7"/>
        <v>1200</v>
      </c>
      <c r="BM15" s="159">
        <f t="shared" si="7"/>
        <v>1200</v>
      </c>
      <c r="BN15" s="159">
        <f t="shared" si="7"/>
        <v>1200</v>
      </c>
      <c r="BO15" s="159">
        <f t="shared" si="7"/>
        <v>1200</v>
      </c>
      <c r="BP15" s="159">
        <f t="shared" si="7"/>
        <v>1200</v>
      </c>
      <c r="BQ15" s="159">
        <f t="shared" si="7"/>
        <v>1200</v>
      </c>
      <c r="BR15" s="159">
        <f t="shared" si="7"/>
        <v>1200</v>
      </c>
      <c r="BS15" s="159">
        <f t="shared" si="7"/>
        <v>1200</v>
      </c>
      <c r="BT15" s="159">
        <f t="shared" si="7"/>
        <v>1200</v>
      </c>
      <c r="BU15" s="159">
        <f t="shared" si="7"/>
        <v>1200</v>
      </c>
      <c r="BV15" s="159">
        <f t="shared" si="7"/>
        <v>1200</v>
      </c>
      <c r="BW15" s="159">
        <f t="shared" si="7"/>
        <v>1200</v>
      </c>
      <c r="BX15" s="159">
        <f t="shared" si="7"/>
        <v>1200</v>
      </c>
      <c r="BY15" s="159">
        <f t="shared" si="7"/>
        <v>1200</v>
      </c>
      <c r="BZ15" s="159">
        <f t="shared" si="7"/>
        <v>1200</v>
      </c>
      <c r="CA15" s="159">
        <f t="shared" si="7"/>
        <v>1200</v>
      </c>
      <c r="CB15" s="159">
        <f t="shared" si="7"/>
        <v>1200</v>
      </c>
      <c r="CC15" s="159">
        <f t="shared" si="7"/>
        <v>1200</v>
      </c>
      <c r="CD15" s="159">
        <f t="shared" si="7"/>
        <v>1200</v>
      </c>
      <c r="CE15" s="159">
        <f t="shared" si="7"/>
        <v>1200</v>
      </c>
      <c r="CF15" s="159">
        <f t="shared" si="7"/>
        <v>1200</v>
      </c>
      <c r="CG15" s="159">
        <f t="shared" si="7"/>
        <v>1200</v>
      </c>
      <c r="CH15" s="159">
        <f t="shared" si="7"/>
        <v>1200</v>
      </c>
      <c r="CI15" s="159">
        <f t="shared" si="7"/>
        <v>1200</v>
      </c>
      <c r="CJ15" s="159">
        <f t="shared" si="7"/>
        <v>1200</v>
      </c>
      <c r="CK15" s="159">
        <f t="shared" si="7"/>
        <v>1200</v>
      </c>
      <c r="CL15" s="159">
        <f t="shared" si="7"/>
        <v>1200</v>
      </c>
      <c r="CM15" s="159">
        <f t="shared" si="7"/>
        <v>1200</v>
      </c>
      <c r="CN15" s="159">
        <f t="shared" si="7"/>
        <v>1200</v>
      </c>
      <c r="CO15" s="159">
        <f t="shared" si="7"/>
        <v>1200</v>
      </c>
      <c r="CP15" s="159">
        <f t="shared" si="7"/>
        <v>1200</v>
      </c>
      <c r="CQ15" s="159">
        <f t="shared" si="7"/>
        <v>1200</v>
      </c>
      <c r="CR15" s="159">
        <f t="shared" si="7"/>
        <v>1200</v>
      </c>
      <c r="CS15" s="159">
        <f t="shared" si="7"/>
        <v>1200</v>
      </c>
      <c r="CT15" s="159">
        <f t="shared" si="7"/>
        <v>1200</v>
      </c>
      <c r="CU15" s="159">
        <f t="shared" si="7"/>
        <v>1200</v>
      </c>
      <c r="CV15" s="159">
        <f t="shared" si="7"/>
        <v>1200</v>
      </c>
      <c r="CW15" s="159">
        <f t="shared" si="7"/>
        <v>1200</v>
      </c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ht="15.75" customHeight="1">
      <c r="A17" s="50" t="s">
        <v>244</v>
      </c>
      <c r="B17" s="50"/>
      <c r="C17" s="160"/>
      <c r="D17" s="158">
        <f>'Monthly forecast'!E10/Projections!$B$36</f>
        <v>600</v>
      </c>
      <c r="E17" s="158">
        <f>'Monthly forecast'!F10/Projections!$B$36</f>
        <v>570</v>
      </c>
      <c r="F17" s="158">
        <f>'Monthly forecast'!G10/Projections!$B$36</f>
        <v>541.5</v>
      </c>
      <c r="G17" s="158">
        <f>'Monthly forecast'!H10/Projections!$B$36</f>
        <v>514.425</v>
      </c>
      <c r="H17" s="158">
        <f>'Monthly forecast'!I10/Projections!$B$36</f>
        <v>488.70375</v>
      </c>
      <c r="I17" s="158">
        <f>'Monthly forecast'!J10/Projections!$B$36</f>
        <v>464.2685625</v>
      </c>
      <c r="J17" s="158">
        <f>'Monthly forecast'!K10/Projections!$B$36</f>
        <v>441.0551344</v>
      </c>
      <c r="K17" s="158">
        <f>'Monthly forecast'!L10/Projections!$B$36</f>
        <v>419.0023777</v>
      </c>
      <c r="L17" s="158">
        <f>'Monthly forecast'!M10/Projections!$B$36</f>
        <v>400</v>
      </c>
      <c r="M17" s="158">
        <f>'Monthly forecast'!N10/Projections!$B$36</f>
        <v>400</v>
      </c>
      <c r="N17" s="158">
        <f>'Monthly forecast'!O10/Projections!$B$36</f>
        <v>400</v>
      </c>
      <c r="O17" s="158">
        <f>'Monthly forecast'!P10/Projections!$B$36</f>
        <v>400</v>
      </c>
      <c r="P17" s="158">
        <f>'Monthly forecast'!Q10/Projections!$B$36</f>
        <v>400</v>
      </c>
      <c r="Q17" s="158">
        <f>'Monthly forecast'!R10/Projections!$B$36</f>
        <v>400</v>
      </c>
      <c r="R17" s="158">
        <f>'Monthly forecast'!S10/Projections!$B$36</f>
        <v>400</v>
      </c>
      <c r="S17" s="158">
        <f>'Monthly forecast'!T10/Projections!$B$36</f>
        <v>400</v>
      </c>
      <c r="T17" s="158">
        <f>'Monthly forecast'!U10/Projections!$B$36</f>
        <v>400</v>
      </c>
      <c r="U17" s="158">
        <f>'Monthly forecast'!V10/Projections!$B$36</f>
        <v>400</v>
      </c>
      <c r="V17" s="158">
        <f>'Monthly forecast'!W10/Projections!$B$36</f>
        <v>400</v>
      </c>
      <c r="W17" s="158">
        <f>'Monthly forecast'!X10/Projections!$B$36</f>
        <v>400</v>
      </c>
      <c r="X17" s="158">
        <f>'Monthly forecast'!Y10/Projections!$B$36</f>
        <v>400</v>
      </c>
      <c r="Y17" s="158">
        <f>'Monthly forecast'!Z10/Projections!$B$36</f>
        <v>400</v>
      </c>
      <c r="Z17" s="158">
        <f>'Monthly forecast'!AA10/Projections!$B$36</f>
        <v>400</v>
      </c>
      <c r="AA17" s="158">
        <f>'Monthly forecast'!AB10/Projections!$B$36</f>
        <v>400</v>
      </c>
      <c r="AB17" s="158">
        <f>'Monthly forecast'!AC10/Projections!$B$36</f>
        <v>400</v>
      </c>
      <c r="AC17" s="158">
        <f>'Monthly forecast'!AD10/Projections!$B$36</f>
        <v>400</v>
      </c>
      <c r="AD17" s="158">
        <f>'Monthly forecast'!AE10/Projections!$B$36</f>
        <v>400</v>
      </c>
      <c r="AE17" s="158">
        <f>'Monthly forecast'!AF10/Projections!$B$36</f>
        <v>400</v>
      </c>
      <c r="AF17" s="158">
        <f>'Monthly forecast'!AG10/Projections!$B$36</f>
        <v>400</v>
      </c>
      <c r="AG17" s="158">
        <f>'Monthly forecast'!AH10/Projections!$B$36</f>
        <v>400</v>
      </c>
      <c r="AH17" s="158">
        <f>'Monthly forecast'!AI10/Projections!$B$36</f>
        <v>400</v>
      </c>
      <c r="AI17" s="158">
        <f>'Monthly forecast'!AJ10/Projections!$B$36</f>
        <v>400</v>
      </c>
      <c r="AJ17" s="158">
        <f>'Monthly forecast'!AK10/Projections!$B$36</f>
        <v>400</v>
      </c>
      <c r="AK17" s="158">
        <f>'Monthly forecast'!AL10/Projections!$B$36</f>
        <v>400</v>
      </c>
      <c r="AL17" s="158">
        <f>'Monthly forecast'!AM10/Projections!$B$36</f>
        <v>400</v>
      </c>
      <c r="AM17" s="158">
        <f>'Monthly forecast'!AN10/Projections!$B$36</f>
        <v>400</v>
      </c>
      <c r="AN17" s="158">
        <f>'Monthly forecast'!AO10/Projections!$B$36</f>
        <v>400</v>
      </c>
      <c r="AO17" s="158">
        <f>'Monthly forecast'!AP10/Projections!$B$36</f>
        <v>400</v>
      </c>
      <c r="AP17" s="158">
        <f>'Monthly forecast'!AQ10/Projections!$B$36</f>
        <v>400</v>
      </c>
      <c r="AQ17" s="158">
        <f>'Monthly forecast'!AR10/Projections!$B$36</f>
        <v>400</v>
      </c>
      <c r="AR17" s="158">
        <f>'Monthly forecast'!AS10/Projections!$B$36</f>
        <v>400</v>
      </c>
      <c r="AS17" s="158">
        <f>'Monthly forecast'!AT10/Projections!$B$36</f>
        <v>400</v>
      </c>
      <c r="AT17" s="158">
        <f>'Monthly forecast'!AU10/Projections!$B$36</f>
        <v>400</v>
      </c>
      <c r="AU17" s="158">
        <f>'Monthly forecast'!AV10/Projections!$B$36</f>
        <v>400</v>
      </c>
      <c r="AV17" s="158">
        <f>'Monthly forecast'!AW10/Projections!$B$36</f>
        <v>400</v>
      </c>
      <c r="AW17" s="158">
        <f>'Monthly forecast'!AX10/Projections!$B$36</f>
        <v>400</v>
      </c>
      <c r="AX17" s="158">
        <f>'Monthly forecast'!AY10/Projections!$B$36</f>
        <v>400</v>
      </c>
      <c r="AY17" s="158">
        <f>'Monthly forecast'!AZ10/Projections!$B$36</f>
        <v>400</v>
      </c>
      <c r="AZ17" s="158">
        <f>'Monthly forecast'!BA10/Projections!$B$36</f>
        <v>400</v>
      </c>
      <c r="BA17" s="158">
        <f>'Monthly forecast'!BB10/Projections!$B$36</f>
        <v>400</v>
      </c>
      <c r="BB17" s="158">
        <f>'Monthly forecast'!BC10/Projections!$B$36</f>
        <v>400</v>
      </c>
      <c r="BC17" s="158">
        <f>'Monthly forecast'!BD10/Projections!$B$36</f>
        <v>400</v>
      </c>
      <c r="BD17" s="158">
        <f>'Monthly forecast'!BE10/Projections!$B$36</f>
        <v>400</v>
      </c>
      <c r="BE17" s="158">
        <f>'Monthly forecast'!BF10/Projections!$B$36</f>
        <v>400</v>
      </c>
      <c r="BF17" s="158">
        <f>'Monthly forecast'!BG10/Projections!$B$36</f>
        <v>400</v>
      </c>
      <c r="BG17" s="158">
        <f>'Monthly forecast'!BH10/Projections!$B$36</f>
        <v>400</v>
      </c>
      <c r="BH17" s="158">
        <f>'Monthly forecast'!BI10/Projections!$B$36</f>
        <v>400</v>
      </c>
      <c r="BI17" s="158">
        <f>'Monthly forecast'!BJ10/Projections!$B$36</f>
        <v>400</v>
      </c>
      <c r="BJ17" s="158">
        <f>'Monthly forecast'!BK10/Projections!$B$36</f>
        <v>400</v>
      </c>
      <c r="BK17" s="158">
        <f>'Monthly forecast'!BL10/Projections!$B$36</f>
        <v>400</v>
      </c>
      <c r="BL17" s="158">
        <f>'Monthly forecast'!BM10/Projections!$B$36</f>
        <v>400</v>
      </c>
      <c r="BM17" s="158">
        <f>'Monthly forecast'!BN10/Projections!$B$36</f>
        <v>400</v>
      </c>
      <c r="BN17" s="158">
        <f>'Monthly forecast'!BO10/Projections!$B$36</f>
        <v>400</v>
      </c>
      <c r="BO17" s="158">
        <f>'Monthly forecast'!BP10/Projections!$B$36</f>
        <v>400</v>
      </c>
      <c r="BP17" s="158">
        <f>'Monthly forecast'!BQ10/Projections!$B$36</f>
        <v>400</v>
      </c>
      <c r="BQ17" s="158">
        <f>'Monthly forecast'!BR10/Projections!$B$36</f>
        <v>400</v>
      </c>
      <c r="BR17" s="158">
        <f>'Monthly forecast'!BS10/Projections!$B$36</f>
        <v>400</v>
      </c>
      <c r="BS17" s="158">
        <f>'Monthly forecast'!BT10/Projections!$B$36</f>
        <v>400</v>
      </c>
      <c r="BT17" s="158">
        <f>'Monthly forecast'!BU10/Projections!$B$36</f>
        <v>400</v>
      </c>
      <c r="BU17" s="158">
        <f>'Monthly forecast'!BV10/Projections!$B$36</f>
        <v>400</v>
      </c>
      <c r="BV17" s="158">
        <f>'Monthly forecast'!BW10/Projections!$B$36</f>
        <v>400</v>
      </c>
      <c r="BW17" s="158">
        <f>'Monthly forecast'!BX10/Projections!$B$36</f>
        <v>400</v>
      </c>
      <c r="BX17" s="158">
        <f>'Monthly forecast'!BY10/Projections!$B$36</f>
        <v>400</v>
      </c>
      <c r="BY17" s="158">
        <f>'Monthly forecast'!BZ10/Projections!$B$36</f>
        <v>400</v>
      </c>
      <c r="BZ17" s="158">
        <f>'Monthly forecast'!CA10/Projections!$B$36</f>
        <v>400</v>
      </c>
      <c r="CA17" s="158">
        <f>'Monthly forecast'!CB10/Projections!$B$36</f>
        <v>400</v>
      </c>
      <c r="CB17" s="158">
        <f>'Monthly forecast'!CC10/Projections!$B$36</f>
        <v>400</v>
      </c>
      <c r="CC17" s="158">
        <f>'Monthly forecast'!CD10/Projections!$B$36</f>
        <v>400</v>
      </c>
      <c r="CD17" s="158">
        <f>'Monthly forecast'!CE10/Projections!$B$36</f>
        <v>400</v>
      </c>
      <c r="CE17" s="158">
        <f>'Monthly forecast'!CF10/Projections!$B$36</f>
        <v>400</v>
      </c>
      <c r="CF17" s="158">
        <f>'Monthly forecast'!CG10/Projections!$B$36</f>
        <v>400</v>
      </c>
      <c r="CG17" s="158">
        <f>'Monthly forecast'!CH10/Projections!$B$36</f>
        <v>400</v>
      </c>
      <c r="CH17" s="158">
        <f>'Monthly forecast'!CI10/Projections!$B$36</f>
        <v>400</v>
      </c>
      <c r="CI17" s="158">
        <f>'Monthly forecast'!CJ10/Projections!$B$36</f>
        <v>400</v>
      </c>
      <c r="CJ17" s="158">
        <f>'Monthly forecast'!CK10/Projections!$B$36</f>
        <v>400</v>
      </c>
      <c r="CK17" s="158">
        <f>'Monthly forecast'!CL10/Projections!$B$36</f>
        <v>400</v>
      </c>
      <c r="CL17" s="158">
        <f>'Monthly forecast'!CM10/Projections!$B$36</f>
        <v>400</v>
      </c>
      <c r="CM17" s="158">
        <f>'Monthly forecast'!CN10/Projections!$B$36</f>
        <v>400</v>
      </c>
      <c r="CN17" s="158">
        <f>'Monthly forecast'!CO10/Projections!$B$36</f>
        <v>400</v>
      </c>
      <c r="CO17" s="158">
        <f>'Monthly forecast'!CP10/Projections!$B$36</f>
        <v>400</v>
      </c>
      <c r="CP17" s="158">
        <f>'Monthly forecast'!CQ10/Projections!$B$36</f>
        <v>400</v>
      </c>
      <c r="CQ17" s="158">
        <f>'Monthly forecast'!CR10/Projections!$B$36</f>
        <v>400</v>
      </c>
      <c r="CR17" s="158">
        <f>'Monthly forecast'!CS10/Projections!$B$36</f>
        <v>400</v>
      </c>
      <c r="CS17" s="158">
        <f>'Monthly forecast'!CT10/Projections!$B$36</f>
        <v>400</v>
      </c>
      <c r="CT17" s="158">
        <f>'Monthly forecast'!CU10/Projections!$B$36</f>
        <v>400</v>
      </c>
      <c r="CU17" s="158">
        <f>'Monthly forecast'!CV10/Projections!$B$36</f>
        <v>400</v>
      </c>
      <c r="CV17" s="158">
        <f>'Monthly forecast'!CW10/Projections!$B$36</f>
        <v>400</v>
      </c>
      <c r="CW17" s="158">
        <f>'Monthly forecast'!CX10/Projections!$B$36</f>
        <v>400</v>
      </c>
    </row>
    <row r="18" ht="15.75" customHeight="1">
      <c r="A18" s="161" t="s">
        <v>245</v>
      </c>
      <c r="B18" s="1"/>
      <c r="C18" s="1"/>
      <c r="D18" s="162">
        <f t="shared" ref="D18:CW18" si="8">D12/D$17</f>
        <v>1.111111111</v>
      </c>
      <c r="E18" s="162">
        <f t="shared" si="8"/>
        <v>1.169590643</v>
      </c>
      <c r="F18" s="162">
        <f t="shared" si="8"/>
        <v>1.231148046</v>
      </c>
      <c r="G18" s="162">
        <f t="shared" si="8"/>
        <v>1.295945311</v>
      </c>
      <c r="H18" s="162">
        <f t="shared" si="8"/>
        <v>1.364152959</v>
      </c>
      <c r="I18" s="162">
        <f t="shared" si="8"/>
        <v>1.435950483</v>
      </c>
      <c r="J18" s="162">
        <f t="shared" si="8"/>
        <v>1.511526824</v>
      </c>
      <c r="K18" s="162">
        <f t="shared" si="8"/>
        <v>1.591080868</v>
      </c>
      <c r="L18" s="162">
        <f t="shared" si="8"/>
        <v>1.666666667</v>
      </c>
      <c r="M18" s="162">
        <f t="shared" si="8"/>
        <v>1.666666667</v>
      </c>
      <c r="N18" s="162">
        <f t="shared" si="8"/>
        <v>1.666666667</v>
      </c>
      <c r="O18" s="162">
        <f t="shared" si="8"/>
        <v>1.666666667</v>
      </c>
      <c r="P18" s="162">
        <f t="shared" si="8"/>
        <v>1.666666667</v>
      </c>
      <c r="Q18" s="162">
        <f t="shared" si="8"/>
        <v>1.666666667</v>
      </c>
      <c r="R18" s="162">
        <f t="shared" si="8"/>
        <v>1.666666667</v>
      </c>
      <c r="S18" s="162">
        <f t="shared" si="8"/>
        <v>1.666666667</v>
      </c>
      <c r="T18" s="162">
        <f t="shared" si="8"/>
        <v>1.666666667</v>
      </c>
      <c r="U18" s="162">
        <f t="shared" si="8"/>
        <v>1.666666667</v>
      </c>
      <c r="V18" s="162">
        <f t="shared" si="8"/>
        <v>1.666666667</v>
      </c>
      <c r="W18" s="162">
        <f t="shared" si="8"/>
        <v>1.666666667</v>
      </c>
      <c r="X18" s="162">
        <f t="shared" si="8"/>
        <v>1.666666667</v>
      </c>
      <c r="Y18" s="162">
        <f t="shared" si="8"/>
        <v>1.666666667</v>
      </c>
      <c r="Z18" s="162">
        <f t="shared" si="8"/>
        <v>1.666666667</v>
      </c>
      <c r="AA18" s="162">
        <f t="shared" si="8"/>
        <v>1.666666667</v>
      </c>
      <c r="AB18" s="162">
        <f t="shared" si="8"/>
        <v>1.666666667</v>
      </c>
      <c r="AC18" s="162">
        <f t="shared" si="8"/>
        <v>1.666666667</v>
      </c>
      <c r="AD18" s="162">
        <f t="shared" si="8"/>
        <v>1.666666667</v>
      </c>
      <c r="AE18" s="162">
        <f t="shared" si="8"/>
        <v>1.666666667</v>
      </c>
      <c r="AF18" s="162">
        <f t="shared" si="8"/>
        <v>1.666666667</v>
      </c>
      <c r="AG18" s="162">
        <f t="shared" si="8"/>
        <v>1.666666667</v>
      </c>
      <c r="AH18" s="162">
        <f t="shared" si="8"/>
        <v>1.666666667</v>
      </c>
      <c r="AI18" s="162">
        <f t="shared" si="8"/>
        <v>1.666666667</v>
      </c>
      <c r="AJ18" s="162">
        <f t="shared" si="8"/>
        <v>1.666666667</v>
      </c>
      <c r="AK18" s="162">
        <f t="shared" si="8"/>
        <v>1.666666667</v>
      </c>
      <c r="AL18" s="162">
        <f t="shared" si="8"/>
        <v>1.666666667</v>
      </c>
      <c r="AM18" s="162">
        <f t="shared" si="8"/>
        <v>1.666666667</v>
      </c>
      <c r="AN18" s="162">
        <f t="shared" si="8"/>
        <v>1.666666667</v>
      </c>
      <c r="AO18" s="162">
        <f t="shared" si="8"/>
        <v>1.666666667</v>
      </c>
      <c r="AP18" s="162">
        <f t="shared" si="8"/>
        <v>1.666666667</v>
      </c>
      <c r="AQ18" s="162">
        <f t="shared" si="8"/>
        <v>1.666666667</v>
      </c>
      <c r="AR18" s="162">
        <f t="shared" si="8"/>
        <v>1.666666667</v>
      </c>
      <c r="AS18" s="162">
        <f t="shared" si="8"/>
        <v>1.666666667</v>
      </c>
      <c r="AT18" s="162">
        <f t="shared" si="8"/>
        <v>1.666666667</v>
      </c>
      <c r="AU18" s="162">
        <f t="shared" si="8"/>
        <v>1.666666667</v>
      </c>
      <c r="AV18" s="162">
        <f t="shared" si="8"/>
        <v>1.666666667</v>
      </c>
      <c r="AW18" s="162">
        <f t="shared" si="8"/>
        <v>1.666666667</v>
      </c>
      <c r="AX18" s="162">
        <f t="shared" si="8"/>
        <v>1.666666667</v>
      </c>
      <c r="AY18" s="162">
        <f t="shared" si="8"/>
        <v>1.666666667</v>
      </c>
      <c r="AZ18" s="162">
        <f t="shared" si="8"/>
        <v>1.666666667</v>
      </c>
      <c r="BA18" s="162">
        <f t="shared" si="8"/>
        <v>1.666666667</v>
      </c>
      <c r="BB18" s="162">
        <f t="shared" si="8"/>
        <v>1.666666667</v>
      </c>
      <c r="BC18" s="162">
        <f t="shared" si="8"/>
        <v>1.666666667</v>
      </c>
      <c r="BD18" s="162">
        <f t="shared" si="8"/>
        <v>1.666666667</v>
      </c>
      <c r="BE18" s="162">
        <f t="shared" si="8"/>
        <v>1.666666667</v>
      </c>
      <c r="BF18" s="162">
        <f t="shared" si="8"/>
        <v>1.666666667</v>
      </c>
      <c r="BG18" s="162">
        <f t="shared" si="8"/>
        <v>1.666666667</v>
      </c>
      <c r="BH18" s="162">
        <f t="shared" si="8"/>
        <v>1.666666667</v>
      </c>
      <c r="BI18" s="162">
        <f t="shared" si="8"/>
        <v>1.666666667</v>
      </c>
      <c r="BJ18" s="162">
        <f t="shared" si="8"/>
        <v>1.666666667</v>
      </c>
      <c r="BK18" s="162">
        <f t="shared" si="8"/>
        <v>1.666666667</v>
      </c>
      <c r="BL18" s="162">
        <f t="shared" si="8"/>
        <v>1.666666667</v>
      </c>
      <c r="BM18" s="162">
        <f t="shared" si="8"/>
        <v>1.666666667</v>
      </c>
      <c r="BN18" s="162">
        <f t="shared" si="8"/>
        <v>1.666666667</v>
      </c>
      <c r="BO18" s="162">
        <f t="shared" si="8"/>
        <v>1.666666667</v>
      </c>
      <c r="BP18" s="162">
        <f t="shared" si="8"/>
        <v>1.666666667</v>
      </c>
      <c r="BQ18" s="162">
        <f t="shared" si="8"/>
        <v>1.666666667</v>
      </c>
      <c r="BR18" s="162">
        <f t="shared" si="8"/>
        <v>1.666666667</v>
      </c>
      <c r="BS18" s="162">
        <f t="shared" si="8"/>
        <v>1.666666667</v>
      </c>
      <c r="BT18" s="162">
        <f t="shared" si="8"/>
        <v>1.666666667</v>
      </c>
      <c r="BU18" s="162">
        <f t="shared" si="8"/>
        <v>1.666666667</v>
      </c>
      <c r="BV18" s="162">
        <f t="shared" si="8"/>
        <v>1.666666667</v>
      </c>
      <c r="BW18" s="162">
        <f t="shared" si="8"/>
        <v>1.666666667</v>
      </c>
      <c r="BX18" s="162">
        <f t="shared" si="8"/>
        <v>1.666666667</v>
      </c>
      <c r="BY18" s="162">
        <f t="shared" si="8"/>
        <v>1.666666667</v>
      </c>
      <c r="BZ18" s="162">
        <f t="shared" si="8"/>
        <v>1.666666667</v>
      </c>
      <c r="CA18" s="162">
        <f t="shared" si="8"/>
        <v>1.666666667</v>
      </c>
      <c r="CB18" s="162">
        <f t="shared" si="8"/>
        <v>1.666666667</v>
      </c>
      <c r="CC18" s="162">
        <f t="shared" si="8"/>
        <v>1.666666667</v>
      </c>
      <c r="CD18" s="162">
        <f t="shared" si="8"/>
        <v>1.666666667</v>
      </c>
      <c r="CE18" s="162">
        <f t="shared" si="8"/>
        <v>1.666666667</v>
      </c>
      <c r="CF18" s="162">
        <f t="shared" si="8"/>
        <v>1.666666667</v>
      </c>
      <c r="CG18" s="162">
        <f t="shared" si="8"/>
        <v>1.666666667</v>
      </c>
      <c r="CH18" s="162">
        <f t="shared" si="8"/>
        <v>1.666666667</v>
      </c>
      <c r="CI18" s="162">
        <f t="shared" si="8"/>
        <v>1.666666667</v>
      </c>
      <c r="CJ18" s="162">
        <f t="shared" si="8"/>
        <v>1.666666667</v>
      </c>
      <c r="CK18" s="162">
        <f t="shared" si="8"/>
        <v>1.666666667</v>
      </c>
      <c r="CL18" s="162">
        <f t="shared" si="8"/>
        <v>1.666666667</v>
      </c>
      <c r="CM18" s="162">
        <f t="shared" si="8"/>
        <v>1.666666667</v>
      </c>
      <c r="CN18" s="162">
        <f t="shared" si="8"/>
        <v>1.666666667</v>
      </c>
      <c r="CO18" s="162">
        <f t="shared" si="8"/>
        <v>1.666666667</v>
      </c>
      <c r="CP18" s="162">
        <f t="shared" si="8"/>
        <v>1.666666667</v>
      </c>
      <c r="CQ18" s="162">
        <f t="shared" si="8"/>
        <v>1.666666667</v>
      </c>
      <c r="CR18" s="162">
        <f t="shared" si="8"/>
        <v>1.666666667</v>
      </c>
      <c r="CS18" s="162">
        <f t="shared" si="8"/>
        <v>1.666666667</v>
      </c>
      <c r="CT18" s="162">
        <f t="shared" si="8"/>
        <v>1.666666667</v>
      </c>
      <c r="CU18" s="162">
        <f t="shared" si="8"/>
        <v>1.666666667</v>
      </c>
      <c r="CV18" s="162">
        <f t="shared" si="8"/>
        <v>1.666666667</v>
      </c>
      <c r="CW18" s="162">
        <f t="shared" si="8"/>
        <v>1.666666667</v>
      </c>
    </row>
    <row r="19" ht="15.75" customHeight="1">
      <c r="A19" s="1" t="s">
        <v>246</v>
      </c>
      <c r="B19" s="1"/>
      <c r="C19" s="1"/>
      <c r="D19" s="163">
        <f t="shared" ref="D19:CW19" si="9">D13/D$17</f>
        <v>0.5</v>
      </c>
      <c r="E19" s="163">
        <f t="shared" si="9"/>
        <v>0.5263157895</v>
      </c>
      <c r="F19" s="163">
        <f t="shared" si="9"/>
        <v>0.5540166205</v>
      </c>
      <c r="G19" s="163">
        <f t="shared" si="9"/>
        <v>0.58317539</v>
      </c>
      <c r="H19" s="163">
        <f t="shared" si="9"/>
        <v>0.6138688316</v>
      </c>
      <c r="I19" s="163">
        <f t="shared" si="9"/>
        <v>0.6461777174</v>
      </c>
      <c r="J19" s="163">
        <f t="shared" si="9"/>
        <v>0.680187071</v>
      </c>
      <c r="K19" s="163">
        <f t="shared" si="9"/>
        <v>0.7159863905</v>
      </c>
      <c r="L19" s="163">
        <f t="shared" si="9"/>
        <v>0.75</v>
      </c>
      <c r="M19" s="163">
        <f t="shared" si="9"/>
        <v>0.75</v>
      </c>
      <c r="N19" s="163">
        <f t="shared" si="9"/>
        <v>0.75</v>
      </c>
      <c r="O19" s="163">
        <f t="shared" si="9"/>
        <v>0.75</v>
      </c>
      <c r="P19" s="163">
        <f t="shared" si="9"/>
        <v>0.75</v>
      </c>
      <c r="Q19" s="163">
        <f t="shared" si="9"/>
        <v>0.75</v>
      </c>
      <c r="R19" s="163">
        <f t="shared" si="9"/>
        <v>0.75</v>
      </c>
      <c r="S19" s="163">
        <f t="shared" si="9"/>
        <v>0.75</v>
      </c>
      <c r="T19" s="163">
        <f t="shared" si="9"/>
        <v>0.75</v>
      </c>
      <c r="U19" s="163">
        <f t="shared" si="9"/>
        <v>0.75</v>
      </c>
      <c r="V19" s="163">
        <f t="shared" si="9"/>
        <v>0.75</v>
      </c>
      <c r="W19" s="163">
        <f t="shared" si="9"/>
        <v>0.75</v>
      </c>
      <c r="X19" s="163">
        <f t="shared" si="9"/>
        <v>0.75</v>
      </c>
      <c r="Y19" s="163">
        <f t="shared" si="9"/>
        <v>0.75</v>
      </c>
      <c r="Z19" s="163">
        <f t="shared" si="9"/>
        <v>0.75</v>
      </c>
      <c r="AA19" s="163">
        <f t="shared" si="9"/>
        <v>0.75</v>
      </c>
      <c r="AB19" s="163">
        <f t="shared" si="9"/>
        <v>0.75</v>
      </c>
      <c r="AC19" s="163">
        <f t="shared" si="9"/>
        <v>0.75</v>
      </c>
      <c r="AD19" s="163">
        <f t="shared" si="9"/>
        <v>0.75</v>
      </c>
      <c r="AE19" s="163">
        <f t="shared" si="9"/>
        <v>0.75</v>
      </c>
      <c r="AF19" s="163">
        <f t="shared" si="9"/>
        <v>0.75</v>
      </c>
      <c r="AG19" s="163">
        <f t="shared" si="9"/>
        <v>0.75</v>
      </c>
      <c r="AH19" s="163">
        <f t="shared" si="9"/>
        <v>0.75</v>
      </c>
      <c r="AI19" s="163">
        <f t="shared" si="9"/>
        <v>0.75</v>
      </c>
      <c r="AJ19" s="163">
        <f t="shared" si="9"/>
        <v>0.75</v>
      </c>
      <c r="AK19" s="163">
        <f t="shared" si="9"/>
        <v>0.75</v>
      </c>
      <c r="AL19" s="163">
        <f t="shared" si="9"/>
        <v>0.75</v>
      </c>
      <c r="AM19" s="163">
        <f t="shared" si="9"/>
        <v>0.75</v>
      </c>
      <c r="AN19" s="163">
        <f t="shared" si="9"/>
        <v>0.75</v>
      </c>
      <c r="AO19" s="163">
        <f t="shared" si="9"/>
        <v>0.75</v>
      </c>
      <c r="AP19" s="163">
        <f t="shared" si="9"/>
        <v>0.75</v>
      </c>
      <c r="AQ19" s="163">
        <f t="shared" si="9"/>
        <v>0.75</v>
      </c>
      <c r="AR19" s="163">
        <f t="shared" si="9"/>
        <v>0.75</v>
      </c>
      <c r="AS19" s="163">
        <f t="shared" si="9"/>
        <v>0.75</v>
      </c>
      <c r="AT19" s="163">
        <f t="shared" si="9"/>
        <v>0.75</v>
      </c>
      <c r="AU19" s="163">
        <f t="shared" si="9"/>
        <v>0.75</v>
      </c>
      <c r="AV19" s="163">
        <f t="shared" si="9"/>
        <v>0.75</v>
      </c>
      <c r="AW19" s="163">
        <f t="shared" si="9"/>
        <v>0.75</v>
      </c>
      <c r="AX19" s="163">
        <f t="shared" si="9"/>
        <v>0.75</v>
      </c>
      <c r="AY19" s="163">
        <f t="shared" si="9"/>
        <v>0.75</v>
      </c>
      <c r="AZ19" s="163">
        <f t="shared" si="9"/>
        <v>0.75</v>
      </c>
      <c r="BA19" s="163">
        <f t="shared" si="9"/>
        <v>0.75</v>
      </c>
      <c r="BB19" s="163">
        <f t="shared" si="9"/>
        <v>0.75</v>
      </c>
      <c r="BC19" s="163">
        <f t="shared" si="9"/>
        <v>0.75</v>
      </c>
      <c r="BD19" s="163">
        <f t="shared" si="9"/>
        <v>0.75</v>
      </c>
      <c r="BE19" s="163">
        <f t="shared" si="9"/>
        <v>0.75</v>
      </c>
      <c r="BF19" s="163">
        <f t="shared" si="9"/>
        <v>0.75</v>
      </c>
      <c r="BG19" s="163">
        <f t="shared" si="9"/>
        <v>0.75</v>
      </c>
      <c r="BH19" s="163">
        <f t="shared" si="9"/>
        <v>0.75</v>
      </c>
      <c r="BI19" s="163">
        <f t="shared" si="9"/>
        <v>0.75</v>
      </c>
      <c r="BJ19" s="163">
        <f t="shared" si="9"/>
        <v>0.75</v>
      </c>
      <c r="BK19" s="163">
        <f t="shared" si="9"/>
        <v>0.75</v>
      </c>
      <c r="BL19" s="163">
        <f t="shared" si="9"/>
        <v>0.75</v>
      </c>
      <c r="BM19" s="163">
        <f t="shared" si="9"/>
        <v>0.75</v>
      </c>
      <c r="BN19" s="163">
        <f t="shared" si="9"/>
        <v>0.75</v>
      </c>
      <c r="BO19" s="163">
        <f t="shared" si="9"/>
        <v>0.75</v>
      </c>
      <c r="BP19" s="163">
        <f t="shared" si="9"/>
        <v>0.75</v>
      </c>
      <c r="BQ19" s="163">
        <f t="shared" si="9"/>
        <v>0.75</v>
      </c>
      <c r="BR19" s="163">
        <f t="shared" si="9"/>
        <v>0.75</v>
      </c>
      <c r="BS19" s="163">
        <f t="shared" si="9"/>
        <v>0.75</v>
      </c>
      <c r="BT19" s="163">
        <f t="shared" si="9"/>
        <v>0.75</v>
      </c>
      <c r="BU19" s="163">
        <f t="shared" si="9"/>
        <v>0.75</v>
      </c>
      <c r="BV19" s="163">
        <f t="shared" si="9"/>
        <v>0.75</v>
      </c>
      <c r="BW19" s="163">
        <f t="shared" si="9"/>
        <v>0.75</v>
      </c>
      <c r="BX19" s="163">
        <f t="shared" si="9"/>
        <v>0.75</v>
      </c>
      <c r="BY19" s="163">
        <f t="shared" si="9"/>
        <v>0.75</v>
      </c>
      <c r="BZ19" s="163">
        <f t="shared" si="9"/>
        <v>0.75</v>
      </c>
      <c r="CA19" s="163">
        <f t="shared" si="9"/>
        <v>0.75</v>
      </c>
      <c r="CB19" s="163">
        <f t="shared" si="9"/>
        <v>0.75</v>
      </c>
      <c r="CC19" s="163">
        <f t="shared" si="9"/>
        <v>0.75</v>
      </c>
      <c r="CD19" s="163">
        <f t="shared" si="9"/>
        <v>0.75</v>
      </c>
      <c r="CE19" s="163">
        <f t="shared" si="9"/>
        <v>0.75</v>
      </c>
      <c r="CF19" s="163">
        <f t="shared" si="9"/>
        <v>0.75</v>
      </c>
      <c r="CG19" s="163">
        <f t="shared" si="9"/>
        <v>0.75</v>
      </c>
      <c r="CH19" s="163">
        <f t="shared" si="9"/>
        <v>0.75</v>
      </c>
      <c r="CI19" s="163">
        <f t="shared" si="9"/>
        <v>0.75</v>
      </c>
      <c r="CJ19" s="163">
        <f t="shared" si="9"/>
        <v>0.75</v>
      </c>
      <c r="CK19" s="163">
        <f t="shared" si="9"/>
        <v>0.75</v>
      </c>
      <c r="CL19" s="163">
        <f t="shared" si="9"/>
        <v>0.75</v>
      </c>
      <c r="CM19" s="163">
        <f t="shared" si="9"/>
        <v>0.75</v>
      </c>
      <c r="CN19" s="163">
        <f t="shared" si="9"/>
        <v>0.75</v>
      </c>
      <c r="CO19" s="163">
        <f t="shared" si="9"/>
        <v>0.75</v>
      </c>
      <c r="CP19" s="163">
        <f t="shared" si="9"/>
        <v>0.75</v>
      </c>
      <c r="CQ19" s="163">
        <f t="shared" si="9"/>
        <v>0.75</v>
      </c>
      <c r="CR19" s="163">
        <f t="shared" si="9"/>
        <v>0.75</v>
      </c>
      <c r="CS19" s="163">
        <f t="shared" si="9"/>
        <v>0.75</v>
      </c>
      <c r="CT19" s="163">
        <f t="shared" si="9"/>
        <v>0.75</v>
      </c>
      <c r="CU19" s="163">
        <f t="shared" si="9"/>
        <v>0.75</v>
      </c>
      <c r="CV19" s="163">
        <f t="shared" si="9"/>
        <v>0.75</v>
      </c>
      <c r="CW19" s="163">
        <f t="shared" si="9"/>
        <v>0.75</v>
      </c>
    </row>
    <row r="20" ht="15.75" customHeight="1">
      <c r="A20" s="1" t="s">
        <v>247</v>
      </c>
      <c r="B20" s="1"/>
      <c r="C20" s="1"/>
      <c r="D20" s="163">
        <f t="shared" ref="D20:CW20" si="10">D14/D$17</f>
        <v>1</v>
      </c>
      <c r="E20" s="163">
        <f t="shared" si="10"/>
        <v>1.052631579</v>
      </c>
      <c r="F20" s="163">
        <f t="shared" si="10"/>
        <v>1.108033241</v>
      </c>
      <c r="G20" s="163">
        <f t="shared" si="10"/>
        <v>1.16635078</v>
      </c>
      <c r="H20" s="163">
        <f t="shared" si="10"/>
        <v>1.227737663</v>
      </c>
      <c r="I20" s="163">
        <f t="shared" si="10"/>
        <v>1.292355435</v>
      </c>
      <c r="J20" s="163">
        <f t="shared" si="10"/>
        <v>1.360374142</v>
      </c>
      <c r="K20" s="163">
        <f t="shared" si="10"/>
        <v>1.431972781</v>
      </c>
      <c r="L20" s="163">
        <f t="shared" si="10"/>
        <v>1.5</v>
      </c>
      <c r="M20" s="163">
        <f t="shared" si="10"/>
        <v>1.5</v>
      </c>
      <c r="N20" s="163">
        <f t="shared" si="10"/>
        <v>1.5</v>
      </c>
      <c r="O20" s="163">
        <f t="shared" si="10"/>
        <v>1.5</v>
      </c>
      <c r="P20" s="163">
        <f t="shared" si="10"/>
        <v>1.5</v>
      </c>
      <c r="Q20" s="163">
        <f t="shared" si="10"/>
        <v>1.5</v>
      </c>
      <c r="R20" s="163">
        <f t="shared" si="10"/>
        <v>1.5</v>
      </c>
      <c r="S20" s="163">
        <f t="shared" si="10"/>
        <v>1.5</v>
      </c>
      <c r="T20" s="163">
        <f t="shared" si="10"/>
        <v>1.5</v>
      </c>
      <c r="U20" s="163">
        <f t="shared" si="10"/>
        <v>1.5</v>
      </c>
      <c r="V20" s="163">
        <f t="shared" si="10"/>
        <v>1.5</v>
      </c>
      <c r="W20" s="163">
        <f t="shared" si="10"/>
        <v>1.5</v>
      </c>
      <c r="X20" s="163">
        <f t="shared" si="10"/>
        <v>1.5</v>
      </c>
      <c r="Y20" s="163">
        <f t="shared" si="10"/>
        <v>1.5</v>
      </c>
      <c r="Z20" s="163">
        <f t="shared" si="10"/>
        <v>1.5</v>
      </c>
      <c r="AA20" s="163">
        <f t="shared" si="10"/>
        <v>1.5</v>
      </c>
      <c r="AB20" s="163">
        <f t="shared" si="10"/>
        <v>1.5</v>
      </c>
      <c r="AC20" s="163">
        <f t="shared" si="10"/>
        <v>1.5</v>
      </c>
      <c r="AD20" s="163">
        <f t="shared" si="10"/>
        <v>1.5</v>
      </c>
      <c r="AE20" s="163">
        <f t="shared" si="10"/>
        <v>1.5</v>
      </c>
      <c r="AF20" s="163">
        <f t="shared" si="10"/>
        <v>1.5</v>
      </c>
      <c r="AG20" s="163">
        <f t="shared" si="10"/>
        <v>1.5</v>
      </c>
      <c r="AH20" s="163">
        <f t="shared" si="10"/>
        <v>1.5</v>
      </c>
      <c r="AI20" s="163">
        <f t="shared" si="10"/>
        <v>1.5</v>
      </c>
      <c r="AJ20" s="163">
        <f t="shared" si="10"/>
        <v>1.5</v>
      </c>
      <c r="AK20" s="163">
        <f t="shared" si="10"/>
        <v>1.5</v>
      </c>
      <c r="AL20" s="163">
        <f t="shared" si="10"/>
        <v>1.5</v>
      </c>
      <c r="AM20" s="163">
        <f t="shared" si="10"/>
        <v>1.5</v>
      </c>
      <c r="AN20" s="163">
        <f t="shared" si="10"/>
        <v>1.5</v>
      </c>
      <c r="AO20" s="163">
        <f t="shared" si="10"/>
        <v>1.5</v>
      </c>
      <c r="AP20" s="163">
        <f t="shared" si="10"/>
        <v>1.5</v>
      </c>
      <c r="AQ20" s="163">
        <f t="shared" si="10"/>
        <v>1.5</v>
      </c>
      <c r="AR20" s="163">
        <f t="shared" si="10"/>
        <v>1.5</v>
      </c>
      <c r="AS20" s="163">
        <f t="shared" si="10"/>
        <v>1.5</v>
      </c>
      <c r="AT20" s="163">
        <f t="shared" si="10"/>
        <v>1.5</v>
      </c>
      <c r="AU20" s="163">
        <f t="shared" si="10"/>
        <v>1.5</v>
      </c>
      <c r="AV20" s="163">
        <f t="shared" si="10"/>
        <v>1.5</v>
      </c>
      <c r="AW20" s="163">
        <f t="shared" si="10"/>
        <v>1.5</v>
      </c>
      <c r="AX20" s="163">
        <f t="shared" si="10"/>
        <v>1.5</v>
      </c>
      <c r="AY20" s="163">
        <f t="shared" si="10"/>
        <v>1.5</v>
      </c>
      <c r="AZ20" s="163">
        <f t="shared" si="10"/>
        <v>1.5</v>
      </c>
      <c r="BA20" s="163">
        <f t="shared" si="10"/>
        <v>1.5</v>
      </c>
      <c r="BB20" s="163">
        <f t="shared" si="10"/>
        <v>1.5</v>
      </c>
      <c r="BC20" s="163">
        <f t="shared" si="10"/>
        <v>1.5</v>
      </c>
      <c r="BD20" s="163">
        <f t="shared" si="10"/>
        <v>1.5</v>
      </c>
      <c r="BE20" s="163">
        <f t="shared" si="10"/>
        <v>1.5</v>
      </c>
      <c r="BF20" s="163">
        <f t="shared" si="10"/>
        <v>1.5</v>
      </c>
      <c r="BG20" s="163">
        <f t="shared" si="10"/>
        <v>1.5</v>
      </c>
      <c r="BH20" s="163">
        <f t="shared" si="10"/>
        <v>1.5</v>
      </c>
      <c r="BI20" s="163">
        <f t="shared" si="10"/>
        <v>1.5</v>
      </c>
      <c r="BJ20" s="163">
        <f t="shared" si="10"/>
        <v>1.5</v>
      </c>
      <c r="BK20" s="163">
        <f t="shared" si="10"/>
        <v>1.5</v>
      </c>
      <c r="BL20" s="163">
        <f t="shared" si="10"/>
        <v>1.5</v>
      </c>
      <c r="BM20" s="163">
        <f t="shared" si="10"/>
        <v>1.5</v>
      </c>
      <c r="BN20" s="163">
        <f t="shared" si="10"/>
        <v>1.5</v>
      </c>
      <c r="BO20" s="163">
        <f t="shared" si="10"/>
        <v>1.5</v>
      </c>
      <c r="BP20" s="163">
        <f t="shared" si="10"/>
        <v>1.5</v>
      </c>
      <c r="BQ20" s="163">
        <f t="shared" si="10"/>
        <v>1.5</v>
      </c>
      <c r="BR20" s="163">
        <f t="shared" si="10"/>
        <v>1.5</v>
      </c>
      <c r="BS20" s="163">
        <f t="shared" si="10"/>
        <v>1.5</v>
      </c>
      <c r="BT20" s="163">
        <f t="shared" si="10"/>
        <v>1.5</v>
      </c>
      <c r="BU20" s="163">
        <f t="shared" si="10"/>
        <v>1.5</v>
      </c>
      <c r="BV20" s="163">
        <f t="shared" si="10"/>
        <v>1.5</v>
      </c>
      <c r="BW20" s="163">
        <f t="shared" si="10"/>
        <v>1.5</v>
      </c>
      <c r="BX20" s="163">
        <f t="shared" si="10"/>
        <v>1.5</v>
      </c>
      <c r="BY20" s="163">
        <f t="shared" si="10"/>
        <v>1.5</v>
      </c>
      <c r="BZ20" s="163">
        <f t="shared" si="10"/>
        <v>1.5</v>
      </c>
      <c r="CA20" s="163">
        <f t="shared" si="10"/>
        <v>1.5</v>
      </c>
      <c r="CB20" s="163">
        <f t="shared" si="10"/>
        <v>1.5</v>
      </c>
      <c r="CC20" s="163">
        <f t="shared" si="10"/>
        <v>1.5</v>
      </c>
      <c r="CD20" s="163">
        <f t="shared" si="10"/>
        <v>1.5</v>
      </c>
      <c r="CE20" s="163">
        <f t="shared" si="10"/>
        <v>1.5</v>
      </c>
      <c r="CF20" s="163">
        <f t="shared" si="10"/>
        <v>1.5</v>
      </c>
      <c r="CG20" s="163">
        <f t="shared" si="10"/>
        <v>1.5</v>
      </c>
      <c r="CH20" s="163">
        <f t="shared" si="10"/>
        <v>1.5</v>
      </c>
      <c r="CI20" s="163">
        <f t="shared" si="10"/>
        <v>1.5</v>
      </c>
      <c r="CJ20" s="163">
        <f t="shared" si="10"/>
        <v>1.5</v>
      </c>
      <c r="CK20" s="163">
        <f t="shared" si="10"/>
        <v>1.5</v>
      </c>
      <c r="CL20" s="163">
        <f t="shared" si="10"/>
        <v>1.5</v>
      </c>
      <c r="CM20" s="163">
        <f t="shared" si="10"/>
        <v>1.5</v>
      </c>
      <c r="CN20" s="163">
        <f t="shared" si="10"/>
        <v>1.5</v>
      </c>
      <c r="CO20" s="163">
        <f t="shared" si="10"/>
        <v>1.5</v>
      </c>
      <c r="CP20" s="163">
        <f t="shared" si="10"/>
        <v>1.5</v>
      </c>
      <c r="CQ20" s="163">
        <f t="shared" si="10"/>
        <v>1.5</v>
      </c>
      <c r="CR20" s="163">
        <f t="shared" si="10"/>
        <v>1.5</v>
      </c>
      <c r="CS20" s="163">
        <f t="shared" si="10"/>
        <v>1.5</v>
      </c>
      <c r="CT20" s="163">
        <f t="shared" si="10"/>
        <v>1.5</v>
      </c>
      <c r="CU20" s="163">
        <f t="shared" si="10"/>
        <v>1.5</v>
      </c>
      <c r="CV20" s="163">
        <f t="shared" si="10"/>
        <v>1.5</v>
      </c>
      <c r="CW20" s="163">
        <f t="shared" si="10"/>
        <v>1.5</v>
      </c>
    </row>
    <row r="21" ht="15.75" customHeight="1">
      <c r="A21" s="1" t="s">
        <v>248</v>
      </c>
      <c r="B21" s="1"/>
      <c r="C21" s="1"/>
      <c r="D21" s="163">
        <f t="shared" ref="D21:CW21" si="11">D15/D$17</f>
        <v>2</v>
      </c>
      <c r="E21" s="163">
        <f t="shared" si="11"/>
        <v>2.105263158</v>
      </c>
      <c r="F21" s="163">
        <f t="shared" si="11"/>
        <v>2.216066482</v>
      </c>
      <c r="G21" s="163">
        <f t="shared" si="11"/>
        <v>2.33270156</v>
      </c>
      <c r="H21" s="163">
        <f t="shared" si="11"/>
        <v>2.455475326</v>
      </c>
      <c r="I21" s="163">
        <f t="shared" si="11"/>
        <v>2.58471087</v>
      </c>
      <c r="J21" s="163">
        <f t="shared" si="11"/>
        <v>2.720748284</v>
      </c>
      <c r="K21" s="163">
        <f t="shared" si="11"/>
        <v>2.863945562</v>
      </c>
      <c r="L21" s="163">
        <f t="shared" si="11"/>
        <v>3</v>
      </c>
      <c r="M21" s="163">
        <f t="shared" si="11"/>
        <v>3</v>
      </c>
      <c r="N21" s="163">
        <f t="shared" si="11"/>
        <v>3</v>
      </c>
      <c r="O21" s="163">
        <f t="shared" si="11"/>
        <v>3</v>
      </c>
      <c r="P21" s="163">
        <f t="shared" si="11"/>
        <v>3</v>
      </c>
      <c r="Q21" s="163">
        <f t="shared" si="11"/>
        <v>3</v>
      </c>
      <c r="R21" s="163">
        <f t="shared" si="11"/>
        <v>3</v>
      </c>
      <c r="S21" s="163">
        <f t="shared" si="11"/>
        <v>3</v>
      </c>
      <c r="T21" s="163">
        <f t="shared" si="11"/>
        <v>3</v>
      </c>
      <c r="U21" s="163">
        <f t="shared" si="11"/>
        <v>3</v>
      </c>
      <c r="V21" s="163">
        <f t="shared" si="11"/>
        <v>3</v>
      </c>
      <c r="W21" s="163">
        <f t="shared" si="11"/>
        <v>3</v>
      </c>
      <c r="X21" s="163">
        <f t="shared" si="11"/>
        <v>3</v>
      </c>
      <c r="Y21" s="163">
        <f t="shared" si="11"/>
        <v>3</v>
      </c>
      <c r="Z21" s="163">
        <f t="shared" si="11"/>
        <v>3</v>
      </c>
      <c r="AA21" s="163">
        <f t="shared" si="11"/>
        <v>3</v>
      </c>
      <c r="AB21" s="163">
        <f t="shared" si="11"/>
        <v>3</v>
      </c>
      <c r="AC21" s="163">
        <f t="shared" si="11"/>
        <v>3</v>
      </c>
      <c r="AD21" s="163">
        <f t="shared" si="11"/>
        <v>3</v>
      </c>
      <c r="AE21" s="163">
        <f t="shared" si="11"/>
        <v>3</v>
      </c>
      <c r="AF21" s="163">
        <f t="shared" si="11"/>
        <v>3</v>
      </c>
      <c r="AG21" s="163">
        <f t="shared" si="11"/>
        <v>3</v>
      </c>
      <c r="AH21" s="163">
        <f t="shared" si="11"/>
        <v>3</v>
      </c>
      <c r="AI21" s="163">
        <f t="shared" si="11"/>
        <v>3</v>
      </c>
      <c r="AJ21" s="163">
        <f t="shared" si="11"/>
        <v>3</v>
      </c>
      <c r="AK21" s="163">
        <f t="shared" si="11"/>
        <v>3</v>
      </c>
      <c r="AL21" s="163">
        <f t="shared" si="11"/>
        <v>3</v>
      </c>
      <c r="AM21" s="163">
        <f t="shared" si="11"/>
        <v>3</v>
      </c>
      <c r="AN21" s="163">
        <f t="shared" si="11"/>
        <v>3</v>
      </c>
      <c r="AO21" s="163">
        <f t="shared" si="11"/>
        <v>3</v>
      </c>
      <c r="AP21" s="163">
        <f t="shared" si="11"/>
        <v>3</v>
      </c>
      <c r="AQ21" s="163">
        <f t="shared" si="11"/>
        <v>3</v>
      </c>
      <c r="AR21" s="163">
        <f t="shared" si="11"/>
        <v>3</v>
      </c>
      <c r="AS21" s="163">
        <f t="shared" si="11"/>
        <v>3</v>
      </c>
      <c r="AT21" s="163">
        <f t="shared" si="11"/>
        <v>3</v>
      </c>
      <c r="AU21" s="163">
        <f t="shared" si="11"/>
        <v>3</v>
      </c>
      <c r="AV21" s="163">
        <f t="shared" si="11"/>
        <v>3</v>
      </c>
      <c r="AW21" s="163">
        <f t="shared" si="11"/>
        <v>3</v>
      </c>
      <c r="AX21" s="163">
        <f t="shared" si="11"/>
        <v>3</v>
      </c>
      <c r="AY21" s="163">
        <f t="shared" si="11"/>
        <v>3</v>
      </c>
      <c r="AZ21" s="163">
        <f t="shared" si="11"/>
        <v>3</v>
      </c>
      <c r="BA21" s="163">
        <f t="shared" si="11"/>
        <v>3</v>
      </c>
      <c r="BB21" s="163">
        <f t="shared" si="11"/>
        <v>3</v>
      </c>
      <c r="BC21" s="163">
        <f t="shared" si="11"/>
        <v>3</v>
      </c>
      <c r="BD21" s="163">
        <f t="shared" si="11"/>
        <v>3</v>
      </c>
      <c r="BE21" s="163">
        <f t="shared" si="11"/>
        <v>3</v>
      </c>
      <c r="BF21" s="163">
        <f t="shared" si="11"/>
        <v>3</v>
      </c>
      <c r="BG21" s="163">
        <f t="shared" si="11"/>
        <v>3</v>
      </c>
      <c r="BH21" s="163">
        <f t="shared" si="11"/>
        <v>3</v>
      </c>
      <c r="BI21" s="163">
        <f t="shared" si="11"/>
        <v>3</v>
      </c>
      <c r="BJ21" s="163">
        <f t="shared" si="11"/>
        <v>3</v>
      </c>
      <c r="BK21" s="163">
        <f t="shared" si="11"/>
        <v>3</v>
      </c>
      <c r="BL21" s="163">
        <f t="shared" si="11"/>
        <v>3</v>
      </c>
      <c r="BM21" s="163">
        <f t="shared" si="11"/>
        <v>3</v>
      </c>
      <c r="BN21" s="163">
        <f t="shared" si="11"/>
        <v>3</v>
      </c>
      <c r="BO21" s="163">
        <f t="shared" si="11"/>
        <v>3</v>
      </c>
      <c r="BP21" s="163">
        <f t="shared" si="11"/>
        <v>3</v>
      </c>
      <c r="BQ21" s="163">
        <f t="shared" si="11"/>
        <v>3</v>
      </c>
      <c r="BR21" s="163">
        <f t="shared" si="11"/>
        <v>3</v>
      </c>
      <c r="BS21" s="163">
        <f t="shared" si="11"/>
        <v>3</v>
      </c>
      <c r="BT21" s="163">
        <f t="shared" si="11"/>
        <v>3</v>
      </c>
      <c r="BU21" s="163">
        <f t="shared" si="11"/>
        <v>3</v>
      </c>
      <c r="BV21" s="163">
        <f t="shared" si="11"/>
        <v>3</v>
      </c>
      <c r="BW21" s="163">
        <f t="shared" si="11"/>
        <v>3</v>
      </c>
      <c r="BX21" s="163">
        <f t="shared" si="11"/>
        <v>3</v>
      </c>
      <c r="BY21" s="163">
        <f t="shared" si="11"/>
        <v>3</v>
      </c>
      <c r="BZ21" s="163">
        <f t="shared" si="11"/>
        <v>3</v>
      </c>
      <c r="CA21" s="163">
        <f t="shared" si="11"/>
        <v>3</v>
      </c>
      <c r="CB21" s="163">
        <f t="shared" si="11"/>
        <v>3</v>
      </c>
      <c r="CC21" s="163">
        <f t="shared" si="11"/>
        <v>3</v>
      </c>
      <c r="CD21" s="163">
        <f t="shared" si="11"/>
        <v>3</v>
      </c>
      <c r="CE21" s="163">
        <f t="shared" si="11"/>
        <v>3</v>
      </c>
      <c r="CF21" s="163">
        <f t="shared" si="11"/>
        <v>3</v>
      </c>
      <c r="CG21" s="163">
        <f t="shared" si="11"/>
        <v>3</v>
      </c>
      <c r="CH21" s="163">
        <f t="shared" si="11"/>
        <v>3</v>
      </c>
      <c r="CI21" s="163">
        <f t="shared" si="11"/>
        <v>3</v>
      </c>
      <c r="CJ21" s="163">
        <f t="shared" si="11"/>
        <v>3</v>
      </c>
      <c r="CK21" s="163">
        <f t="shared" si="11"/>
        <v>3</v>
      </c>
      <c r="CL21" s="163">
        <f t="shared" si="11"/>
        <v>3</v>
      </c>
      <c r="CM21" s="163">
        <f t="shared" si="11"/>
        <v>3</v>
      </c>
      <c r="CN21" s="163">
        <f t="shared" si="11"/>
        <v>3</v>
      </c>
      <c r="CO21" s="163">
        <f t="shared" si="11"/>
        <v>3</v>
      </c>
      <c r="CP21" s="163">
        <f t="shared" si="11"/>
        <v>3</v>
      </c>
      <c r="CQ21" s="163">
        <f t="shared" si="11"/>
        <v>3</v>
      </c>
      <c r="CR21" s="163">
        <f t="shared" si="11"/>
        <v>3</v>
      </c>
      <c r="CS21" s="163">
        <f t="shared" si="11"/>
        <v>3</v>
      </c>
      <c r="CT21" s="163">
        <f t="shared" si="11"/>
        <v>3</v>
      </c>
      <c r="CU21" s="163">
        <f t="shared" si="11"/>
        <v>3</v>
      </c>
      <c r="CV21" s="163">
        <f t="shared" si="11"/>
        <v>3</v>
      </c>
      <c r="CW21" s="163">
        <f t="shared" si="11"/>
        <v>3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ht="15.75" customHeight="1">
      <c r="A24" s="130" t="str">
        <f>'Monthly forecast'!A24</f>
        <v>REVENUE STREAM 2: INBOUND SALES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ht="15.75" customHeight="1">
      <c r="A26" s="1" t="s">
        <v>236</v>
      </c>
      <c r="B26" s="1"/>
      <c r="C26" s="154">
        <f>IF(C2&gt;=Projections!$D$28,Projections!$B$28,0)</f>
        <v>0</v>
      </c>
      <c r="D26" s="154">
        <f>IF(D2&gt;=Projections!$D$28,Projections!$B$28,0)</f>
        <v>100</v>
      </c>
      <c r="E26" s="154">
        <f>IF(E2&gt;=Projections!$D$28,Projections!$B$28,0)</f>
        <v>100</v>
      </c>
      <c r="F26" s="154">
        <f>IF(F2&gt;=Projections!$D$28,Projections!$B$28,0)</f>
        <v>100</v>
      </c>
      <c r="G26" s="154">
        <f>IF(G2&gt;=Projections!$D$28,Projections!$B$28,0)</f>
        <v>100</v>
      </c>
      <c r="H26" s="154">
        <f>IF(H2&gt;=Projections!$D$28,Projections!$B$28,0)</f>
        <v>100</v>
      </c>
      <c r="I26" s="154">
        <f>IF(I2&gt;=Projections!$D$28,Projections!$B$28,0)</f>
        <v>100</v>
      </c>
      <c r="J26" s="154">
        <f>IF(J2&gt;=Projections!$D$28,Projections!$B$28,0)</f>
        <v>100</v>
      </c>
      <c r="K26" s="154">
        <f>IF(K2&gt;=Projections!$D$28,Projections!$B$28,0)</f>
        <v>100</v>
      </c>
      <c r="L26" s="154">
        <f>IF(L2&gt;=Projections!$D$28,Projections!$B$28,0)</f>
        <v>100</v>
      </c>
      <c r="M26" s="154">
        <f>IF(M2&gt;=Projections!$D$28,Projections!$B$28,0)</f>
        <v>100</v>
      </c>
      <c r="N26" s="154">
        <f>IF(N2&gt;=Projections!$D$28,Projections!$B$28,0)</f>
        <v>100</v>
      </c>
      <c r="O26" s="154">
        <f>IF(O2&gt;=Projections!$D$28,Projections!$B$28,0)</f>
        <v>100</v>
      </c>
      <c r="P26" s="154">
        <f>IF(P2&gt;=Projections!$D$28,Projections!$B$28,0)</f>
        <v>100</v>
      </c>
      <c r="Q26" s="154">
        <f>IF(Q2&gt;=Projections!$D$28,Projections!$B$28,0)</f>
        <v>100</v>
      </c>
      <c r="R26" s="154">
        <f>IF(R2&gt;=Projections!$D$28,Projections!$B$28,0)</f>
        <v>100</v>
      </c>
      <c r="S26" s="154">
        <f>IF(S2&gt;=Projections!$D$28,Projections!$B$28,0)</f>
        <v>100</v>
      </c>
      <c r="T26" s="154">
        <f>IF(T2&gt;=Projections!$D$28,Projections!$B$28,0)</f>
        <v>100</v>
      </c>
      <c r="U26" s="154">
        <f>IF(U2&gt;=Projections!$D$28,Projections!$B$28,0)</f>
        <v>100</v>
      </c>
      <c r="V26" s="154">
        <f>IF(V2&gt;=Projections!$D$28,Projections!$B$28,0)</f>
        <v>100</v>
      </c>
      <c r="W26" s="154">
        <f>IF(W2&gt;=Projections!$D$28,Projections!$B$28,0)</f>
        <v>100</v>
      </c>
      <c r="X26" s="154">
        <f>IF(X2&gt;=Projections!$D$28,Projections!$B$28,0)</f>
        <v>100</v>
      </c>
      <c r="Y26" s="154">
        <f>IF(Y2&gt;=Projections!$D$28,Projections!$B$28,0)</f>
        <v>100</v>
      </c>
      <c r="Z26" s="154">
        <f>IF(Z2&gt;=Projections!$D$28,Projections!$B$28,0)</f>
        <v>100</v>
      </c>
      <c r="AA26" s="154">
        <f>IF(AA2&gt;=Projections!$D$28,Projections!$B$28,0)</f>
        <v>100</v>
      </c>
      <c r="AB26" s="154">
        <f>IF(AB2&gt;=Projections!$D$28,Projections!$B$28,0)</f>
        <v>100</v>
      </c>
      <c r="AC26" s="154">
        <f>IF(AC2&gt;=Projections!$D$28,Projections!$B$28,0)</f>
        <v>100</v>
      </c>
      <c r="AD26" s="154">
        <f>IF(AD2&gt;=Projections!$D$28,Projections!$B$28,0)</f>
        <v>100</v>
      </c>
      <c r="AE26" s="154">
        <f>IF(AE2&gt;=Projections!$D$28,Projections!$B$28,0)</f>
        <v>100</v>
      </c>
      <c r="AF26" s="154">
        <f>IF(AF2&gt;=Projections!$D$28,Projections!$B$28,0)</f>
        <v>100</v>
      </c>
      <c r="AG26" s="154">
        <f>IF(AG2&gt;=Projections!$D$28,Projections!$B$28,0)</f>
        <v>100</v>
      </c>
      <c r="AH26" s="154">
        <f>IF(AH2&gt;=Projections!$D$28,Projections!$B$28,0)</f>
        <v>100</v>
      </c>
      <c r="AI26" s="154">
        <f>IF(AI2&gt;=Projections!$D$28,Projections!$B$28,0)</f>
        <v>100</v>
      </c>
      <c r="AJ26" s="154">
        <f>IF(AJ2&gt;=Projections!$D$28,Projections!$B$28,0)</f>
        <v>100</v>
      </c>
      <c r="AK26" s="154">
        <f>IF(AK2&gt;=Projections!$D$28,Projections!$B$28,0)</f>
        <v>100</v>
      </c>
      <c r="AL26" s="154">
        <f>IF(AL2&gt;=Projections!$D$28,Projections!$B$28,0)</f>
        <v>100</v>
      </c>
      <c r="AM26" s="154">
        <f>IF(AM2&gt;=Projections!$D$28,Projections!$B$28,0)</f>
        <v>100</v>
      </c>
      <c r="AN26" s="154">
        <f>IF(AN2&gt;=Projections!$D$28,Projections!$B$28,0)</f>
        <v>100</v>
      </c>
      <c r="AO26" s="154">
        <f>IF(AO2&gt;=Projections!$D$28,Projections!$B$28,0)</f>
        <v>100</v>
      </c>
      <c r="AP26" s="154">
        <f>IF(AP2&gt;=Projections!$D$28,Projections!$B$28,0)</f>
        <v>100</v>
      </c>
      <c r="AQ26" s="154">
        <f>IF(AQ2&gt;=Projections!$D$28,Projections!$B$28,0)</f>
        <v>100</v>
      </c>
      <c r="AR26" s="154">
        <f>IF(AR2&gt;=Projections!$D$28,Projections!$B$28,0)</f>
        <v>100</v>
      </c>
      <c r="AS26" s="154">
        <f>IF(AS2&gt;=Projections!$D$28,Projections!$B$28,0)</f>
        <v>100</v>
      </c>
      <c r="AT26" s="154">
        <f>IF(AT2&gt;=Projections!$D$28,Projections!$B$28,0)</f>
        <v>100</v>
      </c>
      <c r="AU26" s="154">
        <f>IF(AU2&gt;=Projections!$D$28,Projections!$B$28,0)</f>
        <v>100</v>
      </c>
      <c r="AV26" s="154">
        <f>IF(AV2&gt;=Projections!$D$28,Projections!$B$28,0)</f>
        <v>100</v>
      </c>
      <c r="AW26" s="154">
        <f>IF(AW2&gt;=Projections!$D$28,Projections!$B$28,0)</f>
        <v>100</v>
      </c>
      <c r="AX26" s="154">
        <f>IF(AX2&gt;=Projections!$D$28,Projections!$B$28,0)</f>
        <v>100</v>
      </c>
      <c r="AY26" s="154">
        <f>IF(AY2&gt;=Projections!$D$28,Projections!$B$28,0)</f>
        <v>100</v>
      </c>
      <c r="AZ26" s="154">
        <f>IF(AZ2&gt;=Projections!$D$28,Projections!$B$28,0)</f>
        <v>100</v>
      </c>
      <c r="BA26" s="154">
        <f>IF(BA2&gt;=Projections!$D$28,Projections!$B$28,0)</f>
        <v>100</v>
      </c>
      <c r="BB26" s="154">
        <f>IF(BB2&gt;=Projections!$D$28,Projections!$B$28,0)</f>
        <v>100</v>
      </c>
      <c r="BC26" s="154">
        <f>IF(BC2&gt;=Projections!$D$28,Projections!$B$28,0)</f>
        <v>100</v>
      </c>
      <c r="BD26" s="154">
        <f>IF(BD2&gt;=Projections!$D$28,Projections!$B$28,0)</f>
        <v>100</v>
      </c>
      <c r="BE26" s="154">
        <f>IF(BE2&gt;=Projections!$D$28,Projections!$B$28,0)</f>
        <v>100</v>
      </c>
      <c r="BF26" s="154">
        <f>IF(BF2&gt;=Projections!$D$28,Projections!$B$28,0)</f>
        <v>100</v>
      </c>
      <c r="BG26" s="154">
        <f>IF(BG2&gt;=Projections!$D$28,Projections!$B$28,0)</f>
        <v>100</v>
      </c>
      <c r="BH26" s="154">
        <f>IF(BH2&gt;=Projections!$D$28,Projections!$B$28,0)</f>
        <v>100</v>
      </c>
      <c r="BI26" s="154">
        <f>IF(BI2&gt;=Projections!$D$28,Projections!$B$28,0)</f>
        <v>100</v>
      </c>
      <c r="BJ26" s="154">
        <f>IF(BJ2&gt;=Projections!$D$28,Projections!$B$28,0)</f>
        <v>100</v>
      </c>
      <c r="BK26" s="154">
        <f>IF(BK2&gt;=Projections!$D$28,Projections!$B$28,0)</f>
        <v>100</v>
      </c>
      <c r="BL26" s="154">
        <f>IF(BL2&gt;=Projections!$D$28,Projections!$B$28,0)</f>
        <v>100</v>
      </c>
      <c r="BM26" s="154">
        <f>IF(BM2&gt;=Projections!$D$28,Projections!$B$28,0)</f>
        <v>100</v>
      </c>
      <c r="BN26" s="154">
        <f>IF(BN2&gt;=Projections!$D$28,Projections!$B$28,0)</f>
        <v>100</v>
      </c>
      <c r="BO26" s="154">
        <f>IF(BO2&gt;=Projections!$D$28,Projections!$B$28,0)</f>
        <v>100</v>
      </c>
      <c r="BP26" s="154">
        <f>IF(BP2&gt;=Projections!$D$28,Projections!$B$28,0)</f>
        <v>100</v>
      </c>
      <c r="BQ26" s="154">
        <f>IF(BQ2&gt;=Projections!$D$28,Projections!$B$28,0)</f>
        <v>100</v>
      </c>
      <c r="BR26" s="154">
        <f>IF(BR2&gt;=Projections!$D$28,Projections!$B$28,0)</f>
        <v>100</v>
      </c>
      <c r="BS26" s="154">
        <f>IF(BS2&gt;=Projections!$D$28,Projections!$B$28,0)</f>
        <v>100</v>
      </c>
      <c r="BT26" s="154">
        <f>IF(BT2&gt;=Projections!$D$28,Projections!$B$28,0)</f>
        <v>100</v>
      </c>
      <c r="BU26" s="154">
        <f>IF(BU2&gt;=Projections!$D$28,Projections!$B$28,0)</f>
        <v>100</v>
      </c>
      <c r="BV26" s="154">
        <f>IF(BV2&gt;=Projections!$D$28,Projections!$B$28,0)</f>
        <v>100</v>
      </c>
      <c r="BW26" s="154">
        <f>IF(BW2&gt;=Projections!$D$28,Projections!$B$28,0)</f>
        <v>100</v>
      </c>
      <c r="BX26" s="154">
        <f>IF(BX2&gt;=Projections!$D$28,Projections!$B$28,0)</f>
        <v>100</v>
      </c>
      <c r="BY26" s="154">
        <f>IF(BY2&gt;=Projections!$D$28,Projections!$B$28,0)</f>
        <v>100</v>
      </c>
      <c r="BZ26" s="154">
        <f>IF(BZ2&gt;=Projections!$D$28,Projections!$B$28,0)</f>
        <v>100</v>
      </c>
      <c r="CA26" s="154">
        <f>IF(CA2&gt;=Projections!$D$28,Projections!$B$28,0)</f>
        <v>100</v>
      </c>
      <c r="CB26" s="154">
        <f>IF(CB2&gt;=Projections!$D$28,Projections!$B$28,0)</f>
        <v>100</v>
      </c>
      <c r="CC26" s="154">
        <f>IF(CC2&gt;=Projections!$D$28,Projections!$B$28,0)</f>
        <v>100</v>
      </c>
      <c r="CD26" s="154">
        <f>IF(CD2&gt;=Projections!$D$28,Projections!$B$28,0)</f>
        <v>100</v>
      </c>
      <c r="CE26" s="154">
        <f>IF(CE2&gt;=Projections!$D$28,Projections!$B$28,0)</f>
        <v>100</v>
      </c>
      <c r="CF26" s="154">
        <f>IF(CF2&gt;=Projections!$D$28,Projections!$B$28,0)</f>
        <v>100</v>
      </c>
      <c r="CG26" s="154">
        <f>IF(CG2&gt;=Projections!$D$28,Projections!$B$28,0)</f>
        <v>100</v>
      </c>
      <c r="CH26" s="154">
        <f>IF(CH2&gt;=Projections!$D$28,Projections!$B$28,0)</f>
        <v>100</v>
      </c>
      <c r="CI26" s="154">
        <f>IF(CI2&gt;=Projections!$D$28,Projections!$B$28,0)</f>
        <v>100</v>
      </c>
      <c r="CJ26" s="154">
        <f>IF(CJ2&gt;=Projections!$D$28,Projections!$B$28,0)</f>
        <v>100</v>
      </c>
      <c r="CK26" s="154">
        <f>IF(CK2&gt;=Projections!$D$28,Projections!$B$28,0)</f>
        <v>100</v>
      </c>
      <c r="CL26" s="154">
        <f>IF(CL2&gt;=Projections!$D$28,Projections!$B$28,0)</f>
        <v>100</v>
      </c>
      <c r="CM26" s="154">
        <f>IF(CM2&gt;=Projections!$D$28,Projections!$B$28,0)</f>
        <v>100</v>
      </c>
      <c r="CN26" s="154">
        <f>IF(CN2&gt;=Projections!$D$28,Projections!$B$28,0)</f>
        <v>100</v>
      </c>
      <c r="CO26" s="154">
        <f>IF(CO2&gt;=Projections!$D$28,Projections!$B$28,0)</f>
        <v>100</v>
      </c>
      <c r="CP26" s="154">
        <f>IF(CP2&gt;=Projections!$D$28,Projections!$B$28,0)</f>
        <v>100</v>
      </c>
      <c r="CQ26" s="154">
        <f>IF(CQ2&gt;=Projections!$D$28,Projections!$B$28,0)</f>
        <v>100</v>
      </c>
      <c r="CR26" s="154">
        <f>IF(CR2&gt;=Projections!$D$28,Projections!$B$28,0)</f>
        <v>100</v>
      </c>
      <c r="CS26" s="154">
        <f>IF(CS2&gt;=Projections!$D$28,Projections!$B$28,0)</f>
        <v>100</v>
      </c>
      <c r="CT26" s="154">
        <f>IF(CT2&gt;=Projections!$D$28,Projections!$B$28,0)</f>
        <v>100</v>
      </c>
      <c r="CU26" s="154">
        <f>IF(CU2&gt;=Projections!$D$28,Projections!$B$28,0)</f>
        <v>100</v>
      </c>
      <c r="CV26" s="154">
        <f>IF(CV2&gt;=Projections!$D$28,Projections!$B$28,0)</f>
        <v>100</v>
      </c>
      <c r="CW26" s="154">
        <f>IF(CW2&gt;=Projections!$D$28,Projections!$B$28,0)</f>
        <v>100</v>
      </c>
    </row>
    <row r="27" ht="15.75" customHeight="1">
      <c r="A27" s="1" t="s">
        <v>237</v>
      </c>
      <c r="B27" s="1"/>
      <c r="C27" s="154">
        <f t="shared" ref="C27:CW27" si="12">C26</f>
        <v>0</v>
      </c>
      <c r="D27" s="154">
        <f t="shared" si="12"/>
        <v>100</v>
      </c>
      <c r="E27" s="154">
        <f t="shared" si="12"/>
        <v>100</v>
      </c>
      <c r="F27" s="154">
        <f t="shared" si="12"/>
        <v>100</v>
      </c>
      <c r="G27" s="154">
        <f t="shared" si="12"/>
        <v>100</v>
      </c>
      <c r="H27" s="154">
        <f t="shared" si="12"/>
        <v>100</v>
      </c>
      <c r="I27" s="154">
        <f t="shared" si="12"/>
        <v>100</v>
      </c>
      <c r="J27" s="154">
        <f t="shared" si="12"/>
        <v>100</v>
      </c>
      <c r="K27" s="154">
        <f t="shared" si="12"/>
        <v>100</v>
      </c>
      <c r="L27" s="154">
        <f t="shared" si="12"/>
        <v>100</v>
      </c>
      <c r="M27" s="154">
        <f t="shared" si="12"/>
        <v>100</v>
      </c>
      <c r="N27" s="154">
        <f t="shared" si="12"/>
        <v>100</v>
      </c>
      <c r="O27" s="154">
        <f t="shared" si="12"/>
        <v>100</v>
      </c>
      <c r="P27" s="154">
        <f t="shared" si="12"/>
        <v>100</v>
      </c>
      <c r="Q27" s="154">
        <f t="shared" si="12"/>
        <v>100</v>
      </c>
      <c r="R27" s="154">
        <f t="shared" si="12"/>
        <v>100</v>
      </c>
      <c r="S27" s="154">
        <f t="shared" si="12"/>
        <v>100</v>
      </c>
      <c r="T27" s="154">
        <f t="shared" si="12"/>
        <v>100</v>
      </c>
      <c r="U27" s="154">
        <f t="shared" si="12"/>
        <v>100</v>
      </c>
      <c r="V27" s="154">
        <f t="shared" si="12"/>
        <v>100</v>
      </c>
      <c r="W27" s="154">
        <f t="shared" si="12"/>
        <v>100</v>
      </c>
      <c r="X27" s="154">
        <f t="shared" si="12"/>
        <v>100</v>
      </c>
      <c r="Y27" s="154">
        <f t="shared" si="12"/>
        <v>100</v>
      </c>
      <c r="Z27" s="154">
        <f t="shared" si="12"/>
        <v>100</v>
      </c>
      <c r="AA27" s="154">
        <f t="shared" si="12"/>
        <v>100</v>
      </c>
      <c r="AB27" s="154">
        <f t="shared" si="12"/>
        <v>100</v>
      </c>
      <c r="AC27" s="154">
        <f t="shared" si="12"/>
        <v>100</v>
      </c>
      <c r="AD27" s="154">
        <f t="shared" si="12"/>
        <v>100</v>
      </c>
      <c r="AE27" s="154">
        <f t="shared" si="12"/>
        <v>100</v>
      </c>
      <c r="AF27" s="154">
        <f t="shared" si="12"/>
        <v>100</v>
      </c>
      <c r="AG27" s="154">
        <f t="shared" si="12"/>
        <v>100</v>
      </c>
      <c r="AH27" s="154">
        <f t="shared" si="12"/>
        <v>100</v>
      </c>
      <c r="AI27" s="154">
        <f t="shared" si="12"/>
        <v>100</v>
      </c>
      <c r="AJ27" s="154">
        <f t="shared" si="12"/>
        <v>100</v>
      </c>
      <c r="AK27" s="154">
        <f t="shared" si="12"/>
        <v>100</v>
      </c>
      <c r="AL27" s="154">
        <f t="shared" si="12"/>
        <v>100</v>
      </c>
      <c r="AM27" s="154">
        <f t="shared" si="12"/>
        <v>100</v>
      </c>
      <c r="AN27" s="154">
        <f t="shared" si="12"/>
        <v>100</v>
      </c>
      <c r="AO27" s="154">
        <f t="shared" si="12"/>
        <v>100</v>
      </c>
      <c r="AP27" s="154">
        <f t="shared" si="12"/>
        <v>100</v>
      </c>
      <c r="AQ27" s="154">
        <f t="shared" si="12"/>
        <v>100</v>
      </c>
      <c r="AR27" s="154">
        <f t="shared" si="12"/>
        <v>100</v>
      </c>
      <c r="AS27" s="154">
        <f t="shared" si="12"/>
        <v>100</v>
      </c>
      <c r="AT27" s="154">
        <f t="shared" si="12"/>
        <v>100</v>
      </c>
      <c r="AU27" s="154">
        <f t="shared" si="12"/>
        <v>100</v>
      </c>
      <c r="AV27" s="154">
        <f t="shared" si="12"/>
        <v>100</v>
      </c>
      <c r="AW27" s="154">
        <f t="shared" si="12"/>
        <v>100</v>
      </c>
      <c r="AX27" s="154">
        <f t="shared" si="12"/>
        <v>100</v>
      </c>
      <c r="AY27" s="154">
        <f t="shared" si="12"/>
        <v>100</v>
      </c>
      <c r="AZ27" s="154">
        <f t="shared" si="12"/>
        <v>100</v>
      </c>
      <c r="BA27" s="154">
        <f t="shared" si="12"/>
        <v>100</v>
      </c>
      <c r="BB27" s="154">
        <f t="shared" si="12"/>
        <v>100</v>
      </c>
      <c r="BC27" s="154">
        <f t="shared" si="12"/>
        <v>100</v>
      </c>
      <c r="BD27" s="154">
        <f t="shared" si="12"/>
        <v>100</v>
      </c>
      <c r="BE27" s="154">
        <f t="shared" si="12"/>
        <v>100</v>
      </c>
      <c r="BF27" s="154">
        <f t="shared" si="12"/>
        <v>100</v>
      </c>
      <c r="BG27" s="154">
        <f t="shared" si="12"/>
        <v>100</v>
      </c>
      <c r="BH27" s="154">
        <f t="shared" si="12"/>
        <v>100</v>
      </c>
      <c r="BI27" s="154">
        <f t="shared" si="12"/>
        <v>100</v>
      </c>
      <c r="BJ27" s="154">
        <f t="shared" si="12"/>
        <v>100</v>
      </c>
      <c r="BK27" s="154">
        <f t="shared" si="12"/>
        <v>100</v>
      </c>
      <c r="BL27" s="154">
        <f t="shared" si="12"/>
        <v>100</v>
      </c>
      <c r="BM27" s="154">
        <f t="shared" si="12"/>
        <v>100</v>
      </c>
      <c r="BN27" s="154">
        <f t="shared" si="12"/>
        <v>100</v>
      </c>
      <c r="BO27" s="154">
        <f t="shared" si="12"/>
        <v>100</v>
      </c>
      <c r="BP27" s="154">
        <f t="shared" si="12"/>
        <v>100</v>
      </c>
      <c r="BQ27" s="154">
        <f t="shared" si="12"/>
        <v>100</v>
      </c>
      <c r="BR27" s="154">
        <f t="shared" si="12"/>
        <v>100</v>
      </c>
      <c r="BS27" s="154">
        <f t="shared" si="12"/>
        <v>100</v>
      </c>
      <c r="BT27" s="154">
        <f t="shared" si="12"/>
        <v>100</v>
      </c>
      <c r="BU27" s="154">
        <f t="shared" si="12"/>
        <v>100</v>
      </c>
      <c r="BV27" s="154">
        <f t="shared" si="12"/>
        <v>100</v>
      </c>
      <c r="BW27" s="154">
        <f t="shared" si="12"/>
        <v>100</v>
      </c>
      <c r="BX27" s="154">
        <f t="shared" si="12"/>
        <v>100</v>
      </c>
      <c r="BY27" s="154">
        <f t="shared" si="12"/>
        <v>100</v>
      </c>
      <c r="BZ27" s="154">
        <f t="shared" si="12"/>
        <v>100</v>
      </c>
      <c r="CA27" s="154">
        <f t="shared" si="12"/>
        <v>100</v>
      </c>
      <c r="CB27" s="154">
        <f t="shared" si="12"/>
        <v>100</v>
      </c>
      <c r="CC27" s="154">
        <f t="shared" si="12"/>
        <v>100</v>
      </c>
      <c r="CD27" s="154">
        <f t="shared" si="12"/>
        <v>100</v>
      </c>
      <c r="CE27" s="154">
        <f t="shared" si="12"/>
        <v>100</v>
      </c>
      <c r="CF27" s="154">
        <f t="shared" si="12"/>
        <v>100</v>
      </c>
      <c r="CG27" s="154">
        <f t="shared" si="12"/>
        <v>100</v>
      </c>
      <c r="CH27" s="154">
        <f t="shared" si="12"/>
        <v>100</v>
      </c>
      <c r="CI27" s="154">
        <f t="shared" si="12"/>
        <v>100</v>
      </c>
      <c r="CJ27" s="154">
        <f t="shared" si="12"/>
        <v>100</v>
      </c>
      <c r="CK27" s="154">
        <f t="shared" si="12"/>
        <v>100</v>
      </c>
      <c r="CL27" s="154">
        <f t="shared" si="12"/>
        <v>100</v>
      </c>
      <c r="CM27" s="154">
        <f t="shared" si="12"/>
        <v>100</v>
      </c>
      <c r="CN27" s="154">
        <f t="shared" si="12"/>
        <v>100</v>
      </c>
      <c r="CO27" s="154">
        <f t="shared" si="12"/>
        <v>100</v>
      </c>
      <c r="CP27" s="154">
        <f t="shared" si="12"/>
        <v>100</v>
      </c>
      <c r="CQ27" s="154">
        <f t="shared" si="12"/>
        <v>100</v>
      </c>
      <c r="CR27" s="154">
        <f t="shared" si="12"/>
        <v>100</v>
      </c>
      <c r="CS27" s="154">
        <f t="shared" si="12"/>
        <v>100</v>
      </c>
      <c r="CT27" s="154">
        <f t="shared" si="12"/>
        <v>100</v>
      </c>
      <c r="CU27" s="154">
        <f t="shared" si="12"/>
        <v>100</v>
      </c>
      <c r="CV27" s="154">
        <f t="shared" si="12"/>
        <v>100</v>
      </c>
      <c r="CW27" s="154">
        <f t="shared" si="12"/>
        <v>100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ht="15.75" customHeight="1">
      <c r="A29" s="1" t="s">
        <v>238</v>
      </c>
      <c r="B29" s="1"/>
      <c r="C29" s="1" t="str">
        <f>'Monthly forecast'!D38</f>
        <v/>
      </c>
      <c r="D29" s="34">
        <f>'Monthly forecast'!E29</f>
        <v>0.15</v>
      </c>
      <c r="E29" s="34">
        <f>'Monthly forecast'!F29</f>
        <v>0.15</v>
      </c>
      <c r="F29" s="34">
        <f>'Monthly forecast'!G29</f>
        <v>0.15</v>
      </c>
      <c r="G29" s="34">
        <f>'Monthly forecast'!H29</f>
        <v>0.15</v>
      </c>
      <c r="H29" s="34">
        <f>'Monthly forecast'!I29</f>
        <v>0.15</v>
      </c>
      <c r="I29" s="34">
        <f>'Monthly forecast'!J29</f>
        <v>0.15</v>
      </c>
      <c r="J29" s="34">
        <f>'Monthly forecast'!K29</f>
        <v>0.15</v>
      </c>
      <c r="K29" s="34">
        <f>'Monthly forecast'!L29</f>
        <v>0.15</v>
      </c>
      <c r="L29" s="34">
        <f>'Monthly forecast'!M29</f>
        <v>0.15</v>
      </c>
      <c r="M29" s="34">
        <f>'Monthly forecast'!N29</f>
        <v>0.15</v>
      </c>
      <c r="N29" s="34">
        <f>'Monthly forecast'!O29</f>
        <v>0.15</v>
      </c>
      <c r="O29" s="34">
        <f>'Monthly forecast'!P29</f>
        <v>0.15</v>
      </c>
      <c r="P29" s="34">
        <f>'Monthly forecast'!Q29</f>
        <v>0.15</v>
      </c>
      <c r="Q29" s="34">
        <f>'Monthly forecast'!R29</f>
        <v>0.15</v>
      </c>
      <c r="R29" s="34">
        <f>'Monthly forecast'!S29</f>
        <v>0.15</v>
      </c>
      <c r="S29" s="34">
        <f>'Monthly forecast'!T29</f>
        <v>0.15</v>
      </c>
      <c r="T29" s="34">
        <f>'Monthly forecast'!U29</f>
        <v>0.15</v>
      </c>
      <c r="U29" s="34">
        <f>'Monthly forecast'!V29</f>
        <v>0.15</v>
      </c>
      <c r="V29" s="34">
        <f>'Monthly forecast'!W29</f>
        <v>0.15</v>
      </c>
      <c r="W29" s="34">
        <f>'Monthly forecast'!X29</f>
        <v>0.15</v>
      </c>
      <c r="X29" s="34">
        <f>'Monthly forecast'!Y29</f>
        <v>0.15</v>
      </c>
      <c r="Y29" s="34">
        <f>'Monthly forecast'!Z29</f>
        <v>0.15</v>
      </c>
      <c r="Z29" s="34">
        <f>'Monthly forecast'!AA29</f>
        <v>0.15</v>
      </c>
      <c r="AA29" s="34">
        <f>'Monthly forecast'!AB29</f>
        <v>0.15</v>
      </c>
      <c r="AB29" s="34">
        <f>'Monthly forecast'!AC29</f>
        <v>0.15</v>
      </c>
      <c r="AC29" s="34">
        <f>'Monthly forecast'!AD29</f>
        <v>0.15</v>
      </c>
      <c r="AD29" s="34">
        <f>'Monthly forecast'!AE29</f>
        <v>0.15</v>
      </c>
      <c r="AE29" s="34">
        <f>'Monthly forecast'!AF29</f>
        <v>0.15</v>
      </c>
      <c r="AF29" s="34">
        <f>'Monthly forecast'!AG29</f>
        <v>0.15</v>
      </c>
      <c r="AG29" s="34">
        <f>'Monthly forecast'!AH29</f>
        <v>0.15</v>
      </c>
      <c r="AH29" s="34">
        <f>'Monthly forecast'!AI29</f>
        <v>0.15</v>
      </c>
      <c r="AI29" s="34">
        <f>'Monthly forecast'!AJ29</f>
        <v>0.15</v>
      </c>
      <c r="AJ29" s="34">
        <f>'Monthly forecast'!AK29</f>
        <v>0.15</v>
      </c>
      <c r="AK29" s="34">
        <f>'Monthly forecast'!AL29</f>
        <v>0.15</v>
      </c>
      <c r="AL29" s="34">
        <f>'Monthly forecast'!AM29</f>
        <v>0.15</v>
      </c>
      <c r="AM29" s="34">
        <f>'Monthly forecast'!AN29</f>
        <v>0.15</v>
      </c>
      <c r="AN29" s="34">
        <f>'Monthly forecast'!AO29</f>
        <v>0.15</v>
      </c>
      <c r="AO29" s="34">
        <f>'Monthly forecast'!AP29</f>
        <v>0.15</v>
      </c>
      <c r="AP29" s="34">
        <f>'Monthly forecast'!AQ29</f>
        <v>0.15</v>
      </c>
      <c r="AQ29" s="34">
        <f>'Monthly forecast'!AR29</f>
        <v>0.15</v>
      </c>
      <c r="AR29" s="34">
        <f>'Monthly forecast'!AS29</f>
        <v>0.15</v>
      </c>
      <c r="AS29" s="34">
        <f>'Monthly forecast'!AT29</f>
        <v>0.15</v>
      </c>
      <c r="AT29" s="34">
        <f>'Monthly forecast'!AU29</f>
        <v>0.15</v>
      </c>
      <c r="AU29" s="34">
        <f>'Monthly forecast'!AV29</f>
        <v>0.15</v>
      </c>
      <c r="AV29" s="34">
        <f>'Monthly forecast'!AW29</f>
        <v>0.15</v>
      </c>
      <c r="AW29" s="34">
        <f>'Monthly forecast'!AX29</f>
        <v>0.15</v>
      </c>
      <c r="AX29" s="34">
        <f>'Monthly forecast'!AY29</f>
        <v>0.15</v>
      </c>
      <c r="AY29" s="34">
        <f>'Monthly forecast'!AZ29</f>
        <v>0.15</v>
      </c>
      <c r="AZ29" s="34">
        <f>'Monthly forecast'!BA29</f>
        <v>0.15</v>
      </c>
      <c r="BA29" s="34">
        <f>'Monthly forecast'!BB29</f>
        <v>0.15</v>
      </c>
      <c r="BB29" s="34">
        <f>'Monthly forecast'!BC29</f>
        <v>0.15</v>
      </c>
      <c r="BC29" s="34">
        <f>'Monthly forecast'!BD29</f>
        <v>0.15</v>
      </c>
      <c r="BD29" s="34">
        <f>'Monthly forecast'!BE29</f>
        <v>0.15</v>
      </c>
      <c r="BE29" s="34">
        <f>'Monthly forecast'!BF29</f>
        <v>0.15</v>
      </c>
      <c r="BF29" s="34">
        <f>'Monthly forecast'!BG29</f>
        <v>0.15</v>
      </c>
      <c r="BG29" s="34">
        <f>'Monthly forecast'!BH29</f>
        <v>0.15</v>
      </c>
      <c r="BH29" s="34">
        <f>'Monthly forecast'!BI29</f>
        <v>0.15</v>
      </c>
      <c r="BI29" s="34">
        <f>'Monthly forecast'!BJ29</f>
        <v>0.15</v>
      </c>
      <c r="BJ29" s="34">
        <f>'Monthly forecast'!BK29</f>
        <v>0.15</v>
      </c>
      <c r="BK29" s="34">
        <f>'Monthly forecast'!BL29</f>
        <v>0.15</v>
      </c>
      <c r="BL29" s="34">
        <f>'Monthly forecast'!BM29</f>
        <v>0.15</v>
      </c>
      <c r="BM29" s="34">
        <f>'Monthly forecast'!BN29</f>
        <v>0.15</v>
      </c>
      <c r="BN29" s="34">
        <f>'Monthly forecast'!BO29</f>
        <v>0.15</v>
      </c>
      <c r="BO29" s="34">
        <f>'Monthly forecast'!BP29</f>
        <v>0.15</v>
      </c>
      <c r="BP29" s="34">
        <f>'Monthly forecast'!BQ29</f>
        <v>0.15</v>
      </c>
      <c r="BQ29" s="34">
        <f>'Monthly forecast'!BR29</f>
        <v>0.15</v>
      </c>
      <c r="BR29" s="34">
        <f>'Monthly forecast'!BS29</f>
        <v>0.15</v>
      </c>
      <c r="BS29" s="34">
        <f>'Monthly forecast'!BT29</f>
        <v>0.15</v>
      </c>
      <c r="BT29" s="34">
        <f>'Monthly forecast'!BU29</f>
        <v>0.15</v>
      </c>
      <c r="BU29" s="34">
        <f>'Monthly forecast'!BV29</f>
        <v>0.15</v>
      </c>
      <c r="BV29" s="34">
        <f>'Monthly forecast'!BW29</f>
        <v>0.15</v>
      </c>
      <c r="BW29" s="34">
        <f>'Monthly forecast'!BX29</f>
        <v>0.15</v>
      </c>
      <c r="BX29" s="34">
        <f>'Monthly forecast'!BY29</f>
        <v>0.15</v>
      </c>
      <c r="BY29" s="34">
        <f>'Monthly forecast'!BZ29</f>
        <v>0.15</v>
      </c>
      <c r="BZ29" s="34">
        <f>'Monthly forecast'!CA29</f>
        <v>0.15</v>
      </c>
      <c r="CA29" s="34">
        <f>'Monthly forecast'!CB29</f>
        <v>0.15</v>
      </c>
      <c r="CB29" s="34">
        <f>'Monthly forecast'!CC29</f>
        <v>0.15</v>
      </c>
      <c r="CC29" s="34">
        <f>'Monthly forecast'!CD29</f>
        <v>0.15</v>
      </c>
      <c r="CD29" s="34">
        <f>'Monthly forecast'!CE29</f>
        <v>0.15</v>
      </c>
      <c r="CE29" s="34">
        <f>'Monthly forecast'!CF29</f>
        <v>0.15</v>
      </c>
      <c r="CF29" s="34">
        <f>'Monthly forecast'!CG29</f>
        <v>0.15</v>
      </c>
      <c r="CG29" s="34">
        <f>'Monthly forecast'!CH29</f>
        <v>0.15</v>
      </c>
      <c r="CH29" s="34">
        <f>'Monthly forecast'!CI29</f>
        <v>0.15</v>
      </c>
      <c r="CI29" s="34">
        <f>'Monthly forecast'!CJ29</f>
        <v>0.15</v>
      </c>
      <c r="CJ29" s="34">
        <f>'Monthly forecast'!CK29</f>
        <v>0.15</v>
      </c>
      <c r="CK29" s="34">
        <f>'Monthly forecast'!CL29</f>
        <v>0.15</v>
      </c>
      <c r="CL29" s="34">
        <f>'Monthly forecast'!CM29</f>
        <v>0.15</v>
      </c>
      <c r="CM29" s="34">
        <f>'Monthly forecast'!CN29</f>
        <v>0.15</v>
      </c>
      <c r="CN29" s="34">
        <f>'Monthly forecast'!CO29</f>
        <v>0.15</v>
      </c>
      <c r="CO29" s="34">
        <f>'Monthly forecast'!CP29</f>
        <v>0.15</v>
      </c>
      <c r="CP29" s="34">
        <f>'Monthly forecast'!CQ29</f>
        <v>0.15</v>
      </c>
      <c r="CQ29" s="34">
        <f>'Monthly forecast'!CR29</f>
        <v>0.15</v>
      </c>
      <c r="CR29" s="34">
        <f>'Monthly forecast'!CS29</f>
        <v>0.15</v>
      </c>
      <c r="CS29" s="34">
        <f>'Monthly forecast'!CT29</f>
        <v>0.15</v>
      </c>
      <c r="CT29" s="34">
        <f>'Monthly forecast'!CU29</f>
        <v>0.15</v>
      </c>
      <c r="CU29" s="34">
        <f>'Monthly forecast'!CV29</f>
        <v>0.15</v>
      </c>
      <c r="CV29" s="34">
        <f>'Monthly forecast'!CW29</f>
        <v>0.15</v>
      </c>
      <c r="CW29" s="34">
        <f>'Monthly forecast'!CX29</f>
        <v>0.15</v>
      </c>
    </row>
    <row r="30" ht="15.75" customHeight="1">
      <c r="A30" s="155" t="s">
        <v>239</v>
      </c>
      <c r="B30" s="155"/>
      <c r="C30" s="156">
        <f t="shared" ref="C30:CW30" si="13">IFERROR(1/C29,0)</f>
        <v>0</v>
      </c>
      <c r="D30" s="156">
        <f t="shared" si="13"/>
        <v>6.666666667</v>
      </c>
      <c r="E30" s="156">
        <f t="shared" si="13"/>
        <v>6.666666667</v>
      </c>
      <c r="F30" s="156">
        <f t="shared" si="13"/>
        <v>6.666666667</v>
      </c>
      <c r="G30" s="156">
        <f t="shared" si="13"/>
        <v>6.666666667</v>
      </c>
      <c r="H30" s="156">
        <f t="shared" si="13"/>
        <v>6.666666667</v>
      </c>
      <c r="I30" s="156">
        <f t="shared" si="13"/>
        <v>6.666666667</v>
      </c>
      <c r="J30" s="156">
        <f t="shared" si="13"/>
        <v>6.666666667</v>
      </c>
      <c r="K30" s="156">
        <f t="shared" si="13"/>
        <v>6.666666667</v>
      </c>
      <c r="L30" s="156">
        <f t="shared" si="13"/>
        <v>6.666666667</v>
      </c>
      <c r="M30" s="156">
        <f t="shared" si="13"/>
        <v>6.666666667</v>
      </c>
      <c r="N30" s="156">
        <f t="shared" si="13"/>
        <v>6.666666667</v>
      </c>
      <c r="O30" s="156">
        <f t="shared" si="13"/>
        <v>6.666666667</v>
      </c>
      <c r="P30" s="156">
        <f t="shared" si="13"/>
        <v>6.666666667</v>
      </c>
      <c r="Q30" s="156">
        <f t="shared" si="13"/>
        <v>6.666666667</v>
      </c>
      <c r="R30" s="156">
        <f t="shared" si="13"/>
        <v>6.666666667</v>
      </c>
      <c r="S30" s="156">
        <f t="shared" si="13"/>
        <v>6.666666667</v>
      </c>
      <c r="T30" s="156">
        <f t="shared" si="13"/>
        <v>6.666666667</v>
      </c>
      <c r="U30" s="156">
        <f t="shared" si="13"/>
        <v>6.666666667</v>
      </c>
      <c r="V30" s="156">
        <f t="shared" si="13"/>
        <v>6.666666667</v>
      </c>
      <c r="W30" s="156">
        <f t="shared" si="13"/>
        <v>6.666666667</v>
      </c>
      <c r="X30" s="156">
        <f t="shared" si="13"/>
        <v>6.666666667</v>
      </c>
      <c r="Y30" s="156">
        <f t="shared" si="13"/>
        <v>6.666666667</v>
      </c>
      <c r="Z30" s="156">
        <f t="shared" si="13"/>
        <v>6.666666667</v>
      </c>
      <c r="AA30" s="156">
        <f t="shared" si="13"/>
        <v>6.666666667</v>
      </c>
      <c r="AB30" s="156">
        <f t="shared" si="13"/>
        <v>6.666666667</v>
      </c>
      <c r="AC30" s="156">
        <f t="shared" si="13"/>
        <v>6.666666667</v>
      </c>
      <c r="AD30" s="156">
        <f t="shared" si="13"/>
        <v>6.666666667</v>
      </c>
      <c r="AE30" s="156">
        <f t="shared" si="13"/>
        <v>6.666666667</v>
      </c>
      <c r="AF30" s="156">
        <f t="shared" si="13"/>
        <v>6.666666667</v>
      </c>
      <c r="AG30" s="156">
        <f t="shared" si="13"/>
        <v>6.666666667</v>
      </c>
      <c r="AH30" s="156">
        <f t="shared" si="13"/>
        <v>6.666666667</v>
      </c>
      <c r="AI30" s="156">
        <f t="shared" si="13"/>
        <v>6.666666667</v>
      </c>
      <c r="AJ30" s="156">
        <f t="shared" si="13"/>
        <v>6.666666667</v>
      </c>
      <c r="AK30" s="156">
        <f t="shared" si="13"/>
        <v>6.666666667</v>
      </c>
      <c r="AL30" s="156">
        <f t="shared" si="13"/>
        <v>6.666666667</v>
      </c>
      <c r="AM30" s="156">
        <f t="shared" si="13"/>
        <v>6.666666667</v>
      </c>
      <c r="AN30" s="156">
        <f t="shared" si="13"/>
        <v>6.666666667</v>
      </c>
      <c r="AO30" s="156">
        <f t="shared" si="13"/>
        <v>6.666666667</v>
      </c>
      <c r="AP30" s="156">
        <f t="shared" si="13"/>
        <v>6.666666667</v>
      </c>
      <c r="AQ30" s="156">
        <f t="shared" si="13"/>
        <v>6.666666667</v>
      </c>
      <c r="AR30" s="156">
        <f t="shared" si="13"/>
        <v>6.666666667</v>
      </c>
      <c r="AS30" s="156">
        <f t="shared" si="13"/>
        <v>6.666666667</v>
      </c>
      <c r="AT30" s="156">
        <f t="shared" si="13"/>
        <v>6.666666667</v>
      </c>
      <c r="AU30" s="156">
        <f t="shared" si="13"/>
        <v>6.666666667</v>
      </c>
      <c r="AV30" s="156">
        <f t="shared" si="13"/>
        <v>6.666666667</v>
      </c>
      <c r="AW30" s="156">
        <f t="shared" si="13"/>
        <v>6.666666667</v>
      </c>
      <c r="AX30" s="156">
        <f t="shared" si="13"/>
        <v>6.666666667</v>
      </c>
      <c r="AY30" s="156">
        <f t="shared" si="13"/>
        <v>6.666666667</v>
      </c>
      <c r="AZ30" s="156">
        <f t="shared" si="13"/>
        <v>6.666666667</v>
      </c>
      <c r="BA30" s="156">
        <f t="shared" si="13"/>
        <v>6.666666667</v>
      </c>
      <c r="BB30" s="156">
        <f t="shared" si="13"/>
        <v>6.666666667</v>
      </c>
      <c r="BC30" s="156">
        <f t="shared" si="13"/>
        <v>6.666666667</v>
      </c>
      <c r="BD30" s="156">
        <f t="shared" si="13"/>
        <v>6.666666667</v>
      </c>
      <c r="BE30" s="156">
        <f t="shared" si="13"/>
        <v>6.666666667</v>
      </c>
      <c r="BF30" s="156">
        <f t="shared" si="13"/>
        <v>6.666666667</v>
      </c>
      <c r="BG30" s="156">
        <f t="shared" si="13"/>
        <v>6.666666667</v>
      </c>
      <c r="BH30" s="156">
        <f t="shared" si="13"/>
        <v>6.666666667</v>
      </c>
      <c r="BI30" s="156">
        <f t="shared" si="13"/>
        <v>6.666666667</v>
      </c>
      <c r="BJ30" s="156">
        <f t="shared" si="13"/>
        <v>6.666666667</v>
      </c>
      <c r="BK30" s="156">
        <f t="shared" si="13"/>
        <v>6.666666667</v>
      </c>
      <c r="BL30" s="156">
        <f t="shared" si="13"/>
        <v>6.666666667</v>
      </c>
      <c r="BM30" s="156">
        <f t="shared" si="13"/>
        <v>6.666666667</v>
      </c>
      <c r="BN30" s="156">
        <f t="shared" si="13"/>
        <v>6.666666667</v>
      </c>
      <c r="BO30" s="156">
        <f t="shared" si="13"/>
        <v>6.666666667</v>
      </c>
      <c r="BP30" s="156">
        <f t="shared" si="13"/>
        <v>6.666666667</v>
      </c>
      <c r="BQ30" s="156">
        <f t="shared" si="13"/>
        <v>6.666666667</v>
      </c>
      <c r="BR30" s="156">
        <f t="shared" si="13"/>
        <v>6.666666667</v>
      </c>
      <c r="BS30" s="156">
        <f t="shared" si="13"/>
        <v>6.666666667</v>
      </c>
      <c r="BT30" s="156">
        <f t="shared" si="13"/>
        <v>6.666666667</v>
      </c>
      <c r="BU30" s="156">
        <f t="shared" si="13"/>
        <v>6.666666667</v>
      </c>
      <c r="BV30" s="156">
        <f t="shared" si="13"/>
        <v>6.666666667</v>
      </c>
      <c r="BW30" s="156">
        <f t="shared" si="13"/>
        <v>6.666666667</v>
      </c>
      <c r="BX30" s="156">
        <f t="shared" si="13"/>
        <v>6.666666667</v>
      </c>
      <c r="BY30" s="156">
        <f t="shared" si="13"/>
        <v>6.666666667</v>
      </c>
      <c r="BZ30" s="156">
        <f t="shared" si="13"/>
        <v>6.666666667</v>
      </c>
      <c r="CA30" s="156">
        <f t="shared" si="13"/>
        <v>6.666666667</v>
      </c>
      <c r="CB30" s="156">
        <f t="shared" si="13"/>
        <v>6.666666667</v>
      </c>
      <c r="CC30" s="156">
        <f t="shared" si="13"/>
        <v>6.666666667</v>
      </c>
      <c r="CD30" s="156">
        <f t="shared" si="13"/>
        <v>6.666666667</v>
      </c>
      <c r="CE30" s="156">
        <f t="shared" si="13"/>
        <v>6.666666667</v>
      </c>
      <c r="CF30" s="156">
        <f t="shared" si="13"/>
        <v>6.666666667</v>
      </c>
      <c r="CG30" s="156">
        <f t="shared" si="13"/>
        <v>6.666666667</v>
      </c>
      <c r="CH30" s="156">
        <f t="shared" si="13"/>
        <v>6.666666667</v>
      </c>
      <c r="CI30" s="156">
        <f t="shared" si="13"/>
        <v>6.666666667</v>
      </c>
      <c r="CJ30" s="156">
        <f t="shared" si="13"/>
        <v>6.666666667</v>
      </c>
      <c r="CK30" s="156">
        <f t="shared" si="13"/>
        <v>6.666666667</v>
      </c>
      <c r="CL30" s="156">
        <f t="shared" si="13"/>
        <v>6.666666667</v>
      </c>
      <c r="CM30" s="156">
        <f t="shared" si="13"/>
        <v>6.666666667</v>
      </c>
      <c r="CN30" s="156">
        <f t="shared" si="13"/>
        <v>6.666666667</v>
      </c>
      <c r="CO30" s="156">
        <f t="shared" si="13"/>
        <v>6.666666667</v>
      </c>
      <c r="CP30" s="156">
        <f t="shared" si="13"/>
        <v>6.666666667</v>
      </c>
      <c r="CQ30" s="156">
        <f t="shared" si="13"/>
        <v>6.666666667</v>
      </c>
      <c r="CR30" s="156">
        <f t="shared" si="13"/>
        <v>6.666666667</v>
      </c>
      <c r="CS30" s="156">
        <f t="shared" si="13"/>
        <v>6.666666667</v>
      </c>
      <c r="CT30" s="156">
        <f t="shared" si="13"/>
        <v>6.666666667</v>
      </c>
      <c r="CU30" s="156">
        <f t="shared" si="13"/>
        <v>6.666666667</v>
      </c>
      <c r="CV30" s="156">
        <f t="shared" si="13"/>
        <v>6.666666667</v>
      </c>
      <c r="CW30" s="156">
        <f t="shared" si="13"/>
        <v>6.666666667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ht="15.75" customHeight="1">
      <c r="A32" s="50" t="s">
        <v>240</v>
      </c>
      <c r="B32" s="50"/>
      <c r="C32" s="157">
        <f t="shared" ref="C32:CW32" si="14">C27*C30</f>
        <v>0</v>
      </c>
      <c r="D32" s="158">
        <f t="shared" si="14"/>
        <v>666.6666667</v>
      </c>
      <c r="E32" s="158">
        <f t="shared" si="14"/>
        <v>666.6666667</v>
      </c>
      <c r="F32" s="158">
        <f t="shared" si="14"/>
        <v>666.6666667</v>
      </c>
      <c r="G32" s="158">
        <f t="shared" si="14"/>
        <v>666.6666667</v>
      </c>
      <c r="H32" s="158">
        <f t="shared" si="14"/>
        <v>666.6666667</v>
      </c>
      <c r="I32" s="158">
        <f t="shared" si="14"/>
        <v>666.6666667</v>
      </c>
      <c r="J32" s="158">
        <f t="shared" si="14"/>
        <v>666.6666667</v>
      </c>
      <c r="K32" s="158">
        <f t="shared" si="14"/>
        <v>666.6666667</v>
      </c>
      <c r="L32" s="158">
        <f t="shared" si="14"/>
        <v>666.6666667</v>
      </c>
      <c r="M32" s="158">
        <f t="shared" si="14"/>
        <v>666.6666667</v>
      </c>
      <c r="N32" s="158">
        <f t="shared" si="14"/>
        <v>666.6666667</v>
      </c>
      <c r="O32" s="158">
        <f t="shared" si="14"/>
        <v>666.6666667</v>
      </c>
      <c r="P32" s="158">
        <f t="shared" si="14"/>
        <v>666.6666667</v>
      </c>
      <c r="Q32" s="158">
        <f t="shared" si="14"/>
        <v>666.6666667</v>
      </c>
      <c r="R32" s="158">
        <f t="shared" si="14"/>
        <v>666.6666667</v>
      </c>
      <c r="S32" s="158">
        <f t="shared" si="14"/>
        <v>666.6666667</v>
      </c>
      <c r="T32" s="158">
        <f t="shared" si="14"/>
        <v>666.6666667</v>
      </c>
      <c r="U32" s="158">
        <f t="shared" si="14"/>
        <v>666.6666667</v>
      </c>
      <c r="V32" s="158">
        <f t="shared" si="14"/>
        <v>666.6666667</v>
      </c>
      <c r="W32" s="158">
        <f t="shared" si="14"/>
        <v>666.6666667</v>
      </c>
      <c r="X32" s="158">
        <f t="shared" si="14"/>
        <v>666.6666667</v>
      </c>
      <c r="Y32" s="158">
        <f t="shared" si="14"/>
        <v>666.6666667</v>
      </c>
      <c r="Z32" s="158">
        <f t="shared" si="14"/>
        <v>666.6666667</v>
      </c>
      <c r="AA32" s="158">
        <f t="shared" si="14"/>
        <v>666.6666667</v>
      </c>
      <c r="AB32" s="158">
        <f t="shared" si="14"/>
        <v>666.6666667</v>
      </c>
      <c r="AC32" s="158">
        <f t="shared" si="14"/>
        <v>666.6666667</v>
      </c>
      <c r="AD32" s="158">
        <f t="shared" si="14"/>
        <v>666.6666667</v>
      </c>
      <c r="AE32" s="158">
        <f t="shared" si="14"/>
        <v>666.6666667</v>
      </c>
      <c r="AF32" s="158">
        <f t="shared" si="14"/>
        <v>666.6666667</v>
      </c>
      <c r="AG32" s="158">
        <f t="shared" si="14"/>
        <v>666.6666667</v>
      </c>
      <c r="AH32" s="158">
        <f t="shared" si="14"/>
        <v>666.6666667</v>
      </c>
      <c r="AI32" s="158">
        <f t="shared" si="14"/>
        <v>666.6666667</v>
      </c>
      <c r="AJ32" s="158">
        <f t="shared" si="14"/>
        <v>666.6666667</v>
      </c>
      <c r="AK32" s="158">
        <f t="shared" si="14"/>
        <v>666.6666667</v>
      </c>
      <c r="AL32" s="158">
        <f t="shared" si="14"/>
        <v>666.6666667</v>
      </c>
      <c r="AM32" s="158">
        <f t="shared" si="14"/>
        <v>666.6666667</v>
      </c>
      <c r="AN32" s="158">
        <f t="shared" si="14"/>
        <v>666.6666667</v>
      </c>
      <c r="AO32" s="158">
        <f t="shared" si="14"/>
        <v>666.6666667</v>
      </c>
      <c r="AP32" s="158">
        <f t="shared" si="14"/>
        <v>666.6666667</v>
      </c>
      <c r="AQ32" s="158">
        <f t="shared" si="14"/>
        <v>666.6666667</v>
      </c>
      <c r="AR32" s="158">
        <f t="shared" si="14"/>
        <v>666.6666667</v>
      </c>
      <c r="AS32" s="158">
        <f t="shared" si="14"/>
        <v>666.6666667</v>
      </c>
      <c r="AT32" s="158">
        <f t="shared" si="14"/>
        <v>666.6666667</v>
      </c>
      <c r="AU32" s="158">
        <f t="shared" si="14"/>
        <v>666.6666667</v>
      </c>
      <c r="AV32" s="158">
        <f t="shared" si="14"/>
        <v>666.6666667</v>
      </c>
      <c r="AW32" s="158">
        <f t="shared" si="14"/>
        <v>666.6666667</v>
      </c>
      <c r="AX32" s="158">
        <f t="shared" si="14"/>
        <v>666.6666667</v>
      </c>
      <c r="AY32" s="158">
        <f t="shared" si="14"/>
        <v>666.6666667</v>
      </c>
      <c r="AZ32" s="158">
        <f t="shared" si="14"/>
        <v>666.6666667</v>
      </c>
      <c r="BA32" s="158">
        <f t="shared" si="14"/>
        <v>666.6666667</v>
      </c>
      <c r="BB32" s="158">
        <f t="shared" si="14"/>
        <v>666.6666667</v>
      </c>
      <c r="BC32" s="158">
        <f t="shared" si="14"/>
        <v>666.6666667</v>
      </c>
      <c r="BD32" s="158">
        <f t="shared" si="14"/>
        <v>666.6666667</v>
      </c>
      <c r="BE32" s="158">
        <f t="shared" si="14"/>
        <v>666.6666667</v>
      </c>
      <c r="BF32" s="158">
        <f t="shared" si="14"/>
        <v>666.6666667</v>
      </c>
      <c r="BG32" s="158">
        <f t="shared" si="14"/>
        <v>666.6666667</v>
      </c>
      <c r="BH32" s="158">
        <f t="shared" si="14"/>
        <v>666.6666667</v>
      </c>
      <c r="BI32" s="158">
        <f t="shared" si="14"/>
        <v>666.6666667</v>
      </c>
      <c r="BJ32" s="158">
        <f t="shared" si="14"/>
        <v>666.6666667</v>
      </c>
      <c r="BK32" s="158">
        <f t="shared" si="14"/>
        <v>666.6666667</v>
      </c>
      <c r="BL32" s="158">
        <f t="shared" si="14"/>
        <v>666.6666667</v>
      </c>
      <c r="BM32" s="158">
        <f t="shared" si="14"/>
        <v>666.6666667</v>
      </c>
      <c r="BN32" s="158">
        <f t="shared" si="14"/>
        <v>666.6666667</v>
      </c>
      <c r="BO32" s="158">
        <f t="shared" si="14"/>
        <v>666.6666667</v>
      </c>
      <c r="BP32" s="158">
        <f t="shared" si="14"/>
        <v>666.6666667</v>
      </c>
      <c r="BQ32" s="158">
        <f t="shared" si="14"/>
        <v>666.6666667</v>
      </c>
      <c r="BR32" s="158">
        <f t="shared" si="14"/>
        <v>666.6666667</v>
      </c>
      <c r="BS32" s="158">
        <f t="shared" si="14"/>
        <v>666.6666667</v>
      </c>
      <c r="BT32" s="158">
        <f t="shared" si="14"/>
        <v>666.6666667</v>
      </c>
      <c r="BU32" s="158">
        <f t="shared" si="14"/>
        <v>666.6666667</v>
      </c>
      <c r="BV32" s="158">
        <f t="shared" si="14"/>
        <v>666.6666667</v>
      </c>
      <c r="BW32" s="158">
        <f t="shared" si="14"/>
        <v>666.6666667</v>
      </c>
      <c r="BX32" s="158">
        <f t="shared" si="14"/>
        <v>666.6666667</v>
      </c>
      <c r="BY32" s="158">
        <f t="shared" si="14"/>
        <v>666.6666667</v>
      </c>
      <c r="BZ32" s="158">
        <f t="shared" si="14"/>
        <v>666.6666667</v>
      </c>
      <c r="CA32" s="158">
        <f t="shared" si="14"/>
        <v>666.6666667</v>
      </c>
      <c r="CB32" s="158">
        <f t="shared" si="14"/>
        <v>666.6666667</v>
      </c>
      <c r="CC32" s="158">
        <f t="shared" si="14"/>
        <v>666.6666667</v>
      </c>
      <c r="CD32" s="158">
        <f t="shared" si="14"/>
        <v>666.6666667</v>
      </c>
      <c r="CE32" s="158">
        <f t="shared" si="14"/>
        <v>666.6666667</v>
      </c>
      <c r="CF32" s="158">
        <f t="shared" si="14"/>
        <v>666.6666667</v>
      </c>
      <c r="CG32" s="158">
        <f t="shared" si="14"/>
        <v>666.6666667</v>
      </c>
      <c r="CH32" s="158">
        <f t="shared" si="14"/>
        <v>666.6666667</v>
      </c>
      <c r="CI32" s="158">
        <f t="shared" si="14"/>
        <v>666.6666667</v>
      </c>
      <c r="CJ32" s="158">
        <f t="shared" si="14"/>
        <v>666.6666667</v>
      </c>
      <c r="CK32" s="158">
        <f t="shared" si="14"/>
        <v>666.6666667</v>
      </c>
      <c r="CL32" s="158">
        <f t="shared" si="14"/>
        <v>666.6666667</v>
      </c>
      <c r="CM32" s="158">
        <f t="shared" si="14"/>
        <v>666.6666667</v>
      </c>
      <c r="CN32" s="158">
        <f t="shared" si="14"/>
        <v>666.6666667</v>
      </c>
      <c r="CO32" s="158">
        <f t="shared" si="14"/>
        <v>666.6666667</v>
      </c>
      <c r="CP32" s="158">
        <f t="shared" si="14"/>
        <v>666.6666667</v>
      </c>
      <c r="CQ32" s="158">
        <f t="shared" si="14"/>
        <v>666.6666667</v>
      </c>
      <c r="CR32" s="158">
        <f t="shared" si="14"/>
        <v>666.6666667</v>
      </c>
      <c r="CS32" s="158">
        <f t="shared" si="14"/>
        <v>666.6666667</v>
      </c>
      <c r="CT32" s="158">
        <f t="shared" si="14"/>
        <v>666.6666667</v>
      </c>
      <c r="CU32" s="158">
        <f t="shared" si="14"/>
        <v>666.6666667</v>
      </c>
      <c r="CV32" s="158">
        <f t="shared" si="14"/>
        <v>666.6666667</v>
      </c>
      <c r="CW32" s="158">
        <f t="shared" si="14"/>
        <v>666.6666667</v>
      </c>
    </row>
    <row r="33" ht="15.75" customHeight="1">
      <c r="A33" s="1" t="s">
        <v>241</v>
      </c>
      <c r="B33" s="1"/>
      <c r="C33" s="154">
        <f t="shared" ref="C33:CW33" si="15">C27*3</f>
        <v>0</v>
      </c>
      <c r="D33" s="159">
        <f t="shared" si="15"/>
        <v>300</v>
      </c>
      <c r="E33" s="159">
        <f t="shared" si="15"/>
        <v>300</v>
      </c>
      <c r="F33" s="159">
        <f t="shared" si="15"/>
        <v>300</v>
      </c>
      <c r="G33" s="159">
        <f t="shared" si="15"/>
        <v>300</v>
      </c>
      <c r="H33" s="159">
        <f t="shared" si="15"/>
        <v>300</v>
      </c>
      <c r="I33" s="159">
        <f t="shared" si="15"/>
        <v>300</v>
      </c>
      <c r="J33" s="159">
        <f t="shared" si="15"/>
        <v>300</v>
      </c>
      <c r="K33" s="159">
        <f t="shared" si="15"/>
        <v>300</v>
      </c>
      <c r="L33" s="159">
        <f t="shared" si="15"/>
        <v>300</v>
      </c>
      <c r="M33" s="159">
        <f t="shared" si="15"/>
        <v>300</v>
      </c>
      <c r="N33" s="159">
        <f t="shared" si="15"/>
        <v>300</v>
      </c>
      <c r="O33" s="159">
        <f t="shared" si="15"/>
        <v>300</v>
      </c>
      <c r="P33" s="159">
        <f t="shared" si="15"/>
        <v>300</v>
      </c>
      <c r="Q33" s="159">
        <f t="shared" si="15"/>
        <v>300</v>
      </c>
      <c r="R33" s="159">
        <f t="shared" si="15"/>
        <v>300</v>
      </c>
      <c r="S33" s="159">
        <f t="shared" si="15"/>
        <v>300</v>
      </c>
      <c r="T33" s="159">
        <f t="shared" si="15"/>
        <v>300</v>
      </c>
      <c r="U33" s="159">
        <f t="shared" si="15"/>
        <v>300</v>
      </c>
      <c r="V33" s="159">
        <f t="shared" si="15"/>
        <v>300</v>
      </c>
      <c r="W33" s="159">
        <f t="shared" si="15"/>
        <v>300</v>
      </c>
      <c r="X33" s="159">
        <f t="shared" si="15"/>
        <v>300</v>
      </c>
      <c r="Y33" s="159">
        <f t="shared" si="15"/>
        <v>300</v>
      </c>
      <c r="Z33" s="159">
        <f t="shared" si="15"/>
        <v>300</v>
      </c>
      <c r="AA33" s="159">
        <f t="shared" si="15"/>
        <v>300</v>
      </c>
      <c r="AB33" s="159">
        <f t="shared" si="15"/>
        <v>300</v>
      </c>
      <c r="AC33" s="159">
        <f t="shared" si="15"/>
        <v>300</v>
      </c>
      <c r="AD33" s="159">
        <f t="shared" si="15"/>
        <v>300</v>
      </c>
      <c r="AE33" s="159">
        <f t="shared" si="15"/>
        <v>300</v>
      </c>
      <c r="AF33" s="159">
        <f t="shared" si="15"/>
        <v>300</v>
      </c>
      <c r="AG33" s="159">
        <f t="shared" si="15"/>
        <v>300</v>
      </c>
      <c r="AH33" s="159">
        <f t="shared" si="15"/>
        <v>300</v>
      </c>
      <c r="AI33" s="159">
        <f t="shared" si="15"/>
        <v>300</v>
      </c>
      <c r="AJ33" s="159">
        <f t="shared" si="15"/>
        <v>300</v>
      </c>
      <c r="AK33" s="159">
        <f t="shared" si="15"/>
        <v>300</v>
      </c>
      <c r="AL33" s="159">
        <f t="shared" si="15"/>
        <v>300</v>
      </c>
      <c r="AM33" s="159">
        <f t="shared" si="15"/>
        <v>300</v>
      </c>
      <c r="AN33" s="159">
        <f t="shared" si="15"/>
        <v>300</v>
      </c>
      <c r="AO33" s="159">
        <f t="shared" si="15"/>
        <v>300</v>
      </c>
      <c r="AP33" s="159">
        <f t="shared" si="15"/>
        <v>300</v>
      </c>
      <c r="AQ33" s="159">
        <f t="shared" si="15"/>
        <v>300</v>
      </c>
      <c r="AR33" s="159">
        <f t="shared" si="15"/>
        <v>300</v>
      </c>
      <c r="AS33" s="159">
        <f t="shared" si="15"/>
        <v>300</v>
      </c>
      <c r="AT33" s="159">
        <f t="shared" si="15"/>
        <v>300</v>
      </c>
      <c r="AU33" s="159">
        <f t="shared" si="15"/>
        <v>300</v>
      </c>
      <c r="AV33" s="159">
        <f t="shared" si="15"/>
        <v>300</v>
      </c>
      <c r="AW33" s="159">
        <f t="shared" si="15"/>
        <v>300</v>
      </c>
      <c r="AX33" s="159">
        <f t="shared" si="15"/>
        <v>300</v>
      </c>
      <c r="AY33" s="159">
        <f t="shared" si="15"/>
        <v>300</v>
      </c>
      <c r="AZ33" s="159">
        <f t="shared" si="15"/>
        <v>300</v>
      </c>
      <c r="BA33" s="159">
        <f t="shared" si="15"/>
        <v>300</v>
      </c>
      <c r="BB33" s="159">
        <f t="shared" si="15"/>
        <v>300</v>
      </c>
      <c r="BC33" s="159">
        <f t="shared" si="15"/>
        <v>300</v>
      </c>
      <c r="BD33" s="159">
        <f t="shared" si="15"/>
        <v>300</v>
      </c>
      <c r="BE33" s="159">
        <f t="shared" si="15"/>
        <v>300</v>
      </c>
      <c r="BF33" s="159">
        <f t="shared" si="15"/>
        <v>300</v>
      </c>
      <c r="BG33" s="159">
        <f t="shared" si="15"/>
        <v>300</v>
      </c>
      <c r="BH33" s="159">
        <f t="shared" si="15"/>
        <v>300</v>
      </c>
      <c r="BI33" s="159">
        <f t="shared" si="15"/>
        <v>300</v>
      </c>
      <c r="BJ33" s="159">
        <f t="shared" si="15"/>
        <v>300</v>
      </c>
      <c r="BK33" s="159">
        <f t="shared" si="15"/>
        <v>300</v>
      </c>
      <c r="BL33" s="159">
        <f t="shared" si="15"/>
        <v>300</v>
      </c>
      <c r="BM33" s="159">
        <f t="shared" si="15"/>
        <v>300</v>
      </c>
      <c r="BN33" s="159">
        <f t="shared" si="15"/>
        <v>300</v>
      </c>
      <c r="BO33" s="159">
        <f t="shared" si="15"/>
        <v>300</v>
      </c>
      <c r="BP33" s="159">
        <f t="shared" si="15"/>
        <v>300</v>
      </c>
      <c r="BQ33" s="159">
        <f t="shared" si="15"/>
        <v>300</v>
      </c>
      <c r="BR33" s="159">
        <f t="shared" si="15"/>
        <v>300</v>
      </c>
      <c r="BS33" s="159">
        <f t="shared" si="15"/>
        <v>300</v>
      </c>
      <c r="BT33" s="159">
        <f t="shared" si="15"/>
        <v>300</v>
      </c>
      <c r="BU33" s="159">
        <f t="shared" si="15"/>
        <v>300</v>
      </c>
      <c r="BV33" s="159">
        <f t="shared" si="15"/>
        <v>300</v>
      </c>
      <c r="BW33" s="159">
        <f t="shared" si="15"/>
        <v>300</v>
      </c>
      <c r="BX33" s="159">
        <f t="shared" si="15"/>
        <v>300</v>
      </c>
      <c r="BY33" s="159">
        <f t="shared" si="15"/>
        <v>300</v>
      </c>
      <c r="BZ33" s="159">
        <f t="shared" si="15"/>
        <v>300</v>
      </c>
      <c r="CA33" s="159">
        <f t="shared" si="15"/>
        <v>300</v>
      </c>
      <c r="CB33" s="159">
        <f t="shared" si="15"/>
        <v>300</v>
      </c>
      <c r="CC33" s="159">
        <f t="shared" si="15"/>
        <v>300</v>
      </c>
      <c r="CD33" s="159">
        <f t="shared" si="15"/>
        <v>300</v>
      </c>
      <c r="CE33" s="159">
        <f t="shared" si="15"/>
        <v>300</v>
      </c>
      <c r="CF33" s="159">
        <f t="shared" si="15"/>
        <v>300</v>
      </c>
      <c r="CG33" s="159">
        <f t="shared" si="15"/>
        <v>300</v>
      </c>
      <c r="CH33" s="159">
        <f t="shared" si="15"/>
        <v>300</v>
      </c>
      <c r="CI33" s="159">
        <f t="shared" si="15"/>
        <v>300</v>
      </c>
      <c r="CJ33" s="159">
        <f t="shared" si="15"/>
        <v>300</v>
      </c>
      <c r="CK33" s="159">
        <f t="shared" si="15"/>
        <v>300</v>
      </c>
      <c r="CL33" s="159">
        <f t="shared" si="15"/>
        <v>300</v>
      </c>
      <c r="CM33" s="159">
        <f t="shared" si="15"/>
        <v>300</v>
      </c>
      <c r="CN33" s="159">
        <f t="shared" si="15"/>
        <v>300</v>
      </c>
      <c r="CO33" s="159">
        <f t="shared" si="15"/>
        <v>300</v>
      </c>
      <c r="CP33" s="159">
        <f t="shared" si="15"/>
        <v>300</v>
      </c>
      <c r="CQ33" s="159">
        <f t="shared" si="15"/>
        <v>300</v>
      </c>
      <c r="CR33" s="159">
        <f t="shared" si="15"/>
        <v>300</v>
      </c>
      <c r="CS33" s="159">
        <f t="shared" si="15"/>
        <v>300</v>
      </c>
      <c r="CT33" s="159">
        <f t="shared" si="15"/>
        <v>300</v>
      </c>
      <c r="CU33" s="159">
        <f t="shared" si="15"/>
        <v>300</v>
      </c>
      <c r="CV33" s="159">
        <f t="shared" si="15"/>
        <v>300</v>
      </c>
      <c r="CW33" s="159">
        <f t="shared" si="15"/>
        <v>300</v>
      </c>
    </row>
    <row r="34" ht="15.75" customHeight="1">
      <c r="A34" s="1" t="s">
        <v>242</v>
      </c>
      <c r="B34" s="1"/>
      <c r="C34" s="154">
        <f t="shared" ref="C34:CW34" si="16">C27*6</f>
        <v>0</v>
      </c>
      <c r="D34" s="159">
        <f t="shared" si="16"/>
        <v>600</v>
      </c>
      <c r="E34" s="159">
        <f t="shared" si="16"/>
        <v>600</v>
      </c>
      <c r="F34" s="159">
        <f t="shared" si="16"/>
        <v>600</v>
      </c>
      <c r="G34" s="159">
        <f t="shared" si="16"/>
        <v>600</v>
      </c>
      <c r="H34" s="159">
        <f t="shared" si="16"/>
        <v>600</v>
      </c>
      <c r="I34" s="159">
        <f t="shared" si="16"/>
        <v>600</v>
      </c>
      <c r="J34" s="159">
        <f t="shared" si="16"/>
        <v>600</v>
      </c>
      <c r="K34" s="159">
        <f t="shared" si="16"/>
        <v>600</v>
      </c>
      <c r="L34" s="159">
        <f t="shared" si="16"/>
        <v>600</v>
      </c>
      <c r="M34" s="159">
        <f t="shared" si="16"/>
        <v>600</v>
      </c>
      <c r="N34" s="159">
        <f t="shared" si="16"/>
        <v>600</v>
      </c>
      <c r="O34" s="159">
        <f t="shared" si="16"/>
        <v>600</v>
      </c>
      <c r="P34" s="159">
        <f t="shared" si="16"/>
        <v>600</v>
      </c>
      <c r="Q34" s="159">
        <f t="shared" si="16"/>
        <v>600</v>
      </c>
      <c r="R34" s="159">
        <f t="shared" si="16"/>
        <v>600</v>
      </c>
      <c r="S34" s="159">
        <f t="shared" si="16"/>
        <v>600</v>
      </c>
      <c r="T34" s="159">
        <f t="shared" si="16"/>
        <v>600</v>
      </c>
      <c r="U34" s="159">
        <f t="shared" si="16"/>
        <v>600</v>
      </c>
      <c r="V34" s="159">
        <f t="shared" si="16"/>
        <v>600</v>
      </c>
      <c r="W34" s="159">
        <f t="shared" si="16"/>
        <v>600</v>
      </c>
      <c r="X34" s="159">
        <f t="shared" si="16"/>
        <v>600</v>
      </c>
      <c r="Y34" s="159">
        <f t="shared" si="16"/>
        <v>600</v>
      </c>
      <c r="Z34" s="159">
        <f t="shared" si="16"/>
        <v>600</v>
      </c>
      <c r="AA34" s="159">
        <f t="shared" si="16"/>
        <v>600</v>
      </c>
      <c r="AB34" s="159">
        <f t="shared" si="16"/>
        <v>600</v>
      </c>
      <c r="AC34" s="159">
        <f t="shared" si="16"/>
        <v>600</v>
      </c>
      <c r="AD34" s="159">
        <f t="shared" si="16"/>
        <v>600</v>
      </c>
      <c r="AE34" s="159">
        <f t="shared" si="16"/>
        <v>600</v>
      </c>
      <c r="AF34" s="159">
        <f t="shared" si="16"/>
        <v>600</v>
      </c>
      <c r="AG34" s="159">
        <f t="shared" si="16"/>
        <v>600</v>
      </c>
      <c r="AH34" s="159">
        <f t="shared" si="16"/>
        <v>600</v>
      </c>
      <c r="AI34" s="159">
        <f t="shared" si="16"/>
        <v>600</v>
      </c>
      <c r="AJ34" s="159">
        <f t="shared" si="16"/>
        <v>600</v>
      </c>
      <c r="AK34" s="159">
        <f t="shared" si="16"/>
        <v>600</v>
      </c>
      <c r="AL34" s="159">
        <f t="shared" si="16"/>
        <v>600</v>
      </c>
      <c r="AM34" s="159">
        <f t="shared" si="16"/>
        <v>600</v>
      </c>
      <c r="AN34" s="159">
        <f t="shared" si="16"/>
        <v>600</v>
      </c>
      <c r="AO34" s="159">
        <f t="shared" si="16"/>
        <v>600</v>
      </c>
      <c r="AP34" s="159">
        <f t="shared" si="16"/>
        <v>600</v>
      </c>
      <c r="AQ34" s="159">
        <f t="shared" si="16"/>
        <v>600</v>
      </c>
      <c r="AR34" s="159">
        <f t="shared" si="16"/>
        <v>600</v>
      </c>
      <c r="AS34" s="159">
        <f t="shared" si="16"/>
        <v>600</v>
      </c>
      <c r="AT34" s="159">
        <f t="shared" si="16"/>
        <v>600</v>
      </c>
      <c r="AU34" s="159">
        <f t="shared" si="16"/>
        <v>600</v>
      </c>
      <c r="AV34" s="159">
        <f t="shared" si="16"/>
        <v>600</v>
      </c>
      <c r="AW34" s="159">
        <f t="shared" si="16"/>
        <v>600</v>
      </c>
      <c r="AX34" s="159">
        <f t="shared" si="16"/>
        <v>600</v>
      </c>
      <c r="AY34" s="159">
        <f t="shared" si="16"/>
        <v>600</v>
      </c>
      <c r="AZ34" s="159">
        <f t="shared" si="16"/>
        <v>600</v>
      </c>
      <c r="BA34" s="159">
        <f t="shared" si="16"/>
        <v>600</v>
      </c>
      <c r="BB34" s="159">
        <f t="shared" si="16"/>
        <v>600</v>
      </c>
      <c r="BC34" s="159">
        <f t="shared" si="16"/>
        <v>600</v>
      </c>
      <c r="BD34" s="159">
        <f t="shared" si="16"/>
        <v>600</v>
      </c>
      <c r="BE34" s="159">
        <f t="shared" si="16"/>
        <v>600</v>
      </c>
      <c r="BF34" s="159">
        <f t="shared" si="16"/>
        <v>600</v>
      </c>
      <c r="BG34" s="159">
        <f t="shared" si="16"/>
        <v>600</v>
      </c>
      <c r="BH34" s="159">
        <f t="shared" si="16"/>
        <v>600</v>
      </c>
      <c r="BI34" s="159">
        <f t="shared" si="16"/>
        <v>600</v>
      </c>
      <c r="BJ34" s="159">
        <f t="shared" si="16"/>
        <v>600</v>
      </c>
      <c r="BK34" s="159">
        <f t="shared" si="16"/>
        <v>600</v>
      </c>
      <c r="BL34" s="159">
        <f t="shared" si="16"/>
        <v>600</v>
      </c>
      <c r="BM34" s="159">
        <f t="shared" si="16"/>
        <v>600</v>
      </c>
      <c r="BN34" s="159">
        <f t="shared" si="16"/>
        <v>600</v>
      </c>
      <c r="BO34" s="159">
        <f t="shared" si="16"/>
        <v>600</v>
      </c>
      <c r="BP34" s="159">
        <f t="shared" si="16"/>
        <v>600</v>
      </c>
      <c r="BQ34" s="159">
        <f t="shared" si="16"/>
        <v>600</v>
      </c>
      <c r="BR34" s="159">
        <f t="shared" si="16"/>
        <v>600</v>
      </c>
      <c r="BS34" s="159">
        <f t="shared" si="16"/>
        <v>600</v>
      </c>
      <c r="BT34" s="159">
        <f t="shared" si="16"/>
        <v>600</v>
      </c>
      <c r="BU34" s="159">
        <f t="shared" si="16"/>
        <v>600</v>
      </c>
      <c r="BV34" s="159">
        <f t="shared" si="16"/>
        <v>600</v>
      </c>
      <c r="BW34" s="159">
        <f t="shared" si="16"/>
        <v>600</v>
      </c>
      <c r="BX34" s="159">
        <f t="shared" si="16"/>
        <v>600</v>
      </c>
      <c r="BY34" s="159">
        <f t="shared" si="16"/>
        <v>600</v>
      </c>
      <c r="BZ34" s="159">
        <f t="shared" si="16"/>
        <v>600</v>
      </c>
      <c r="CA34" s="159">
        <f t="shared" si="16"/>
        <v>600</v>
      </c>
      <c r="CB34" s="159">
        <f t="shared" si="16"/>
        <v>600</v>
      </c>
      <c r="CC34" s="159">
        <f t="shared" si="16"/>
        <v>600</v>
      </c>
      <c r="CD34" s="159">
        <f t="shared" si="16"/>
        <v>600</v>
      </c>
      <c r="CE34" s="159">
        <f t="shared" si="16"/>
        <v>600</v>
      </c>
      <c r="CF34" s="159">
        <f t="shared" si="16"/>
        <v>600</v>
      </c>
      <c r="CG34" s="159">
        <f t="shared" si="16"/>
        <v>600</v>
      </c>
      <c r="CH34" s="159">
        <f t="shared" si="16"/>
        <v>600</v>
      </c>
      <c r="CI34" s="159">
        <f t="shared" si="16"/>
        <v>600</v>
      </c>
      <c r="CJ34" s="159">
        <f t="shared" si="16"/>
        <v>600</v>
      </c>
      <c r="CK34" s="159">
        <f t="shared" si="16"/>
        <v>600</v>
      </c>
      <c r="CL34" s="159">
        <f t="shared" si="16"/>
        <v>600</v>
      </c>
      <c r="CM34" s="159">
        <f t="shared" si="16"/>
        <v>600</v>
      </c>
      <c r="CN34" s="159">
        <f t="shared" si="16"/>
        <v>600</v>
      </c>
      <c r="CO34" s="159">
        <f t="shared" si="16"/>
        <v>600</v>
      </c>
      <c r="CP34" s="159">
        <f t="shared" si="16"/>
        <v>600</v>
      </c>
      <c r="CQ34" s="159">
        <f t="shared" si="16"/>
        <v>600</v>
      </c>
      <c r="CR34" s="159">
        <f t="shared" si="16"/>
        <v>600</v>
      </c>
      <c r="CS34" s="159">
        <f t="shared" si="16"/>
        <v>600</v>
      </c>
      <c r="CT34" s="159">
        <f t="shared" si="16"/>
        <v>600</v>
      </c>
      <c r="CU34" s="159">
        <f t="shared" si="16"/>
        <v>600</v>
      </c>
      <c r="CV34" s="159">
        <f t="shared" si="16"/>
        <v>600</v>
      </c>
      <c r="CW34" s="159">
        <f t="shared" si="16"/>
        <v>600</v>
      </c>
    </row>
    <row r="35" ht="15.75" customHeight="1">
      <c r="A35" s="1" t="s">
        <v>243</v>
      </c>
      <c r="B35" s="1"/>
      <c r="C35" s="154">
        <f t="shared" ref="C35:CW35" si="17">C27*12</f>
        <v>0</v>
      </c>
      <c r="D35" s="159">
        <f t="shared" si="17"/>
        <v>1200</v>
      </c>
      <c r="E35" s="159">
        <f t="shared" si="17"/>
        <v>1200</v>
      </c>
      <c r="F35" s="159">
        <f t="shared" si="17"/>
        <v>1200</v>
      </c>
      <c r="G35" s="159">
        <f t="shared" si="17"/>
        <v>1200</v>
      </c>
      <c r="H35" s="159">
        <f t="shared" si="17"/>
        <v>1200</v>
      </c>
      <c r="I35" s="159">
        <f t="shared" si="17"/>
        <v>1200</v>
      </c>
      <c r="J35" s="159">
        <f t="shared" si="17"/>
        <v>1200</v>
      </c>
      <c r="K35" s="159">
        <f t="shared" si="17"/>
        <v>1200</v>
      </c>
      <c r="L35" s="159">
        <f t="shared" si="17"/>
        <v>1200</v>
      </c>
      <c r="M35" s="159">
        <f t="shared" si="17"/>
        <v>1200</v>
      </c>
      <c r="N35" s="159">
        <f t="shared" si="17"/>
        <v>1200</v>
      </c>
      <c r="O35" s="159">
        <f t="shared" si="17"/>
        <v>1200</v>
      </c>
      <c r="P35" s="159">
        <f t="shared" si="17"/>
        <v>1200</v>
      </c>
      <c r="Q35" s="159">
        <f t="shared" si="17"/>
        <v>1200</v>
      </c>
      <c r="R35" s="159">
        <f t="shared" si="17"/>
        <v>1200</v>
      </c>
      <c r="S35" s="159">
        <f t="shared" si="17"/>
        <v>1200</v>
      </c>
      <c r="T35" s="159">
        <f t="shared" si="17"/>
        <v>1200</v>
      </c>
      <c r="U35" s="159">
        <f t="shared" si="17"/>
        <v>1200</v>
      </c>
      <c r="V35" s="159">
        <f t="shared" si="17"/>
        <v>1200</v>
      </c>
      <c r="W35" s="159">
        <f t="shared" si="17"/>
        <v>1200</v>
      </c>
      <c r="X35" s="159">
        <f t="shared" si="17"/>
        <v>1200</v>
      </c>
      <c r="Y35" s="159">
        <f t="shared" si="17"/>
        <v>1200</v>
      </c>
      <c r="Z35" s="159">
        <f t="shared" si="17"/>
        <v>1200</v>
      </c>
      <c r="AA35" s="159">
        <f t="shared" si="17"/>
        <v>1200</v>
      </c>
      <c r="AB35" s="159">
        <f t="shared" si="17"/>
        <v>1200</v>
      </c>
      <c r="AC35" s="159">
        <f t="shared" si="17"/>
        <v>1200</v>
      </c>
      <c r="AD35" s="159">
        <f t="shared" si="17"/>
        <v>1200</v>
      </c>
      <c r="AE35" s="159">
        <f t="shared" si="17"/>
        <v>1200</v>
      </c>
      <c r="AF35" s="159">
        <f t="shared" si="17"/>
        <v>1200</v>
      </c>
      <c r="AG35" s="159">
        <f t="shared" si="17"/>
        <v>1200</v>
      </c>
      <c r="AH35" s="159">
        <f t="shared" si="17"/>
        <v>1200</v>
      </c>
      <c r="AI35" s="159">
        <f t="shared" si="17"/>
        <v>1200</v>
      </c>
      <c r="AJ35" s="159">
        <f t="shared" si="17"/>
        <v>1200</v>
      </c>
      <c r="AK35" s="159">
        <f t="shared" si="17"/>
        <v>1200</v>
      </c>
      <c r="AL35" s="159">
        <f t="shared" si="17"/>
        <v>1200</v>
      </c>
      <c r="AM35" s="159">
        <f t="shared" si="17"/>
        <v>1200</v>
      </c>
      <c r="AN35" s="159">
        <f t="shared" si="17"/>
        <v>1200</v>
      </c>
      <c r="AO35" s="159">
        <f t="shared" si="17"/>
        <v>1200</v>
      </c>
      <c r="AP35" s="159">
        <f t="shared" si="17"/>
        <v>1200</v>
      </c>
      <c r="AQ35" s="159">
        <f t="shared" si="17"/>
        <v>1200</v>
      </c>
      <c r="AR35" s="159">
        <f t="shared" si="17"/>
        <v>1200</v>
      </c>
      <c r="AS35" s="159">
        <f t="shared" si="17"/>
        <v>1200</v>
      </c>
      <c r="AT35" s="159">
        <f t="shared" si="17"/>
        <v>1200</v>
      </c>
      <c r="AU35" s="159">
        <f t="shared" si="17"/>
        <v>1200</v>
      </c>
      <c r="AV35" s="159">
        <f t="shared" si="17"/>
        <v>1200</v>
      </c>
      <c r="AW35" s="159">
        <f t="shared" si="17"/>
        <v>1200</v>
      </c>
      <c r="AX35" s="159">
        <f t="shared" si="17"/>
        <v>1200</v>
      </c>
      <c r="AY35" s="159">
        <f t="shared" si="17"/>
        <v>1200</v>
      </c>
      <c r="AZ35" s="159">
        <f t="shared" si="17"/>
        <v>1200</v>
      </c>
      <c r="BA35" s="159">
        <f t="shared" si="17"/>
        <v>1200</v>
      </c>
      <c r="BB35" s="159">
        <f t="shared" si="17"/>
        <v>1200</v>
      </c>
      <c r="BC35" s="159">
        <f t="shared" si="17"/>
        <v>1200</v>
      </c>
      <c r="BD35" s="159">
        <f t="shared" si="17"/>
        <v>1200</v>
      </c>
      <c r="BE35" s="159">
        <f t="shared" si="17"/>
        <v>1200</v>
      </c>
      <c r="BF35" s="159">
        <f t="shared" si="17"/>
        <v>1200</v>
      </c>
      <c r="BG35" s="159">
        <f t="shared" si="17"/>
        <v>1200</v>
      </c>
      <c r="BH35" s="159">
        <f t="shared" si="17"/>
        <v>1200</v>
      </c>
      <c r="BI35" s="159">
        <f t="shared" si="17"/>
        <v>1200</v>
      </c>
      <c r="BJ35" s="159">
        <f t="shared" si="17"/>
        <v>1200</v>
      </c>
      <c r="BK35" s="159">
        <f t="shared" si="17"/>
        <v>1200</v>
      </c>
      <c r="BL35" s="159">
        <f t="shared" si="17"/>
        <v>1200</v>
      </c>
      <c r="BM35" s="159">
        <f t="shared" si="17"/>
        <v>1200</v>
      </c>
      <c r="BN35" s="159">
        <f t="shared" si="17"/>
        <v>1200</v>
      </c>
      <c r="BO35" s="159">
        <f t="shared" si="17"/>
        <v>1200</v>
      </c>
      <c r="BP35" s="159">
        <f t="shared" si="17"/>
        <v>1200</v>
      </c>
      <c r="BQ35" s="159">
        <f t="shared" si="17"/>
        <v>1200</v>
      </c>
      <c r="BR35" s="159">
        <f t="shared" si="17"/>
        <v>1200</v>
      </c>
      <c r="BS35" s="159">
        <f t="shared" si="17"/>
        <v>1200</v>
      </c>
      <c r="BT35" s="159">
        <f t="shared" si="17"/>
        <v>1200</v>
      </c>
      <c r="BU35" s="159">
        <f t="shared" si="17"/>
        <v>1200</v>
      </c>
      <c r="BV35" s="159">
        <f t="shared" si="17"/>
        <v>1200</v>
      </c>
      <c r="BW35" s="159">
        <f t="shared" si="17"/>
        <v>1200</v>
      </c>
      <c r="BX35" s="159">
        <f t="shared" si="17"/>
        <v>1200</v>
      </c>
      <c r="BY35" s="159">
        <f t="shared" si="17"/>
        <v>1200</v>
      </c>
      <c r="BZ35" s="159">
        <f t="shared" si="17"/>
        <v>1200</v>
      </c>
      <c r="CA35" s="159">
        <f t="shared" si="17"/>
        <v>1200</v>
      </c>
      <c r="CB35" s="159">
        <f t="shared" si="17"/>
        <v>1200</v>
      </c>
      <c r="CC35" s="159">
        <f t="shared" si="17"/>
        <v>1200</v>
      </c>
      <c r="CD35" s="159">
        <f t="shared" si="17"/>
        <v>1200</v>
      </c>
      <c r="CE35" s="159">
        <f t="shared" si="17"/>
        <v>1200</v>
      </c>
      <c r="CF35" s="159">
        <f t="shared" si="17"/>
        <v>1200</v>
      </c>
      <c r="CG35" s="159">
        <f t="shared" si="17"/>
        <v>1200</v>
      </c>
      <c r="CH35" s="159">
        <f t="shared" si="17"/>
        <v>1200</v>
      </c>
      <c r="CI35" s="159">
        <f t="shared" si="17"/>
        <v>1200</v>
      </c>
      <c r="CJ35" s="159">
        <f t="shared" si="17"/>
        <v>1200</v>
      </c>
      <c r="CK35" s="159">
        <f t="shared" si="17"/>
        <v>1200</v>
      </c>
      <c r="CL35" s="159">
        <f t="shared" si="17"/>
        <v>1200</v>
      </c>
      <c r="CM35" s="159">
        <f t="shared" si="17"/>
        <v>1200</v>
      </c>
      <c r="CN35" s="159">
        <f t="shared" si="17"/>
        <v>1200</v>
      </c>
      <c r="CO35" s="159">
        <f t="shared" si="17"/>
        <v>1200</v>
      </c>
      <c r="CP35" s="159">
        <f t="shared" si="17"/>
        <v>1200</v>
      </c>
      <c r="CQ35" s="159">
        <f t="shared" si="17"/>
        <v>1200</v>
      </c>
      <c r="CR35" s="159">
        <f t="shared" si="17"/>
        <v>1200</v>
      </c>
      <c r="CS35" s="159">
        <f t="shared" si="17"/>
        <v>1200</v>
      </c>
      <c r="CT35" s="159">
        <f t="shared" si="17"/>
        <v>1200</v>
      </c>
      <c r="CU35" s="159">
        <f t="shared" si="17"/>
        <v>1200</v>
      </c>
      <c r="CV35" s="159">
        <f t="shared" si="17"/>
        <v>1200</v>
      </c>
      <c r="CW35" s="159">
        <f t="shared" si="17"/>
        <v>1200</v>
      </c>
    </row>
    <row r="36" ht="15.75" customHeight="1">
      <c r="A36" s="1"/>
      <c r="B36" s="1"/>
      <c r="C36" s="1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</row>
    <row r="37" ht="15.75" customHeight="1">
      <c r="A37" s="1" t="s">
        <v>249</v>
      </c>
      <c r="B37" s="1"/>
      <c r="C37" s="1"/>
      <c r="D37" s="159">
        <f>'Monthly forecast'!E10/Projections!$B$45/Projections!$B$50</f>
        <v>300</v>
      </c>
      <c r="E37" s="159">
        <f>'Monthly forecast'!F10/Projections!$B$45/Projections!$B$50</f>
        <v>285</v>
      </c>
      <c r="F37" s="159">
        <f>'Monthly forecast'!G10/Projections!$B$45/Projections!$B$50</f>
        <v>270.75</v>
      </c>
      <c r="G37" s="159">
        <f>'Monthly forecast'!H10/Projections!$B$45/Projections!$B$50</f>
        <v>257.2125</v>
      </c>
      <c r="H37" s="159">
        <f>'Monthly forecast'!I10/Projections!$B$45/Projections!$B$50</f>
        <v>244.351875</v>
      </c>
      <c r="I37" s="159">
        <f>'Monthly forecast'!J10/Projections!$B$45/Projections!$B$50</f>
        <v>232.1342813</v>
      </c>
      <c r="J37" s="159">
        <f>'Monthly forecast'!K10/Projections!$B$45/Projections!$B$50</f>
        <v>220.5275672</v>
      </c>
      <c r="K37" s="159">
        <f>'Monthly forecast'!L10/Projections!$B$45/Projections!$B$50</f>
        <v>209.5011888</v>
      </c>
      <c r="L37" s="159">
        <f>'Monthly forecast'!M10/Projections!$B$45/Projections!$B$50</f>
        <v>200</v>
      </c>
      <c r="M37" s="159">
        <f>'Monthly forecast'!N10/Projections!$B$45/Projections!$B$50</f>
        <v>200</v>
      </c>
      <c r="N37" s="159">
        <f>'Monthly forecast'!O10/Projections!$B$45/Projections!$B$50</f>
        <v>200</v>
      </c>
      <c r="O37" s="159">
        <f>'Monthly forecast'!P10/Projections!$B$45/Projections!$B$50</f>
        <v>200</v>
      </c>
      <c r="P37" s="159">
        <f>'Monthly forecast'!Q10/Projections!$B$45/Projections!$B$50</f>
        <v>200</v>
      </c>
      <c r="Q37" s="159">
        <f>'Monthly forecast'!R10/Projections!$B$45/Projections!$B$50</f>
        <v>200</v>
      </c>
      <c r="R37" s="159">
        <f>'Monthly forecast'!S10/Projections!$B$45/Projections!$B$50</f>
        <v>200</v>
      </c>
      <c r="S37" s="159">
        <f>'Monthly forecast'!T10/Projections!$B$45/Projections!$B$50</f>
        <v>200</v>
      </c>
      <c r="T37" s="159">
        <f>'Monthly forecast'!U10/Projections!$B$45/Projections!$B$50</f>
        <v>200</v>
      </c>
      <c r="U37" s="159">
        <f>'Monthly forecast'!V10/Projections!$B$45/Projections!$B$50</f>
        <v>200</v>
      </c>
      <c r="V37" s="159">
        <f>'Monthly forecast'!W10/Projections!$B$45/Projections!$B$50</f>
        <v>200</v>
      </c>
      <c r="W37" s="159">
        <f>'Monthly forecast'!X10/Projections!$B$45/Projections!$B$50</f>
        <v>200</v>
      </c>
      <c r="X37" s="159">
        <f>'Monthly forecast'!Y10/Projections!$B$45/Projections!$B$50</f>
        <v>200</v>
      </c>
      <c r="Y37" s="159">
        <f>'Monthly forecast'!Z10/Projections!$B$45/Projections!$B$50</f>
        <v>200</v>
      </c>
      <c r="Z37" s="159">
        <f>'Monthly forecast'!AA10/Projections!$B$45/Projections!$B$50</f>
        <v>200</v>
      </c>
      <c r="AA37" s="159">
        <f>'Monthly forecast'!AB10/Projections!$B$45/Projections!$B$50</f>
        <v>200</v>
      </c>
      <c r="AB37" s="159">
        <f>'Monthly forecast'!AC10/Projections!$B$45/Projections!$B$50</f>
        <v>200</v>
      </c>
      <c r="AC37" s="159">
        <f>'Monthly forecast'!AD10/Projections!$B$45/Projections!$B$50</f>
        <v>200</v>
      </c>
      <c r="AD37" s="159">
        <f>'Monthly forecast'!AE10/Projections!$B$45/Projections!$B$50</f>
        <v>200</v>
      </c>
      <c r="AE37" s="159">
        <f>'Monthly forecast'!AF10/Projections!$B$45/Projections!$B$50</f>
        <v>200</v>
      </c>
      <c r="AF37" s="159">
        <f>'Monthly forecast'!AG10/Projections!$B$45/Projections!$B$50</f>
        <v>200</v>
      </c>
      <c r="AG37" s="159">
        <f>'Monthly forecast'!AH10/Projections!$B$45/Projections!$B$50</f>
        <v>200</v>
      </c>
      <c r="AH37" s="159">
        <f>'Monthly forecast'!AI10/Projections!$B$45/Projections!$B$50</f>
        <v>200</v>
      </c>
      <c r="AI37" s="159">
        <f>'Monthly forecast'!AJ10/Projections!$B$45/Projections!$B$50</f>
        <v>200</v>
      </c>
      <c r="AJ37" s="159">
        <f>'Monthly forecast'!AK10/Projections!$B$45/Projections!$B$50</f>
        <v>200</v>
      </c>
      <c r="AK37" s="159">
        <f>'Monthly forecast'!AL10/Projections!$B$45/Projections!$B$50</f>
        <v>200</v>
      </c>
      <c r="AL37" s="159">
        <f>'Monthly forecast'!AM10/Projections!$B$45/Projections!$B$50</f>
        <v>200</v>
      </c>
      <c r="AM37" s="159">
        <f>'Monthly forecast'!AN10/Projections!$B$45/Projections!$B$50</f>
        <v>200</v>
      </c>
      <c r="AN37" s="159">
        <f>'Monthly forecast'!AO10/Projections!$B$45/Projections!$B$50</f>
        <v>200</v>
      </c>
      <c r="AO37" s="159">
        <f>'Monthly forecast'!AP10/Projections!$B$45/Projections!$B$50</f>
        <v>200</v>
      </c>
      <c r="AP37" s="159">
        <f>'Monthly forecast'!AQ10/Projections!$B$45/Projections!$B$50</f>
        <v>200</v>
      </c>
      <c r="AQ37" s="159">
        <f>'Monthly forecast'!AR10/Projections!$B$45/Projections!$B$50</f>
        <v>200</v>
      </c>
      <c r="AR37" s="159">
        <f>'Monthly forecast'!AS10/Projections!$B$45/Projections!$B$50</f>
        <v>200</v>
      </c>
      <c r="AS37" s="159">
        <f>'Monthly forecast'!AT10/Projections!$B$45/Projections!$B$50</f>
        <v>200</v>
      </c>
      <c r="AT37" s="159">
        <f>'Monthly forecast'!AU10/Projections!$B$45/Projections!$B$50</f>
        <v>200</v>
      </c>
      <c r="AU37" s="159">
        <f>'Monthly forecast'!AV10/Projections!$B$45/Projections!$B$50</f>
        <v>200</v>
      </c>
      <c r="AV37" s="159">
        <f>'Monthly forecast'!AW10/Projections!$B$45/Projections!$B$50</f>
        <v>200</v>
      </c>
      <c r="AW37" s="159">
        <f>'Monthly forecast'!AX10/Projections!$B$45/Projections!$B$50</f>
        <v>200</v>
      </c>
      <c r="AX37" s="159">
        <f>'Monthly forecast'!AY10/Projections!$B$45/Projections!$B$50</f>
        <v>200</v>
      </c>
      <c r="AY37" s="159">
        <f>'Monthly forecast'!AZ10/Projections!$B$45/Projections!$B$50</f>
        <v>200</v>
      </c>
      <c r="AZ37" s="159">
        <f>'Monthly forecast'!BA10/Projections!$B$45/Projections!$B$50</f>
        <v>200</v>
      </c>
      <c r="BA37" s="159">
        <f>'Monthly forecast'!BB10/Projections!$B$45/Projections!$B$50</f>
        <v>200</v>
      </c>
      <c r="BB37" s="159">
        <f>'Monthly forecast'!BC10/Projections!$B$45/Projections!$B$50</f>
        <v>200</v>
      </c>
      <c r="BC37" s="159">
        <f>'Monthly forecast'!BD10/Projections!$B$45/Projections!$B$50</f>
        <v>200</v>
      </c>
      <c r="BD37" s="159">
        <f>'Monthly forecast'!BE10/Projections!$B$45/Projections!$B$50</f>
        <v>200</v>
      </c>
      <c r="BE37" s="159">
        <f>'Monthly forecast'!BF10/Projections!$B$45/Projections!$B$50</f>
        <v>200</v>
      </c>
      <c r="BF37" s="159">
        <f>'Monthly forecast'!BG10/Projections!$B$45/Projections!$B$50</f>
        <v>200</v>
      </c>
      <c r="BG37" s="159">
        <f>'Monthly forecast'!BH10/Projections!$B$45/Projections!$B$50</f>
        <v>200</v>
      </c>
      <c r="BH37" s="159">
        <f>'Monthly forecast'!BI10/Projections!$B$45/Projections!$B$50</f>
        <v>200</v>
      </c>
      <c r="BI37" s="159">
        <f>'Monthly forecast'!BJ10/Projections!$B$45/Projections!$B$50</f>
        <v>200</v>
      </c>
      <c r="BJ37" s="159">
        <f>'Monthly forecast'!BK10/Projections!$B$45/Projections!$B$50</f>
        <v>200</v>
      </c>
      <c r="BK37" s="159">
        <f>'Monthly forecast'!BL10/Projections!$B$45/Projections!$B$50</f>
        <v>200</v>
      </c>
      <c r="BL37" s="159">
        <f>'Monthly forecast'!BM10/Projections!$B$45/Projections!$B$50</f>
        <v>200</v>
      </c>
      <c r="BM37" s="159">
        <f>'Monthly forecast'!BN10/Projections!$B$45/Projections!$B$50</f>
        <v>200</v>
      </c>
      <c r="BN37" s="159">
        <f>'Monthly forecast'!BO10/Projections!$B$45/Projections!$B$50</f>
        <v>200</v>
      </c>
      <c r="BO37" s="159">
        <f>'Monthly forecast'!BP10/Projections!$B$45/Projections!$B$50</f>
        <v>200</v>
      </c>
      <c r="BP37" s="159">
        <f>'Monthly forecast'!BQ10/Projections!$B$45/Projections!$B$50</f>
        <v>200</v>
      </c>
      <c r="BQ37" s="159">
        <f>'Monthly forecast'!BR10/Projections!$B$45/Projections!$B$50</f>
        <v>200</v>
      </c>
      <c r="BR37" s="159">
        <f>'Monthly forecast'!BS10/Projections!$B$45/Projections!$B$50</f>
        <v>200</v>
      </c>
      <c r="BS37" s="159">
        <f>'Monthly forecast'!BT10/Projections!$B$45/Projections!$B$50</f>
        <v>200</v>
      </c>
      <c r="BT37" s="159">
        <f>'Monthly forecast'!BU10/Projections!$B$45/Projections!$B$50</f>
        <v>200</v>
      </c>
      <c r="BU37" s="159">
        <f>'Monthly forecast'!BV10/Projections!$B$45/Projections!$B$50</f>
        <v>200</v>
      </c>
      <c r="BV37" s="159">
        <f>'Monthly forecast'!BW10/Projections!$B$45/Projections!$B$50</f>
        <v>200</v>
      </c>
      <c r="BW37" s="159">
        <f>'Monthly forecast'!BX10/Projections!$B$45/Projections!$B$50</f>
        <v>200</v>
      </c>
      <c r="BX37" s="159">
        <f>'Monthly forecast'!BY10/Projections!$B$45/Projections!$B$50</f>
        <v>200</v>
      </c>
      <c r="BY37" s="159">
        <f>'Monthly forecast'!BZ10/Projections!$B$45/Projections!$B$50</f>
        <v>200</v>
      </c>
      <c r="BZ37" s="159">
        <f>'Monthly forecast'!CA10/Projections!$B$45/Projections!$B$50</f>
        <v>200</v>
      </c>
      <c r="CA37" s="159">
        <f>'Monthly forecast'!CB10/Projections!$B$45/Projections!$B$50</f>
        <v>200</v>
      </c>
      <c r="CB37" s="159">
        <f>'Monthly forecast'!CC10/Projections!$B$45/Projections!$B$50</f>
        <v>200</v>
      </c>
      <c r="CC37" s="159">
        <f>'Monthly forecast'!CD10/Projections!$B$45/Projections!$B$50</f>
        <v>200</v>
      </c>
      <c r="CD37" s="159">
        <f>'Monthly forecast'!CE10/Projections!$B$45/Projections!$B$50</f>
        <v>200</v>
      </c>
      <c r="CE37" s="159">
        <f>'Monthly forecast'!CF10/Projections!$B$45/Projections!$B$50</f>
        <v>200</v>
      </c>
      <c r="CF37" s="159">
        <f>'Monthly forecast'!CG10/Projections!$B$45/Projections!$B$50</f>
        <v>200</v>
      </c>
      <c r="CG37" s="159">
        <f>'Monthly forecast'!CH10/Projections!$B$45/Projections!$B$50</f>
        <v>200</v>
      </c>
      <c r="CH37" s="159">
        <f>'Monthly forecast'!CI10/Projections!$B$45/Projections!$B$50</f>
        <v>200</v>
      </c>
      <c r="CI37" s="159">
        <f>'Monthly forecast'!CJ10/Projections!$B$45/Projections!$B$50</f>
        <v>200</v>
      </c>
      <c r="CJ37" s="159">
        <f>'Monthly forecast'!CK10/Projections!$B$45/Projections!$B$50</f>
        <v>200</v>
      </c>
      <c r="CK37" s="159">
        <f>'Monthly forecast'!CL10/Projections!$B$45/Projections!$B$50</f>
        <v>200</v>
      </c>
      <c r="CL37" s="159">
        <f>'Monthly forecast'!CM10/Projections!$B$45/Projections!$B$50</f>
        <v>200</v>
      </c>
      <c r="CM37" s="159">
        <f>'Monthly forecast'!CN10/Projections!$B$45/Projections!$B$50</f>
        <v>200</v>
      </c>
      <c r="CN37" s="159">
        <f>'Monthly forecast'!CO10/Projections!$B$45/Projections!$B$50</f>
        <v>200</v>
      </c>
      <c r="CO37" s="159">
        <f>'Monthly forecast'!CP10/Projections!$B$45/Projections!$B$50</f>
        <v>200</v>
      </c>
      <c r="CP37" s="159">
        <f>'Monthly forecast'!CQ10/Projections!$B$45/Projections!$B$50</f>
        <v>200</v>
      </c>
      <c r="CQ37" s="159">
        <f>'Monthly forecast'!CR10/Projections!$B$45/Projections!$B$50</f>
        <v>200</v>
      </c>
      <c r="CR37" s="159">
        <f>'Monthly forecast'!CS10/Projections!$B$45/Projections!$B$50</f>
        <v>200</v>
      </c>
      <c r="CS37" s="159">
        <f>'Monthly forecast'!CT10/Projections!$B$45/Projections!$B$50</f>
        <v>200</v>
      </c>
      <c r="CT37" s="159">
        <f>'Monthly forecast'!CU10/Projections!$B$45/Projections!$B$50</f>
        <v>200</v>
      </c>
      <c r="CU37" s="159">
        <f>'Monthly forecast'!CV10/Projections!$B$45/Projections!$B$50</f>
        <v>200</v>
      </c>
      <c r="CV37" s="159">
        <f>'Monthly forecast'!CW10/Projections!$B$45/Projections!$B$50</f>
        <v>200</v>
      </c>
      <c r="CW37" s="159">
        <f>'Monthly forecast'!CX10/Projections!$B$45/Projections!$B$50</f>
        <v>200</v>
      </c>
    </row>
    <row r="38" ht="15.75" customHeight="1">
      <c r="A38" s="1" t="s">
        <v>250</v>
      </c>
      <c r="B38" s="1"/>
      <c r="C38" s="1"/>
      <c r="D38" s="159">
        <f>'Monthly forecast'!E83/(Projections!$B$49*Projections!$B$50)</f>
        <v>153.8461538</v>
      </c>
      <c r="E38" s="159">
        <f>'Monthly forecast'!F83/(Projections!$B$49*Projections!$B$50)</f>
        <v>153.8461538</v>
      </c>
      <c r="F38" s="159">
        <f>'Monthly forecast'!G83/(Projections!$B$49*Projections!$B$50)</f>
        <v>153.8461538</v>
      </c>
      <c r="G38" s="159">
        <f>'Monthly forecast'!H83/(Projections!$B$49*Projections!$B$50)</f>
        <v>153.8461538</v>
      </c>
      <c r="H38" s="159">
        <f>'Monthly forecast'!I83/(Projections!$B$49*Projections!$B$50)</f>
        <v>153.8461538</v>
      </c>
      <c r="I38" s="159">
        <f>'Monthly forecast'!J83/(Projections!$B$49*Projections!$B$50)</f>
        <v>153.8461538</v>
      </c>
      <c r="J38" s="159">
        <f>'Monthly forecast'!K83/(Projections!$B$49*Projections!$B$50)</f>
        <v>153.8461538</v>
      </c>
      <c r="K38" s="159">
        <f>'Monthly forecast'!L83/(Projections!$B$49*Projections!$B$50)</f>
        <v>153.8461538</v>
      </c>
      <c r="L38" s="159">
        <f>'Monthly forecast'!M83/(Projections!$B$49*Projections!$B$50)</f>
        <v>153.8461538</v>
      </c>
      <c r="M38" s="159">
        <f>'Monthly forecast'!N83/(Projections!$B$49*Projections!$B$50)</f>
        <v>153.8461538</v>
      </c>
      <c r="N38" s="159">
        <f>'Monthly forecast'!O83/(Projections!$B$49*Projections!$B$50)</f>
        <v>153.8461538</v>
      </c>
      <c r="O38" s="159">
        <f>'Monthly forecast'!P83/(Projections!$B$49*Projections!$B$50)</f>
        <v>153.8461538</v>
      </c>
      <c r="P38" s="159">
        <f>'Monthly forecast'!Q83/(Projections!$B$49*Projections!$B$50)</f>
        <v>156.9230769</v>
      </c>
      <c r="Q38" s="159">
        <f>'Monthly forecast'!R83/(Projections!$B$49*Projections!$B$50)</f>
        <v>156.9230769</v>
      </c>
      <c r="R38" s="159">
        <f>'Monthly forecast'!S83/(Projections!$B$49*Projections!$B$50)</f>
        <v>156.9230769</v>
      </c>
      <c r="S38" s="159">
        <f>'Monthly forecast'!T83/(Projections!$B$49*Projections!$B$50)</f>
        <v>156.9230769</v>
      </c>
      <c r="T38" s="159">
        <f>'Monthly forecast'!U83/(Projections!$B$49*Projections!$B$50)</f>
        <v>156.9230769</v>
      </c>
      <c r="U38" s="159">
        <f>'Monthly forecast'!V83/(Projections!$B$49*Projections!$B$50)</f>
        <v>156.9230769</v>
      </c>
      <c r="V38" s="159">
        <f>'Monthly forecast'!W83/(Projections!$B$49*Projections!$B$50)</f>
        <v>156.9230769</v>
      </c>
      <c r="W38" s="159">
        <f>'Monthly forecast'!X83/(Projections!$B$49*Projections!$B$50)</f>
        <v>156.9230769</v>
      </c>
      <c r="X38" s="159">
        <f>'Monthly forecast'!Y83/(Projections!$B$49*Projections!$B$50)</f>
        <v>156.9230769</v>
      </c>
      <c r="Y38" s="159">
        <f>'Monthly forecast'!Z83/(Projections!$B$49*Projections!$B$50)</f>
        <v>156.9230769</v>
      </c>
      <c r="Z38" s="159">
        <f>'Monthly forecast'!AA83/(Projections!$B$49*Projections!$B$50)</f>
        <v>156.9230769</v>
      </c>
      <c r="AA38" s="159">
        <f>'Monthly forecast'!AB83/(Projections!$B$49*Projections!$B$50)</f>
        <v>156.9230769</v>
      </c>
      <c r="AB38" s="159">
        <f>'Monthly forecast'!AC83/(Projections!$B$49*Projections!$B$50)</f>
        <v>160.0615385</v>
      </c>
      <c r="AC38" s="159">
        <f>'Monthly forecast'!AD83/(Projections!$B$49*Projections!$B$50)</f>
        <v>160.0615385</v>
      </c>
      <c r="AD38" s="159">
        <f>'Monthly forecast'!AE83/(Projections!$B$49*Projections!$B$50)</f>
        <v>160.0615385</v>
      </c>
      <c r="AE38" s="159">
        <f>'Monthly forecast'!AF83/(Projections!$B$49*Projections!$B$50)</f>
        <v>160.0615385</v>
      </c>
      <c r="AF38" s="159">
        <f>'Monthly forecast'!AG83/(Projections!$B$49*Projections!$B$50)</f>
        <v>160.0615385</v>
      </c>
      <c r="AG38" s="159">
        <f>'Monthly forecast'!AH83/(Projections!$B$49*Projections!$B$50)</f>
        <v>160.0615385</v>
      </c>
      <c r="AH38" s="159">
        <f>'Monthly forecast'!AI83/(Projections!$B$49*Projections!$B$50)</f>
        <v>160.0615385</v>
      </c>
      <c r="AI38" s="159">
        <f>'Monthly forecast'!AJ83/(Projections!$B$49*Projections!$B$50)</f>
        <v>160.0615385</v>
      </c>
      <c r="AJ38" s="159">
        <f>'Monthly forecast'!AK83/(Projections!$B$49*Projections!$B$50)</f>
        <v>160.0615385</v>
      </c>
      <c r="AK38" s="159">
        <f>'Monthly forecast'!AL83/(Projections!$B$49*Projections!$B$50)</f>
        <v>160.0615385</v>
      </c>
      <c r="AL38" s="159">
        <f>'Monthly forecast'!AM83/(Projections!$B$49*Projections!$B$50)</f>
        <v>160.0615385</v>
      </c>
      <c r="AM38" s="159">
        <f>'Monthly forecast'!AN83/(Projections!$B$49*Projections!$B$50)</f>
        <v>160.0615385</v>
      </c>
      <c r="AN38" s="159">
        <f>'Monthly forecast'!AO83/(Projections!$B$49*Projections!$B$50)</f>
        <v>163.2627692</v>
      </c>
      <c r="AO38" s="159">
        <f>'Monthly forecast'!AP83/(Projections!$B$49*Projections!$B$50)</f>
        <v>163.2627692</v>
      </c>
      <c r="AP38" s="159">
        <f>'Monthly forecast'!AQ83/(Projections!$B$49*Projections!$B$50)</f>
        <v>163.2627692</v>
      </c>
      <c r="AQ38" s="159">
        <f>'Monthly forecast'!AR83/(Projections!$B$49*Projections!$B$50)</f>
        <v>163.2627692</v>
      </c>
      <c r="AR38" s="159">
        <f>'Monthly forecast'!AS83/(Projections!$B$49*Projections!$B$50)</f>
        <v>163.2627692</v>
      </c>
      <c r="AS38" s="159">
        <f>'Monthly forecast'!AT83/(Projections!$B$49*Projections!$B$50)</f>
        <v>163.2627692</v>
      </c>
      <c r="AT38" s="159">
        <f>'Monthly forecast'!AU83/(Projections!$B$49*Projections!$B$50)</f>
        <v>163.2627692</v>
      </c>
      <c r="AU38" s="159">
        <f>'Monthly forecast'!AV83/(Projections!$B$49*Projections!$B$50)</f>
        <v>163.2627692</v>
      </c>
      <c r="AV38" s="159">
        <f>'Monthly forecast'!AW83/(Projections!$B$49*Projections!$B$50)</f>
        <v>163.2627692</v>
      </c>
      <c r="AW38" s="159">
        <f>'Monthly forecast'!AX83/(Projections!$B$49*Projections!$B$50)</f>
        <v>163.2627692</v>
      </c>
      <c r="AX38" s="159">
        <f>'Monthly forecast'!AY83/(Projections!$B$49*Projections!$B$50)</f>
        <v>163.2627692</v>
      </c>
      <c r="AY38" s="159">
        <f>'Monthly forecast'!AZ83/(Projections!$B$49*Projections!$B$50)</f>
        <v>163.2627692</v>
      </c>
      <c r="AZ38" s="159">
        <f>'Monthly forecast'!BA83/(Projections!$B$49*Projections!$B$50)</f>
        <v>166.5280246</v>
      </c>
      <c r="BA38" s="159">
        <f>'Monthly forecast'!BB83/(Projections!$B$49*Projections!$B$50)</f>
        <v>166.5280246</v>
      </c>
      <c r="BB38" s="159">
        <f>'Monthly forecast'!BC83/(Projections!$B$49*Projections!$B$50)</f>
        <v>166.5280246</v>
      </c>
      <c r="BC38" s="159">
        <f>'Monthly forecast'!BD83/(Projections!$B$49*Projections!$B$50)</f>
        <v>166.5280246</v>
      </c>
      <c r="BD38" s="159">
        <f>'Monthly forecast'!BE83/(Projections!$B$49*Projections!$B$50)</f>
        <v>166.5280246</v>
      </c>
      <c r="BE38" s="159">
        <f>'Monthly forecast'!BF83/(Projections!$B$49*Projections!$B$50)</f>
        <v>166.5280246</v>
      </c>
      <c r="BF38" s="159">
        <f>'Monthly forecast'!BG83/(Projections!$B$49*Projections!$B$50)</f>
        <v>166.5280246</v>
      </c>
      <c r="BG38" s="159">
        <f>'Monthly forecast'!BH83/(Projections!$B$49*Projections!$B$50)</f>
        <v>166.5280246</v>
      </c>
      <c r="BH38" s="159">
        <f>'Monthly forecast'!BI83/(Projections!$B$49*Projections!$B$50)</f>
        <v>166.5280246</v>
      </c>
      <c r="BI38" s="159">
        <f>'Monthly forecast'!BJ83/(Projections!$B$49*Projections!$B$50)</f>
        <v>166.5280246</v>
      </c>
      <c r="BJ38" s="159">
        <f>'Monthly forecast'!BK83/(Projections!$B$49*Projections!$B$50)</f>
        <v>166.5280246</v>
      </c>
      <c r="BK38" s="159">
        <f>'Monthly forecast'!BL83/(Projections!$B$49*Projections!$B$50)</f>
        <v>166.5280246</v>
      </c>
      <c r="BL38" s="159">
        <f>'Monthly forecast'!BM83/(Projections!$B$49*Projections!$B$50)</f>
        <v>169.8585851</v>
      </c>
      <c r="BM38" s="159">
        <f>'Monthly forecast'!BN83/(Projections!$B$49*Projections!$B$50)</f>
        <v>169.8585851</v>
      </c>
      <c r="BN38" s="159">
        <f>'Monthly forecast'!BO83/(Projections!$B$49*Projections!$B$50)</f>
        <v>169.8585851</v>
      </c>
      <c r="BO38" s="159">
        <f>'Monthly forecast'!BP83/(Projections!$B$49*Projections!$B$50)</f>
        <v>169.8585851</v>
      </c>
      <c r="BP38" s="159">
        <f>'Monthly forecast'!BQ83/(Projections!$B$49*Projections!$B$50)</f>
        <v>169.8585851</v>
      </c>
      <c r="BQ38" s="159">
        <f>'Monthly forecast'!BR83/(Projections!$B$49*Projections!$B$50)</f>
        <v>169.8585851</v>
      </c>
      <c r="BR38" s="159">
        <f>'Monthly forecast'!BS83/(Projections!$B$49*Projections!$B$50)</f>
        <v>169.8585851</v>
      </c>
      <c r="BS38" s="159">
        <f>'Monthly forecast'!BT83/(Projections!$B$49*Projections!$B$50)</f>
        <v>169.8585851</v>
      </c>
      <c r="BT38" s="159">
        <f>'Monthly forecast'!BU83/(Projections!$B$49*Projections!$B$50)</f>
        <v>169.8585851</v>
      </c>
      <c r="BU38" s="159">
        <f>'Monthly forecast'!BV83/(Projections!$B$49*Projections!$B$50)</f>
        <v>169.8585851</v>
      </c>
      <c r="BV38" s="159">
        <f>'Monthly forecast'!BW83/(Projections!$B$49*Projections!$B$50)</f>
        <v>169.8585851</v>
      </c>
      <c r="BW38" s="159">
        <f>'Monthly forecast'!BX83/(Projections!$B$49*Projections!$B$50)</f>
        <v>169.8585851</v>
      </c>
      <c r="BX38" s="159">
        <f>'Monthly forecast'!BY83/(Projections!$B$49*Projections!$B$50)</f>
        <v>173.2557568</v>
      </c>
      <c r="BY38" s="159">
        <f>'Monthly forecast'!BZ83/(Projections!$B$49*Projections!$B$50)</f>
        <v>173.2557568</v>
      </c>
      <c r="BZ38" s="159">
        <f>'Monthly forecast'!CA83/(Projections!$B$49*Projections!$B$50)</f>
        <v>173.2557568</v>
      </c>
      <c r="CA38" s="159">
        <f>'Monthly forecast'!CB83/(Projections!$B$49*Projections!$B$50)</f>
        <v>173.2557568</v>
      </c>
      <c r="CB38" s="159">
        <f>'Monthly forecast'!CC83/(Projections!$B$49*Projections!$B$50)</f>
        <v>173.2557568</v>
      </c>
      <c r="CC38" s="159">
        <f>'Monthly forecast'!CD83/(Projections!$B$49*Projections!$B$50)</f>
        <v>173.2557568</v>
      </c>
      <c r="CD38" s="159">
        <f>'Monthly forecast'!CE83/(Projections!$B$49*Projections!$B$50)</f>
        <v>173.2557568</v>
      </c>
      <c r="CE38" s="159">
        <f>'Monthly forecast'!CF83/(Projections!$B$49*Projections!$B$50)</f>
        <v>173.2557568</v>
      </c>
      <c r="CF38" s="159">
        <f>'Monthly forecast'!CG83/(Projections!$B$49*Projections!$B$50)</f>
        <v>173.2557568</v>
      </c>
      <c r="CG38" s="159">
        <f>'Monthly forecast'!CH83/(Projections!$B$49*Projections!$B$50)</f>
        <v>173.2557568</v>
      </c>
      <c r="CH38" s="159">
        <f>'Monthly forecast'!CI83/(Projections!$B$49*Projections!$B$50)</f>
        <v>173.2557568</v>
      </c>
      <c r="CI38" s="159">
        <f>'Monthly forecast'!CJ83/(Projections!$B$49*Projections!$B$50)</f>
        <v>173.2557568</v>
      </c>
      <c r="CJ38" s="159">
        <f>'Monthly forecast'!CK83/(Projections!$B$49*Projections!$B$50)</f>
        <v>176.7208719</v>
      </c>
      <c r="CK38" s="159">
        <f>'Monthly forecast'!CL83/(Projections!$B$49*Projections!$B$50)</f>
        <v>176.7208719</v>
      </c>
      <c r="CL38" s="159">
        <f>'Monthly forecast'!CM83/(Projections!$B$49*Projections!$B$50)</f>
        <v>176.7208719</v>
      </c>
      <c r="CM38" s="159">
        <f>'Monthly forecast'!CN83/(Projections!$B$49*Projections!$B$50)</f>
        <v>176.7208719</v>
      </c>
      <c r="CN38" s="159">
        <f>'Monthly forecast'!CO83/(Projections!$B$49*Projections!$B$50)</f>
        <v>176.7208719</v>
      </c>
      <c r="CO38" s="159">
        <f>'Monthly forecast'!CP83/(Projections!$B$49*Projections!$B$50)</f>
        <v>176.7208719</v>
      </c>
      <c r="CP38" s="159">
        <f>'Monthly forecast'!CQ83/(Projections!$B$49*Projections!$B$50)</f>
        <v>176.7208719</v>
      </c>
      <c r="CQ38" s="159">
        <f>'Monthly forecast'!CR83/(Projections!$B$49*Projections!$B$50)</f>
        <v>176.7208719</v>
      </c>
      <c r="CR38" s="159">
        <f>'Monthly forecast'!CS83/(Projections!$B$49*Projections!$B$50)</f>
        <v>176.7208719</v>
      </c>
      <c r="CS38" s="159">
        <f>'Monthly forecast'!CT83/(Projections!$B$49*Projections!$B$50)</f>
        <v>176.7208719</v>
      </c>
      <c r="CT38" s="159">
        <f>'Monthly forecast'!CU83/(Projections!$B$49*Projections!$B$50)</f>
        <v>176.7208719</v>
      </c>
      <c r="CU38" s="159">
        <f>'Monthly forecast'!CV83/(Projections!$B$49*Projections!$B$50)</f>
        <v>176.7208719</v>
      </c>
      <c r="CV38" s="159">
        <f>'Monthly forecast'!CW83/(Projections!$B$49*Projections!$B$50)</f>
        <v>180.2552894</v>
      </c>
      <c r="CW38" s="159">
        <f>'Monthly forecast'!CX83/(Projections!$B$49*Projections!$B$50)</f>
        <v>180.2552894</v>
      </c>
    </row>
    <row r="39" ht="15.75" customHeight="1">
      <c r="A39" s="50" t="s">
        <v>251</v>
      </c>
      <c r="B39" s="50"/>
      <c r="C39" s="50"/>
      <c r="D39" s="158">
        <f t="shared" ref="D39:CW39" si="18">D37+D38</f>
        <v>453.8461538</v>
      </c>
      <c r="E39" s="158">
        <f t="shared" si="18"/>
        <v>438.8461538</v>
      </c>
      <c r="F39" s="158">
        <f t="shared" si="18"/>
        <v>424.5961538</v>
      </c>
      <c r="G39" s="158">
        <f t="shared" si="18"/>
        <v>411.0586538</v>
      </c>
      <c r="H39" s="158">
        <f t="shared" si="18"/>
        <v>398.1980288</v>
      </c>
      <c r="I39" s="158">
        <f t="shared" si="18"/>
        <v>385.9804351</v>
      </c>
      <c r="J39" s="158">
        <f t="shared" si="18"/>
        <v>374.373721</v>
      </c>
      <c r="K39" s="158">
        <f t="shared" si="18"/>
        <v>363.3473427</v>
      </c>
      <c r="L39" s="158">
        <f t="shared" si="18"/>
        <v>353.8461538</v>
      </c>
      <c r="M39" s="158">
        <f t="shared" si="18"/>
        <v>353.8461538</v>
      </c>
      <c r="N39" s="158">
        <f t="shared" si="18"/>
        <v>353.8461538</v>
      </c>
      <c r="O39" s="158">
        <f t="shared" si="18"/>
        <v>353.8461538</v>
      </c>
      <c r="P39" s="158">
        <f t="shared" si="18"/>
        <v>356.9230769</v>
      </c>
      <c r="Q39" s="158">
        <f t="shared" si="18"/>
        <v>356.9230769</v>
      </c>
      <c r="R39" s="158">
        <f t="shared" si="18"/>
        <v>356.9230769</v>
      </c>
      <c r="S39" s="158">
        <f t="shared" si="18"/>
        <v>356.9230769</v>
      </c>
      <c r="T39" s="158">
        <f t="shared" si="18"/>
        <v>356.9230769</v>
      </c>
      <c r="U39" s="158">
        <f t="shared" si="18"/>
        <v>356.9230769</v>
      </c>
      <c r="V39" s="158">
        <f t="shared" si="18"/>
        <v>356.9230769</v>
      </c>
      <c r="W39" s="158">
        <f t="shared" si="18"/>
        <v>356.9230769</v>
      </c>
      <c r="X39" s="158">
        <f t="shared" si="18"/>
        <v>356.9230769</v>
      </c>
      <c r="Y39" s="158">
        <f t="shared" si="18"/>
        <v>356.9230769</v>
      </c>
      <c r="Z39" s="158">
        <f t="shared" si="18"/>
        <v>356.9230769</v>
      </c>
      <c r="AA39" s="158">
        <f t="shared" si="18"/>
        <v>356.9230769</v>
      </c>
      <c r="AB39" s="158">
        <f t="shared" si="18"/>
        <v>360.0615385</v>
      </c>
      <c r="AC39" s="158">
        <f t="shared" si="18"/>
        <v>360.0615385</v>
      </c>
      <c r="AD39" s="158">
        <f t="shared" si="18"/>
        <v>360.0615385</v>
      </c>
      <c r="AE39" s="158">
        <f t="shared" si="18"/>
        <v>360.0615385</v>
      </c>
      <c r="AF39" s="158">
        <f t="shared" si="18"/>
        <v>360.0615385</v>
      </c>
      <c r="AG39" s="158">
        <f t="shared" si="18"/>
        <v>360.0615385</v>
      </c>
      <c r="AH39" s="158">
        <f t="shared" si="18"/>
        <v>360.0615385</v>
      </c>
      <c r="AI39" s="158">
        <f t="shared" si="18"/>
        <v>360.0615385</v>
      </c>
      <c r="AJ39" s="158">
        <f t="shared" si="18"/>
        <v>360.0615385</v>
      </c>
      <c r="AK39" s="158">
        <f t="shared" si="18"/>
        <v>360.0615385</v>
      </c>
      <c r="AL39" s="158">
        <f t="shared" si="18"/>
        <v>360.0615385</v>
      </c>
      <c r="AM39" s="158">
        <f t="shared" si="18"/>
        <v>360.0615385</v>
      </c>
      <c r="AN39" s="158">
        <f t="shared" si="18"/>
        <v>363.2627692</v>
      </c>
      <c r="AO39" s="158">
        <f t="shared" si="18"/>
        <v>363.2627692</v>
      </c>
      <c r="AP39" s="158">
        <f t="shared" si="18"/>
        <v>363.2627692</v>
      </c>
      <c r="AQ39" s="158">
        <f t="shared" si="18"/>
        <v>363.2627692</v>
      </c>
      <c r="AR39" s="158">
        <f t="shared" si="18"/>
        <v>363.2627692</v>
      </c>
      <c r="AS39" s="158">
        <f t="shared" si="18"/>
        <v>363.2627692</v>
      </c>
      <c r="AT39" s="158">
        <f t="shared" si="18"/>
        <v>363.2627692</v>
      </c>
      <c r="AU39" s="158">
        <f t="shared" si="18"/>
        <v>363.2627692</v>
      </c>
      <c r="AV39" s="158">
        <f t="shared" si="18"/>
        <v>363.2627692</v>
      </c>
      <c r="AW39" s="158">
        <f t="shared" si="18"/>
        <v>363.2627692</v>
      </c>
      <c r="AX39" s="158">
        <f t="shared" si="18"/>
        <v>363.2627692</v>
      </c>
      <c r="AY39" s="158">
        <f t="shared" si="18"/>
        <v>363.2627692</v>
      </c>
      <c r="AZ39" s="158">
        <f t="shared" si="18"/>
        <v>366.5280246</v>
      </c>
      <c r="BA39" s="158">
        <f t="shared" si="18"/>
        <v>366.5280246</v>
      </c>
      <c r="BB39" s="158">
        <f t="shared" si="18"/>
        <v>366.5280246</v>
      </c>
      <c r="BC39" s="158">
        <f t="shared" si="18"/>
        <v>366.5280246</v>
      </c>
      <c r="BD39" s="158">
        <f t="shared" si="18"/>
        <v>366.5280246</v>
      </c>
      <c r="BE39" s="158">
        <f t="shared" si="18"/>
        <v>366.5280246</v>
      </c>
      <c r="BF39" s="158">
        <f t="shared" si="18"/>
        <v>366.5280246</v>
      </c>
      <c r="BG39" s="158">
        <f t="shared" si="18"/>
        <v>366.5280246</v>
      </c>
      <c r="BH39" s="158">
        <f t="shared" si="18"/>
        <v>366.5280246</v>
      </c>
      <c r="BI39" s="158">
        <f t="shared" si="18"/>
        <v>366.5280246</v>
      </c>
      <c r="BJ39" s="158">
        <f t="shared" si="18"/>
        <v>366.5280246</v>
      </c>
      <c r="BK39" s="158">
        <f t="shared" si="18"/>
        <v>366.5280246</v>
      </c>
      <c r="BL39" s="158">
        <f t="shared" si="18"/>
        <v>369.8585851</v>
      </c>
      <c r="BM39" s="158">
        <f t="shared" si="18"/>
        <v>369.8585851</v>
      </c>
      <c r="BN39" s="158">
        <f t="shared" si="18"/>
        <v>369.8585851</v>
      </c>
      <c r="BO39" s="158">
        <f t="shared" si="18"/>
        <v>369.8585851</v>
      </c>
      <c r="BP39" s="158">
        <f t="shared" si="18"/>
        <v>369.8585851</v>
      </c>
      <c r="BQ39" s="158">
        <f t="shared" si="18"/>
        <v>369.8585851</v>
      </c>
      <c r="BR39" s="158">
        <f t="shared" si="18"/>
        <v>369.8585851</v>
      </c>
      <c r="BS39" s="158">
        <f t="shared" si="18"/>
        <v>369.8585851</v>
      </c>
      <c r="BT39" s="158">
        <f t="shared" si="18"/>
        <v>369.8585851</v>
      </c>
      <c r="BU39" s="158">
        <f t="shared" si="18"/>
        <v>369.8585851</v>
      </c>
      <c r="BV39" s="158">
        <f t="shared" si="18"/>
        <v>369.8585851</v>
      </c>
      <c r="BW39" s="158">
        <f t="shared" si="18"/>
        <v>369.8585851</v>
      </c>
      <c r="BX39" s="158">
        <f t="shared" si="18"/>
        <v>373.2557568</v>
      </c>
      <c r="BY39" s="158">
        <f t="shared" si="18"/>
        <v>373.2557568</v>
      </c>
      <c r="BZ39" s="158">
        <f t="shared" si="18"/>
        <v>373.2557568</v>
      </c>
      <c r="CA39" s="158">
        <f t="shared" si="18"/>
        <v>373.2557568</v>
      </c>
      <c r="CB39" s="158">
        <f t="shared" si="18"/>
        <v>373.2557568</v>
      </c>
      <c r="CC39" s="158">
        <f t="shared" si="18"/>
        <v>373.2557568</v>
      </c>
      <c r="CD39" s="158">
        <f t="shared" si="18"/>
        <v>373.2557568</v>
      </c>
      <c r="CE39" s="158">
        <f t="shared" si="18"/>
        <v>373.2557568</v>
      </c>
      <c r="CF39" s="158">
        <f t="shared" si="18"/>
        <v>373.2557568</v>
      </c>
      <c r="CG39" s="158">
        <f t="shared" si="18"/>
        <v>373.2557568</v>
      </c>
      <c r="CH39" s="158">
        <f t="shared" si="18"/>
        <v>373.2557568</v>
      </c>
      <c r="CI39" s="158">
        <f t="shared" si="18"/>
        <v>373.2557568</v>
      </c>
      <c r="CJ39" s="158">
        <f t="shared" si="18"/>
        <v>376.7208719</v>
      </c>
      <c r="CK39" s="158">
        <f t="shared" si="18"/>
        <v>376.7208719</v>
      </c>
      <c r="CL39" s="158">
        <f t="shared" si="18"/>
        <v>376.7208719</v>
      </c>
      <c r="CM39" s="158">
        <f t="shared" si="18"/>
        <v>376.7208719</v>
      </c>
      <c r="CN39" s="158">
        <f t="shared" si="18"/>
        <v>376.7208719</v>
      </c>
      <c r="CO39" s="158">
        <f t="shared" si="18"/>
        <v>376.7208719</v>
      </c>
      <c r="CP39" s="158">
        <f t="shared" si="18"/>
        <v>376.7208719</v>
      </c>
      <c r="CQ39" s="158">
        <f t="shared" si="18"/>
        <v>376.7208719</v>
      </c>
      <c r="CR39" s="158">
        <f t="shared" si="18"/>
        <v>376.7208719</v>
      </c>
      <c r="CS39" s="158">
        <f t="shared" si="18"/>
        <v>376.7208719</v>
      </c>
      <c r="CT39" s="158">
        <f t="shared" si="18"/>
        <v>376.7208719</v>
      </c>
      <c r="CU39" s="158">
        <f t="shared" si="18"/>
        <v>376.7208719</v>
      </c>
      <c r="CV39" s="158">
        <f t="shared" si="18"/>
        <v>380.2552894</v>
      </c>
      <c r="CW39" s="158">
        <f t="shared" si="18"/>
        <v>380.2552894</v>
      </c>
    </row>
    <row r="40" ht="15.75" customHeight="1">
      <c r="A40" s="164"/>
      <c r="B40" s="1"/>
      <c r="C40" s="1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5"/>
    </row>
    <row r="41" ht="15.75" customHeight="1">
      <c r="A41" s="161" t="s">
        <v>245</v>
      </c>
      <c r="B41" s="50"/>
      <c r="C41" s="50"/>
      <c r="D41" s="162">
        <f t="shared" ref="D41:CV41" si="19">D32/D39</f>
        <v>1.468926554</v>
      </c>
      <c r="E41" s="162">
        <f t="shared" si="19"/>
        <v>1.519135261</v>
      </c>
      <c r="F41" s="162">
        <f t="shared" si="19"/>
        <v>1.57011942</v>
      </c>
      <c r="G41" s="162">
        <f t="shared" si="19"/>
        <v>1.621828565</v>
      </c>
      <c r="H41" s="162">
        <f t="shared" si="19"/>
        <v>1.674208857</v>
      </c>
      <c r="I41" s="162">
        <f t="shared" si="19"/>
        <v>1.727203262</v>
      </c>
      <c r="J41" s="162">
        <f t="shared" si="19"/>
        <v>1.780751771</v>
      </c>
      <c r="K41" s="162">
        <f t="shared" si="19"/>
        <v>1.83479164</v>
      </c>
      <c r="L41" s="162">
        <f t="shared" si="19"/>
        <v>1.884057971</v>
      </c>
      <c r="M41" s="162">
        <f t="shared" si="19"/>
        <v>1.884057971</v>
      </c>
      <c r="N41" s="162">
        <f t="shared" si="19"/>
        <v>1.884057971</v>
      </c>
      <c r="O41" s="162">
        <f t="shared" si="19"/>
        <v>1.884057971</v>
      </c>
      <c r="P41" s="162">
        <f t="shared" si="19"/>
        <v>1.867816092</v>
      </c>
      <c r="Q41" s="162">
        <f t="shared" si="19"/>
        <v>1.867816092</v>
      </c>
      <c r="R41" s="162">
        <f t="shared" si="19"/>
        <v>1.867816092</v>
      </c>
      <c r="S41" s="162">
        <f t="shared" si="19"/>
        <v>1.867816092</v>
      </c>
      <c r="T41" s="162">
        <f t="shared" si="19"/>
        <v>1.867816092</v>
      </c>
      <c r="U41" s="162">
        <f t="shared" si="19"/>
        <v>1.867816092</v>
      </c>
      <c r="V41" s="162">
        <f t="shared" si="19"/>
        <v>1.867816092</v>
      </c>
      <c r="W41" s="162">
        <f t="shared" si="19"/>
        <v>1.867816092</v>
      </c>
      <c r="X41" s="162">
        <f t="shared" si="19"/>
        <v>1.867816092</v>
      </c>
      <c r="Y41" s="162">
        <f t="shared" si="19"/>
        <v>1.867816092</v>
      </c>
      <c r="Z41" s="162">
        <f t="shared" si="19"/>
        <v>1.867816092</v>
      </c>
      <c r="AA41" s="162">
        <f t="shared" si="19"/>
        <v>1.867816092</v>
      </c>
      <c r="AB41" s="162">
        <f t="shared" si="19"/>
        <v>1.85153535</v>
      </c>
      <c r="AC41" s="162">
        <f t="shared" si="19"/>
        <v>1.85153535</v>
      </c>
      <c r="AD41" s="162">
        <f t="shared" si="19"/>
        <v>1.85153535</v>
      </c>
      <c r="AE41" s="162">
        <f t="shared" si="19"/>
        <v>1.85153535</v>
      </c>
      <c r="AF41" s="162">
        <f t="shared" si="19"/>
        <v>1.85153535</v>
      </c>
      <c r="AG41" s="162">
        <f t="shared" si="19"/>
        <v>1.85153535</v>
      </c>
      <c r="AH41" s="162">
        <f t="shared" si="19"/>
        <v>1.85153535</v>
      </c>
      <c r="AI41" s="162">
        <f t="shared" si="19"/>
        <v>1.85153535</v>
      </c>
      <c r="AJ41" s="162">
        <f t="shared" si="19"/>
        <v>1.85153535</v>
      </c>
      <c r="AK41" s="162">
        <f t="shared" si="19"/>
        <v>1.85153535</v>
      </c>
      <c r="AL41" s="162">
        <f t="shared" si="19"/>
        <v>1.85153535</v>
      </c>
      <c r="AM41" s="162">
        <f t="shared" si="19"/>
        <v>1.85153535</v>
      </c>
      <c r="AN41" s="162">
        <f t="shared" si="19"/>
        <v>1.835218809</v>
      </c>
      <c r="AO41" s="162">
        <f t="shared" si="19"/>
        <v>1.835218809</v>
      </c>
      <c r="AP41" s="162">
        <f t="shared" si="19"/>
        <v>1.835218809</v>
      </c>
      <c r="AQ41" s="162">
        <f t="shared" si="19"/>
        <v>1.835218809</v>
      </c>
      <c r="AR41" s="162">
        <f t="shared" si="19"/>
        <v>1.835218809</v>
      </c>
      <c r="AS41" s="162">
        <f t="shared" si="19"/>
        <v>1.835218809</v>
      </c>
      <c r="AT41" s="162">
        <f t="shared" si="19"/>
        <v>1.835218809</v>
      </c>
      <c r="AU41" s="162">
        <f t="shared" si="19"/>
        <v>1.835218809</v>
      </c>
      <c r="AV41" s="162">
        <f t="shared" si="19"/>
        <v>1.835218809</v>
      </c>
      <c r="AW41" s="162">
        <f t="shared" si="19"/>
        <v>1.835218809</v>
      </c>
      <c r="AX41" s="162">
        <f t="shared" si="19"/>
        <v>1.835218809</v>
      </c>
      <c r="AY41" s="162">
        <f t="shared" si="19"/>
        <v>1.835218809</v>
      </c>
      <c r="AZ41" s="162">
        <f t="shared" si="19"/>
        <v>1.818869559</v>
      </c>
      <c r="BA41" s="162">
        <f t="shared" si="19"/>
        <v>1.818869559</v>
      </c>
      <c r="BB41" s="162">
        <f t="shared" si="19"/>
        <v>1.818869559</v>
      </c>
      <c r="BC41" s="162">
        <f t="shared" si="19"/>
        <v>1.818869559</v>
      </c>
      <c r="BD41" s="162">
        <f t="shared" si="19"/>
        <v>1.818869559</v>
      </c>
      <c r="BE41" s="162">
        <f t="shared" si="19"/>
        <v>1.818869559</v>
      </c>
      <c r="BF41" s="162">
        <f t="shared" si="19"/>
        <v>1.818869559</v>
      </c>
      <c r="BG41" s="162">
        <f t="shared" si="19"/>
        <v>1.818869559</v>
      </c>
      <c r="BH41" s="162">
        <f t="shared" si="19"/>
        <v>1.818869559</v>
      </c>
      <c r="BI41" s="162">
        <f t="shared" si="19"/>
        <v>1.818869559</v>
      </c>
      <c r="BJ41" s="162">
        <f t="shared" si="19"/>
        <v>1.818869559</v>
      </c>
      <c r="BK41" s="162">
        <f t="shared" si="19"/>
        <v>1.818869559</v>
      </c>
      <c r="BL41" s="162">
        <f t="shared" si="19"/>
        <v>1.802490718</v>
      </c>
      <c r="BM41" s="162">
        <f t="shared" si="19"/>
        <v>1.802490718</v>
      </c>
      <c r="BN41" s="162">
        <f t="shared" si="19"/>
        <v>1.802490718</v>
      </c>
      <c r="BO41" s="162">
        <f t="shared" si="19"/>
        <v>1.802490718</v>
      </c>
      <c r="BP41" s="162">
        <f t="shared" si="19"/>
        <v>1.802490718</v>
      </c>
      <c r="BQ41" s="162">
        <f t="shared" si="19"/>
        <v>1.802490718</v>
      </c>
      <c r="BR41" s="162">
        <f t="shared" si="19"/>
        <v>1.802490718</v>
      </c>
      <c r="BS41" s="162">
        <f t="shared" si="19"/>
        <v>1.802490718</v>
      </c>
      <c r="BT41" s="162">
        <f t="shared" si="19"/>
        <v>1.802490718</v>
      </c>
      <c r="BU41" s="162">
        <f t="shared" si="19"/>
        <v>1.802490718</v>
      </c>
      <c r="BV41" s="162">
        <f t="shared" si="19"/>
        <v>1.802490718</v>
      </c>
      <c r="BW41" s="162">
        <f t="shared" si="19"/>
        <v>1.802490718</v>
      </c>
      <c r="BX41" s="162">
        <f t="shared" si="19"/>
        <v>1.786085424</v>
      </c>
      <c r="BY41" s="162">
        <f t="shared" si="19"/>
        <v>1.786085424</v>
      </c>
      <c r="BZ41" s="162">
        <f t="shared" si="19"/>
        <v>1.786085424</v>
      </c>
      <c r="CA41" s="162">
        <f t="shared" si="19"/>
        <v>1.786085424</v>
      </c>
      <c r="CB41" s="162">
        <f t="shared" si="19"/>
        <v>1.786085424</v>
      </c>
      <c r="CC41" s="162">
        <f t="shared" si="19"/>
        <v>1.786085424</v>
      </c>
      <c r="CD41" s="162">
        <f t="shared" si="19"/>
        <v>1.786085424</v>
      </c>
      <c r="CE41" s="162">
        <f t="shared" si="19"/>
        <v>1.786085424</v>
      </c>
      <c r="CF41" s="162">
        <f t="shared" si="19"/>
        <v>1.786085424</v>
      </c>
      <c r="CG41" s="162">
        <f t="shared" si="19"/>
        <v>1.786085424</v>
      </c>
      <c r="CH41" s="162">
        <f t="shared" si="19"/>
        <v>1.786085424</v>
      </c>
      <c r="CI41" s="162">
        <f t="shared" si="19"/>
        <v>1.786085424</v>
      </c>
      <c r="CJ41" s="162">
        <f t="shared" si="19"/>
        <v>1.769656837</v>
      </c>
      <c r="CK41" s="162">
        <f t="shared" si="19"/>
        <v>1.769656837</v>
      </c>
      <c r="CL41" s="162">
        <f t="shared" si="19"/>
        <v>1.769656837</v>
      </c>
      <c r="CM41" s="162">
        <f t="shared" si="19"/>
        <v>1.769656837</v>
      </c>
      <c r="CN41" s="162">
        <f t="shared" si="19"/>
        <v>1.769656837</v>
      </c>
      <c r="CO41" s="162">
        <f t="shared" si="19"/>
        <v>1.769656837</v>
      </c>
      <c r="CP41" s="162">
        <f t="shared" si="19"/>
        <v>1.769656837</v>
      </c>
      <c r="CQ41" s="162">
        <f t="shared" si="19"/>
        <v>1.769656837</v>
      </c>
      <c r="CR41" s="162">
        <f t="shared" si="19"/>
        <v>1.769656837</v>
      </c>
      <c r="CS41" s="162">
        <f t="shared" si="19"/>
        <v>1.769656837</v>
      </c>
      <c r="CT41" s="162">
        <f t="shared" si="19"/>
        <v>1.769656837</v>
      </c>
      <c r="CU41" s="162">
        <f t="shared" si="19"/>
        <v>1.769656837</v>
      </c>
      <c r="CV41" s="162">
        <f t="shared" si="19"/>
        <v>1.753208135</v>
      </c>
      <c r="CW41" s="166"/>
    </row>
    <row r="42" ht="15.75" customHeight="1">
      <c r="A42" s="1" t="s">
        <v>246</v>
      </c>
      <c r="B42" s="1"/>
      <c r="C42" s="1"/>
      <c r="D42" s="163">
        <f t="shared" ref="D42:CW42" si="20">D33/D$39</f>
        <v>0.6610169492</v>
      </c>
      <c r="E42" s="163">
        <f t="shared" si="20"/>
        <v>0.6836108677</v>
      </c>
      <c r="F42" s="163">
        <f t="shared" si="20"/>
        <v>0.7065537388</v>
      </c>
      <c r="G42" s="163">
        <f t="shared" si="20"/>
        <v>0.7298228542</v>
      </c>
      <c r="H42" s="163">
        <f t="shared" si="20"/>
        <v>0.7533939856</v>
      </c>
      <c r="I42" s="163">
        <f t="shared" si="20"/>
        <v>0.777241468</v>
      </c>
      <c r="J42" s="163">
        <f t="shared" si="20"/>
        <v>0.8013382969</v>
      </c>
      <c r="K42" s="163">
        <f t="shared" si="20"/>
        <v>0.8256562379</v>
      </c>
      <c r="L42" s="163">
        <f t="shared" si="20"/>
        <v>0.847826087</v>
      </c>
      <c r="M42" s="163">
        <f t="shared" si="20"/>
        <v>0.847826087</v>
      </c>
      <c r="N42" s="163">
        <f t="shared" si="20"/>
        <v>0.847826087</v>
      </c>
      <c r="O42" s="163">
        <f t="shared" si="20"/>
        <v>0.847826087</v>
      </c>
      <c r="P42" s="163">
        <f t="shared" si="20"/>
        <v>0.8405172414</v>
      </c>
      <c r="Q42" s="163">
        <f t="shared" si="20"/>
        <v>0.8405172414</v>
      </c>
      <c r="R42" s="163">
        <f t="shared" si="20"/>
        <v>0.8405172414</v>
      </c>
      <c r="S42" s="163">
        <f t="shared" si="20"/>
        <v>0.8405172414</v>
      </c>
      <c r="T42" s="163">
        <f t="shared" si="20"/>
        <v>0.8405172414</v>
      </c>
      <c r="U42" s="163">
        <f t="shared" si="20"/>
        <v>0.8405172414</v>
      </c>
      <c r="V42" s="163">
        <f t="shared" si="20"/>
        <v>0.8405172414</v>
      </c>
      <c r="W42" s="163">
        <f t="shared" si="20"/>
        <v>0.8405172414</v>
      </c>
      <c r="X42" s="163">
        <f t="shared" si="20"/>
        <v>0.8405172414</v>
      </c>
      <c r="Y42" s="163">
        <f t="shared" si="20"/>
        <v>0.8405172414</v>
      </c>
      <c r="Z42" s="163">
        <f t="shared" si="20"/>
        <v>0.8405172414</v>
      </c>
      <c r="AA42" s="163">
        <f t="shared" si="20"/>
        <v>0.8405172414</v>
      </c>
      <c r="AB42" s="163">
        <f t="shared" si="20"/>
        <v>0.8331909075</v>
      </c>
      <c r="AC42" s="163">
        <f t="shared" si="20"/>
        <v>0.8331909075</v>
      </c>
      <c r="AD42" s="163">
        <f t="shared" si="20"/>
        <v>0.8331909075</v>
      </c>
      <c r="AE42" s="163">
        <f t="shared" si="20"/>
        <v>0.8331909075</v>
      </c>
      <c r="AF42" s="163">
        <f t="shared" si="20"/>
        <v>0.8331909075</v>
      </c>
      <c r="AG42" s="163">
        <f t="shared" si="20"/>
        <v>0.8331909075</v>
      </c>
      <c r="AH42" s="163">
        <f t="shared" si="20"/>
        <v>0.8331909075</v>
      </c>
      <c r="AI42" s="163">
        <f t="shared" si="20"/>
        <v>0.8331909075</v>
      </c>
      <c r="AJ42" s="163">
        <f t="shared" si="20"/>
        <v>0.8331909075</v>
      </c>
      <c r="AK42" s="163">
        <f t="shared" si="20"/>
        <v>0.8331909075</v>
      </c>
      <c r="AL42" s="163">
        <f t="shared" si="20"/>
        <v>0.8331909075</v>
      </c>
      <c r="AM42" s="163">
        <f t="shared" si="20"/>
        <v>0.8331909075</v>
      </c>
      <c r="AN42" s="163">
        <f t="shared" si="20"/>
        <v>0.825848464</v>
      </c>
      <c r="AO42" s="163">
        <f t="shared" si="20"/>
        <v>0.825848464</v>
      </c>
      <c r="AP42" s="163">
        <f t="shared" si="20"/>
        <v>0.825848464</v>
      </c>
      <c r="AQ42" s="163">
        <f t="shared" si="20"/>
        <v>0.825848464</v>
      </c>
      <c r="AR42" s="163">
        <f t="shared" si="20"/>
        <v>0.825848464</v>
      </c>
      <c r="AS42" s="163">
        <f t="shared" si="20"/>
        <v>0.825848464</v>
      </c>
      <c r="AT42" s="163">
        <f t="shared" si="20"/>
        <v>0.825848464</v>
      </c>
      <c r="AU42" s="163">
        <f t="shared" si="20"/>
        <v>0.825848464</v>
      </c>
      <c r="AV42" s="163">
        <f t="shared" si="20"/>
        <v>0.825848464</v>
      </c>
      <c r="AW42" s="163">
        <f t="shared" si="20"/>
        <v>0.825848464</v>
      </c>
      <c r="AX42" s="163">
        <f t="shared" si="20"/>
        <v>0.825848464</v>
      </c>
      <c r="AY42" s="163">
        <f t="shared" si="20"/>
        <v>0.825848464</v>
      </c>
      <c r="AZ42" s="163">
        <f t="shared" si="20"/>
        <v>0.8184913018</v>
      </c>
      <c r="BA42" s="163">
        <f t="shared" si="20"/>
        <v>0.8184913018</v>
      </c>
      <c r="BB42" s="163">
        <f t="shared" si="20"/>
        <v>0.8184913018</v>
      </c>
      <c r="BC42" s="163">
        <f t="shared" si="20"/>
        <v>0.8184913018</v>
      </c>
      <c r="BD42" s="163">
        <f t="shared" si="20"/>
        <v>0.8184913018</v>
      </c>
      <c r="BE42" s="163">
        <f t="shared" si="20"/>
        <v>0.8184913018</v>
      </c>
      <c r="BF42" s="163">
        <f t="shared" si="20"/>
        <v>0.8184913018</v>
      </c>
      <c r="BG42" s="163">
        <f t="shared" si="20"/>
        <v>0.8184913018</v>
      </c>
      <c r="BH42" s="163">
        <f t="shared" si="20"/>
        <v>0.8184913018</v>
      </c>
      <c r="BI42" s="163">
        <f t="shared" si="20"/>
        <v>0.8184913018</v>
      </c>
      <c r="BJ42" s="163">
        <f t="shared" si="20"/>
        <v>0.8184913018</v>
      </c>
      <c r="BK42" s="163">
        <f t="shared" si="20"/>
        <v>0.8184913018</v>
      </c>
      <c r="BL42" s="163">
        <f t="shared" si="20"/>
        <v>0.8111208231</v>
      </c>
      <c r="BM42" s="163">
        <f t="shared" si="20"/>
        <v>0.8111208231</v>
      </c>
      <c r="BN42" s="163">
        <f t="shared" si="20"/>
        <v>0.8111208231</v>
      </c>
      <c r="BO42" s="163">
        <f t="shared" si="20"/>
        <v>0.8111208231</v>
      </c>
      <c r="BP42" s="163">
        <f t="shared" si="20"/>
        <v>0.8111208231</v>
      </c>
      <c r="BQ42" s="163">
        <f t="shared" si="20"/>
        <v>0.8111208231</v>
      </c>
      <c r="BR42" s="163">
        <f t="shared" si="20"/>
        <v>0.8111208231</v>
      </c>
      <c r="BS42" s="163">
        <f t="shared" si="20"/>
        <v>0.8111208231</v>
      </c>
      <c r="BT42" s="163">
        <f t="shared" si="20"/>
        <v>0.8111208231</v>
      </c>
      <c r="BU42" s="163">
        <f t="shared" si="20"/>
        <v>0.8111208231</v>
      </c>
      <c r="BV42" s="163">
        <f t="shared" si="20"/>
        <v>0.8111208231</v>
      </c>
      <c r="BW42" s="163">
        <f t="shared" si="20"/>
        <v>0.8111208231</v>
      </c>
      <c r="BX42" s="163">
        <f t="shared" si="20"/>
        <v>0.8037384408</v>
      </c>
      <c r="BY42" s="163">
        <f t="shared" si="20"/>
        <v>0.8037384408</v>
      </c>
      <c r="BZ42" s="163">
        <f t="shared" si="20"/>
        <v>0.8037384408</v>
      </c>
      <c r="CA42" s="163">
        <f t="shared" si="20"/>
        <v>0.8037384408</v>
      </c>
      <c r="CB42" s="163">
        <f t="shared" si="20"/>
        <v>0.8037384408</v>
      </c>
      <c r="CC42" s="163">
        <f t="shared" si="20"/>
        <v>0.8037384408</v>
      </c>
      <c r="CD42" s="163">
        <f t="shared" si="20"/>
        <v>0.8037384408</v>
      </c>
      <c r="CE42" s="163">
        <f t="shared" si="20"/>
        <v>0.8037384408</v>
      </c>
      <c r="CF42" s="163">
        <f t="shared" si="20"/>
        <v>0.8037384408</v>
      </c>
      <c r="CG42" s="163">
        <f t="shared" si="20"/>
        <v>0.8037384408</v>
      </c>
      <c r="CH42" s="163">
        <f t="shared" si="20"/>
        <v>0.8037384408</v>
      </c>
      <c r="CI42" s="163">
        <f t="shared" si="20"/>
        <v>0.8037384408</v>
      </c>
      <c r="CJ42" s="163">
        <f t="shared" si="20"/>
        <v>0.7963455766</v>
      </c>
      <c r="CK42" s="163">
        <f t="shared" si="20"/>
        <v>0.7963455766</v>
      </c>
      <c r="CL42" s="163">
        <f t="shared" si="20"/>
        <v>0.7963455766</v>
      </c>
      <c r="CM42" s="163">
        <f t="shared" si="20"/>
        <v>0.7963455766</v>
      </c>
      <c r="CN42" s="163">
        <f t="shared" si="20"/>
        <v>0.7963455766</v>
      </c>
      <c r="CO42" s="163">
        <f t="shared" si="20"/>
        <v>0.7963455766</v>
      </c>
      <c r="CP42" s="163">
        <f t="shared" si="20"/>
        <v>0.7963455766</v>
      </c>
      <c r="CQ42" s="163">
        <f t="shared" si="20"/>
        <v>0.7963455766</v>
      </c>
      <c r="CR42" s="163">
        <f t="shared" si="20"/>
        <v>0.7963455766</v>
      </c>
      <c r="CS42" s="163">
        <f t="shared" si="20"/>
        <v>0.7963455766</v>
      </c>
      <c r="CT42" s="163">
        <f t="shared" si="20"/>
        <v>0.7963455766</v>
      </c>
      <c r="CU42" s="163">
        <f t="shared" si="20"/>
        <v>0.7963455766</v>
      </c>
      <c r="CV42" s="163">
        <f t="shared" si="20"/>
        <v>0.7889436607</v>
      </c>
      <c r="CW42" s="163">
        <f t="shared" si="20"/>
        <v>0.7889436607</v>
      </c>
    </row>
    <row r="43" ht="15.75" customHeight="1">
      <c r="A43" s="1" t="s">
        <v>247</v>
      </c>
      <c r="B43" s="1"/>
      <c r="C43" s="1"/>
      <c r="D43" s="163">
        <f t="shared" ref="D43:CW43" si="21">D34/D$39</f>
        <v>1.322033898</v>
      </c>
      <c r="E43" s="163">
        <f t="shared" si="21"/>
        <v>1.367221735</v>
      </c>
      <c r="F43" s="163">
        <f t="shared" si="21"/>
        <v>1.413107478</v>
      </c>
      <c r="G43" s="163">
        <f t="shared" si="21"/>
        <v>1.459645708</v>
      </c>
      <c r="H43" s="163">
        <f t="shared" si="21"/>
        <v>1.506787971</v>
      </c>
      <c r="I43" s="163">
        <f t="shared" si="21"/>
        <v>1.554482936</v>
      </c>
      <c r="J43" s="163">
        <f t="shared" si="21"/>
        <v>1.602676594</v>
      </c>
      <c r="K43" s="163">
        <f t="shared" si="21"/>
        <v>1.651312476</v>
      </c>
      <c r="L43" s="163">
        <f t="shared" si="21"/>
        <v>1.695652174</v>
      </c>
      <c r="M43" s="163">
        <f t="shared" si="21"/>
        <v>1.695652174</v>
      </c>
      <c r="N43" s="163">
        <f t="shared" si="21"/>
        <v>1.695652174</v>
      </c>
      <c r="O43" s="163">
        <f t="shared" si="21"/>
        <v>1.695652174</v>
      </c>
      <c r="P43" s="163">
        <f t="shared" si="21"/>
        <v>1.681034483</v>
      </c>
      <c r="Q43" s="163">
        <f t="shared" si="21"/>
        <v>1.681034483</v>
      </c>
      <c r="R43" s="163">
        <f t="shared" si="21"/>
        <v>1.681034483</v>
      </c>
      <c r="S43" s="163">
        <f t="shared" si="21"/>
        <v>1.681034483</v>
      </c>
      <c r="T43" s="163">
        <f t="shared" si="21"/>
        <v>1.681034483</v>
      </c>
      <c r="U43" s="163">
        <f t="shared" si="21"/>
        <v>1.681034483</v>
      </c>
      <c r="V43" s="163">
        <f t="shared" si="21"/>
        <v>1.681034483</v>
      </c>
      <c r="W43" s="163">
        <f t="shared" si="21"/>
        <v>1.681034483</v>
      </c>
      <c r="X43" s="163">
        <f t="shared" si="21"/>
        <v>1.681034483</v>
      </c>
      <c r="Y43" s="163">
        <f t="shared" si="21"/>
        <v>1.681034483</v>
      </c>
      <c r="Z43" s="163">
        <f t="shared" si="21"/>
        <v>1.681034483</v>
      </c>
      <c r="AA43" s="163">
        <f t="shared" si="21"/>
        <v>1.681034483</v>
      </c>
      <c r="AB43" s="163">
        <f t="shared" si="21"/>
        <v>1.666381815</v>
      </c>
      <c r="AC43" s="163">
        <f t="shared" si="21"/>
        <v>1.666381815</v>
      </c>
      <c r="AD43" s="163">
        <f t="shared" si="21"/>
        <v>1.666381815</v>
      </c>
      <c r="AE43" s="163">
        <f t="shared" si="21"/>
        <v>1.666381815</v>
      </c>
      <c r="AF43" s="163">
        <f t="shared" si="21"/>
        <v>1.666381815</v>
      </c>
      <c r="AG43" s="163">
        <f t="shared" si="21"/>
        <v>1.666381815</v>
      </c>
      <c r="AH43" s="163">
        <f t="shared" si="21"/>
        <v>1.666381815</v>
      </c>
      <c r="AI43" s="163">
        <f t="shared" si="21"/>
        <v>1.666381815</v>
      </c>
      <c r="AJ43" s="163">
        <f t="shared" si="21"/>
        <v>1.666381815</v>
      </c>
      <c r="AK43" s="163">
        <f t="shared" si="21"/>
        <v>1.666381815</v>
      </c>
      <c r="AL43" s="163">
        <f t="shared" si="21"/>
        <v>1.666381815</v>
      </c>
      <c r="AM43" s="163">
        <f t="shared" si="21"/>
        <v>1.666381815</v>
      </c>
      <c r="AN43" s="163">
        <f t="shared" si="21"/>
        <v>1.651696928</v>
      </c>
      <c r="AO43" s="163">
        <f t="shared" si="21"/>
        <v>1.651696928</v>
      </c>
      <c r="AP43" s="163">
        <f t="shared" si="21"/>
        <v>1.651696928</v>
      </c>
      <c r="AQ43" s="163">
        <f t="shared" si="21"/>
        <v>1.651696928</v>
      </c>
      <c r="AR43" s="163">
        <f t="shared" si="21"/>
        <v>1.651696928</v>
      </c>
      <c r="AS43" s="163">
        <f t="shared" si="21"/>
        <v>1.651696928</v>
      </c>
      <c r="AT43" s="163">
        <f t="shared" si="21"/>
        <v>1.651696928</v>
      </c>
      <c r="AU43" s="163">
        <f t="shared" si="21"/>
        <v>1.651696928</v>
      </c>
      <c r="AV43" s="163">
        <f t="shared" si="21"/>
        <v>1.651696928</v>
      </c>
      <c r="AW43" s="163">
        <f t="shared" si="21"/>
        <v>1.651696928</v>
      </c>
      <c r="AX43" s="163">
        <f t="shared" si="21"/>
        <v>1.651696928</v>
      </c>
      <c r="AY43" s="163">
        <f t="shared" si="21"/>
        <v>1.651696928</v>
      </c>
      <c r="AZ43" s="163">
        <f t="shared" si="21"/>
        <v>1.636982604</v>
      </c>
      <c r="BA43" s="163">
        <f t="shared" si="21"/>
        <v>1.636982604</v>
      </c>
      <c r="BB43" s="163">
        <f t="shared" si="21"/>
        <v>1.636982604</v>
      </c>
      <c r="BC43" s="163">
        <f t="shared" si="21"/>
        <v>1.636982604</v>
      </c>
      <c r="BD43" s="163">
        <f t="shared" si="21"/>
        <v>1.636982604</v>
      </c>
      <c r="BE43" s="163">
        <f t="shared" si="21"/>
        <v>1.636982604</v>
      </c>
      <c r="BF43" s="163">
        <f t="shared" si="21"/>
        <v>1.636982604</v>
      </c>
      <c r="BG43" s="163">
        <f t="shared" si="21"/>
        <v>1.636982604</v>
      </c>
      <c r="BH43" s="163">
        <f t="shared" si="21"/>
        <v>1.636982604</v>
      </c>
      <c r="BI43" s="163">
        <f t="shared" si="21"/>
        <v>1.636982604</v>
      </c>
      <c r="BJ43" s="163">
        <f t="shared" si="21"/>
        <v>1.636982604</v>
      </c>
      <c r="BK43" s="163">
        <f t="shared" si="21"/>
        <v>1.636982604</v>
      </c>
      <c r="BL43" s="163">
        <f t="shared" si="21"/>
        <v>1.622241646</v>
      </c>
      <c r="BM43" s="163">
        <f t="shared" si="21"/>
        <v>1.622241646</v>
      </c>
      <c r="BN43" s="163">
        <f t="shared" si="21"/>
        <v>1.622241646</v>
      </c>
      <c r="BO43" s="163">
        <f t="shared" si="21"/>
        <v>1.622241646</v>
      </c>
      <c r="BP43" s="163">
        <f t="shared" si="21"/>
        <v>1.622241646</v>
      </c>
      <c r="BQ43" s="163">
        <f t="shared" si="21"/>
        <v>1.622241646</v>
      </c>
      <c r="BR43" s="163">
        <f t="shared" si="21"/>
        <v>1.622241646</v>
      </c>
      <c r="BS43" s="163">
        <f t="shared" si="21"/>
        <v>1.622241646</v>
      </c>
      <c r="BT43" s="163">
        <f t="shared" si="21"/>
        <v>1.622241646</v>
      </c>
      <c r="BU43" s="163">
        <f t="shared" si="21"/>
        <v>1.622241646</v>
      </c>
      <c r="BV43" s="163">
        <f t="shared" si="21"/>
        <v>1.622241646</v>
      </c>
      <c r="BW43" s="163">
        <f t="shared" si="21"/>
        <v>1.622241646</v>
      </c>
      <c r="BX43" s="163">
        <f t="shared" si="21"/>
        <v>1.607476882</v>
      </c>
      <c r="BY43" s="163">
        <f t="shared" si="21"/>
        <v>1.607476882</v>
      </c>
      <c r="BZ43" s="163">
        <f t="shared" si="21"/>
        <v>1.607476882</v>
      </c>
      <c r="CA43" s="163">
        <f t="shared" si="21"/>
        <v>1.607476882</v>
      </c>
      <c r="CB43" s="163">
        <f t="shared" si="21"/>
        <v>1.607476882</v>
      </c>
      <c r="CC43" s="163">
        <f t="shared" si="21"/>
        <v>1.607476882</v>
      </c>
      <c r="CD43" s="163">
        <f t="shared" si="21"/>
        <v>1.607476882</v>
      </c>
      <c r="CE43" s="163">
        <f t="shared" si="21"/>
        <v>1.607476882</v>
      </c>
      <c r="CF43" s="163">
        <f t="shared" si="21"/>
        <v>1.607476882</v>
      </c>
      <c r="CG43" s="163">
        <f t="shared" si="21"/>
        <v>1.607476882</v>
      </c>
      <c r="CH43" s="163">
        <f t="shared" si="21"/>
        <v>1.607476882</v>
      </c>
      <c r="CI43" s="163">
        <f t="shared" si="21"/>
        <v>1.607476882</v>
      </c>
      <c r="CJ43" s="163">
        <f t="shared" si="21"/>
        <v>1.592691153</v>
      </c>
      <c r="CK43" s="163">
        <f t="shared" si="21"/>
        <v>1.592691153</v>
      </c>
      <c r="CL43" s="163">
        <f t="shared" si="21"/>
        <v>1.592691153</v>
      </c>
      <c r="CM43" s="163">
        <f t="shared" si="21"/>
        <v>1.592691153</v>
      </c>
      <c r="CN43" s="163">
        <f t="shared" si="21"/>
        <v>1.592691153</v>
      </c>
      <c r="CO43" s="163">
        <f t="shared" si="21"/>
        <v>1.592691153</v>
      </c>
      <c r="CP43" s="163">
        <f t="shared" si="21"/>
        <v>1.592691153</v>
      </c>
      <c r="CQ43" s="163">
        <f t="shared" si="21"/>
        <v>1.592691153</v>
      </c>
      <c r="CR43" s="163">
        <f t="shared" si="21"/>
        <v>1.592691153</v>
      </c>
      <c r="CS43" s="163">
        <f t="shared" si="21"/>
        <v>1.592691153</v>
      </c>
      <c r="CT43" s="163">
        <f t="shared" si="21"/>
        <v>1.592691153</v>
      </c>
      <c r="CU43" s="163">
        <f t="shared" si="21"/>
        <v>1.592691153</v>
      </c>
      <c r="CV43" s="163">
        <f t="shared" si="21"/>
        <v>1.577887321</v>
      </c>
      <c r="CW43" s="163">
        <f t="shared" si="21"/>
        <v>1.577887321</v>
      </c>
    </row>
    <row r="44" ht="15.75" customHeight="1">
      <c r="A44" s="1" t="s">
        <v>248</v>
      </c>
      <c r="B44" s="1"/>
      <c r="C44" s="1"/>
      <c r="D44" s="163">
        <f t="shared" ref="D44:CW44" si="22">D35/D$39</f>
        <v>2.644067797</v>
      </c>
      <c r="E44" s="163">
        <f t="shared" si="22"/>
        <v>2.734443471</v>
      </c>
      <c r="F44" s="163">
        <f t="shared" si="22"/>
        <v>2.826214955</v>
      </c>
      <c r="G44" s="163">
        <f t="shared" si="22"/>
        <v>2.919291417</v>
      </c>
      <c r="H44" s="163">
        <f t="shared" si="22"/>
        <v>3.013575942</v>
      </c>
      <c r="I44" s="163">
        <f t="shared" si="22"/>
        <v>3.108965872</v>
      </c>
      <c r="J44" s="163">
        <f t="shared" si="22"/>
        <v>3.205353187</v>
      </c>
      <c r="K44" s="163">
        <f t="shared" si="22"/>
        <v>3.302624952</v>
      </c>
      <c r="L44" s="163">
        <f t="shared" si="22"/>
        <v>3.391304348</v>
      </c>
      <c r="M44" s="163">
        <f t="shared" si="22"/>
        <v>3.391304348</v>
      </c>
      <c r="N44" s="163">
        <f t="shared" si="22"/>
        <v>3.391304348</v>
      </c>
      <c r="O44" s="163">
        <f t="shared" si="22"/>
        <v>3.391304348</v>
      </c>
      <c r="P44" s="163">
        <f t="shared" si="22"/>
        <v>3.362068966</v>
      </c>
      <c r="Q44" s="163">
        <f t="shared" si="22"/>
        <v>3.362068966</v>
      </c>
      <c r="R44" s="163">
        <f t="shared" si="22"/>
        <v>3.362068966</v>
      </c>
      <c r="S44" s="163">
        <f t="shared" si="22"/>
        <v>3.362068966</v>
      </c>
      <c r="T44" s="163">
        <f t="shared" si="22"/>
        <v>3.362068966</v>
      </c>
      <c r="U44" s="163">
        <f t="shared" si="22"/>
        <v>3.362068966</v>
      </c>
      <c r="V44" s="163">
        <f t="shared" si="22"/>
        <v>3.362068966</v>
      </c>
      <c r="W44" s="163">
        <f t="shared" si="22"/>
        <v>3.362068966</v>
      </c>
      <c r="X44" s="163">
        <f t="shared" si="22"/>
        <v>3.362068966</v>
      </c>
      <c r="Y44" s="163">
        <f t="shared" si="22"/>
        <v>3.362068966</v>
      </c>
      <c r="Z44" s="163">
        <f t="shared" si="22"/>
        <v>3.362068966</v>
      </c>
      <c r="AA44" s="163">
        <f t="shared" si="22"/>
        <v>3.362068966</v>
      </c>
      <c r="AB44" s="163">
        <f t="shared" si="22"/>
        <v>3.33276363</v>
      </c>
      <c r="AC44" s="163">
        <f t="shared" si="22"/>
        <v>3.33276363</v>
      </c>
      <c r="AD44" s="163">
        <f t="shared" si="22"/>
        <v>3.33276363</v>
      </c>
      <c r="AE44" s="163">
        <f t="shared" si="22"/>
        <v>3.33276363</v>
      </c>
      <c r="AF44" s="163">
        <f t="shared" si="22"/>
        <v>3.33276363</v>
      </c>
      <c r="AG44" s="163">
        <f t="shared" si="22"/>
        <v>3.33276363</v>
      </c>
      <c r="AH44" s="163">
        <f t="shared" si="22"/>
        <v>3.33276363</v>
      </c>
      <c r="AI44" s="163">
        <f t="shared" si="22"/>
        <v>3.33276363</v>
      </c>
      <c r="AJ44" s="163">
        <f t="shared" si="22"/>
        <v>3.33276363</v>
      </c>
      <c r="AK44" s="163">
        <f t="shared" si="22"/>
        <v>3.33276363</v>
      </c>
      <c r="AL44" s="163">
        <f t="shared" si="22"/>
        <v>3.33276363</v>
      </c>
      <c r="AM44" s="163">
        <f t="shared" si="22"/>
        <v>3.33276363</v>
      </c>
      <c r="AN44" s="163">
        <f t="shared" si="22"/>
        <v>3.303393856</v>
      </c>
      <c r="AO44" s="163">
        <f t="shared" si="22"/>
        <v>3.303393856</v>
      </c>
      <c r="AP44" s="163">
        <f t="shared" si="22"/>
        <v>3.303393856</v>
      </c>
      <c r="AQ44" s="163">
        <f t="shared" si="22"/>
        <v>3.303393856</v>
      </c>
      <c r="AR44" s="163">
        <f t="shared" si="22"/>
        <v>3.303393856</v>
      </c>
      <c r="AS44" s="163">
        <f t="shared" si="22"/>
        <v>3.303393856</v>
      </c>
      <c r="AT44" s="163">
        <f t="shared" si="22"/>
        <v>3.303393856</v>
      </c>
      <c r="AU44" s="163">
        <f t="shared" si="22"/>
        <v>3.303393856</v>
      </c>
      <c r="AV44" s="163">
        <f t="shared" si="22"/>
        <v>3.303393856</v>
      </c>
      <c r="AW44" s="163">
        <f t="shared" si="22"/>
        <v>3.303393856</v>
      </c>
      <c r="AX44" s="163">
        <f t="shared" si="22"/>
        <v>3.303393856</v>
      </c>
      <c r="AY44" s="163">
        <f t="shared" si="22"/>
        <v>3.303393856</v>
      </c>
      <c r="AZ44" s="163">
        <f t="shared" si="22"/>
        <v>3.273965207</v>
      </c>
      <c r="BA44" s="163">
        <f t="shared" si="22"/>
        <v>3.273965207</v>
      </c>
      <c r="BB44" s="163">
        <f t="shared" si="22"/>
        <v>3.273965207</v>
      </c>
      <c r="BC44" s="163">
        <f t="shared" si="22"/>
        <v>3.273965207</v>
      </c>
      <c r="BD44" s="163">
        <f t="shared" si="22"/>
        <v>3.273965207</v>
      </c>
      <c r="BE44" s="163">
        <f t="shared" si="22"/>
        <v>3.273965207</v>
      </c>
      <c r="BF44" s="163">
        <f t="shared" si="22"/>
        <v>3.273965207</v>
      </c>
      <c r="BG44" s="163">
        <f t="shared" si="22"/>
        <v>3.273965207</v>
      </c>
      <c r="BH44" s="163">
        <f t="shared" si="22"/>
        <v>3.273965207</v>
      </c>
      <c r="BI44" s="163">
        <f t="shared" si="22"/>
        <v>3.273965207</v>
      </c>
      <c r="BJ44" s="163">
        <f t="shared" si="22"/>
        <v>3.273965207</v>
      </c>
      <c r="BK44" s="163">
        <f t="shared" si="22"/>
        <v>3.273965207</v>
      </c>
      <c r="BL44" s="163">
        <f t="shared" si="22"/>
        <v>3.244483293</v>
      </c>
      <c r="BM44" s="163">
        <f t="shared" si="22"/>
        <v>3.244483293</v>
      </c>
      <c r="BN44" s="163">
        <f t="shared" si="22"/>
        <v>3.244483293</v>
      </c>
      <c r="BO44" s="163">
        <f t="shared" si="22"/>
        <v>3.244483293</v>
      </c>
      <c r="BP44" s="163">
        <f t="shared" si="22"/>
        <v>3.244483293</v>
      </c>
      <c r="BQ44" s="163">
        <f t="shared" si="22"/>
        <v>3.244483293</v>
      </c>
      <c r="BR44" s="163">
        <f t="shared" si="22"/>
        <v>3.244483293</v>
      </c>
      <c r="BS44" s="163">
        <f t="shared" si="22"/>
        <v>3.244483293</v>
      </c>
      <c r="BT44" s="163">
        <f t="shared" si="22"/>
        <v>3.244483293</v>
      </c>
      <c r="BU44" s="163">
        <f t="shared" si="22"/>
        <v>3.244483293</v>
      </c>
      <c r="BV44" s="163">
        <f t="shared" si="22"/>
        <v>3.244483293</v>
      </c>
      <c r="BW44" s="163">
        <f t="shared" si="22"/>
        <v>3.244483293</v>
      </c>
      <c r="BX44" s="163">
        <f t="shared" si="22"/>
        <v>3.214953763</v>
      </c>
      <c r="BY44" s="163">
        <f t="shared" si="22"/>
        <v>3.214953763</v>
      </c>
      <c r="BZ44" s="163">
        <f t="shared" si="22"/>
        <v>3.214953763</v>
      </c>
      <c r="CA44" s="163">
        <f t="shared" si="22"/>
        <v>3.214953763</v>
      </c>
      <c r="CB44" s="163">
        <f t="shared" si="22"/>
        <v>3.214953763</v>
      </c>
      <c r="CC44" s="163">
        <f t="shared" si="22"/>
        <v>3.214953763</v>
      </c>
      <c r="CD44" s="163">
        <f t="shared" si="22"/>
        <v>3.214953763</v>
      </c>
      <c r="CE44" s="163">
        <f t="shared" si="22"/>
        <v>3.214953763</v>
      </c>
      <c r="CF44" s="163">
        <f t="shared" si="22"/>
        <v>3.214953763</v>
      </c>
      <c r="CG44" s="163">
        <f t="shared" si="22"/>
        <v>3.214953763</v>
      </c>
      <c r="CH44" s="163">
        <f t="shared" si="22"/>
        <v>3.214953763</v>
      </c>
      <c r="CI44" s="163">
        <f t="shared" si="22"/>
        <v>3.214953763</v>
      </c>
      <c r="CJ44" s="163">
        <f t="shared" si="22"/>
        <v>3.185382307</v>
      </c>
      <c r="CK44" s="163">
        <f t="shared" si="22"/>
        <v>3.185382307</v>
      </c>
      <c r="CL44" s="163">
        <f t="shared" si="22"/>
        <v>3.185382307</v>
      </c>
      <c r="CM44" s="163">
        <f t="shared" si="22"/>
        <v>3.185382307</v>
      </c>
      <c r="CN44" s="163">
        <f t="shared" si="22"/>
        <v>3.185382307</v>
      </c>
      <c r="CO44" s="163">
        <f t="shared" si="22"/>
        <v>3.185382307</v>
      </c>
      <c r="CP44" s="163">
        <f t="shared" si="22"/>
        <v>3.185382307</v>
      </c>
      <c r="CQ44" s="163">
        <f t="shared" si="22"/>
        <v>3.185382307</v>
      </c>
      <c r="CR44" s="163">
        <f t="shared" si="22"/>
        <v>3.185382307</v>
      </c>
      <c r="CS44" s="163">
        <f t="shared" si="22"/>
        <v>3.185382307</v>
      </c>
      <c r="CT44" s="163">
        <f t="shared" si="22"/>
        <v>3.185382307</v>
      </c>
      <c r="CU44" s="163">
        <f t="shared" si="22"/>
        <v>3.185382307</v>
      </c>
      <c r="CV44" s="163">
        <f t="shared" si="22"/>
        <v>3.155774643</v>
      </c>
      <c r="CW44" s="163">
        <f t="shared" si="22"/>
        <v>3.155774643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ht="15.75" customHeight="1">
      <c r="A46" s="167" t="str">
        <f>'Monthly forecast'!A35</f>
        <v>REVENUE STREAM 3: OUTBOUND SALES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ht="15.75" customHeight="1">
      <c r="A48" s="1" t="s">
        <v>236</v>
      </c>
      <c r="B48" s="1"/>
      <c r="C48" s="154">
        <f>IF(C2&gt;=Projections!$D$28,Projections!$B$28,0)</f>
        <v>0</v>
      </c>
      <c r="D48" s="154">
        <f>IF(D2&gt;=Projections!$D$28,Projections!$B$28,0)</f>
        <v>100</v>
      </c>
      <c r="E48" s="154">
        <f>IF(E2&gt;=Projections!$D$28,Projections!$B$28,0)</f>
        <v>100</v>
      </c>
      <c r="F48" s="154">
        <f>IF(F2&gt;=Projections!$D$28,Projections!$B$28,0)</f>
        <v>100</v>
      </c>
      <c r="G48" s="154">
        <f>IF(G2&gt;=Projections!$D$28,Projections!$B$28,0)</f>
        <v>100</v>
      </c>
      <c r="H48" s="154">
        <f>IF(H2&gt;=Projections!$D$28,Projections!$B$28,0)</f>
        <v>100</v>
      </c>
      <c r="I48" s="154">
        <f>IF(I2&gt;=Projections!$D$28,Projections!$B$28,0)</f>
        <v>100</v>
      </c>
      <c r="J48" s="154">
        <f>IF(J2&gt;=Projections!$D$28,Projections!$B$28,0)</f>
        <v>100</v>
      </c>
      <c r="K48" s="154">
        <f>IF(K2&gt;=Projections!$D$28,Projections!$B$28,0)</f>
        <v>100</v>
      </c>
      <c r="L48" s="154">
        <f>IF(L2&gt;=Projections!$D$28,Projections!$B$28,0)</f>
        <v>100</v>
      </c>
      <c r="M48" s="154">
        <f>IF(M2&gt;=Projections!$D$28,Projections!$B$28,0)</f>
        <v>100</v>
      </c>
      <c r="N48" s="154">
        <f>IF(N2&gt;=Projections!$D$28,Projections!$B$28,0)</f>
        <v>100</v>
      </c>
      <c r="O48" s="154">
        <f>IF(O2&gt;=Projections!$D$28,Projections!$B$28,0)</f>
        <v>100</v>
      </c>
      <c r="P48" s="154">
        <f>IF(P2&gt;=Projections!$D$28,Projections!$B$28,0)</f>
        <v>100</v>
      </c>
      <c r="Q48" s="154">
        <f>IF(Q2&gt;=Projections!$D$28,Projections!$B$28,0)</f>
        <v>100</v>
      </c>
      <c r="R48" s="154">
        <f>IF(R2&gt;=Projections!$D$28,Projections!$B$28,0)</f>
        <v>100</v>
      </c>
      <c r="S48" s="154">
        <f>IF(S2&gt;=Projections!$D$28,Projections!$B$28,0)</f>
        <v>100</v>
      </c>
      <c r="T48" s="154">
        <f>IF(T2&gt;=Projections!$D$28,Projections!$B$28,0)</f>
        <v>100</v>
      </c>
      <c r="U48" s="154">
        <f>IF(U2&gt;=Projections!$D$28,Projections!$B$28,0)</f>
        <v>100</v>
      </c>
      <c r="V48" s="154">
        <f>IF(V2&gt;=Projections!$D$28,Projections!$B$28,0)</f>
        <v>100</v>
      </c>
      <c r="W48" s="154">
        <f>IF(W2&gt;=Projections!$D$28,Projections!$B$28,0)</f>
        <v>100</v>
      </c>
      <c r="X48" s="154">
        <f>IF(X2&gt;=Projections!$D$28,Projections!$B$28,0)</f>
        <v>100</v>
      </c>
      <c r="Y48" s="154">
        <f>IF(Y2&gt;=Projections!$D$28,Projections!$B$28,0)</f>
        <v>100</v>
      </c>
      <c r="Z48" s="154">
        <f>IF(Z2&gt;=Projections!$D$28,Projections!$B$28,0)</f>
        <v>100</v>
      </c>
      <c r="AA48" s="154">
        <f>IF(AA2&gt;=Projections!$D$28,Projections!$B$28,0)</f>
        <v>100</v>
      </c>
      <c r="AB48" s="154">
        <f>IF(AB2&gt;=Projections!$D$28,Projections!$B$28,0)</f>
        <v>100</v>
      </c>
      <c r="AC48" s="154">
        <f>IF(AC2&gt;=Projections!$D$28,Projections!$B$28,0)</f>
        <v>100</v>
      </c>
      <c r="AD48" s="154">
        <f>IF(AD2&gt;=Projections!$D$28,Projections!$B$28,0)</f>
        <v>100</v>
      </c>
      <c r="AE48" s="154">
        <f>IF(AE2&gt;=Projections!$D$28,Projections!$B$28,0)</f>
        <v>100</v>
      </c>
      <c r="AF48" s="154">
        <f>IF(AF2&gt;=Projections!$D$28,Projections!$B$28,0)</f>
        <v>100</v>
      </c>
      <c r="AG48" s="154">
        <f>IF(AG2&gt;=Projections!$D$28,Projections!$B$28,0)</f>
        <v>100</v>
      </c>
      <c r="AH48" s="154">
        <f>IF(AH2&gt;=Projections!$D$28,Projections!$B$28,0)</f>
        <v>100</v>
      </c>
      <c r="AI48" s="154">
        <f>IF(AI2&gt;=Projections!$D$28,Projections!$B$28,0)</f>
        <v>100</v>
      </c>
      <c r="AJ48" s="154">
        <f>IF(AJ2&gt;=Projections!$D$28,Projections!$B$28,0)</f>
        <v>100</v>
      </c>
      <c r="AK48" s="154">
        <f>IF(AK2&gt;=Projections!$D$28,Projections!$B$28,0)</f>
        <v>100</v>
      </c>
      <c r="AL48" s="154">
        <f>IF(AL2&gt;=Projections!$D$28,Projections!$B$28,0)</f>
        <v>100</v>
      </c>
      <c r="AM48" s="154">
        <f>IF(AM2&gt;=Projections!$D$28,Projections!$B$28,0)</f>
        <v>100</v>
      </c>
      <c r="AN48" s="154">
        <f>IF(AN2&gt;=Projections!$D$28,Projections!$B$28,0)</f>
        <v>100</v>
      </c>
      <c r="AO48" s="154">
        <f>IF(AO2&gt;=Projections!$D$28,Projections!$B$28,0)</f>
        <v>100</v>
      </c>
      <c r="AP48" s="154">
        <f>IF(AP2&gt;=Projections!$D$28,Projections!$B$28,0)</f>
        <v>100</v>
      </c>
      <c r="AQ48" s="154">
        <f>IF(AQ2&gt;=Projections!$D$28,Projections!$B$28,0)</f>
        <v>100</v>
      </c>
      <c r="AR48" s="154">
        <f>IF(AR2&gt;=Projections!$D$28,Projections!$B$28,0)</f>
        <v>100</v>
      </c>
      <c r="AS48" s="154">
        <f>IF(AS2&gt;=Projections!$D$28,Projections!$B$28,0)</f>
        <v>100</v>
      </c>
      <c r="AT48" s="154">
        <f>IF(AT2&gt;=Projections!$D$28,Projections!$B$28,0)</f>
        <v>100</v>
      </c>
      <c r="AU48" s="154">
        <f>IF(AU2&gt;=Projections!$D$28,Projections!$B$28,0)</f>
        <v>100</v>
      </c>
      <c r="AV48" s="154">
        <f>IF(AV2&gt;=Projections!$D$28,Projections!$B$28,0)</f>
        <v>100</v>
      </c>
      <c r="AW48" s="154">
        <f>IF(AW2&gt;=Projections!$D$28,Projections!$B$28,0)</f>
        <v>100</v>
      </c>
      <c r="AX48" s="154">
        <f>IF(AX2&gt;=Projections!$D$28,Projections!$B$28,0)</f>
        <v>100</v>
      </c>
      <c r="AY48" s="154">
        <f>IF(AY2&gt;=Projections!$D$28,Projections!$B$28,0)</f>
        <v>100</v>
      </c>
      <c r="AZ48" s="154">
        <f>IF(AZ2&gt;=Projections!$D$28,Projections!$B$28,0)</f>
        <v>100</v>
      </c>
      <c r="BA48" s="154">
        <f>IF(BA2&gt;=Projections!$D$28,Projections!$B$28,0)</f>
        <v>100</v>
      </c>
      <c r="BB48" s="154">
        <f>IF(BB2&gt;=Projections!$D$28,Projections!$B$28,0)</f>
        <v>100</v>
      </c>
      <c r="BC48" s="154">
        <f>IF(BC2&gt;=Projections!$D$28,Projections!$B$28,0)</f>
        <v>100</v>
      </c>
      <c r="BD48" s="154">
        <f>IF(BD2&gt;=Projections!$D$28,Projections!$B$28,0)</f>
        <v>100</v>
      </c>
      <c r="BE48" s="154">
        <f>IF(BE2&gt;=Projections!$D$28,Projections!$B$28,0)</f>
        <v>100</v>
      </c>
      <c r="BF48" s="154">
        <f>IF(BF2&gt;=Projections!$D$28,Projections!$B$28,0)</f>
        <v>100</v>
      </c>
      <c r="BG48" s="154">
        <f>IF(BG2&gt;=Projections!$D$28,Projections!$B$28,0)</f>
        <v>100</v>
      </c>
      <c r="BH48" s="154">
        <f>IF(BH2&gt;=Projections!$D$28,Projections!$B$28,0)</f>
        <v>100</v>
      </c>
      <c r="BI48" s="154">
        <f>IF(BI2&gt;=Projections!$D$28,Projections!$B$28,0)</f>
        <v>100</v>
      </c>
      <c r="BJ48" s="154">
        <f>IF(BJ2&gt;=Projections!$D$28,Projections!$B$28,0)</f>
        <v>100</v>
      </c>
      <c r="BK48" s="154">
        <f>IF(BK2&gt;=Projections!$D$28,Projections!$B$28,0)</f>
        <v>100</v>
      </c>
      <c r="BL48" s="154">
        <f>IF(BL2&gt;=Projections!$D$28,Projections!$B$28,0)</f>
        <v>100</v>
      </c>
      <c r="BM48" s="154">
        <f>IF(BM2&gt;=Projections!$D$28,Projections!$B$28,0)</f>
        <v>100</v>
      </c>
      <c r="BN48" s="154">
        <f>IF(BN2&gt;=Projections!$D$28,Projections!$B$28,0)</f>
        <v>100</v>
      </c>
      <c r="BO48" s="154">
        <f>IF(BO2&gt;=Projections!$D$28,Projections!$B$28,0)</f>
        <v>100</v>
      </c>
      <c r="BP48" s="154">
        <f>IF(BP2&gt;=Projections!$D$28,Projections!$B$28,0)</f>
        <v>100</v>
      </c>
      <c r="BQ48" s="154">
        <f>IF(BQ2&gt;=Projections!$D$28,Projections!$B$28,0)</f>
        <v>100</v>
      </c>
      <c r="BR48" s="154">
        <f>IF(BR2&gt;=Projections!$D$28,Projections!$B$28,0)</f>
        <v>100</v>
      </c>
      <c r="BS48" s="154">
        <f>IF(BS2&gt;=Projections!$D$28,Projections!$B$28,0)</f>
        <v>100</v>
      </c>
      <c r="BT48" s="154">
        <f>IF(BT2&gt;=Projections!$D$28,Projections!$B$28,0)</f>
        <v>100</v>
      </c>
      <c r="BU48" s="154">
        <f>IF(BU2&gt;=Projections!$D$28,Projections!$B$28,0)</f>
        <v>100</v>
      </c>
      <c r="BV48" s="154">
        <f>IF(BV2&gt;=Projections!$D$28,Projections!$B$28,0)</f>
        <v>100</v>
      </c>
      <c r="BW48" s="154">
        <f>IF(BW2&gt;=Projections!$D$28,Projections!$B$28,0)</f>
        <v>100</v>
      </c>
      <c r="BX48" s="154">
        <f>IF(BX2&gt;=Projections!$D$28,Projections!$B$28,0)</f>
        <v>100</v>
      </c>
      <c r="BY48" s="154">
        <f>IF(BY2&gt;=Projections!$D$28,Projections!$B$28,0)</f>
        <v>100</v>
      </c>
      <c r="BZ48" s="154">
        <f>IF(BZ2&gt;=Projections!$D$28,Projections!$B$28,0)</f>
        <v>100</v>
      </c>
      <c r="CA48" s="154">
        <f>IF(CA2&gt;=Projections!$D$28,Projections!$B$28,0)</f>
        <v>100</v>
      </c>
      <c r="CB48" s="154">
        <f>IF(CB2&gt;=Projections!$D$28,Projections!$B$28,0)</f>
        <v>100</v>
      </c>
      <c r="CC48" s="154">
        <f>IF(CC2&gt;=Projections!$D$28,Projections!$B$28,0)</f>
        <v>100</v>
      </c>
      <c r="CD48" s="154">
        <f>IF(CD2&gt;=Projections!$D$28,Projections!$B$28,0)</f>
        <v>100</v>
      </c>
      <c r="CE48" s="154">
        <f>IF(CE2&gt;=Projections!$D$28,Projections!$B$28,0)</f>
        <v>100</v>
      </c>
      <c r="CF48" s="154">
        <f>IF(CF2&gt;=Projections!$D$28,Projections!$B$28,0)</f>
        <v>100</v>
      </c>
      <c r="CG48" s="154">
        <f>IF(CG2&gt;=Projections!$D$28,Projections!$B$28,0)</f>
        <v>100</v>
      </c>
      <c r="CH48" s="154">
        <f>IF(CH2&gt;=Projections!$D$28,Projections!$B$28,0)</f>
        <v>100</v>
      </c>
      <c r="CI48" s="154">
        <f>IF(CI2&gt;=Projections!$D$28,Projections!$B$28,0)</f>
        <v>100</v>
      </c>
      <c r="CJ48" s="154">
        <f>IF(CJ2&gt;=Projections!$D$28,Projections!$B$28,0)</f>
        <v>100</v>
      </c>
      <c r="CK48" s="154">
        <f>IF(CK2&gt;=Projections!$D$28,Projections!$B$28,0)</f>
        <v>100</v>
      </c>
      <c r="CL48" s="154">
        <f>IF(CL2&gt;=Projections!$D$28,Projections!$B$28,0)</f>
        <v>100</v>
      </c>
      <c r="CM48" s="154">
        <f>IF(CM2&gt;=Projections!$D$28,Projections!$B$28,0)</f>
        <v>100</v>
      </c>
      <c r="CN48" s="154">
        <f>IF(CN2&gt;=Projections!$D$28,Projections!$B$28,0)</f>
        <v>100</v>
      </c>
      <c r="CO48" s="154">
        <f>IF(CO2&gt;=Projections!$D$28,Projections!$B$28,0)</f>
        <v>100</v>
      </c>
      <c r="CP48" s="154">
        <f>IF(CP2&gt;=Projections!$D$28,Projections!$B$28,0)</f>
        <v>100</v>
      </c>
      <c r="CQ48" s="154">
        <f>IF(CQ2&gt;=Projections!$D$28,Projections!$B$28,0)</f>
        <v>100</v>
      </c>
      <c r="CR48" s="154">
        <f>IF(CR2&gt;=Projections!$D$28,Projections!$B$28,0)</f>
        <v>100</v>
      </c>
      <c r="CS48" s="154">
        <f>IF(CS2&gt;=Projections!$D$28,Projections!$B$28,0)</f>
        <v>100</v>
      </c>
      <c r="CT48" s="154">
        <f>IF(CT2&gt;=Projections!$D$28,Projections!$B$28,0)</f>
        <v>100</v>
      </c>
      <c r="CU48" s="154">
        <f>IF(CU2&gt;=Projections!$D$28,Projections!$B$28,0)</f>
        <v>100</v>
      </c>
      <c r="CV48" s="154">
        <f>IF(CV2&gt;=Projections!$D$28,Projections!$B$28,0)</f>
        <v>100</v>
      </c>
      <c r="CW48" s="154">
        <f>IF(CW2&gt;=Projections!$D$28,Projections!$B$28,0)</f>
        <v>100</v>
      </c>
    </row>
    <row r="49" ht="15.75" customHeight="1">
      <c r="A49" s="1" t="s">
        <v>237</v>
      </c>
      <c r="B49" s="1"/>
      <c r="C49" s="154">
        <f t="shared" ref="C49:CW49" si="23">C48</f>
        <v>0</v>
      </c>
      <c r="D49" s="154">
        <f t="shared" si="23"/>
        <v>100</v>
      </c>
      <c r="E49" s="154">
        <f t="shared" si="23"/>
        <v>100</v>
      </c>
      <c r="F49" s="154">
        <f t="shared" si="23"/>
        <v>100</v>
      </c>
      <c r="G49" s="154">
        <f t="shared" si="23"/>
        <v>100</v>
      </c>
      <c r="H49" s="154">
        <f t="shared" si="23"/>
        <v>100</v>
      </c>
      <c r="I49" s="154">
        <f t="shared" si="23"/>
        <v>100</v>
      </c>
      <c r="J49" s="154">
        <f t="shared" si="23"/>
        <v>100</v>
      </c>
      <c r="K49" s="154">
        <f t="shared" si="23"/>
        <v>100</v>
      </c>
      <c r="L49" s="154">
        <f t="shared" si="23"/>
        <v>100</v>
      </c>
      <c r="M49" s="154">
        <f t="shared" si="23"/>
        <v>100</v>
      </c>
      <c r="N49" s="154">
        <f t="shared" si="23"/>
        <v>100</v>
      </c>
      <c r="O49" s="154">
        <f t="shared" si="23"/>
        <v>100</v>
      </c>
      <c r="P49" s="154">
        <f t="shared" si="23"/>
        <v>100</v>
      </c>
      <c r="Q49" s="154">
        <f t="shared" si="23"/>
        <v>100</v>
      </c>
      <c r="R49" s="154">
        <f t="shared" si="23"/>
        <v>100</v>
      </c>
      <c r="S49" s="154">
        <f t="shared" si="23"/>
        <v>100</v>
      </c>
      <c r="T49" s="154">
        <f t="shared" si="23"/>
        <v>100</v>
      </c>
      <c r="U49" s="154">
        <f t="shared" si="23"/>
        <v>100</v>
      </c>
      <c r="V49" s="154">
        <f t="shared" si="23"/>
        <v>100</v>
      </c>
      <c r="W49" s="154">
        <f t="shared" si="23"/>
        <v>100</v>
      </c>
      <c r="X49" s="154">
        <f t="shared" si="23"/>
        <v>100</v>
      </c>
      <c r="Y49" s="154">
        <f t="shared" si="23"/>
        <v>100</v>
      </c>
      <c r="Z49" s="154">
        <f t="shared" si="23"/>
        <v>100</v>
      </c>
      <c r="AA49" s="154">
        <f t="shared" si="23"/>
        <v>100</v>
      </c>
      <c r="AB49" s="154">
        <f t="shared" si="23"/>
        <v>100</v>
      </c>
      <c r="AC49" s="154">
        <f t="shared" si="23"/>
        <v>100</v>
      </c>
      <c r="AD49" s="154">
        <f t="shared" si="23"/>
        <v>100</v>
      </c>
      <c r="AE49" s="154">
        <f t="shared" si="23"/>
        <v>100</v>
      </c>
      <c r="AF49" s="154">
        <f t="shared" si="23"/>
        <v>100</v>
      </c>
      <c r="AG49" s="154">
        <f t="shared" si="23"/>
        <v>100</v>
      </c>
      <c r="AH49" s="154">
        <f t="shared" si="23"/>
        <v>100</v>
      </c>
      <c r="AI49" s="154">
        <f t="shared" si="23"/>
        <v>100</v>
      </c>
      <c r="AJ49" s="154">
        <f t="shared" si="23"/>
        <v>100</v>
      </c>
      <c r="AK49" s="154">
        <f t="shared" si="23"/>
        <v>100</v>
      </c>
      <c r="AL49" s="154">
        <f t="shared" si="23"/>
        <v>100</v>
      </c>
      <c r="AM49" s="154">
        <f t="shared" si="23"/>
        <v>100</v>
      </c>
      <c r="AN49" s="154">
        <f t="shared" si="23"/>
        <v>100</v>
      </c>
      <c r="AO49" s="154">
        <f t="shared" si="23"/>
        <v>100</v>
      </c>
      <c r="AP49" s="154">
        <f t="shared" si="23"/>
        <v>100</v>
      </c>
      <c r="AQ49" s="154">
        <f t="shared" si="23"/>
        <v>100</v>
      </c>
      <c r="AR49" s="154">
        <f t="shared" si="23"/>
        <v>100</v>
      </c>
      <c r="AS49" s="154">
        <f t="shared" si="23"/>
        <v>100</v>
      </c>
      <c r="AT49" s="154">
        <f t="shared" si="23"/>
        <v>100</v>
      </c>
      <c r="AU49" s="154">
        <f t="shared" si="23"/>
        <v>100</v>
      </c>
      <c r="AV49" s="154">
        <f t="shared" si="23"/>
        <v>100</v>
      </c>
      <c r="AW49" s="154">
        <f t="shared" si="23"/>
        <v>100</v>
      </c>
      <c r="AX49" s="154">
        <f t="shared" si="23"/>
        <v>100</v>
      </c>
      <c r="AY49" s="154">
        <f t="shared" si="23"/>
        <v>100</v>
      </c>
      <c r="AZ49" s="154">
        <f t="shared" si="23"/>
        <v>100</v>
      </c>
      <c r="BA49" s="154">
        <f t="shared" si="23"/>
        <v>100</v>
      </c>
      <c r="BB49" s="154">
        <f t="shared" si="23"/>
        <v>100</v>
      </c>
      <c r="BC49" s="154">
        <f t="shared" si="23"/>
        <v>100</v>
      </c>
      <c r="BD49" s="154">
        <f t="shared" si="23"/>
        <v>100</v>
      </c>
      <c r="BE49" s="154">
        <f t="shared" si="23"/>
        <v>100</v>
      </c>
      <c r="BF49" s="154">
        <f t="shared" si="23"/>
        <v>100</v>
      </c>
      <c r="BG49" s="154">
        <f t="shared" si="23"/>
        <v>100</v>
      </c>
      <c r="BH49" s="154">
        <f t="shared" si="23"/>
        <v>100</v>
      </c>
      <c r="BI49" s="154">
        <f t="shared" si="23"/>
        <v>100</v>
      </c>
      <c r="BJ49" s="154">
        <f t="shared" si="23"/>
        <v>100</v>
      </c>
      <c r="BK49" s="154">
        <f t="shared" si="23"/>
        <v>100</v>
      </c>
      <c r="BL49" s="154">
        <f t="shared" si="23"/>
        <v>100</v>
      </c>
      <c r="BM49" s="154">
        <f t="shared" si="23"/>
        <v>100</v>
      </c>
      <c r="BN49" s="154">
        <f t="shared" si="23"/>
        <v>100</v>
      </c>
      <c r="BO49" s="154">
        <f t="shared" si="23"/>
        <v>100</v>
      </c>
      <c r="BP49" s="154">
        <f t="shared" si="23"/>
        <v>100</v>
      </c>
      <c r="BQ49" s="154">
        <f t="shared" si="23"/>
        <v>100</v>
      </c>
      <c r="BR49" s="154">
        <f t="shared" si="23"/>
        <v>100</v>
      </c>
      <c r="BS49" s="154">
        <f t="shared" si="23"/>
        <v>100</v>
      </c>
      <c r="BT49" s="154">
        <f t="shared" si="23"/>
        <v>100</v>
      </c>
      <c r="BU49" s="154">
        <f t="shared" si="23"/>
        <v>100</v>
      </c>
      <c r="BV49" s="154">
        <f t="shared" si="23"/>
        <v>100</v>
      </c>
      <c r="BW49" s="154">
        <f t="shared" si="23"/>
        <v>100</v>
      </c>
      <c r="BX49" s="154">
        <f t="shared" si="23"/>
        <v>100</v>
      </c>
      <c r="BY49" s="154">
        <f t="shared" si="23"/>
        <v>100</v>
      </c>
      <c r="BZ49" s="154">
        <f t="shared" si="23"/>
        <v>100</v>
      </c>
      <c r="CA49" s="154">
        <f t="shared" si="23"/>
        <v>100</v>
      </c>
      <c r="CB49" s="154">
        <f t="shared" si="23"/>
        <v>100</v>
      </c>
      <c r="CC49" s="154">
        <f t="shared" si="23"/>
        <v>100</v>
      </c>
      <c r="CD49" s="154">
        <f t="shared" si="23"/>
        <v>100</v>
      </c>
      <c r="CE49" s="154">
        <f t="shared" si="23"/>
        <v>100</v>
      </c>
      <c r="CF49" s="154">
        <f t="shared" si="23"/>
        <v>100</v>
      </c>
      <c r="CG49" s="154">
        <f t="shared" si="23"/>
        <v>100</v>
      </c>
      <c r="CH49" s="154">
        <f t="shared" si="23"/>
        <v>100</v>
      </c>
      <c r="CI49" s="154">
        <f t="shared" si="23"/>
        <v>100</v>
      </c>
      <c r="CJ49" s="154">
        <f t="shared" si="23"/>
        <v>100</v>
      </c>
      <c r="CK49" s="154">
        <f t="shared" si="23"/>
        <v>100</v>
      </c>
      <c r="CL49" s="154">
        <f t="shared" si="23"/>
        <v>100</v>
      </c>
      <c r="CM49" s="154">
        <f t="shared" si="23"/>
        <v>100</v>
      </c>
      <c r="CN49" s="154">
        <f t="shared" si="23"/>
        <v>100</v>
      </c>
      <c r="CO49" s="154">
        <f t="shared" si="23"/>
        <v>100</v>
      </c>
      <c r="CP49" s="154">
        <f t="shared" si="23"/>
        <v>100</v>
      </c>
      <c r="CQ49" s="154">
        <f t="shared" si="23"/>
        <v>100</v>
      </c>
      <c r="CR49" s="154">
        <f t="shared" si="23"/>
        <v>100</v>
      </c>
      <c r="CS49" s="154">
        <f t="shared" si="23"/>
        <v>100</v>
      </c>
      <c r="CT49" s="154">
        <f t="shared" si="23"/>
        <v>100</v>
      </c>
      <c r="CU49" s="154">
        <f t="shared" si="23"/>
        <v>100</v>
      </c>
      <c r="CV49" s="154">
        <f t="shared" si="23"/>
        <v>100</v>
      </c>
      <c r="CW49" s="154">
        <f t="shared" si="23"/>
        <v>100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ht="15.75" customHeight="1">
      <c r="A51" s="1" t="s">
        <v>238</v>
      </c>
      <c r="B51" s="1"/>
      <c r="C51" s="56" t="str">
        <f>'Monthly forecast'!D60</f>
        <v/>
      </c>
      <c r="D51" s="34">
        <f>'Monthly forecast'!E38</f>
        <v>0.15</v>
      </c>
      <c r="E51" s="34">
        <f>'Monthly forecast'!F38</f>
        <v>0.15</v>
      </c>
      <c r="F51" s="34">
        <f>'Monthly forecast'!G38</f>
        <v>0.15</v>
      </c>
      <c r="G51" s="34">
        <f>'Monthly forecast'!H38</f>
        <v>0.15</v>
      </c>
      <c r="H51" s="34">
        <f>'Monthly forecast'!I38</f>
        <v>0.15</v>
      </c>
      <c r="I51" s="34">
        <f>'Monthly forecast'!J38</f>
        <v>0.15</v>
      </c>
      <c r="J51" s="34">
        <f>'Monthly forecast'!K38</f>
        <v>0.15</v>
      </c>
      <c r="K51" s="34">
        <f>'Monthly forecast'!L38</f>
        <v>0.15</v>
      </c>
      <c r="L51" s="34">
        <f>'Monthly forecast'!M38</f>
        <v>0.15</v>
      </c>
      <c r="M51" s="34">
        <f>'Monthly forecast'!N38</f>
        <v>0.15</v>
      </c>
      <c r="N51" s="34">
        <f>'Monthly forecast'!O38</f>
        <v>0.15</v>
      </c>
      <c r="O51" s="34">
        <f>'Monthly forecast'!P38</f>
        <v>0.15</v>
      </c>
      <c r="P51" s="34">
        <f>'Monthly forecast'!Q38</f>
        <v>0.15</v>
      </c>
      <c r="Q51" s="34">
        <f>'Monthly forecast'!R38</f>
        <v>0.15</v>
      </c>
      <c r="R51" s="34">
        <f>'Monthly forecast'!S38</f>
        <v>0.15</v>
      </c>
      <c r="S51" s="34">
        <f>'Monthly forecast'!T38</f>
        <v>0.15</v>
      </c>
      <c r="T51" s="34">
        <f>'Monthly forecast'!U38</f>
        <v>0.15</v>
      </c>
      <c r="U51" s="34">
        <f>'Monthly forecast'!V38</f>
        <v>0.15</v>
      </c>
      <c r="V51" s="34">
        <f>'Monthly forecast'!W38</f>
        <v>0.15</v>
      </c>
      <c r="W51" s="34">
        <f>'Monthly forecast'!X38</f>
        <v>0.15</v>
      </c>
      <c r="X51" s="34">
        <f>'Monthly forecast'!Y38</f>
        <v>0.15</v>
      </c>
      <c r="Y51" s="34">
        <f>'Monthly forecast'!Z38</f>
        <v>0.15</v>
      </c>
      <c r="Z51" s="34">
        <f>'Monthly forecast'!AA38</f>
        <v>0.15</v>
      </c>
      <c r="AA51" s="34">
        <f>'Monthly forecast'!AB38</f>
        <v>0.15</v>
      </c>
      <c r="AB51" s="34">
        <f>'Monthly forecast'!AC38</f>
        <v>0.15</v>
      </c>
      <c r="AC51" s="34">
        <f>'Monthly forecast'!AD38</f>
        <v>0.15</v>
      </c>
      <c r="AD51" s="34">
        <f>'Monthly forecast'!AE38</f>
        <v>0.15</v>
      </c>
      <c r="AE51" s="34">
        <f>'Monthly forecast'!AF38</f>
        <v>0.15</v>
      </c>
      <c r="AF51" s="34">
        <f>'Monthly forecast'!AG38</f>
        <v>0.15</v>
      </c>
      <c r="AG51" s="34">
        <f>'Monthly forecast'!AH38</f>
        <v>0.15</v>
      </c>
      <c r="AH51" s="34">
        <f>'Monthly forecast'!AI38</f>
        <v>0.15</v>
      </c>
      <c r="AI51" s="34">
        <f>'Monthly forecast'!AJ38</f>
        <v>0.15</v>
      </c>
      <c r="AJ51" s="34">
        <f>'Monthly forecast'!AK38</f>
        <v>0.15</v>
      </c>
      <c r="AK51" s="34">
        <f>'Monthly forecast'!AL38</f>
        <v>0.15</v>
      </c>
      <c r="AL51" s="34">
        <f>'Monthly forecast'!AM38</f>
        <v>0.15</v>
      </c>
      <c r="AM51" s="34">
        <f>'Monthly forecast'!AN38</f>
        <v>0.15</v>
      </c>
      <c r="AN51" s="34">
        <f>'Monthly forecast'!AO38</f>
        <v>0.15</v>
      </c>
      <c r="AO51" s="34">
        <f>'Monthly forecast'!AP38</f>
        <v>0.15</v>
      </c>
      <c r="AP51" s="34">
        <f>'Monthly forecast'!AQ38</f>
        <v>0.15</v>
      </c>
      <c r="AQ51" s="34">
        <f>'Monthly forecast'!AR38</f>
        <v>0.15</v>
      </c>
      <c r="AR51" s="34">
        <f>'Monthly forecast'!AS38</f>
        <v>0.15</v>
      </c>
      <c r="AS51" s="34">
        <f>'Monthly forecast'!AT38</f>
        <v>0.15</v>
      </c>
      <c r="AT51" s="34">
        <f>'Monthly forecast'!AU38</f>
        <v>0.15</v>
      </c>
      <c r="AU51" s="34">
        <f>'Monthly forecast'!AV38</f>
        <v>0.15</v>
      </c>
      <c r="AV51" s="34">
        <f>'Monthly forecast'!AW38</f>
        <v>0.15</v>
      </c>
      <c r="AW51" s="34">
        <f>'Monthly forecast'!AX38</f>
        <v>0.15</v>
      </c>
      <c r="AX51" s="34">
        <f>'Monthly forecast'!AY38</f>
        <v>0.15</v>
      </c>
      <c r="AY51" s="34">
        <f>'Monthly forecast'!AZ38</f>
        <v>0.15</v>
      </c>
      <c r="AZ51" s="34">
        <f>'Monthly forecast'!BA38</f>
        <v>0.15</v>
      </c>
      <c r="BA51" s="34">
        <f>'Monthly forecast'!BB38</f>
        <v>0.15</v>
      </c>
      <c r="BB51" s="34">
        <f>'Monthly forecast'!BC38</f>
        <v>0.15</v>
      </c>
      <c r="BC51" s="34">
        <f>'Monthly forecast'!BD38</f>
        <v>0.15</v>
      </c>
      <c r="BD51" s="34">
        <f>'Monthly forecast'!BE38</f>
        <v>0.15</v>
      </c>
      <c r="BE51" s="34">
        <f>'Monthly forecast'!BF38</f>
        <v>0.15</v>
      </c>
      <c r="BF51" s="34">
        <f>'Monthly forecast'!BG38</f>
        <v>0.15</v>
      </c>
      <c r="BG51" s="34">
        <f>'Monthly forecast'!BH38</f>
        <v>0.15</v>
      </c>
      <c r="BH51" s="34">
        <f>'Monthly forecast'!BI38</f>
        <v>0.15</v>
      </c>
      <c r="BI51" s="34">
        <f>'Monthly forecast'!BJ38</f>
        <v>0.15</v>
      </c>
      <c r="BJ51" s="34">
        <f>'Monthly forecast'!BK38</f>
        <v>0.15</v>
      </c>
      <c r="BK51" s="34">
        <f>'Monthly forecast'!BL38</f>
        <v>0.15</v>
      </c>
      <c r="BL51" s="34">
        <f>'Monthly forecast'!BM38</f>
        <v>0.15</v>
      </c>
      <c r="BM51" s="34">
        <f>'Monthly forecast'!BN38</f>
        <v>0.15</v>
      </c>
      <c r="BN51" s="34">
        <f>'Monthly forecast'!BO38</f>
        <v>0.15</v>
      </c>
      <c r="BO51" s="34">
        <f>'Monthly forecast'!BP38</f>
        <v>0.15</v>
      </c>
      <c r="BP51" s="34">
        <f>'Monthly forecast'!BQ38</f>
        <v>0.15</v>
      </c>
      <c r="BQ51" s="34">
        <f>'Monthly forecast'!BR38</f>
        <v>0.15</v>
      </c>
      <c r="BR51" s="34">
        <f>'Monthly forecast'!BS38</f>
        <v>0.15</v>
      </c>
      <c r="BS51" s="34">
        <f>'Monthly forecast'!BT38</f>
        <v>0.15</v>
      </c>
      <c r="BT51" s="34">
        <f>'Monthly forecast'!BU38</f>
        <v>0.15</v>
      </c>
      <c r="BU51" s="34">
        <f>'Monthly forecast'!BV38</f>
        <v>0.15</v>
      </c>
      <c r="BV51" s="34">
        <f>'Monthly forecast'!BW38</f>
        <v>0.15</v>
      </c>
      <c r="BW51" s="34">
        <f>'Monthly forecast'!BX38</f>
        <v>0.15</v>
      </c>
      <c r="BX51" s="34">
        <f>'Monthly forecast'!BY38</f>
        <v>0.15</v>
      </c>
      <c r="BY51" s="34">
        <f>'Monthly forecast'!BZ38</f>
        <v>0.15</v>
      </c>
      <c r="BZ51" s="34">
        <f>'Monthly forecast'!CA38</f>
        <v>0.15</v>
      </c>
      <c r="CA51" s="34">
        <f>'Monthly forecast'!CB38</f>
        <v>0.15</v>
      </c>
      <c r="CB51" s="34">
        <f>'Monthly forecast'!CC38</f>
        <v>0.15</v>
      </c>
      <c r="CC51" s="34">
        <f>'Monthly forecast'!CD38</f>
        <v>0.15</v>
      </c>
      <c r="CD51" s="34">
        <f>'Monthly forecast'!CE38</f>
        <v>0.15</v>
      </c>
      <c r="CE51" s="34">
        <f>'Monthly forecast'!CF38</f>
        <v>0.15</v>
      </c>
      <c r="CF51" s="34">
        <f>'Monthly forecast'!CG38</f>
        <v>0.15</v>
      </c>
      <c r="CG51" s="34">
        <f>'Monthly forecast'!CH38</f>
        <v>0.15</v>
      </c>
      <c r="CH51" s="34">
        <f>'Monthly forecast'!CI38</f>
        <v>0.15</v>
      </c>
      <c r="CI51" s="34">
        <f>'Monthly forecast'!CJ38</f>
        <v>0.15</v>
      </c>
      <c r="CJ51" s="34">
        <f>'Monthly forecast'!CK38</f>
        <v>0.15</v>
      </c>
      <c r="CK51" s="34">
        <f>'Monthly forecast'!CL38</f>
        <v>0.15</v>
      </c>
      <c r="CL51" s="34">
        <f>'Monthly forecast'!CM38</f>
        <v>0.15</v>
      </c>
      <c r="CM51" s="34">
        <f>'Monthly forecast'!CN38</f>
        <v>0.15</v>
      </c>
      <c r="CN51" s="34">
        <f>'Monthly forecast'!CO38</f>
        <v>0.15</v>
      </c>
      <c r="CO51" s="34">
        <f>'Monthly forecast'!CP38</f>
        <v>0.15</v>
      </c>
      <c r="CP51" s="34">
        <f>'Monthly forecast'!CQ38</f>
        <v>0.15</v>
      </c>
      <c r="CQ51" s="34">
        <f>'Monthly forecast'!CR38</f>
        <v>0.15</v>
      </c>
      <c r="CR51" s="34">
        <f>'Monthly forecast'!CS38</f>
        <v>0.15</v>
      </c>
      <c r="CS51" s="34">
        <f>'Monthly forecast'!CT38</f>
        <v>0.15</v>
      </c>
      <c r="CT51" s="34">
        <f>'Monthly forecast'!CU38</f>
        <v>0.15</v>
      </c>
      <c r="CU51" s="34">
        <f>'Monthly forecast'!CV38</f>
        <v>0.15</v>
      </c>
      <c r="CV51" s="34">
        <f>'Monthly forecast'!CW38</f>
        <v>0.15</v>
      </c>
      <c r="CW51" s="34">
        <f>'Monthly forecast'!CX38</f>
        <v>0.15</v>
      </c>
    </row>
    <row r="52" ht="15.75" customHeight="1">
      <c r="A52" s="155" t="s">
        <v>239</v>
      </c>
      <c r="B52" s="155"/>
      <c r="C52" s="156">
        <f t="shared" ref="C52:CW52" si="24">IFERROR(1/C51,0)</f>
        <v>0</v>
      </c>
      <c r="D52" s="156">
        <f t="shared" si="24"/>
        <v>6.666666667</v>
      </c>
      <c r="E52" s="156">
        <f t="shared" si="24"/>
        <v>6.666666667</v>
      </c>
      <c r="F52" s="156">
        <f t="shared" si="24"/>
        <v>6.666666667</v>
      </c>
      <c r="G52" s="156">
        <f t="shared" si="24"/>
        <v>6.666666667</v>
      </c>
      <c r="H52" s="156">
        <f t="shared" si="24"/>
        <v>6.666666667</v>
      </c>
      <c r="I52" s="156">
        <f t="shared" si="24"/>
        <v>6.666666667</v>
      </c>
      <c r="J52" s="156">
        <f t="shared" si="24"/>
        <v>6.666666667</v>
      </c>
      <c r="K52" s="156">
        <f t="shared" si="24"/>
        <v>6.666666667</v>
      </c>
      <c r="L52" s="156">
        <f t="shared" si="24"/>
        <v>6.666666667</v>
      </c>
      <c r="M52" s="156">
        <f t="shared" si="24"/>
        <v>6.666666667</v>
      </c>
      <c r="N52" s="156">
        <f t="shared" si="24"/>
        <v>6.666666667</v>
      </c>
      <c r="O52" s="156">
        <f t="shared" si="24"/>
        <v>6.666666667</v>
      </c>
      <c r="P52" s="156">
        <f t="shared" si="24"/>
        <v>6.666666667</v>
      </c>
      <c r="Q52" s="156">
        <f t="shared" si="24"/>
        <v>6.666666667</v>
      </c>
      <c r="R52" s="156">
        <f t="shared" si="24"/>
        <v>6.666666667</v>
      </c>
      <c r="S52" s="156">
        <f t="shared" si="24"/>
        <v>6.666666667</v>
      </c>
      <c r="T52" s="156">
        <f t="shared" si="24"/>
        <v>6.666666667</v>
      </c>
      <c r="U52" s="156">
        <f t="shared" si="24"/>
        <v>6.666666667</v>
      </c>
      <c r="V52" s="156">
        <f t="shared" si="24"/>
        <v>6.666666667</v>
      </c>
      <c r="W52" s="156">
        <f t="shared" si="24"/>
        <v>6.666666667</v>
      </c>
      <c r="X52" s="156">
        <f t="shared" si="24"/>
        <v>6.666666667</v>
      </c>
      <c r="Y52" s="156">
        <f t="shared" si="24"/>
        <v>6.666666667</v>
      </c>
      <c r="Z52" s="156">
        <f t="shared" si="24"/>
        <v>6.666666667</v>
      </c>
      <c r="AA52" s="156">
        <f t="shared" si="24"/>
        <v>6.666666667</v>
      </c>
      <c r="AB52" s="156">
        <f t="shared" si="24"/>
        <v>6.666666667</v>
      </c>
      <c r="AC52" s="156">
        <f t="shared" si="24"/>
        <v>6.666666667</v>
      </c>
      <c r="AD52" s="156">
        <f t="shared" si="24"/>
        <v>6.666666667</v>
      </c>
      <c r="AE52" s="156">
        <f t="shared" si="24"/>
        <v>6.666666667</v>
      </c>
      <c r="AF52" s="156">
        <f t="shared" si="24"/>
        <v>6.666666667</v>
      </c>
      <c r="AG52" s="156">
        <f t="shared" si="24"/>
        <v>6.666666667</v>
      </c>
      <c r="AH52" s="156">
        <f t="shared" si="24"/>
        <v>6.666666667</v>
      </c>
      <c r="AI52" s="156">
        <f t="shared" si="24"/>
        <v>6.666666667</v>
      </c>
      <c r="AJ52" s="156">
        <f t="shared" si="24"/>
        <v>6.666666667</v>
      </c>
      <c r="AK52" s="156">
        <f t="shared" si="24"/>
        <v>6.666666667</v>
      </c>
      <c r="AL52" s="156">
        <f t="shared" si="24"/>
        <v>6.666666667</v>
      </c>
      <c r="AM52" s="156">
        <f t="shared" si="24"/>
        <v>6.666666667</v>
      </c>
      <c r="AN52" s="156">
        <f t="shared" si="24"/>
        <v>6.666666667</v>
      </c>
      <c r="AO52" s="156">
        <f t="shared" si="24"/>
        <v>6.666666667</v>
      </c>
      <c r="AP52" s="156">
        <f t="shared" si="24"/>
        <v>6.666666667</v>
      </c>
      <c r="AQ52" s="156">
        <f t="shared" si="24"/>
        <v>6.666666667</v>
      </c>
      <c r="AR52" s="156">
        <f t="shared" si="24"/>
        <v>6.666666667</v>
      </c>
      <c r="AS52" s="156">
        <f t="shared" si="24"/>
        <v>6.666666667</v>
      </c>
      <c r="AT52" s="156">
        <f t="shared" si="24"/>
        <v>6.666666667</v>
      </c>
      <c r="AU52" s="156">
        <f t="shared" si="24"/>
        <v>6.666666667</v>
      </c>
      <c r="AV52" s="156">
        <f t="shared" si="24"/>
        <v>6.666666667</v>
      </c>
      <c r="AW52" s="156">
        <f t="shared" si="24"/>
        <v>6.666666667</v>
      </c>
      <c r="AX52" s="156">
        <f t="shared" si="24"/>
        <v>6.666666667</v>
      </c>
      <c r="AY52" s="156">
        <f t="shared" si="24"/>
        <v>6.666666667</v>
      </c>
      <c r="AZ52" s="156">
        <f t="shared" si="24"/>
        <v>6.666666667</v>
      </c>
      <c r="BA52" s="156">
        <f t="shared" si="24"/>
        <v>6.666666667</v>
      </c>
      <c r="BB52" s="156">
        <f t="shared" si="24"/>
        <v>6.666666667</v>
      </c>
      <c r="BC52" s="156">
        <f t="shared" si="24"/>
        <v>6.666666667</v>
      </c>
      <c r="BD52" s="156">
        <f t="shared" si="24"/>
        <v>6.666666667</v>
      </c>
      <c r="BE52" s="156">
        <f t="shared" si="24"/>
        <v>6.666666667</v>
      </c>
      <c r="BF52" s="156">
        <f t="shared" si="24"/>
        <v>6.666666667</v>
      </c>
      <c r="BG52" s="156">
        <f t="shared" si="24"/>
        <v>6.666666667</v>
      </c>
      <c r="BH52" s="156">
        <f t="shared" si="24"/>
        <v>6.666666667</v>
      </c>
      <c r="BI52" s="156">
        <f t="shared" si="24"/>
        <v>6.666666667</v>
      </c>
      <c r="BJ52" s="156">
        <f t="shared" si="24"/>
        <v>6.666666667</v>
      </c>
      <c r="BK52" s="156">
        <f t="shared" si="24"/>
        <v>6.666666667</v>
      </c>
      <c r="BL52" s="156">
        <f t="shared" si="24"/>
        <v>6.666666667</v>
      </c>
      <c r="BM52" s="156">
        <f t="shared" si="24"/>
        <v>6.666666667</v>
      </c>
      <c r="BN52" s="156">
        <f t="shared" si="24"/>
        <v>6.666666667</v>
      </c>
      <c r="BO52" s="156">
        <f t="shared" si="24"/>
        <v>6.666666667</v>
      </c>
      <c r="BP52" s="156">
        <f t="shared" si="24"/>
        <v>6.666666667</v>
      </c>
      <c r="BQ52" s="156">
        <f t="shared" si="24"/>
        <v>6.666666667</v>
      </c>
      <c r="BR52" s="156">
        <f t="shared" si="24"/>
        <v>6.666666667</v>
      </c>
      <c r="BS52" s="156">
        <f t="shared" si="24"/>
        <v>6.666666667</v>
      </c>
      <c r="BT52" s="156">
        <f t="shared" si="24"/>
        <v>6.666666667</v>
      </c>
      <c r="BU52" s="156">
        <f t="shared" si="24"/>
        <v>6.666666667</v>
      </c>
      <c r="BV52" s="156">
        <f t="shared" si="24"/>
        <v>6.666666667</v>
      </c>
      <c r="BW52" s="156">
        <f t="shared" si="24"/>
        <v>6.666666667</v>
      </c>
      <c r="BX52" s="156">
        <f t="shared" si="24"/>
        <v>6.666666667</v>
      </c>
      <c r="BY52" s="156">
        <f t="shared" si="24"/>
        <v>6.666666667</v>
      </c>
      <c r="BZ52" s="156">
        <f t="shared" si="24"/>
        <v>6.666666667</v>
      </c>
      <c r="CA52" s="156">
        <f t="shared" si="24"/>
        <v>6.666666667</v>
      </c>
      <c r="CB52" s="156">
        <f t="shared" si="24"/>
        <v>6.666666667</v>
      </c>
      <c r="CC52" s="156">
        <f t="shared" si="24"/>
        <v>6.666666667</v>
      </c>
      <c r="CD52" s="156">
        <f t="shared" si="24"/>
        <v>6.666666667</v>
      </c>
      <c r="CE52" s="156">
        <f t="shared" si="24"/>
        <v>6.666666667</v>
      </c>
      <c r="CF52" s="156">
        <f t="shared" si="24"/>
        <v>6.666666667</v>
      </c>
      <c r="CG52" s="156">
        <f t="shared" si="24"/>
        <v>6.666666667</v>
      </c>
      <c r="CH52" s="156">
        <f t="shared" si="24"/>
        <v>6.666666667</v>
      </c>
      <c r="CI52" s="156">
        <f t="shared" si="24"/>
        <v>6.666666667</v>
      </c>
      <c r="CJ52" s="156">
        <f t="shared" si="24"/>
        <v>6.666666667</v>
      </c>
      <c r="CK52" s="156">
        <f t="shared" si="24"/>
        <v>6.666666667</v>
      </c>
      <c r="CL52" s="156">
        <f t="shared" si="24"/>
        <v>6.666666667</v>
      </c>
      <c r="CM52" s="156">
        <f t="shared" si="24"/>
        <v>6.666666667</v>
      </c>
      <c r="CN52" s="156">
        <f t="shared" si="24"/>
        <v>6.666666667</v>
      </c>
      <c r="CO52" s="156">
        <f t="shared" si="24"/>
        <v>6.666666667</v>
      </c>
      <c r="CP52" s="156">
        <f t="shared" si="24"/>
        <v>6.666666667</v>
      </c>
      <c r="CQ52" s="156">
        <f t="shared" si="24"/>
        <v>6.666666667</v>
      </c>
      <c r="CR52" s="156">
        <f t="shared" si="24"/>
        <v>6.666666667</v>
      </c>
      <c r="CS52" s="156">
        <f t="shared" si="24"/>
        <v>6.666666667</v>
      </c>
      <c r="CT52" s="156">
        <f t="shared" si="24"/>
        <v>6.666666667</v>
      </c>
      <c r="CU52" s="156">
        <f t="shared" si="24"/>
        <v>6.666666667</v>
      </c>
      <c r="CV52" s="156">
        <f t="shared" si="24"/>
        <v>6.666666667</v>
      </c>
      <c r="CW52" s="156">
        <f t="shared" si="24"/>
        <v>6.666666667</v>
      </c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ht="15.75" customHeight="1">
      <c r="A54" s="50" t="s">
        <v>240</v>
      </c>
      <c r="B54" s="50"/>
      <c r="C54" s="157">
        <f t="shared" ref="C54:CW54" si="25">C49*C52</f>
        <v>0</v>
      </c>
      <c r="D54" s="158">
        <f t="shared" si="25"/>
        <v>666.6666667</v>
      </c>
      <c r="E54" s="158">
        <f t="shared" si="25"/>
        <v>666.6666667</v>
      </c>
      <c r="F54" s="158">
        <f t="shared" si="25"/>
        <v>666.6666667</v>
      </c>
      <c r="G54" s="158">
        <f t="shared" si="25"/>
        <v>666.6666667</v>
      </c>
      <c r="H54" s="158">
        <f t="shared" si="25"/>
        <v>666.6666667</v>
      </c>
      <c r="I54" s="158">
        <f t="shared" si="25"/>
        <v>666.6666667</v>
      </c>
      <c r="J54" s="158">
        <f t="shared" si="25"/>
        <v>666.6666667</v>
      </c>
      <c r="K54" s="158">
        <f t="shared" si="25"/>
        <v>666.6666667</v>
      </c>
      <c r="L54" s="158">
        <f t="shared" si="25"/>
        <v>666.6666667</v>
      </c>
      <c r="M54" s="158">
        <f t="shared" si="25"/>
        <v>666.6666667</v>
      </c>
      <c r="N54" s="158">
        <f t="shared" si="25"/>
        <v>666.6666667</v>
      </c>
      <c r="O54" s="158">
        <f t="shared" si="25"/>
        <v>666.6666667</v>
      </c>
      <c r="P54" s="158">
        <f t="shared" si="25"/>
        <v>666.6666667</v>
      </c>
      <c r="Q54" s="158">
        <f t="shared" si="25"/>
        <v>666.6666667</v>
      </c>
      <c r="R54" s="158">
        <f t="shared" si="25"/>
        <v>666.6666667</v>
      </c>
      <c r="S54" s="158">
        <f t="shared" si="25"/>
        <v>666.6666667</v>
      </c>
      <c r="T54" s="158">
        <f t="shared" si="25"/>
        <v>666.6666667</v>
      </c>
      <c r="U54" s="158">
        <f t="shared" si="25"/>
        <v>666.6666667</v>
      </c>
      <c r="V54" s="158">
        <f t="shared" si="25"/>
        <v>666.6666667</v>
      </c>
      <c r="W54" s="158">
        <f t="shared" si="25"/>
        <v>666.6666667</v>
      </c>
      <c r="X54" s="158">
        <f t="shared" si="25"/>
        <v>666.6666667</v>
      </c>
      <c r="Y54" s="158">
        <f t="shared" si="25"/>
        <v>666.6666667</v>
      </c>
      <c r="Z54" s="158">
        <f t="shared" si="25"/>
        <v>666.6666667</v>
      </c>
      <c r="AA54" s="158">
        <f t="shared" si="25"/>
        <v>666.6666667</v>
      </c>
      <c r="AB54" s="158">
        <f t="shared" si="25"/>
        <v>666.6666667</v>
      </c>
      <c r="AC54" s="158">
        <f t="shared" si="25"/>
        <v>666.6666667</v>
      </c>
      <c r="AD54" s="158">
        <f t="shared" si="25"/>
        <v>666.6666667</v>
      </c>
      <c r="AE54" s="158">
        <f t="shared" si="25"/>
        <v>666.6666667</v>
      </c>
      <c r="AF54" s="158">
        <f t="shared" si="25"/>
        <v>666.6666667</v>
      </c>
      <c r="AG54" s="158">
        <f t="shared" si="25"/>
        <v>666.6666667</v>
      </c>
      <c r="AH54" s="158">
        <f t="shared" si="25"/>
        <v>666.6666667</v>
      </c>
      <c r="AI54" s="158">
        <f t="shared" si="25"/>
        <v>666.6666667</v>
      </c>
      <c r="AJ54" s="158">
        <f t="shared" si="25"/>
        <v>666.6666667</v>
      </c>
      <c r="AK54" s="158">
        <f t="shared" si="25"/>
        <v>666.6666667</v>
      </c>
      <c r="AL54" s="158">
        <f t="shared" si="25"/>
        <v>666.6666667</v>
      </c>
      <c r="AM54" s="158">
        <f t="shared" si="25"/>
        <v>666.6666667</v>
      </c>
      <c r="AN54" s="158">
        <f t="shared" si="25"/>
        <v>666.6666667</v>
      </c>
      <c r="AO54" s="158">
        <f t="shared" si="25"/>
        <v>666.6666667</v>
      </c>
      <c r="AP54" s="158">
        <f t="shared" si="25"/>
        <v>666.6666667</v>
      </c>
      <c r="AQ54" s="158">
        <f t="shared" si="25"/>
        <v>666.6666667</v>
      </c>
      <c r="AR54" s="158">
        <f t="shared" si="25"/>
        <v>666.6666667</v>
      </c>
      <c r="AS54" s="158">
        <f t="shared" si="25"/>
        <v>666.6666667</v>
      </c>
      <c r="AT54" s="158">
        <f t="shared" si="25"/>
        <v>666.6666667</v>
      </c>
      <c r="AU54" s="158">
        <f t="shared" si="25"/>
        <v>666.6666667</v>
      </c>
      <c r="AV54" s="158">
        <f t="shared" si="25"/>
        <v>666.6666667</v>
      </c>
      <c r="AW54" s="158">
        <f t="shared" si="25"/>
        <v>666.6666667</v>
      </c>
      <c r="AX54" s="158">
        <f t="shared" si="25"/>
        <v>666.6666667</v>
      </c>
      <c r="AY54" s="158">
        <f t="shared" si="25"/>
        <v>666.6666667</v>
      </c>
      <c r="AZ54" s="158">
        <f t="shared" si="25"/>
        <v>666.6666667</v>
      </c>
      <c r="BA54" s="158">
        <f t="shared" si="25"/>
        <v>666.6666667</v>
      </c>
      <c r="BB54" s="158">
        <f t="shared" si="25"/>
        <v>666.6666667</v>
      </c>
      <c r="BC54" s="158">
        <f t="shared" si="25"/>
        <v>666.6666667</v>
      </c>
      <c r="BD54" s="158">
        <f t="shared" si="25"/>
        <v>666.6666667</v>
      </c>
      <c r="BE54" s="158">
        <f t="shared" si="25"/>
        <v>666.6666667</v>
      </c>
      <c r="BF54" s="158">
        <f t="shared" si="25"/>
        <v>666.6666667</v>
      </c>
      <c r="BG54" s="158">
        <f t="shared" si="25"/>
        <v>666.6666667</v>
      </c>
      <c r="BH54" s="158">
        <f t="shared" si="25"/>
        <v>666.6666667</v>
      </c>
      <c r="BI54" s="158">
        <f t="shared" si="25"/>
        <v>666.6666667</v>
      </c>
      <c r="BJ54" s="158">
        <f t="shared" si="25"/>
        <v>666.6666667</v>
      </c>
      <c r="BK54" s="158">
        <f t="shared" si="25"/>
        <v>666.6666667</v>
      </c>
      <c r="BL54" s="158">
        <f t="shared" si="25"/>
        <v>666.6666667</v>
      </c>
      <c r="BM54" s="158">
        <f t="shared" si="25"/>
        <v>666.6666667</v>
      </c>
      <c r="BN54" s="158">
        <f t="shared" si="25"/>
        <v>666.6666667</v>
      </c>
      <c r="BO54" s="158">
        <f t="shared" si="25"/>
        <v>666.6666667</v>
      </c>
      <c r="BP54" s="158">
        <f t="shared" si="25"/>
        <v>666.6666667</v>
      </c>
      <c r="BQ54" s="158">
        <f t="shared" si="25"/>
        <v>666.6666667</v>
      </c>
      <c r="BR54" s="158">
        <f t="shared" si="25"/>
        <v>666.6666667</v>
      </c>
      <c r="BS54" s="158">
        <f t="shared" si="25"/>
        <v>666.6666667</v>
      </c>
      <c r="BT54" s="158">
        <f t="shared" si="25"/>
        <v>666.6666667</v>
      </c>
      <c r="BU54" s="158">
        <f t="shared" si="25"/>
        <v>666.6666667</v>
      </c>
      <c r="BV54" s="158">
        <f t="shared" si="25"/>
        <v>666.6666667</v>
      </c>
      <c r="BW54" s="158">
        <f t="shared" si="25"/>
        <v>666.6666667</v>
      </c>
      <c r="BX54" s="158">
        <f t="shared" si="25"/>
        <v>666.6666667</v>
      </c>
      <c r="BY54" s="158">
        <f t="shared" si="25"/>
        <v>666.6666667</v>
      </c>
      <c r="BZ54" s="158">
        <f t="shared" si="25"/>
        <v>666.6666667</v>
      </c>
      <c r="CA54" s="158">
        <f t="shared" si="25"/>
        <v>666.6666667</v>
      </c>
      <c r="CB54" s="158">
        <f t="shared" si="25"/>
        <v>666.6666667</v>
      </c>
      <c r="CC54" s="158">
        <f t="shared" si="25"/>
        <v>666.6666667</v>
      </c>
      <c r="CD54" s="158">
        <f t="shared" si="25"/>
        <v>666.6666667</v>
      </c>
      <c r="CE54" s="158">
        <f t="shared" si="25"/>
        <v>666.6666667</v>
      </c>
      <c r="CF54" s="158">
        <f t="shared" si="25"/>
        <v>666.6666667</v>
      </c>
      <c r="CG54" s="158">
        <f t="shared" si="25"/>
        <v>666.6666667</v>
      </c>
      <c r="CH54" s="158">
        <f t="shared" si="25"/>
        <v>666.6666667</v>
      </c>
      <c r="CI54" s="158">
        <f t="shared" si="25"/>
        <v>666.6666667</v>
      </c>
      <c r="CJ54" s="158">
        <f t="shared" si="25"/>
        <v>666.6666667</v>
      </c>
      <c r="CK54" s="158">
        <f t="shared" si="25"/>
        <v>666.6666667</v>
      </c>
      <c r="CL54" s="158">
        <f t="shared" si="25"/>
        <v>666.6666667</v>
      </c>
      <c r="CM54" s="158">
        <f t="shared" si="25"/>
        <v>666.6666667</v>
      </c>
      <c r="CN54" s="158">
        <f t="shared" si="25"/>
        <v>666.6666667</v>
      </c>
      <c r="CO54" s="158">
        <f t="shared" si="25"/>
        <v>666.6666667</v>
      </c>
      <c r="CP54" s="158">
        <f t="shared" si="25"/>
        <v>666.6666667</v>
      </c>
      <c r="CQ54" s="158">
        <f t="shared" si="25"/>
        <v>666.6666667</v>
      </c>
      <c r="CR54" s="158">
        <f t="shared" si="25"/>
        <v>666.6666667</v>
      </c>
      <c r="CS54" s="158">
        <f t="shared" si="25"/>
        <v>666.6666667</v>
      </c>
      <c r="CT54" s="158">
        <f t="shared" si="25"/>
        <v>666.6666667</v>
      </c>
      <c r="CU54" s="158">
        <f t="shared" si="25"/>
        <v>666.6666667</v>
      </c>
      <c r="CV54" s="158">
        <f t="shared" si="25"/>
        <v>666.6666667</v>
      </c>
      <c r="CW54" s="158">
        <f t="shared" si="25"/>
        <v>666.6666667</v>
      </c>
    </row>
    <row r="55" ht="15.75" customHeight="1">
      <c r="A55" s="1" t="s">
        <v>241</v>
      </c>
      <c r="B55" s="1"/>
      <c r="C55" s="154">
        <f t="shared" ref="C55:CW55" si="26">C49*3</f>
        <v>0</v>
      </c>
      <c r="D55" s="159">
        <f t="shared" si="26"/>
        <v>300</v>
      </c>
      <c r="E55" s="159">
        <f t="shared" si="26"/>
        <v>300</v>
      </c>
      <c r="F55" s="159">
        <f t="shared" si="26"/>
        <v>300</v>
      </c>
      <c r="G55" s="159">
        <f t="shared" si="26"/>
        <v>300</v>
      </c>
      <c r="H55" s="159">
        <f t="shared" si="26"/>
        <v>300</v>
      </c>
      <c r="I55" s="159">
        <f t="shared" si="26"/>
        <v>300</v>
      </c>
      <c r="J55" s="159">
        <f t="shared" si="26"/>
        <v>300</v>
      </c>
      <c r="K55" s="159">
        <f t="shared" si="26"/>
        <v>300</v>
      </c>
      <c r="L55" s="159">
        <f t="shared" si="26"/>
        <v>300</v>
      </c>
      <c r="M55" s="159">
        <f t="shared" si="26"/>
        <v>300</v>
      </c>
      <c r="N55" s="159">
        <f t="shared" si="26"/>
        <v>300</v>
      </c>
      <c r="O55" s="159">
        <f t="shared" si="26"/>
        <v>300</v>
      </c>
      <c r="P55" s="159">
        <f t="shared" si="26"/>
        <v>300</v>
      </c>
      <c r="Q55" s="159">
        <f t="shared" si="26"/>
        <v>300</v>
      </c>
      <c r="R55" s="159">
        <f t="shared" si="26"/>
        <v>300</v>
      </c>
      <c r="S55" s="159">
        <f t="shared" si="26"/>
        <v>300</v>
      </c>
      <c r="T55" s="159">
        <f t="shared" si="26"/>
        <v>300</v>
      </c>
      <c r="U55" s="159">
        <f t="shared" si="26"/>
        <v>300</v>
      </c>
      <c r="V55" s="159">
        <f t="shared" si="26"/>
        <v>300</v>
      </c>
      <c r="W55" s="159">
        <f t="shared" si="26"/>
        <v>300</v>
      </c>
      <c r="X55" s="159">
        <f t="shared" si="26"/>
        <v>300</v>
      </c>
      <c r="Y55" s="159">
        <f t="shared" si="26"/>
        <v>300</v>
      </c>
      <c r="Z55" s="159">
        <f t="shared" si="26"/>
        <v>300</v>
      </c>
      <c r="AA55" s="159">
        <f t="shared" si="26"/>
        <v>300</v>
      </c>
      <c r="AB55" s="159">
        <f t="shared" si="26"/>
        <v>300</v>
      </c>
      <c r="AC55" s="159">
        <f t="shared" si="26"/>
        <v>300</v>
      </c>
      <c r="AD55" s="159">
        <f t="shared" si="26"/>
        <v>300</v>
      </c>
      <c r="AE55" s="159">
        <f t="shared" si="26"/>
        <v>300</v>
      </c>
      <c r="AF55" s="159">
        <f t="shared" si="26"/>
        <v>300</v>
      </c>
      <c r="AG55" s="159">
        <f t="shared" si="26"/>
        <v>300</v>
      </c>
      <c r="AH55" s="159">
        <f t="shared" si="26"/>
        <v>300</v>
      </c>
      <c r="AI55" s="159">
        <f t="shared" si="26"/>
        <v>300</v>
      </c>
      <c r="AJ55" s="159">
        <f t="shared" si="26"/>
        <v>300</v>
      </c>
      <c r="AK55" s="159">
        <f t="shared" si="26"/>
        <v>300</v>
      </c>
      <c r="AL55" s="159">
        <f t="shared" si="26"/>
        <v>300</v>
      </c>
      <c r="AM55" s="159">
        <f t="shared" si="26"/>
        <v>300</v>
      </c>
      <c r="AN55" s="159">
        <f t="shared" si="26"/>
        <v>300</v>
      </c>
      <c r="AO55" s="159">
        <f t="shared" si="26"/>
        <v>300</v>
      </c>
      <c r="AP55" s="159">
        <f t="shared" si="26"/>
        <v>300</v>
      </c>
      <c r="AQ55" s="159">
        <f t="shared" si="26"/>
        <v>300</v>
      </c>
      <c r="AR55" s="159">
        <f t="shared" si="26"/>
        <v>300</v>
      </c>
      <c r="AS55" s="159">
        <f t="shared" si="26"/>
        <v>300</v>
      </c>
      <c r="AT55" s="159">
        <f t="shared" si="26"/>
        <v>300</v>
      </c>
      <c r="AU55" s="159">
        <f t="shared" si="26"/>
        <v>300</v>
      </c>
      <c r="AV55" s="159">
        <f t="shared" si="26"/>
        <v>300</v>
      </c>
      <c r="AW55" s="159">
        <f t="shared" si="26"/>
        <v>300</v>
      </c>
      <c r="AX55" s="159">
        <f t="shared" si="26"/>
        <v>300</v>
      </c>
      <c r="AY55" s="159">
        <f t="shared" si="26"/>
        <v>300</v>
      </c>
      <c r="AZ55" s="159">
        <f t="shared" si="26"/>
        <v>300</v>
      </c>
      <c r="BA55" s="159">
        <f t="shared" si="26"/>
        <v>300</v>
      </c>
      <c r="BB55" s="159">
        <f t="shared" si="26"/>
        <v>300</v>
      </c>
      <c r="BC55" s="159">
        <f t="shared" si="26"/>
        <v>300</v>
      </c>
      <c r="BD55" s="159">
        <f t="shared" si="26"/>
        <v>300</v>
      </c>
      <c r="BE55" s="159">
        <f t="shared" si="26"/>
        <v>300</v>
      </c>
      <c r="BF55" s="159">
        <f t="shared" si="26"/>
        <v>300</v>
      </c>
      <c r="BG55" s="159">
        <f t="shared" si="26"/>
        <v>300</v>
      </c>
      <c r="BH55" s="159">
        <f t="shared" si="26"/>
        <v>300</v>
      </c>
      <c r="BI55" s="159">
        <f t="shared" si="26"/>
        <v>300</v>
      </c>
      <c r="BJ55" s="159">
        <f t="shared" si="26"/>
        <v>300</v>
      </c>
      <c r="BK55" s="159">
        <f t="shared" si="26"/>
        <v>300</v>
      </c>
      <c r="BL55" s="159">
        <f t="shared" si="26"/>
        <v>300</v>
      </c>
      <c r="BM55" s="159">
        <f t="shared" si="26"/>
        <v>300</v>
      </c>
      <c r="BN55" s="159">
        <f t="shared" si="26"/>
        <v>300</v>
      </c>
      <c r="BO55" s="159">
        <f t="shared" si="26"/>
        <v>300</v>
      </c>
      <c r="BP55" s="159">
        <f t="shared" si="26"/>
        <v>300</v>
      </c>
      <c r="BQ55" s="159">
        <f t="shared" si="26"/>
        <v>300</v>
      </c>
      <c r="BR55" s="159">
        <f t="shared" si="26"/>
        <v>300</v>
      </c>
      <c r="BS55" s="159">
        <f t="shared" si="26"/>
        <v>300</v>
      </c>
      <c r="BT55" s="159">
        <f t="shared" si="26"/>
        <v>300</v>
      </c>
      <c r="BU55" s="159">
        <f t="shared" si="26"/>
        <v>300</v>
      </c>
      <c r="BV55" s="159">
        <f t="shared" si="26"/>
        <v>300</v>
      </c>
      <c r="BW55" s="159">
        <f t="shared" si="26"/>
        <v>300</v>
      </c>
      <c r="BX55" s="159">
        <f t="shared" si="26"/>
        <v>300</v>
      </c>
      <c r="BY55" s="159">
        <f t="shared" si="26"/>
        <v>300</v>
      </c>
      <c r="BZ55" s="159">
        <f t="shared" si="26"/>
        <v>300</v>
      </c>
      <c r="CA55" s="159">
        <f t="shared" si="26"/>
        <v>300</v>
      </c>
      <c r="CB55" s="159">
        <f t="shared" si="26"/>
        <v>300</v>
      </c>
      <c r="CC55" s="159">
        <f t="shared" si="26"/>
        <v>300</v>
      </c>
      <c r="CD55" s="159">
        <f t="shared" si="26"/>
        <v>300</v>
      </c>
      <c r="CE55" s="159">
        <f t="shared" si="26"/>
        <v>300</v>
      </c>
      <c r="CF55" s="159">
        <f t="shared" si="26"/>
        <v>300</v>
      </c>
      <c r="CG55" s="159">
        <f t="shared" si="26"/>
        <v>300</v>
      </c>
      <c r="CH55" s="159">
        <f t="shared" si="26"/>
        <v>300</v>
      </c>
      <c r="CI55" s="159">
        <f t="shared" si="26"/>
        <v>300</v>
      </c>
      <c r="CJ55" s="159">
        <f t="shared" si="26"/>
        <v>300</v>
      </c>
      <c r="CK55" s="159">
        <f t="shared" si="26"/>
        <v>300</v>
      </c>
      <c r="CL55" s="159">
        <f t="shared" si="26"/>
        <v>300</v>
      </c>
      <c r="CM55" s="159">
        <f t="shared" si="26"/>
        <v>300</v>
      </c>
      <c r="CN55" s="159">
        <f t="shared" si="26"/>
        <v>300</v>
      </c>
      <c r="CO55" s="159">
        <f t="shared" si="26"/>
        <v>300</v>
      </c>
      <c r="CP55" s="159">
        <f t="shared" si="26"/>
        <v>300</v>
      </c>
      <c r="CQ55" s="159">
        <f t="shared" si="26"/>
        <v>300</v>
      </c>
      <c r="CR55" s="159">
        <f t="shared" si="26"/>
        <v>300</v>
      </c>
      <c r="CS55" s="159">
        <f t="shared" si="26"/>
        <v>300</v>
      </c>
      <c r="CT55" s="159">
        <f t="shared" si="26"/>
        <v>300</v>
      </c>
      <c r="CU55" s="159">
        <f t="shared" si="26"/>
        <v>300</v>
      </c>
      <c r="CV55" s="159">
        <f t="shared" si="26"/>
        <v>300</v>
      </c>
      <c r="CW55" s="159">
        <f t="shared" si="26"/>
        <v>300</v>
      </c>
    </row>
    <row r="56" ht="15.75" customHeight="1">
      <c r="A56" s="1" t="s">
        <v>242</v>
      </c>
      <c r="B56" s="1"/>
      <c r="C56" s="154">
        <f t="shared" ref="C56:CW56" si="27">C49*6</f>
        <v>0</v>
      </c>
      <c r="D56" s="159">
        <f t="shared" si="27"/>
        <v>600</v>
      </c>
      <c r="E56" s="159">
        <f t="shared" si="27"/>
        <v>600</v>
      </c>
      <c r="F56" s="159">
        <f t="shared" si="27"/>
        <v>600</v>
      </c>
      <c r="G56" s="159">
        <f t="shared" si="27"/>
        <v>600</v>
      </c>
      <c r="H56" s="159">
        <f t="shared" si="27"/>
        <v>600</v>
      </c>
      <c r="I56" s="159">
        <f t="shared" si="27"/>
        <v>600</v>
      </c>
      <c r="J56" s="159">
        <f t="shared" si="27"/>
        <v>600</v>
      </c>
      <c r="K56" s="159">
        <f t="shared" si="27"/>
        <v>600</v>
      </c>
      <c r="L56" s="159">
        <f t="shared" si="27"/>
        <v>600</v>
      </c>
      <c r="M56" s="159">
        <f t="shared" si="27"/>
        <v>600</v>
      </c>
      <c r="N56" s="159">
        <f t="shared" si="27"/>
        <v>600</v>
      </c>
      <c r="O56" s="159">
        <f t="shared" si="27"/>
        <v>600</v>
      </c>
      <c r="P56" s="159">
        <f t="shared" si="27"/>
        <v>600</v>
      </c>
      <c r="Q56" s="159">
        <f t="shared" si="27"/>
        <v>600</v>
      </c>
      <c r="R56" s="159">
        <f t="shared" si="27"/>
        <v>600</v>
      </c>
      <c r="S56" s="159">
        <f t="shared" si="27"/>
        <v>600</v>
      </c>
      <c r="T56" s="159">
        <f t="shared" si="27"/>
        <v>600</v>
      </c>
      <c r="U56" s="159">
        <f t="shared" si="27"/>
        <v>600</v>
      </c>
      <c r="V56" s="159">
        <f t="shared" si="27"/>
        <v>600</v>
      </c>
      <c r="W56" s="159">
        <f t="shared" si="27"/>
        <v>600</v>
      </c>
      <c r="X56" s="159">
        <f t="shared" si="27"/>
        <v>600</v>
      </c>
      <c r="Y56" s="159">
        <f t="shared" si="27"/>
        <v>600</v>
      </c>
      <c r="Z56" s="159">
        <f t="shared" si="27"/>
        <v>600</v>
      </c>
      <c r="AA56" s="159">
        <f t="shared" si="27"/>
        <v>600</v>
      </c>
      <c r="AB56" s="159">
        <f t="shared" si="27"/>
        <v>600</v>
      </c>
      <c r="AC56" s="159">
        <f t="shared" si="27"/>
        <v>600</v>
      </c>
      <c r="AD56" s="159">
        <f t="shared" si="27"/>
        <v>600</v>
      </c>
      <c r="AE56" s="159">
        <f t="shared" si="27"/>
        <v>600</v>
      </c>
      <c r="AF56" s="159">
        <f t="shared" si="27"/>
        <v>600</v>
      </c>
      <c r="AG56" s="159">
        <f t="shared" si="27"/>
        <v>600</v>
      </c>
      <c r="AH56" s="159">
        <f t="shared" si="27"/>
        <v>600</v>
      </c>
      <c r="AI56" s="159">
        <f t="shared" si="27"/>
        <v>600</v>
      </c>
      <c r="AJ56" s="159">
        <f t="shared" si="27"/>
        <v>600</v>
      </c>
      <c r="AK56" s="159">
        <f t="shared" si="27"/>
        <v>600</v>
      </c>
      <c r="AL56" s="159">
        <f t="shared" si="27"/>
        <v>600</v>
      </c>
      <c r="AM56" s="159">
        <f t="shared" si="27"/>
        <v>600</v>
      </c>
      <c r="AN56" s="159">
        <f t="shared" si="27"/>
        <v>600</v>
      </c>
      <c r="AO56" s="159">
        <f t="shared" si="27"/>
        <v>600</v>
      </c>
      <c r="AP56" s="159">
        <f t="shared" si="27"/>
        <v>600</v>
      </c>
      <c r="AQ56" s="159">
        <f t="shared" si="27"/>
        <v>600</v>
      </c>
      <c r="AR56" s="159">
        <f t="shared" si="27"/>
        <v>600</v>
      </c>
      <c r="AS56" s="159">
        <f t="shared" si="27"/>
        <v>600</v>
      </c>
      <c r="AT56" s="159">
        <f t="shared" si="27"/>
        <v>600</v>
      </c>
      <c r="AU56" s="159">
        <f t="shared" si="27"/>
        <v>600</v>
      </c>
      <c r="AV56" s="159">
        <f t="shared" si="27"/>
        <v>600</v>
      </c>
      <c r="AW56" s="159">
        <f t="shared" si="27"/>
        <v>600</v>
      </c>
      <c r="AX56" s="159">
        <f t="shared" si="27"/>
        <v>600</v>
      </c>
      <c r="AY56" s="159">
        <f t="shared" si="27"/>
        <v>600</v>
      </c>
      <c r="AZ56" s="159">
        <f t="shared" si="27"/>
        <v>600</v>
      </c>
      <c r="BA56" s="159">
        <f t="shared" si="27"/>
        <v>600</v>
      </c>
      <c r="BB56" s="159">
        <f t="shared" si="27"/>
        <v>600</v>
      </c>
      <c r="BC56" s="159">
        <f t="shared" si="27"/>
        <v>600</v>
      </c>
      <c r="BD56" s="159">
        <f t="shared" si="27"/>
        <v>600</v>
      </c>
      <c r="BE56" s="159">
        <f t="shared" si="27"/>
        <v>600</v>
      </c>
      <c r="BF56" s="159">
        <f t="shared" si="27"/>
        <v>600</v>
      </c>
      <c r="BG56" s="159">
        <f t="shared" si="27"/>
        <v>600</v>
      </c>
      <c r="BH56" s="159">
        <f t="shared" si="27"/>
        <v>600</v>
      </c>
      <c r="BI56" s="159">
        <f t="shared" si="27"/>
        <v>600</v>
      </c>
      <c r="BJ56" s="159">
        <f t="shared" si="27"/>
        <v>600</v>
      </c>
      <c r="BK56" s="159">
        <f t="shared" si="27"/>
        <v>600</v>
      </c>
      <c r="BL56" s="159">
        <f t="shared" si="27"/>
        <v>600</v>
      </c>
      <c r="BM56" s="159">
        <f t="shared" si="27"/>
        <v>600</v>
      </c>
      <c r="BN56" s="159">
        <f t="shared" si="27"/>
        <v>600</v>
      </c>
      <c r="BO56" s="159">
        <f t="shared" si="27"/>
        <v>600</v>
      </c>
      <c r="BP56" s="159">
        <f t="shared" si="27"/>
        <v>600</v>
      </c>
      <c r="BQ56" s="159">
        <f t="shared" si="27"/>
        <v>600</v>
      </c>
      <c r="BR56" s="159">
        <f t="shared" si="27"/>
        <v>600</v>
      </c>
      <c r="BS56" s="159">
        <f t="shared" si="27"/>
        <v>600</v>
      </c>
      <c r="BT56" s="159">
        <f t="shared" si="27"/>
        <v>600</v>
      </c>
      <c r="BU56" s="159">
        <f t="shared" si="27"/>
        <v>600</v>
      </c>
      <c r="BV56" s="159">
        <f t="shared" si="27"/>
        <v>600</v>
      </c>
      <c r="BW56" s="159">
        <f t="shared" si="27"/>
        <v>600</v>
      </c>
      <c r="BX56" s="159">
        <f t="shared" si="27"/>
        <v>600</v>
      </c>
      <c r="BY56" s="159">
        <f t="shared" si="27"/>
        <v>600</v>
      </c>
      <c r="BZ56" s="159">
        <f t="shared" si="27"/>
        <v>600</v>
      </c>
      <c r="CA56" s="159">
        <f t="shared" si="27"/>
        <v>600</v>
      </c>
      <c r="CB56" s="159">
        <f t="shared" si="27"/>
        <v>600</v>
      </c>
      <c r="CC56" s="159">
        <f t="shared" si="27"/>
        <v>600</v>
      </c>
      <c r="CD56" s="159">
        <f t="shared" si="27"/>
        <v>600</v>
      </c>
      <c r="CE56" s="159">
        <f t="shared" si="27"/>
        <v>600</v>
      </c>
      <c r="CF56" s="159">
        <f t="shared" si="27"/>
        <v>600</v>
      </c>
      <c r="CG56" s="159">
        <f t="shared" si="27"/>
        <v>600</v>
      </c>
      <c r="CH56" s="159">
        <f t="shared" si="27"/>
        <v>600</v>
      </c>
      <c r="CI56" s="159">
        <f t="shared" si="27"/>
        <v>600</v>
      </c>
      <c r="CJ56" s="159">
        <f t="shared" si="27"/>
        <v>600</v>
      </c>
      <c r="CK56" s="159">
        <f t="shared" si="27"/>
        <v>600</v>
      </c>
      <c r="CL56" s="159">
        <f t="shared" si="27"/>
        <v>600</v>
      </c>
      <c r="CM56" s="159">
        <f t="shared" si="27"/>
        <v>600</v>
      </c>
      <c r="CN56" s="159">
        <f t="shared" si="27"/>
        <v>600</v>
      </c>
      <c r="CO56" s="159">
        <f t="shared" si="27"/>
        <v>600</v>
      </c>
      <c r="CP56" s="159">
        <f t="shared" si="27"/>
        <v>600</v>
      </c>
      <c r="CQ56" s="159">
        <f t="shared" si="27"/>
        <v>600</v>
      </c>
      <c r="CR56" s="159">
        <f t="shared" si="27"/>
        <v>600</v>
      </c>
      <c r="CS56" s="159">
        <f t="shared" si="27"/>
        <v>600</v>
      </c>
      <c r="CT56" s="159">
        <f t="shared" si="27"/>
        <v>600</v>
      </c>
      <c r="CU56" s="159">
        <f t="shared" si="27"/>
        <v>600</v>
      </c>
      <c r="CV56" s="159">
        <f t="shared" si="27"/>
        <v>600</v>
      </c>
      <c r="CW56" s="159">
        <f t="shared" si="27"/>
        <v>600</v>
      </c>
    </row>
    <row r="57" ht="15.75" customHeight="1">
      <c r="A57" s="1" t="s">
        <v>243</v>
      </c>
      <c r="B57" s="1"/>
      <c r="C57" s="154">
        <f t="shared" ref="C57:CW57" si="28">C49*12</f>
        <v>0</v>
      </c>
      <c r="D57" s="159">
        <f t="shared" si="28"/>
        <v>1200</v>
      </c>
      <c r="E57" s="159">
        <f t="shared" si="28"/>
        <v>1200</v>
      </c>
      <c r="F57" s="159">
        <f t="shared" si="28"/>
        <v>1200</v>
      </c>
      <c r="G57" s="159">
        <f t="shared" si="28"/>
        <v>1200</v>
      </c>
      <c r="H57" s="159">
        <f t="shared" si="28"/>
        <v>1200</v>
      </c>
      <c r="I57" s="159">
        <f t="shared" si="28"/>
        <v>1200</v>
      </c>
      <c r="J57" s="159">
        <f t="shared" si="28"/>
        <v>1200</v>
      </c>
      <c r="K57" s="159">
        <f t="shared" si="28"/>
        <v>1200</v>
      </c>
      <c r="L57" s="159">
        <f t="shared" si="28"/>
        <v>1200</v>
      </c>
      <c r="M57" s="159">
        <f t="shared" si="28"/>
        <v>1200</v>
      </c>
      <c r="N57" s="159">
        <f t="shared" si="28"/>
        <v>1200</v>
      </c>
      <c r="O57" s="159">
        <f t="shared" si="28"/>
        <v>1200</v>
      </c>
      <c r="P57" s="159">
        <f t="shared" si="28"/>
        <v>1200</v>
      </c>
      <c r="Q57" s="159">
        <f t="shared" si="28"/>
        <v>1200</v>
      </c>
      <c r="R57" s="159">
        <f t="shared" si="28"/>
        <v>1200</v>
      </c>
      <c r="S57" s="159">
        <f t="shared" si="28"/>
        <v>1200</v>
      </c>
      <c r="T57" s="159">
        <f t="shared" si="28"/>
        <v>1200</v>
      </c>
      <c r="U57" s="159">
        <f t="shared" si="28"/>
        <v>1200</v>
      </c>
      <c r="V57" s="159">
        <f t="shared" si="28"/>
        <v>1200</v>
      </c>
      <c r="W57" s="159">
        <f t="shared" si="28"/>
        <v>1200</v>
      </c>
      <c r="X57" s="159">
        <f t="shared" si="28"/>
        <v>1200</v>
      </c>
      <c r="Y57" s="159">
        <f t="shared" si="28"/>
        <v>1200</v>
      </c>
      <c r="Z57" s="159">
        <f t="shared" si="28"/>
        <v>1200</v>
      </c>
      <c r="AA57" s="159">
        <f t="shared" si="28"/>
        <v>1200</v>
      </c>
      <c r="AB57" s="159">
        <f t="shared" si="28"/>
        <v>1200</v>
      </c>
      <c r="AC57" s="159">
        <f t="shared" si="28"/>
        <v>1200</v>
      </c>
      <c r="AD57" s="159">
        <f t="shared" si="28"/>
        <v>1200</v>
      </c>
      <c r="AE57" s="159">
        <f t="shared" si="28"/>
        <v>1200</v>
      </c>
      <c r="AF57" s="159">
        <f t="shared" si="28"/>
        <v>1200</v>
      </c>
      <c r="AG57" s="159">
        <f t="shared" si="28"/>
        <v>1200</v>
      </c>
      <c r="AH57" s="159">
        <f t="shared" si="28"/>
        <v>1200</v>
      </c>
      <c r="AI57" s="159">
        <f t="shared" si="28"/>
        <v>1200</v>
      </c>
      <c r="AJ57" s="159">
        <f t="shared" si="28"/>
        <v>1200</v>
      </c>
      <c r="AK57" s="159">
        <f t="shared" si="28"/>
        <v>1200</v>
      </c>
      <c r="AL57" s="159">
        <f t="shared" si="28"/>
        <v>1200</v>
      </c>
      <c r="AM57" s="159">
        <f t="shared" si="28"/>
        <v>1200</v>
      </c>
      <c r="AN57" s="159">
        <f t="shared" si="28"/>
        <v>1200</v>
      </c>
      <c r="AO57" s="159">
        <f t="shared" si="28"/>
        <v>1200</v>
      </c>
      <c r="AP57" s="159">
        <f t="shared" si="28"/>
        <v>1200</v>
      </c>
      <c r="AQ57" s="159">
        <f t="shared" si="28"/>
        <v>1200</v>
      </c>
      <c r="AR57" s="159">
        <f t="shared" si="28"/>
        <v>1200</v>
      </c>
      <c r="AS57" s="159">
        <f t="shared" si="28"/>
        <v>1200</v>
      </c>
      <c r="AT57" s="159">
        <f t="shared" si="28"/>
        <v>1200</v>
      </c>
      <c r="AU57" s="159">
        <f t="shared" si="28"/>
        <v>1200</v>
      </c>
      <c r="AV57" s="159">
        <f t="shared" si="28"/>
        <v>1200</v>
      </c>
      <c r="AW57" s="159">
        <f t="shared" si="28"/>
        <v>1200</v>
      </c>
      <c r="AX57" s="159">
        <f t="shared" si="28"/>
        <v>1200</v>
      </c>
      <c r="AY57" s="159">
        <f t="shared" si="28"/>
        <v>1200</v>
      </c>
      <c r="AZ57" s="159">
        <f t="shared" si="28"/>
        <v>1200</v>
      </c>
      <c r="BA57" s="159">
        <f t="shared" si="28"/>
        <v>1200</v>
      </c>
      <c r="BB57" s="159">
        <f t="shared" si="28"/>
        <v>1200</v>
      </c>
      <c r="BC57" s="159">
        <f t="shared" si="28"/>
        <v>1200</v>
      </c>
      <c r="BD57" s="159">
        <f t="shared" si="28"/>
        <v>1200</v>
      </c>
      <c r="BE57" s="159">
        <f t="shared" si="28"/>
        <v>1200</v>
      </c>
      <c r="BF57" s="159">
        <f t="shared" si="28"/>
        <v>1200</v>
      </c>
      <c r="BG57" s="159">
        <f t="shared" si="28"/>
        <v>1200</v>
      </c>
      <c r="BH57" s="159">
        <f t="shared" si="28"/>
        <v>1200</v>
      </c>
      <c r="BI57" s="159">
        <f t="shared" si="28"/>
        <v>1200</v>
      </c>
      <c r="BJ57" s="159">
        <f t="shared" si="28"/>
        <v>1200</v>
      </c>
      <c r="BK57" s="159">
        <f t="shared" si="28"/>
        <v>1200</v>
      </c>
      <c r="BL57" s="159">
        <f t="shared" si="28"/>
        <v>1200</v>
      </c>
      <c r="BM57" s="159">
        <f t="shared" si="28"/>
        <v>1200</v>
      </c>
      <c r="BN57" s="159">
        <f t="shared" si="28"/>
        <v>1200</v>
      </c>
      <c r="BO57" s="159">
        <f t="shared" si="28"/>
        <v>1200</v>
      </c>
      <c r="BP57" s="159">
        <f t="shared" si="28"/>
        <v>1200</v>
      </c>
      <c r="BQ57" s="159">
        <f t="shared" si="28"/>
        <v>1200</v>
      </c>
      <c r="BR57" s="159">
        <f t="shared" si="28"/>
        <v>1200</v>
      </c>
      <c r="BS57" s="159">
        <f t="shared" si="28"/>
        <v>1200</v>
      </c>
      <c r="BT57" s="159">
        <f t="shared" si="28"/>
        <v>1200</v>
      </c>
      <c r="BU57" s="159">
        <f t="shared" si="28"/>
        <v>1200</v>
      </c>
      <c r="BV57" s="159">
        <f t="shared" si="28"/>
        <v>1200</v>
      </c>
      <c r="BW57" s="159">
        <f t="shared" si="28"/>
        <v>1200</v>
      </c>
      <c r="BX57" s="159">
        <f t="shared" si="28"/>
        <v>1200</v>
      </c>
      <c r="BY57" s="159">
        <f t="shared" si="28"/>
        <v>1200</v>
      </c>
      <c r="BZ57" s="159">
        <f t="shared" si="28"/>
        <v>1200</v>
      </c>
      <c r="CA57" s="159">
        <f t="shared" si="28"/>
        <v>1200</v>
      </c>
      <c r="CB57" s="159">
        <f t="shared" si="28"/>
        <v>1200</v>
      </c>
      <c r="CC57" s="159">
        <f t="shared" si="28"/>
        <v>1200</v>
      </c>
      <c r="CD57" s="159">
        <f t="shared" si="28"/>
        <v>1200</v>
      </c>
      <c r="CE57" s="159">
        <f t="shared" si="28"/>
        <v>1200</v>
      </c>
      <c r="CF57" s="159">
        <f t="shared" si="28"/>
        <v>1200</v>
      </c>
      <c r="CG57" s="159">
        <f t="shared" si="28"/>
        <v>1200</v>
      </c>
      <c r="CH57" s="159">
        <f t="shared" si="28"/>
        <v>1200</v>
      </c>
      <c r="CI57" s="159">
        <f t="shared" si="28"/>
        <v>1200</v>
      </c>
      <c r="CJ57" s="159">
        <f t="shared" si="28"/>
        <v>1200</v>
      </c>
      <c r="CK57" s="159">
        <f t="shared" si="28"/>
        <v>1200</v>
      </c>
      <c r="CL57" s="159">
        <f t="shared" si="28"/>
        <v>1200</v>
      </c>
      <c r="CM57" s="159">
        <f t="shared" si="28"/>
        <v>1200</v>
      </c>
      <c r="CN57" s="159">
        <f t="shared" si="28"/>
        <v>1200</v>
      </c>
      <c r="CO57" s="159">
        <f t="shared" si="28"/>
        <v>1200</v>
      </c>
      <c r="CP57" s="159">
        <f t="shared" si="28"/>
        <v>1200</v>
      </c>
      <c r="CQ57" s="159">
        <f t="shared" si="28"/>
        <v>1200</v>
      </c>
      <c r="CR57" s="159">
        <f t="shared" si="28"/>
        <v>1200</v>
      </c>
      <c r="CS57" s="159">
        <f t="shared" si="28"/>
        <v>1200</v>
      </c>
      <c r="CT57" s="159">
        <f t="shared" si="28"/>
        <v>1200</v>
      </c>
      <c r="CU57" s="159">
        <f t="shared" si="28"/>
        <v>1200</v>
      </c>
      <c r="CV57" s="159">
        <f t="shared" si="28"/>
        <v>1200</v>
      </c>
      <c r="CW57" s="159">
        <f t="shared" si="28"/>
        <v>1200</v>
      </c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ht="15.75" customHeight="1">
      <c r="A59" s="50" t="s">
        <v>252</v>
      </c>
      <c r="B59" s="50"/>
      <c r="C59" s="50"/>
      <c r="D59" s="158">
        <f>'Monthly forecast'!E89/'Monthly forecast'!E37</f>
        <v>0</v>
      </c>
      <c r="E59" s="158">
        <f>'Monthly forecast'!F89/'Monthly forecast'!F37</f>
        <v>0</v>
      </c>
      <c r="F59" s="158">
        <f>'Monthly forecast'!G89/'Monthly forecast'!G37</f>
        <v>0</v>
      </c>
      <c r="G59" s="158">
        <f>'Monthly forecast'!H89/'Monthly forecast'!H37</f>
        <v>0</v>
      </c>
      <c r="H59" s="158">
        <f>'Monthly forecast'!I89/'Monthly forecast'!I37</f>
        <v>0</v>
      </c>
      <c r="I59" s="158">
        <f>'Monthly forecast'!J89/'Monthly forecast'!J37</f>
        <v>0</v>
      </c>
      <c r="J59" s="158">
        <f>'Monthly forecast'!K89/'Monthly forecast'!K37</f>
        <v>0</v>
      </c>
      <c r="K59" s="158">
        <f>'Monthly forecast'!L89/'Monthly forecast'!L37</f>
        <v>0</v>
      </c>
      <c r="L59" s="158">
        <f>'Monthly forecast'!M89/'Monthly forecast'!M37</f>
        <v>0</v>
      </c>
      <c r="M59" s="158">
        <f>'Monthly forecast'!N89/'Monthly forecast'!N37</f>
        <v>0</v>
      </c>
      <c r="N59" s="158">
        <f>'Monthly forecast'!O89/'Monthly forecast'!O37</f>
        <v>0</v>
      </c>
      <c r="O59" s="158">
        <f>'Monthly forecast'!P89/'Monthly forecast'!P37</f>
        <v>0</v>
      </c>
      <c r="P59" s="158">
        <f>'Monthly forecast'!Q89/'Monthly forecast'!Q37</f>
        <v>0</v>
      </c>
      <c r="Q59" s="158">
        <f>'Monthly forecast'!R89/'Monthly forecast'!R37</f>
        <v>0</v>
      </c>
      <c r="R59" s="158">
        <f>'Monthly forecast'!S89/'Monthly forecast'!S37</f>
        <v>0</v>
      </c>
      <c r="S59" s="158">
        <f>'Monthly forecast'!T89/'Monthly forecast'!T37</f>
        <v>0</v>
      </c>
      <c r="T59" s="158">
        <f>'Monthly forecast'!U89/'Monthly forecast'!U37</f>
        <v>0</v>
      </c>
      <c r="U59" s="158">
        <f>'Monthly forecast'!V89/'Monthly forecast'!V37</f>
        <v>0</v>
      </c>
      <c r="V59" s="158">
        <f>'Monthly forecast'!W89/'Monthly forecast'!W37</f>
        <v>0</v>
      </c>
      <c r="W59" s="158">
        <f>'Monthly forecast'!X89/'Monthly forecast'!X37</f>
        <v>0</v>
      </c>
      <c r="X59" s="158">
        <f>'Monthly forecast'!Y89/'Monthly forecast'!Y37</f>
        <v>0</v>
      </c>
      <c r="Y59" s="158">
        <f>'Monthly forecast'!Z89/'Monthly forecast'!Z37</f>
        <v>0</v>
      </c>
      <c r="Z59" s="158">
        <f>'Monthly forecast'!AA89/'Monthly forecast'!AA37</f>
        <v>0</v>
      </c>
      <c r="AA59" s="158">
        <f>'Monthly forecast'!AB89/'Monthly forecast'!AB37</f>
        <v>0</v>
      </c>
      <c r="AB59" s="158">
        <f>'Monthly forecast'!AC89/'Monthly forecast'!AC37</f>
        <v>0</v>
      </c>
      <c r="AC59" s="158">
        <f>'Monthly forecast'!AD89/'Monthly forecast'!AD37</f>
        <v>0</v>
      </c>
      <c r="AD59" s="158">
        <f>'Monthly forecast'!AE89/'Monthly forecast'!AE37</f>
        <v>0</v>
      </c>
      <c r="AE59" s="158">
        <f>'Monthly forecast'!AF89/'Monthly forecast'!AF37</f>
        <v>0</v>
      </c>
      <c r="AF59" s="158">
        <f>'Monthly forecast'!AG89/'Monthly forecast'!AG37</f>
        <v>0</v>
      </c>
      <c r="AG59" s="158">
        <f>'Monthly forecast'!AH89/'Monthly forecast'!AH37</f>
        <v>0</v>
      </c>
      <c r="AH59" s="158">
        <f>'Monthly forecast'!AI89/'Monthly forecast'!AI37</f>
        <v>0</v>
      </c>
      <c r="AI59" s="158">
        <f>'Monthly forecast'!AJ89/'Monthly forecast'!AJ37</f>
        <v>0</v>
      </c>
      <c r="AJ59" s="158">
        <f>'Monthly forecast'!AK89/'Monthly forecast'!AK37</f>
        <v>0</v>
      </c>
      <c r="AK59" s="158">
        <f>'Monthly forecast'!AL89/'Monthly forecast'!AL37</f>
        <v>0</v>
      </c>
      <c r="AL59" s="158">
        <f>'Monthly forecast'!AM89/'Monthly forecast'!AM37</f>
        <v>0</v>
      </c>
      <c r="AM59" s="158">
        <f>'Monthly forecast'!AN89/'Monthly forecast'!AN37</f>
        <v>0</v>
      </c>
      <c r="AN59" s="158">
        <f>'Monthly forecast'!AO89/'Monthly forecast'!AO37</f>
        <v>0</v>
      </c>
      <c r="AO59" s="158">
        <f>'Monthly forecast'!AP89/'Monthly forecast'!AP37</f>
        <v>0</v>
      </c>
      <c r="AP59" s="158">
        <f>'Monthly forecast'!AQ89/'Monthly forecast'!AQ37</f>
        <v>0</v>
      </c>
      <c r="AQ59" s="158">
        <f>'Monthly forecast'!AR89/'Monthly forecast'!AR37</f>
        <v>0</v>
      </c>
      <c r="AR59" s="158">
        <f>'Monthly forecast'!AS89/'Monthly forecast'!AS37</f>
        <v>0</v>
      </c>
      <c r="AS59" s="158">
        <f>'Monthly forecast'!AT89/'Monthly forecast'!AT37</f>
        <v>0</v>
      </c>
      <c r="AT59" s="158">
        <f>'Monthly forecast'!AU89/'Monthly forecast'!AU37</f>
        <v>0</v>
      </c>
      <c r="AU59" s="158">
        <f>'Monthly forecast'!AV89/'Monthly forecast'!AV37</f>
        <v>0</v>
      </c>
      <c r="AV59" s="158">
        <f>'Monthly forecast'!AW89/'Monthly forecast'!AW37</f>
        <v>0</v>
      </c>
      <c r="AW59" s="158">
        <f>'Monthly forecast'!AX89/'Monthly forecast'!AX37</f>
        <v>0</v>
      </c>
      <c r="AX59" s="158">
        <f>'Monthly forecast'!AY89/'Monthly forecast'!AY37</f>
        <v>0</v>
      </c>
      <c r="AY59" s="158">
        <f>'Monthly forecast'!AZ89/'Monthly forecast'!AZ37</f>
        <v>0</v>
      </c>
      <c r="AZ59" s="158">
        <f>'Monthly forecast'!BA89/'Monthly forecast'!BA37</f>
        <v>0</v>
      </c>
      <c r="BA59" s="158">
        <f>'Monthly forecast'!BB89/'Monthly forecast'!BB37</f>
        <v>0</v>
      </c>
      <c r="BB59" s="158">
        <f>'Monthly forecast'!BC89/'Monthly forecast'!BC37</f>
        <v>0</v>
      </c>
      <c r="BC59" s="158">
        <f>'Monthly forecast'!BD89/'Monthly forecast'!BD37</f>
        <v>0</v>
      </c>
      <c r="BD59" s="158">
        <f>'Monthly forecast'!BE89/'Monthly forecast'!BE37</f>
        <v>0</v>
      </c>
      <c r="BE59" s="158">
        <f>'Monthly forecast'!BF89/'Monthly forecast'!BF37</f>
        <v>0</v>
      </c>
      <c r="BF59" s="158">
        <f>'Monthly forecast'!BG89/'Monthly forecast'!BG37</f>
        <v>0</v>
      </c>
      <c r="BG59" s="158">
        <f>'Monthly forecast'!BH89/'Monthly forecast'!BH37</f>
        <v>0</v>
      </c>
      <c r="BH59" s="158">
        <f>'Monthly forecast'!BI89/'Monthly forecast'!BI37</f>
        <v>0</v>
      </c>
      <c r="BI59" s="158">
        <f>'Monthly forecast'!BJ89/'Monthly forecast'!BJ37</f>
        <v>0</v>
      </c>
      <c r="BJ59" s="158">
        <f>'Monthly forecast'!BK89/'Monthly forecast'!BK37</f>
        <v>0</v>
      </c>
      <c r="BK59" s="158">
        <f>'Monthly forecast'!BL89/'Monthly forecast'!BL37</f>
        <v>0</v>
      </c>
      <c r="BL59" s="158">
        <f>'Monthly forecast'!BM89/'Monthly forecast'!BM37</f>
        <v>0</v>
      </c>
      <c r="BM59" s="158">
        <f>'Monthly forecast'!BN89/'Monthly forecast'!BN37</f>
        <v>0</v>
      </c>
      <c r="BN59" s="158">
        <f>'Monthly forecast'!BO89/'Monthly forecast'!BO37</f>
        <v>0</v>
      </c>
      <c r="BO59" s="158">
        <f>'Monthly forecast'!BP89/'Monthly forecast'!BP37</f>
        <v>0</v>
      </c>
      <c r="BP59" s="158">
        <f>'Monthly forecast'!BQ89/'Monthly forecast'!BQ37</f>
        <v>0</v>
      </c>
      <c r="BQ59" s="158">
        <f>'Monthly forecast'!BR89/'Monthly forecast'!BR37</f>
        <v>0</v>
      </c>
      <c r="BR59" s="158">
        <f>'Monthly forecast'!BS89/'Monthly forecast'!BS37</f>
        <v>0</v>
      </c>
      <c r="BS59" s="158">
        <f>'Monthly forecast'!BT89/'Monthly forecast'!BT37</f>
        <v>0</v>
      </c>
      <c r="BT59" s="158">
        <f>'Monthly forecast'!BU89/'Monthly forecast'!BU37</f>
        <v>0</v>
      </c>
      <c r="BU59" s="158">
        <f>'Monthly forecast'!BV89/'Monthly forecast'!BV37</f>
        <v>0</v>
      </c>
      <c r="BV59" s="158">
        <f>'Monthly forecast'!BW89/'Monthly forecast'!BW37</f>
        <v>0</v>
      </c>
      <c r="BW59" s="158">
        <f>'Monthly forecast'!BX89/'Monthly forecast'!BX37</f>
        <v>0</v>
      </c>
      <c r="BX59" s="158">
        <f>'Monthly forecast'!BY89/'Monthly forecast'!BY37</f>
        <v>0</v>
      </c>
      <c r="BY59" s="158">
        <f>'Monthly forecast'!BZ89/'Monthly forecast'!BZ37</f>
        <v>0</v>
      </c>
      <c r="BZ59" s="158">
        <f>'Monthly forecast'!CA89/'Monthly forecast'!CA37</f>
        <v>0</v>
      </c>
      <c r="CA59" s="158">
        <f>'Monthly forecast'!CB89/'Monthly forecast'!CB37</f>
        <v>0</v>
      </c>
      <c r="CB59" s="158">
        <f>'Monthly forecast'!CC89/'Monthly forecast'!CC37</f>
        <v>0</v>
      </c>
      <c r="CC59" s="158">
        <f>'Monthly forecast'!CD89/'Monthly forecast'!CD37</f>
        <v>0</v>
      </c>
      <c r="CD59" s="158">
        <f>'Monthly forecast'!CE89/'Monthly forecast'!CE37</f>
        <v>0</v>
      </c>
      <c r="CE59" s="158">
        <f>'Monthly forecast'!CF89/'Monthly forecast'!CF37</f>
        <v>0</v>
      </c>
      <c r="CF59" s="158">
        <f>'Monthly forecast'!CG89/'Monthly forecast'!CG37</f>
        <v>0</v>
      </c>
      <c r="CG59" s="158">
        <f>'Monthly forecast'!CH89/'Monthly forecast'!CH37</f>
        <v>0</v>
      </c>
      <c r="CH59" s="158">
        <f>'Monthly forecast'!CI89/'Monthly forecast'!CI37</f>
        <v>0</v>
      </c>
      <c r="CI59" s="158">
        <f>'Monthly forecast'!CJ89/'Monthly forecast'!CJ37</f>
        <v>0</v>
      </c>
      <c r="CJ59" s="158">
        <f>'Monthly forecast'!CK89/'Monthly forecast'!CK37</f>
        <v>0</v>
      </c>
      <c r="CK59" s="158">
        <f>'Monthly forecast'!CL89/'Monthly forecast'!CL37</f>
        <v>0</v>
      </c>
      <c r="CL59" s="158">
        <f>'Monthly forecast'!CM89/'Monthly forecast'!CM37</f>
        <v>0</v>
      </c>
      <c r="CM59" s="158">
        <f>'Monthly forecast'!CN89/'Monthly forecast'!CN37</f>
        <v>0</v>
      </c>
      <c r="CN59" s="158">
        <f>'Monthly forecast'!CO89/'Monthly forecast'!CO37</f>
        <v>0</v>
      </c>
      <c r="CO59" s="158">
        <f>'Monthly forecast'!CP89/'Monthly forecast'!CP37</f>
        <v>0</v>
      </c>
      <c r="CP59" s="158">
        <f>'Monthly forecast'!CQ89/'Monthly forecast'!CQ37</f>
        <v>0</v>
      </c>
      <c r="CQ59" s="158">
        <f>'Monthly forecast'!CR89/'Monthly forecast'!CR37</f>
        <v>0</v>
      </c>
      <c r="CR59" s="158">
        <f>'Monthly forecast'!CS89/'Monthly forecast'!CS37</f>
        <v>0</v>
      </c>
      <c r="CS59" s="158">
        <f>'Monthly forecast'!CT89/'Monthly forecast'!CT37</f>
        <v>0</v>
      </c>
      <c r="CT59" s="158">
        <f>'Monthly forecast'!CU89/'Monthly forecast'!CU37</f>
        <v>0</v>
      </c>
      <c r="CU59" s="158">
        <f>'Monthly forecast'!CV89/'Monthly forecast'!CV37</f>
        <v>0</v>
      </c>
      <c r="CV59" s="158">
        <f>'Monthly forecast'!CW89/'Monthly forecast'!CW37</f>
        <v>0</v>
      </c>
      <c r="CW59" s="158">
        <f>'Monthly forecast'!CX89/'Monthly forecast'!CX37</f>
        <v>0</v>
      </c>
    </row>
    <row r="60" ht="15.75" customHeight="1">
      <c r="A60" s="164" t="s">
        <v>245</v>
      </c>
      <c r="B60" s="1"/>
      <c r="C60" s="1"/>
      <c r="D60" s="162" t="str">
        <f t="shared" ref="D60:CW60" si="29">D54/D$59</f>
        <v>#DIV/0!</v>
      </c>
      <c r="E60" s="162" t="str">
        <f t="shared" si="29"/>
        <v>#DIV/0!</v>
      </c>
      <c r="F60" s="162" t="str">
        <f t="shared" si="29"/>
        <v>#DIV/0!</v>
      </c>
      <c r="G60" s="162" t="str">
        <f t="shared" si="29"/>
        <v>#DIV/0!</v>
      </c>
      <c r="H60" s="162" t="str">
        <f t="shared" si="29"/>
        <v>#DIV/0!</v>
      </c>
      <c r="I60" s="162" t="str">
        <f t="shared" si="29"/>
        <v>#DIV/0!</v>
      </c>
      <c r="J60" s="162" t="str">
        <f t="shared" si="29"/>
        <v>#DIV/0!</v>
      </c>
      <c r="K60" s="162" t="str">
        <f t="shared" si="29"/>
        <v>#DIV/0!</v>
      </c>
      <c r="L60" s="162" t="str">
        <f t="shared" si="29"/>
        <v>#DIV/0!</v>
      </c>
      <c r="M60" s="162" t="str">
        <f t="shared" si="29"/>
        <v>#DIV/0!</v>
      </c>
      <c r="N60" s="162" t="str">
        <f t="shared" si="29"/>
        <v>#DIV/0!</v>
      </c>
      <c r="O60" s="162" t="str">
        <f t="shared" si="29"/>
        <v>#DIV/0!</v>
      </c>
      <c r="P60" s="162" t="str">
        <f t="shared" si="29"/>
        <v>#DIV/0!</v>
      </c>
      <c r="Q60" s="162" t="str">
        <f t="shared" si="29"/>
        <v>#DIV/0!</v>
      </c>
      <c r="R60" s="162" t="str">
        <f t="shared" si="29"/>
        <v>#DIV/0!</v>
      </c>
      <c r="S60" s="162" t="str">
        <f t="shared" si="29"/>
        <v>#DIV/0!</v>
      </c>
      <c r="T60" s="162" t="str">
        <f t="shared" si="29"/>
        <v>#DIV/0!</v>
      </c>
      <c r="U60" s="162" t="str">
        <f t="shared" si="29"/>
        <v>#DIV/0!</v>
      </c>
      <c r="V60" s="162" t="str">
        <f t="shared" si="29"/>
        <v>#DIV/0!</v>
      </c>
      <c r="W60" s="162" t="str">
        <f t="shared" si="29"/>
        <v>#DIV/0!</v>
      </c>
      <c r="X60" s="162" t="str">
        <f t="shared" si="29"/>
        <v>#DIV/0!</v>
      </c>
      <c r="Y60" s="162" t="str">
        <f t="shared" si="29"/>
        <v>#DIV/0!</v>
      </c>
      <c r="Z60" s="162" t="str">
        <f t="shared" si="29"/>
        <v>#DIV/0!</v>
      </c>
      <c r="AA60" s="162" t="str">
        <f t="shared" si="29"/>
        <v>#DIV/0!</v>
      </c>
      <c r="AB60" s="162" t="str">
        <f t="shared" si="29"/>
        <v>#DIV/0!</v>
      </c>
      <c r="AC60" s="162" t="str">
        <f t="shared" si="29"/>
        <v>#DIV/0!</v>
      </c>
      <c r="AD60" s="162" t="str">
        <f t="shared" si="29"/>
        <v>#DIV/0!</v>
      </c>
      <c r="AE60" s="162" t="str">
        <f t="shared" si="29"/>
        <v>#DIV/0!</v>
      </c>
      <c r="AF60" s="162" t="str">
        <f t="shared" si="29"/>
        <v>#DIV/0!</v>
      </c>
      <c r="AG60" s="162" t="str">
        <f t="shared" si="29"/>
        <v>#DIV/0!</v>
      </c>
      <c r="AH60" s="162" t="str">
        <f t="shared" si="29"/>
        <v>#DIV/0!</v>
      </c>
      <c r="AI60" s="162" t="str">
        <f t="shared" si="29"/>
        <v>#DIV/0!</v>
      </c>
      <c r="AJ60" s="162" t="str">
        <f t="shared" si="29"/>
        <v>#DIV/0!</v>
      </c>
      <c r="AK60" s="162" t="str">
        <f t="shared" si="29"/>
        <v>#DIV/0!</v>
      </c>
      <c r="AL60" s="162" t="str">
        <f t="shared" si="29"/>
        <v>#DIV/0!</v>
      </c>
      <c r="AM60" s="162" t="str">
        <f t="shared" si="29"/>
        <v>#DIV/0!</v>
      </c>
      <c r="AN60" s="162" t="str">
        <f t="shared" si="29"/>
        <v>#DIV/0!</v>
      </c>
      <c r="AO60" s="162" t="str">
        <f t="shared" si="29"/>
        <v>#DIV/0!</v>
      </c>
      <c r="AP60" s="162" t="str">
        <f t="shared" si="29"/>
        <v>#DIV/0!</v>
      </c>
      <c r="AQ60" s="162" t="str">
        <f t="shared" si="29"/>
        <v>#DIV/0!</v>
      </c>
      <c r="AR60" s="162" t="str">
        <f t="shared" si="29"/>
        <v>#DIV/0!</v>
      </c>
      <c r="AS60" s="162" t="str">
        <f t="shared" si="29"/>
        <v>#DIV/0!</v>
      </c>
      <c r="AT60" s="162" t="str">
        <f t="shared" si="29"/>
        <v>#DIV/0!</v>
      </c>
      <c r="AU60" s="162" t="str">
        <f t="shared" si="29"/>
        <v>#DIV/0!</v>
      </c>
      <c r="AV60" s="162" t="str">
        <f t="shared" si="29"/>
        <v>#DIV/0!</v>
      </c>
      <c r="AW60" s="162" t="str">
        <f t="shared" si="29"/>
        <v>#DIV/0!</v>
      </c>
      <c r="AX60" s="162" t="str">
        <f t="shared" si="29"/>
        <v>#DIV/0!</v>
      </c>
      <c r="AY60" s="162" t="str">
        <f t="shared" si="29"/>
        <v>#DIV/0!</v>
      </c>
      <c r="AZ60" s="162" t="str">
        <f t="shared" si="29"/>
        <v>#DIV/0!</v>
      </c>
      <c r="BA60" s="162" t="str">
        <f t="shared" si="29"/>
        <v>#DIV/0!</v>
      </c>
      <c r="BB60" s="162" t="str">
        <f t="shared" si="29"/>
        <v>#DIV/0!</v>
      </c>
      <c r="BC60" s="162" t="str">
        <f t="shared" si="29"/>
        <v>#DIV/0!</v>
      </c>
      <c r="BD60" s="162" t="str">
        <f t="shared" si="29"/>
        <v>#DIV/0!</v>
      </c>
      <c r="BE60" s="162" t="str">
        <f t="shared" si="29"/>
        <v>#DIV/0!</v>
      </c>
      <c r="BF60" s="162" t="str">
        <f t="shared" si="29"/>
        <v>#DIV/0!</v>
      </c>
      <c r="BG60" s="162" t="str">
        <f t="shared" si="29"/>
        <v>#DIV/0!</v>
      </c>
      <c r="BH60" s="162" t="str">
        <f t="shared" si="29"/>
        <v>#DIV/0!</v>
      </c>
      <c r="BI60" s="162" t="str">
        <f t="shared" si="29"/>
        <v>#DIV/0!</v>
      </c>
      <c r="BJ60" s="162" t="str">
        <f t="shared" si="29"/>
        <v>#DIV/0!</v>
      </c>
      <c r="BK60" s="162" t="str">
        <f t="shared" si="29"/>
        <v>#DIV/0!</v>
      </c>
      <c r="BL60" s="162" t="str">
        <f t="shared" si="29"/>
        <v>#DIV/0!</v>
      </c>
      <c r="BM60" s="162" t="str">
        <f t="shared" si="29"/>
        <v>#DIV/0!</v>
      </c>
      <c r="BN60" s="162" t="str">
        <f t="shared" si="29"/>
        <v>#DIV/0!</v>
      </c>
      <c r="BO60" s="162" t="str">
        <f t="shared" si="29"/>
        <v>#DIV/0!</v>
      </c>
      <c r="BP60" s="162" t="str">
        <f t="shared" si="29"/>
        <v>#DIV/0!</v>
      </c>
      <c r="BQ60" s="162" t="str">
        <f t="shared" si="29"/>
        <v>#DIV/0!</v>
      </c>
      <c r="BR60" s="162" t="str">
        <f t="shared" si="29"/>
        <v>#DIV/0!</v>
      </c>
      <c r="BS60" s="162" t="str">
        <f t="shared" si="29"/>
        <v>#DIV/0!</v>
      </c>
      <c r="BT60" s="162" t="str">
        <f t="shared" si="29"/>
        <v>#DIV/0!</v>
      </c>
      <c r="BU60" s="162" t="str">
        <f t="shared" si="29"/>
        <v>#DIV/0!</v>
      </c>
      <c r="BV60" s="162" t="str">
        <f t="shared" si="29"/>
        <v>#DIV/0!</v>
      </c>
      <c r="BW60" s="162" t="str">
        <f t="shared" si="29"/>
        <v>#DIV/0!</v>
      </c>
      <c r="BX60" s="162" t="str">
        <f t="shared" si="29"/>
        <v>#DIV/0!</v>
      </c>
      <c r="BY60" s="162" t="str">
        <f t="shared" si="29"/>
        <v>#DIV/0!</v>
      </c>
      <c r="BZ60" s="162" t="str">
        <f t="shared" si="29"/>
        <v>#DIV/0!</v>
      </c>
      <c r="CA60" s="162" t="str">
        <f t="shared" si="29"/>
        <v>#DIV/0!</v>
      </c>
      <c r="CB60" s="162" t="str">
        <f t="shared" si="29"/>
        <v>#DIV/0!</v>
      </c>
      <c r="CC60" s="162" t="str">
        <f t="shared" si="29"/>
        <v>#DIV/0!</v>
      </c>
      <c r="CD60" s="162" t="str">
        <f t="shared" si="29"/>
        <v>#DIV/0!</v>
      </c>
      <c r="CE60" s="162" t="str">
        <f t="shared" si="29"/>
        <v>#DIV/0!</v>
      </c>
      <c r="CF60" s="162" t="str">
        <f t="shared" si="29"/>
        <v>#DIV/0!</v>
      </c>
      <c r="CG60" s="162" t="str">
        <f t="shared" si="29"/>
        <v>#DIV/0!</v>
      </c>
      <c r="CH60" s="162" t="str">
        <f t="shared" si="29"/>
        <v>#DIV/0!</v>
      </c>
      <c r="CI60" s="162" t="str">
        <f t="shared" si="29"/>
        <v>#DIV/0!</v>
      </c>
      <c r="CJ60" s="162" t="str">
        <f t="shared" si="29"/>
        <v>#DIV/0!</v>
      </c>
      <c r="CK60" s="162" t="str">
        <f t="shared" si="29"/>
        <v>#DIV/0!</v>
      </c>
      <c r="CL60" s="162" t="str">
        <f t="shared" si="29"/>
        <v>#DIV/0!</v>
      </c>
      <c r="CM60" s="162" t="str">
        <f t="shared" si="29"/>
        <v>#DIV/0!</v>
      </c>
      <c r="CN60" s="162" t="str">
        <f t="shared" si="29"/>
        <v>#DIV/0!</v>
      </c>
      <c r="CO60" s="162" t="str">
        <f t="shared" si="29"/>
        <v>#DIV/0!</v>
      </c>
      <c r="CP60" s="162" t="str">
        <f t="shared" si="29"/>
        <v>#DIV/0!</v>
      </c>
      <c r="CQ60" s="162" t="str">
        <f t="shared" si="29"/>
        <v>#DIV/0!</v>
      </c>
      <c r="CR60" s="162" t="str">
        <f t="shared" si="29"/>
        <v>#DIV/0!</v>
      </c>
      <c r="CS60" s="162" t="str">
        <f t="shared" si="29"/>
        <v>#DIV/0!</v>
      </c>
      <c r="CT60" s="162" t="str">
        <f t="shared" si="29"/>
        <v>#DIV/0!</v>
      </c>
      <c r="CU60" s="162" t="str">
        <f t="shared" si="29"/>
        <v>#DIV/0!</v>
      </c>
      <c r="CV60" s="162" t="str">
        <f t="shared" si="29"/>
        <v>#DIV/0!</v>
      </c>
      <c r="CW60" s="162" t="str">
        <f t="shared" si="29"/>
        <v>#DIV/0!</v>
      </c>
    </row>
    <row r="61" ht="15.75" customHeight="1">
      <c r="A61" s="1" t="s">
        <v>246</v>
      </c>
      <c r="B61" s="1"/>
      <c r="C61" s="1"/>
      <c r="D61" s="163" t="str">
        <f t="shared" ref="D61:CW61" si="30">D55/D$59</f>
        <v>#DIV/0!</v>
      </c>
      <c r="E61" s="163" t="str">
        <f t="shared" si="30"/>
        <v>#DIV/0!</v>
      </c>
      <c r="F61" s="163" t="str">
        <f t="shared" si="30"/>
        <v>#DIV/0!</v>
      </c>
      <c r="G61" s="163" t="str">
        <f t="shared" si="30"/>
        <v>#DIV/0!</v>
      </c>
      <c r="H61" s="163" t="str">
        <f t="shared" si="30"/>
        <v>#DIV/0!</v>
      </c>
      <c r="I61" s="163" t="str">
        <f t="shared" si="30"/>
        <v>#DIV/0!</v>
      </c>
      <c r="J61" s="163" t="str">
        <f t="shared" si="30"/>
        <v>#DIV/0!</v>
      </c>
      <c r="K61" s="163" t="str">
        <f t="shared" si="30"/>
        <v>#DIV/0!</v>
      </c>
      <c r="L61" s="163" t="str">
        <f t="shared" si="30"/>
        <v>#DIV/0!</v>
      </c>
      <c r="M61" s="163" t="str">
        <f t="shared" si="30"/>
        <v>#DIV/0!</v>
      </c>
      <c r="N61" s="163" t="str">
        <f t="shared" si="30"/>
        <v>#DIV/0!</v>
      </c>
      <c r="O61" s="163" t="str">
        <f t="shared" si="30"/>
        <v>#DIV/0!</v>
      </c>
      <c r="P61" s="163" t="str">
        <f t="shared" si="30"/>
        <v>#DIV/0!</v>
      </c>
      <c r="Q61" s="163" t="str">
        <f t="shared" si="30"/>
        <v>#DIV/0!</v>
      </c>
      <c r="R61" s="163" t="str">
        <f t="shared" si="30"/>
        <v>#DIV/0!</v>
      </c>
      <c r="S61" s="163" t="str">
        <f t="shared" si="30"/>
        <v>#DIV/0!</v>
      </c>
      <c r="T61" s="163" t="str">
        <f t="shared" si="30"/>
        <v>#DIV/0!</v>
      </c>
      <c r="U61" s="163" t="str">
        <f t="shared" si="30"/>
        <v>#DIV/0!</v>
      </c>
      <c r="V61" s="163" t="str">
        <f t="shared" si="30"/>
        <v>#DIV/0!</v>
      </c>
      <c r="W61" s="163" t="str">
        <f t="shared" si="30"/>
        <v>#DIV/0!</v>
      </c>
      <c r="X61" s="163" t="str">
        <f t="shared" si="30"/>
        <v>#DIV/0!</v>
      </c>
      <c r="Y61" s="163" t="str">
        <f t="shared" si="30"/>
        <v>#DIV/0!</v>
      </c>
      <c r="Z61" s="163" t="str">
        <f t="shared" si="30"/>
        <v>#DIV/0!</v>
      </c>
      <c r="AA61" s="163" t="str">
        <f t="shared" si="30"/>
        <v>#DIV/0!</v>
      </c>
      <c r="AB61" s="163" t="str">
        <f t="shared" si="30"/>
        <v>#DIV/0!</v>
      </c>
      <c r="AC61" s="163" t="str">
        <f t="shared" si="30"/>
        <v>#DIV/0!</v>
      </c>
      <c r="AD61" s="163" t="str">
        <f t="shared" si="30"/>
        <v>#DIV/0!</v>
      </c>
      <c r="AE61" s="163" t="str">
        <f t="shared" si="30"/>
        <v>#DIV/0!</v>
      </c>
      <c r="AF61" s="163" t="str">
        <f t="shared" si="30"/>
        <v>#DIV/0!</v>
      </c>
      <c r="AG61" s="163" t="str">
        <f t="shared" si="30"/>
        <v>#DIV/0!</v>
      </c>
      <c r="AH61" s="163" t="str">
        <f t="shared" si="30"/>
        <v>#DIV/0!</v>
      </c>
      <c r="AI61" s="163" t="str">
        <f t="shared" si="30"/>
        <v>#DIV/0!</v>
      </c>
      <c r="AJ61" s="163" t="str">
        <f t="shared" si="30"/>
        <v>#DIV/0!</v>
      </c>
      <c r="AK61" s="163" t="str">
        <f t="shared" si="30"/>
        <v>#DIV/0!</v>
      </c>
      <c r="AL61" s="163" t="str">
        <f t="shared" si="30"/>
        <v>#DIV/0!</v>
      </c>
      <c r="AM61" s="163" t="str">
        <f t="shared" si="30"/>
        <v>#DIV/0!</v>
      </c>
      <c r="AN61" s="163" t="str">
        <f t="shared" si="30"/>
        <v>#DIV/0!</v>
      </c>
      <c r="AO61" s="163" t="str">
        <f t="shared" si="30"/>
        <v>#DIV/0!</v>
      </c>
      <c r="AP61" s="163" t="str">
        <f t="shared" si="30"/>
        <v>#DIV/0!</v>
      </c>
      <c r="AQ61" s="163" t="str">
        <f t="shared" si="30"/>
        <v>#DIV/0!</v>
      </c>
      <c r="AR61" s="163" t="str">
        <f t="shared" si="30"/>
        <v>#DIV/0!</v>
      </c>
      <c r="AS61" s="163" t="str">
        <f t="shared" si="30"/>
        <v>#DIV/0!</v>
      </c>
      <c r="AT61" s="163" t="str">
        <f t="shared" si="30"/>
        <v>#DIV/0!</v>
      </c>
      <c r="AU61" s="163" t="str">
        <f t="shared" si="30"/>
        <v>#DIV/0!</v>
      </c>
      <c r="AV61" s="163" t="str">
        <f t="shared" si="30"/>
        <v>#DIV/0!</v>
      </c>
      <c r="AW61" s="163" t="str">
        <f t="shared" si="30"/>
        <v>#DIV/0!</v>
      </c>
      <c r="AX61" s="163" t="str">
        <f t="shared" si="30"/>
        <v>#DIV/0!</v>
      </c>
      <c r="AY61" s="163" t="str">
        <f t="shared" si="30"/>
        <v>#DIV/0!</v>
      </c>
      <c r="AZ61" s="163" t="str">
        <f t="shared" si="30"/>
        <v>#DIV/0!</v>
      </c>
      <c r="BA61" s="163" t="str">
        <f t="shared" si="30"/>
        <v>#DIV/0!</v>
      </c>
      <c r="BB61" s="163" t="str">
        <f t="shared" si="30"/>
        <v>#DIV/0!</v>
      </c>
      <c r="BC61" s="163" t="str">
        <f t="shared" si="30"/>
        <v>#DIV/0!</v>
      </c>
      <c r="BD61" s="163" t="str">
        <f t="shared" si="30"/>
        <v>#DIV/0!</v>
      </c>
      <c r="BE61" s="163" t="str">
        <f t="shared" si="30"/>
        <v>#DIV/0!</v>
      </c>
      <c r="BF61" s="163" t="str">
        <f t="shared" si="30"/>
        <v>#DIV/0!</v>
      </c>
      <c r="BG61" s="163" t="str">
        <f t="shared" si="30"/>
        <v>#DIV/0!</v>
      </c>
      <c r="BH61" s="163" t="str">
        <f t="shared" si="30"/>
        <v>#DIV/0!</v>
      </c>
      <c r="BI61" s="163" t="str">
        <f t="shared" si="30"/>
        <v>#DIV/0!</v>
      </c>
      <c r="BJ61" s="163" t="str">
        <f t="shared" si="30"/>
        <v>#DIV/0!</v>
      </c>
      <c r="BK61" s="163" t="str">
        <f t="shared" si="30"/>
        <v>#DIV/0!</v>
      </c>
      <c r="BL61" s="163" t="str">
        <f t="shared" si="30"/>
        <v>#DIV/0!</v>
      </c>
      <c r="BM61" s="163" t="str">
        <f t="shared" si="30"/>
        <v>#DIV/0!</v>
      </c>
      <c r="BN61" s="163" t="str">
        <f t="shared" si="30"/>
        <v>#DIV/0!</v>
      </c>
      <c r="BO61" s="163" t="str">
        <f t="shared" si="30"/>
        <v>#DIV/0!</v>
      </c>
      <c r="BP61" s="163" t="str">
        <f t="shared" si="30"/>
        <v>#DIV/0!</v>
      </c>
      <c r="BQ61" s="163" t="str">
        <f t="shared" si="30"/>
        <v>#DIV/0!</v>
      </c>
      <c r="BR61" s="163" t="str">
        <f t="shared" si="30"/>
        <v>#DIV/0!</v>
      </c>
      <c r="BS61" s="163" t="str">
        <f t="shared" si="30"/>
        <v>#DIV/0!</v>
      </c>
      <c r="BT61" s="163" t="str">
        <f t="shared" si="30"/>
        <v>#DIV/0!</v>
      </c>
      <c r="BU61" s="163" t="str">
        <f t="shared" si="30"/>
        <v>#DIV/0!</v>
      </c>
      <c r="BV61" s="163" t="str">
        <f t="shared" si="30"/>
        <v>#DIV/0!</v>
      </c>
      <c r="BW61" s="163" t="str">
        <f t="shared" si="30"/>
        <v>#DIV/0!</v>
      </c>
      <c r="BX61" s="163" t="str">
        <f t="shared" si="30"/>
        <v>#DIV/0!</v>
      </c>
      <c r="BY61" s="163" t="str">
        <f t="shared" si="30"/>
        <v>#DIV/0!</v>
      </c>
      <c r="BZ61" s="163" t="str">
        <f t="shared" si="30"/>
        <v>#DIV/0!</v>
      </c>
      <c r="CA61" s="163" t="str">
        <f t="shared" si="30"/>
        <v>#DIV/0!</v>
      </c>
      <c r="CB61" s="163" t="str">
        <f t="shared" si="30"/>
        <v>#DIV/0!</v>
      </c>
      <c r="CC61" s="163" t="str">
        <f t="shared" si="30"/>
        <v>#DIV/0!</v>
      </c>
      <c r="CD61" s="163" t="str">
        <f t="shared" si="30"/>
        <v>#DIV/0!</v>
      </c>
      <c r="CE61" s="163" t="str">
        <f t="shared" si="30"/>
        <v>#DIV/0!</v>
      </c>
      <c r="CF61" s="163" t="str">
        <f t="shared" si="30"/>
        <v>#DIV/0!</v>
      </c>
      <c r="CG61" s="163" t="str">
        <f t="shared" si="30"/>
        <v>#DIV/0!</v>
      </c>
      <c r="CH61" s="163" t="str">
        <f t="shared" si="30"/>
        <v>#DIV/0!</v>
      </c>
      <c r="CI61" s="163" t="str">
        <f t="shared" si="30"/>
        <v>#DIV/0!</v>
      </c>
      <c r="CJ61" s="163" t="str">
        <f t="shared" si="30"/>
        <v>#DIV/0!</v>
      </c>
      <c r="CK61" s="163" t="str">
        <f t="shared" si="30"/>
        <v>#DIV/0!</v>
      </c>
      <c r="CL61" s="163" t="str">
        <f t="shared" si="30"/>
        <v>#DIV/0!</v>
      </c>
      <c r="CM61" s="163" t="str">
        <f t="shared" si="30"/>
        <v>#DIV/0!</v>
      </c>
      <c r="CN61" s="163" t="str">
        <f t="shared" si="30"/>
        <v>#DIV/0!</v>
      </c>
      <c r="CO61" s="163" t="str">
        <f t="shared" si="30"/>
        <v>#DIV/0!</v>
      </c>
      <c r="CP61" s="163" t="str">
        <f t="shared" si="30"/>
        <v>#DIV/0!</v>
      </c>
      <c r="CQ61" s="163" t="str">
        <f t="shared" si="30"/>
        <v>#DIV/0!</v>
      </c>
      <c r="CR61" s="163" t="str">
        <f t="shared" si="30"/>
        <v>#DIV/0!</v>
      </c>
      <c r="CS61" s="163" t="str">
        <f t="shared" si="30"/>
        <v>#DIV/0!</v>
      </c>
      <c r="CT61" s="163" t="str">
        <f t="shared" si="30"/>
        <v>#DIV/0!</v>
      </c>
      <c r="CU61" s="163" t="str">
        <f t="shared" si="30"/>
        <v>#DIV/0!</v>
      </c>
      <c r="CV61" s="163" t="str">
        <f t="shared" si="30"/>
        <v>#DIV/0!</v>
      </c>
      <c r="CW61" s="163" t="str">
        <f t="shared" si="30"/>
        <v>#DIV/0!</v>
      </c>
    </row>
    <row r="62" ht="15.75" customHeight="1">
      <c r="A62" s="1" t="s">
        <v>247</v>
      </c>
      <c r="B62" s="1"/>
      <c r="C62" s="1"/>
      <c r="D62" s="163" t="str">
        <f t="shared" ref="D62:CW62" si="31">D56/D$59</f>
        <v>#DIV/0!</v>
      </c>
      <c r="E62" s="163" t="str">
        <f t="shared" si="31"/>
        <v>#DIV/0!</v>
      </c>
      <c r="F62" s="163" t="str">
        <f t="shared" si="31"/>
        <v>#DIV/0!</v>
      </c>
      <c r="G62" s="163" t="str">
        <f t="shared" si="31"/>
        <v>#DIV/0!</v>
      </c>
      <c r="H62" s="163" t="str">
        <f t="shared" si="31"/>
        <v>#DIV/0!</v>
      </c>
      <c r="I62" s="163" t="str">
        <f t="shared" si="31"/>
        <v>#DIV/0!</v>
      </c>
      <c r="J62" s="163" t="str">
        <f t="shared" si="31"/>
        <v>#DIV/0!</v>
      </c>
      <c r="K62" s="163" t="str">
        <f t="shared" si="31"/>
        <v>#DIV/0!</v>
      </c>
      <c r="L62" s="163" t="str">
        <f t="shared" si="31"/>
        <v>#DIV/0!</v>
      </c>
      <c r="M62" s="163" t="str">
        <f t="shared" si="31"/>
        <v>#DIV/0!</v>
      </c>
      <c r="N62" s="163" t="str">
        <f t="shared" si="31"/>
        <v>#DIV/0!</v>
      </c>
      <c r="O62" s="163" t="str">
        <f t="shared" si="31"/>
        <v>#DIV/0!</v>
      </c>
      <c r="P62" s="163" t="str">
        <f t="shared" si="31"/>
        <v>#DIV/0!</v>
      </c>
      <c r="Q62" s="163" t="str">
        <f t="shared" si="31"/>
        <v>#DIV/0!</v>
      </c>
      <c r="R62" s="163" t="str">
        <f t="shared" si="31"/>
        <v>#DIV/0!</v>
      </c>
      <c r="S62" s="163" t="str">
        <f t="shared" si="31"/>
        <v>#DIV/0!</v>
      </c>
      <c r="T62" s="163" t="str">
        <f t="shared" si="31"/>
        <v>#DIV/0!</v>
      </c>
      <c r="U62" s="163" t="str">
        <f t="shared" si="31"/>
        <v>#DIV/0!</v>
      </c>
      <c r="V62" s="163" t="str">
        <f t="shared" si="31"/>
        <v>#DIV/0!</v>
      </c>
      <c r="W62" s="163" t="str">
        <f t="shared" si="31"/>
        <v>#DIV/0!</v>
      </c>
      <c r="X62" s="163" t="str">
        <f t="shared" si="31"/>
        <v>#DIV/0!</v>
      </c>
      <c r="Y62" s="163" t="str">
        <f t="shared" si="31"/>
        <v>#DIV/0!</v>
      </c>
      <c r="Z62" s="163" t="str">
        <f t="shared" si="31"/>
        <v>#DIV/0!</v>
      </c>
      <c r="AA62" s="163" t="str">
        <f t="shared" si="31"/>
        <v>#DIV/0!</v>
      </c>
      <c r="AB62" s="163" t="str">
        <f t="shared" si="31"/>
        <v>#DIV/0!</v>
      </c>
      <c r="AC62" s="163" t="str">
        <f t="shared" si="31"/>
        <v>#DIV/0!</v>
      </c>
      <c r="AD62" s="163" t="str">
        <f t="shared" si="31"/>
        <v>#DIV/0!</v>
      </c>
      <c r="AE62" s="163" t="str">
        <f t="shared" si="31"/>
        <v>#DIV/0!</v>
      </c>
      <c r="AF62" s="163" t="str">
        <f t="shared" si="31"/>
        <v>#DIV/0!</v>
      </c>
      <c r="AG62" s="163" t="str">
        <f t="shared" si="31"/>
        <v>#DIV/0!</v>
      </c>
      <c r="AH62" s="163" t="str">
        <f t="shared" si="31"/>
        <v>#DIV/0!</v>
      </c>
      <c r="AI62" s="163" t="str">
        <f t="shared" si="31"/>
        <v>#DIV/0!</v>
      </c>
      <c r="AJ62" s="163" t="str">
        <f t="shared" si="31"/>
        <v>#DIV/0!</v>
      </c>
      <c r="AK62" s="163" t="str">
        <f t="shared" si="31"/>
        <v>#DIV/0!</v>
      </c>
      <c r="AL62" s="163" t="str">
        <f t="shared" si="31"/>
        <v>#DIV/0!</v>
      </c>
      <c r="AM62" s="163" t="str">
        <f t="shared" si="31"/>
        <v>#DIV/0!</v>
      </c>
      <c r="AN62" s="163" t="str">
        <f t="shared" si="31"/>
        <v>#DIV/0!</v>
      </c>
      <c r="AO62" s="163" t="str">
        <f t="shared" si="31"/>
        <v>#DIV/0!</v>
      </c>
      <c r="AP62" s="163" t="str">
        <f t="shared" si="31"/>
        <v>#DIV/0!</v>
      </c>
      <c r="AQ62" s="163" t="str">
        <f t="shared" si="31"/>
        <v>#DIV/0!</v>
      </c>
      <c r="AR62" s="163" t="str">
        <f t="shared" si="31"/>
        <v>#DIV/0!</v>
      </c>
      <c r="AS62" s="163" t="str">
        <f t="shared" si="31"/>
        <v>#DIV/0!</v>
      </c>
      <c r="AT62" s="163" t="str">
        <f t="shared" si="31"/>
        <v>#DIV/0!</v>
      </c>
      <c r="AU62" s="163" t="str">
        <f t="shared" si="31"/>
        <v>#DIV/0!</v>
      </c>
      <c r="AV62" s="163" t="str">
        <f t="shared" si="31"/>
        <v>#DIV/0!</v>
      </c>
      <c r="AW62" s="163" t="str">
        <f t="shared" si="31"/>
        <v>#DIV/0!</v>
      </c>
      <c r="AX62" s="163" t="str">
        <f t="shared" si="31"/>
        <v>#DIV/0!</v>
      </c>
      <c r="AY62" s="163" t="str">
        <f t="shared" si="31"/>
        <v>#DIV/0!</v>
      </c>
      <c r="AZ62" s="163" t="str">
        <f t="shared" si="31"/>
        <v>#DIV/0!</v>
      </c>
      <c r="BA62" s="163" t="str">
        <f t="shared" si="31"/>
        <v>#DIV/0!</v>
      </c>
      <c r="BB62" s="163" t="str">
        <f t="shared" si="31"/>
        <v>#DIV/0!</v>
      </c>
      <c r="BC62" s="163" t="str">
        <f t="shared" si="31"/>
        <v>#DIV/0!</v>
      </c>
      <c r="BD62" s="163" t="str">
        <f t="shared" si="31"/>
        <v>#DIV/0!</v>
      </c>
      <c r="BE62" s="163" t="str">
        <f t="shared" si="31"/>
        <v>#DIV/0!</v>
      </c>
      <c r="BF62" s="163" t="str">
        <f t="shared" si="31"/>
        <v>#DIV/0!</v>
      </c>
      <c r="BG62" s="163" t="str">
        <f t="shared" si="31"/>
        <v>#DIV/0!</v>
      </c>
      <c r="BH62" s="163" t="str">
        <f t="shared" si="31"/>
        <v>#DIV/0!</v>
      </c>
      <c r="BI62" s="163" t="str">
        <f t="shared" si="31"/>
        <v>#DIV/0!</v>
      </c>
      <c r="BJ62" s="163" t="str">
        <f t="shared" si="31"/>
        <v>#DIV/0!</v>
      </c>
      <c r="BK62" s="163" t="str">
        <f t="shared" si="31"/>
        <v>#DIV/0!</v>
      </c>
      <c r="BL62" s="163" t="str">
        <f t="shared" si="31"/>
        <v>#DIV/0!</v>
      </c>
      <c r="BM62" s="163" t="str">
        <f t="shared" si="31"/>
        <v>#DIV/0!</v>
      </c>
      <c r="BN62" s="163" t="str">
        <f t="shared" si="31"/>
        <v>#DIV/0!</v>
      </c>
      <c r="BO62" s="163" t="str">
        <f t="shared" si="31"/>
        <v>#DIV/0!</v>
      </c>
      <c r="BP62" s="163" t="str">
        <f t="shared" si="31"/>
        <v>#DIV/0!</v>
      </c>
      <c r="BQ62" s="163" t="str">
        <f t="shared" si="31"/>
        <v>#DIV/0!</v>
      </c>
      <c r="BR62" s="163" t="str">
        <f t="shared" si="31"/>
        <v>#DIV/0!</v>
      </c>
      <c r="BS62" s="163" t="str">
        <f t="shared" si="31"/>
        <v>#DIV/0!</v>
      </c>
      <c r="BT62" s="163" t="str">
        <f t="shared" si="31"/>
        <v>#DIV/0!</v>
      </c>
      <c r="BU62" s="163" t="str">
        <f t="shared" si="31"/>
        <v>#DIV/0!</v>
      </c>
      <c r="BV62" s="163" t="str">
        <f t="shared" si="31"/>
        <v>#DIV/0!</v>
      </c>
      <c r="BW62" s="163" t="str">
        <f t="shared" si="31"/>
        <v>#DIV/0!</v>
      </c>
      <c r="BX62" s="163" t="str">
        <f t="shared" si="31"/>
        <v>#DIV/0!</v>
      </c>
      <c r="BY62" s="163" t="str">
        <f t="shared" si="31"/>
        <v>#DIV/0!</v>
      </c>
      <c r="BZ62" s="163" t="str">
        <f t="shared" si="31"/>
        <v>#DIV/0!</v>
      </c>
      <c r="CA62" s="163" t="str">
        <f t="shared" si="31"/>
        <v>#DIV/0!</v>
      </c>
      <c r="CB62" s="163" t="str">
        <f t="shared" si="31"/>
        <v>#DIV/0!</v>
      </c>
      <c r="CC62" s="163" t="str">
        <f t="shared" si="31"/>
        <v>#DIV/0!</v>
      </c>
      <c r="CD62" s="163" t="str">
        <f t="shared" si="31"/>
        <v>#DIV/0!</v>
      </c>
      <c r="CE62" s="163" t="str">
        <f t="shared" si="31"/>
        <v>#DIV/0!</v>
      </c>
      <c r="CF62" s="163" t="str">
        <f t="shared" si="31"/>
        <v>#DIV/0!</v>
      </c>
      <c r="CG62" s="163" t="str">
        <f t="shared" si="31"/>
        <v>#DIV/0!</v>
      </c>
      <c r="CH62" s="163" t="str">
        <f t="shared" si="31"/>
        <v>#DIV/0!</v>
      </c>
      <c r="CI62" s="163" t="str">
        <f t="shared" si="31"/>
        <v>#DIV/0!</v>
      </c>
      <c r="CJ62" s="163" t="str">
        <f t="shared" si="31"/>
        <v>#DIV/0!</v>
      </c>
      <c r="CK62" s="163" t="str">
        <f t="shared" si="31"/>
        <v>#DIV/0!</v>
      </c>
      <c r="CL62" s="163" t="str">
        <f t="shared" si="31"/>
        <v>#DIV/0!</v>
      </c>
      <c r="CM62" s="163" t="str">
        <f t="shared" si="31"/>
        <v>#DIV/0!</v>
      </c>
      <c r="CN62" s="163" t="str">
        <f t="shared" si="31"/>
        <v>#DIV/0!</v>
      </c>
      <c r="CO62" s="163" t="str">
        <f t="shared" si="31"/>
        <v>#DIV/0!</v>
      </c>
      <c r="CP62" s="163" t="str">
        <f t="shared" si="31"/>
        <v>#DIV/0!</v>
      </c>
      <c r="CQ62" s="163" t="str">
        <f t="shared" si="31"/>
        <v>#DIV/0!</v>
      </c>
      <c r="CR62" s="163" t="str">
        <f t="shared" si="31"/>
        <v>#DIV/0!</v>
      </c>
      <c r="CS62" s="163" t="str">
        <f t="shared" si="31"/>
        <v>#DIV/0!</v>
      </c>
      <c r="CT62" s="163" t="str">
        <f t="shared" si="31"/>
        <v>#DIV/0!</v>
      </c>
      <c r="CU62" s="163" t="str">
        <f t="shared" si="31"/>
        <v>#DIV/0!</v>
      </c>
      <c r="CV62" s="163" t="str">
        <f t="shared" si="31"/>
        <v>#DIV/0!</v>
      </c>
      <c r="CW62" s="163" t="str">
        <f t="shared" si="31"/>
        <v>#DIV/0!</v>
      </c>
    </row>
    <row r="63" ht="15.75" customHeight="1">
      <c r="A63" s="1" t="s">
        <v>248</v>
      </c>
      <c r="B63" s="1"/>
      <c r="C63" s="1"/>
      <c r="D63" s="163" t="str">
        <f t="shared" ref="D63:CW63" si="32">D57/D$59</f>
        <v>#DIV/0!</v>
      </c>
      <c r="E63" s="163" t="str">
        <f t="shared" si="32"/>
        <v>#DIV/0!</v>
      </c>
      <c r="F63" s="163" t="str">
        <f t="shared" si="32"/>
        <v>#DIV/0!</v>
      </c>
      <c r="G63" s="163" t="str">
        <f t="shared" si="32"/>
        <v>#DIV/0!</v>
      </c>
      <c r="H63" s="163" t="str">
        <f t="shared" si="32"/>
        <v>#DIV/0!</v>
      </c>
      <c r="I63" s="163" t="str">
        <f t="shared" si="32"/>
        <v>#DIV/0!</v>
      </c>
      <c r="J63" s="163" t="str">
        <f t="shared" si="32"/>
        <v>#DIV/0!</v>
      </c>
      <c r="K63" s="163" t="str">
        <f t="shared" si="32"/>
        <v>#DIV/0!</v>
      </c>
      <c r="L63" s="163" t="str">
        <f t="shared" si="32"/>
        <v>#DIV/0!</v>
      </c>
      <c r="M63" s="163" t="str">
        <f t="shared" si="32"/>
        <v>#DIV/0!</v>
      </c>
      <c r="N63" s="163" t="str">
        <f t="shared" si="32"/>
        <v>#DIV/0!</v>
      </c>
      <c r="O63" s="163" t="str">
        <f t="shared" si="32"/>
        <v>#DIV/0!</v>
      </c>
      <c r="P63" s="163" t="str">
        <f t="shared" si="32"/>
        <v>#DIV/0!</v>
      </c>
      <c r="Q63" s="163" t="str">
        <f t="shared" si="32"/>
        <v>#DIV/0!</v>
      </c>
      <c r="R63" s="163" t="str">
        <f t="shared" si="32"/>
        <v>#DIV/0!</v>
      </c>
      <c r="S63" s="163" t="str">
        <f t="shared" si="32"/>
        <v>#DIV/0!</v>
      </c>
      <c r="T63" s="163" t="str">
        <f t="shared" si="32"/>
        <v>#DIV/0!</v>
      </c>
      <c r="U63" s="163" t="str">
        <f t="shared" si="32"/>
        <v>#DIV/0!</v>
      </c>
      <c r="V63" s="163" t="str">
        <f t="shared" si="32"/>
        <v>#DIV/0!</v>
      </c>
      <c r="W63" s="163" t="str">
        <f t="shared" si="32"/>
        <v>#DIV/0!</v>
      </c>
      <c r="X63" s="163" t="str">
        <f t="shared" si="32"/>
        <v>#DIV/0!</v>
      </c>
      <c r="Y63" s="163" t="str">
        <f t="shared" si="32"/>
        <v>#DIV/0!</v>
      </c>
      <c r="Z63" s="163" t="str">
        <f t="shared" si="32"/>
        <v>#DIV/0!</v>
      </c>
      <c r="AA63" s="163" t="str">
        <f t="shared" si="32"/>
        <v>#DIV/0!</v>
      </c>
      <c r="AB63" s="163" t="str">
        <f t="shared" si="32"/>
        <v>#DIV/0!</v>
      </c>
      <c r="AC63" s="163" t="str">
        <f t="shared" si="32"/>
        <v>#DIV/0!</v>
      </c>
      <c r="AD63" s="163" t="str">
        <f t="shared" si="32"/>
        <v>#DIV/0!</v>
      </c>
      <c r="AE63" s="163" t="str">
        <f t="shared" si="32"/>
        <v>#DIV/0!</v>
      </c>
      <c r="AF63" s="163" t="str">
        <f t="shared" si="32"/>
        <v>#DIV/0!</v>
      </c>
      <c r="AG63" s="163" t="str">
        <f t="shared" si="32"/>
        <v>#DIV/0!</v>
      </c>
      <c r="AH63" s="163" t="str">
        <f t="shared" si="32"/>
        <v>#DIV/0!</v>
      </c>
      <c r="AI63" s="163" t="str">
        <f t="shared" si="32"/>
        <v>#DIV/0!</v>
      </c>
      <c r="AJ63" s="163" t="str">
        <f t="shared" si="32"/>
        <v>#DIV/0!</v>
      </c>
      <c r="AK63" s="163" t="str">
        <f t="shared" si="32"/>
        <v>#DIV/0!</v>
      </c>
      <c r="AL63" s="163" t="str">
        <f t="shared" si="32"/>
        <v>#DIV/0!</v>
      </c>
      <c r="AM63" s="163" t="str">
        <f t="shared" si="32"/>
        <v>#DIV/0!</v>
      </c>
      <c r="AN63" s="163" t="str">
        <f t="shared" si="32"/>
        <v>#DIV/0!</v>
      </c>
      <c r="AO63" s="163" t="str">
        <f t="shared" si="32"/>
        <v>#DIV/0!</v>
      </c>
      <c r="AP63" s="163" t="str">
        <f t="shared" si="32"/>
        <v>#DIV/0!</v>
      </c>
      <c r="AQ63" s="163" t="str">
        <f t="shared" si="32"/>
        <v>#DIV/0!</v>
      </c>
      <c r="AR63" s="163" t="str">
        <f t="shared" si="32"/>
        <v>#DIV/0!</v>
      </c>
      <c r="AS63" s="163" t="str">
        <f t="shared" si="32"/>
        <v>#DIV/0!</v>
      </c>
      <c r="AT63" s="163" t="str">
        <f t="shared" si="32"/>
        <v>#DIV/0!</v>
      </c>
      <c r="AU63" s="163" t="str">
        <f t="shared" si="32"/>
        <v>#DIV/0!</v>
      </c>
      <c r="AV63" s="163" t="str">
        <f t="shared" si="32"/>
        <v>#DIV/0!</v>
      </c>
      <c r="AW63" s="163" t="str">
        <f t="shared" si="32"/>
        <v>#DIV/0!</v>
      </c>
      <c r="AX63" s="163" t="str">
        <f t="shared" si="32"/>
        <v>#DIV/0!</v>
      </c>
      <c r="AY63" s="163" t="str">
        <f t="shared" si="32"/>
        <v>#DIV/0!</v>
      </c>
      <c r="AZ63" s="163" t="str">
        <f t="shared" si="32"/>
        <v>#DIV/0!</v>
      </c>
      <c r="BA63" s="163" t="str">
        <f t="shared" si="32"/>
        <v>#DIV/0!</v>
      </c>
      <c r="BB63" s="163" t="str">
        <f t="shared" si="32"/>
        <v>#DIV/0!</v>
      </c>
      <c r="BC63" s="163" t="str">
        <f t="shared" si="32"/>
        <v>#DIV/0!</v>
      </c>
      <c r="BD63" s="163" t="str">
        <f t="shared" si="32"/>
        <v>#DIV/0!</v>
      </c>
      <c r="BE63" s="163" t="str">
        <f t="shared" si="32"/>
        <v>#DIV/0!</v>
      </c>
      <c r="BF63" s="163" t="str">
        <f t="shared" si="32"/>
        <v>#DIV/0!</v>
      </c>
      <c r="BG63" s="163" t="str">
        <f t="shared" si="32"/>
        <v>#DIV/0!</v>
      </c>
      <c r="BH63" s="163" t="str">
        <f t="shared" si="32"/>
        <v>#DIV/0!</v>
      </c>
      <c r="BI63" s="163" t="str">
        <f t="shared" si="32"/>
        <v>#DIV/0!</v>
      </c>
      <c r="BJ63" s="163" t="str">
        <f t="shared" si="32"/>
        <v>#DIV/0!</v>
      </c>
      <c r="BK63" s="163" t="str">
        <f t="shared" si="32"/>
        <v>#DIV/0!</v>
      </c>
      <c r="BL63" s="163" t="str">
        <f t="shared" si="32"/>
        <v>#DIV/0!</v>
      </c>
      <c r="BM63" s="163" t="str">
        <f t="shared" si="32"/>
        <v>#DIV/0!</v>
      </c>
      <c r="BN63" s="163" t="str">
        <f t="shared" si="32"/>
        <v>#DIV/0!</v>
      </c>
      <c r="BO63" s="163" t="str">
        <f t="shared" si="32"/>
        <v>#DIV/0!</v>
      </c>
      <c r="BP63" s="163" t="str">
        <f t="shared" si="32"/>
        <v>#DIV/0!</v>
      </c>
      <c r="BQ63" s="163" t="str">
        <f t="shared" si="32"/>
        <v>#DIV/0!</v>
      </c>
      <c r="BR63" s="163" t="str">
        <f t="shared" si="32"/>
        <v>#DIV/0!</v>
      </c>
      <c r="BS63" s="163" t="str">
        <f t="shared" si="32"/>
        <v>#DIV/0!</v>
      </c>
      <c r="BT63" s="163" t="str">
        <f t="shared" si="32"/>
        <v>#DIV/0!</v>
      </c>
      <c r="BU63" s="163" t="str">
        <f t="shared" si="32"/>
        <v>#DIV/0!</v>
      </c>
      <c r="BV63" s="163" t="str">
        <f t="shared" si="32"/>
        <v>#DIV/0!</v>
      </c>
      <c r="BW63" s="163" t="str">
        <f t="shared" si="32"/>
        <v>#DIV/0!</v>
      </c>
      <c r="BX63" s="163" t="str">
        <f t="shared" si="32"/>
        <v>#DIV/0!</v>
      </c>
      <c r="BY63" s="163" t="str">
        <f t="shared" si="32"/>
        <v>#DIV/0!</v>
      </c>
      <c r="BZ63" s="163" t="str">
        <f t="shared" si="32"/>
        <v>#DIV/0!</v>
      </c>
      <c r="CA63" s="163" t="str">
        <f t="shared" si="32"/>
        <v>#DIV/0!</v>
      </c>
      <c r="CB63" s="163" t="str">
        <f t="shared" si="32"/>
        <v>#DIV/0!</v>
      </c>
      <c r="CC63" s="163" t="str">
        <f t="shared" si="32"/>
        <v>#DIV/0!</v>
      </c>
      <c r="CD63" s="163" t="str">
        <f t="shared" si="32"/>
        <v>#DIV/0!</v>
      </c>
      <c r="CE63" s="163" t="str">
        <f t="shared" si="32"/>
        <v>#DIV/0!</v>
      </c>
      <c r="CF63" s="163" t="str">
        <f t="shared" si="32"/>
        <v>#DIV/0!</v>
      </c>
      <c r="CG63" s="163" t="str">
        <f t="shared" si="32"/>
        <v>#DIV/0!</v>
      </c>
      <c r="CH63" s="163" t="str">
        <f t="shared" si="32"/>
        <v>#DIV/0!</v>
      </c>
      <c r="CI63" s="163" t="str">
        <f t="shared" si="32"/>
        <v>#DIV/0!</v>
      </c>
      <c r="CJ63" s="163" t="str">
        <f t="shared" si="32"/>
        <v>#DIV/0!</v>
      </c>
      <c r="CK63" s="163" t="str">
        <f t="shared" si="32"/>
        <v>#DIV/0!</v>
      </c>
      <c r="CL63" s="163" t="str">
        <f t="shared" si="32"/>
        <v>#DIV/0!</v>
      </c>
      <c r="CM63" s="163" t="str">
        <f t="shared" si="32"/>
        <v>#DIV/0!</v>
      </c>
      <c r="CN63" s="163" t="str">
        <f t="shared" si="32"/>
        <v>#DIV/0!</v>
      </c>
      <c r="CO63" s="163" t="str">
        <f t="shared" si="32"/>
        <v>#DIV/0!</v>
      </c>
      <c r="CP63" s="163" t="str">
        <f t="shared" si="32"/>
        <v>#DIV/0!</v>
      </c>
      <c r="CQ63" s="163" t="str">
        <f t="shared" si="32"/>
        <v>#DIV/0!</v>
      </c>
      <c r="CR63" s="163" t="str">
        <f t="shared" si="32"/>
        <v>#DIV/0!</v>
      </c>
      <c r="CS63" s="163" t="str">
        <f t="shared" si="32"/>
        <v>#DIV/0!</v>
      </c>
      <c r="CT63" s="163" t="str">
        <f t="shared" si="32"/>
        <v>#DIV/0!</v>
      </c>
      <c r="CU63" s="163" t="str">
        <f t="shared" si="32"/>
        <v>#DIV/0!</v>
      </c>
      <c r="CV63" s="163" t="str">
        <f t="shared" si="32"/>
        <v>#DIV/0!</v>
      </c>
      <c r="CW63" s="163" t="str">
        <f t="shared" si="32"/>
        <v>#DIV/0!</v>
      </c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</sheetData>
  <conditionalFormatting sqref="D18:CW18 D41:CV41 D60:CW60">
    <cfRule type="cellIs" dxfId="0" priority="1" operator="lessThanOrEqual">
      <formula>1</formula>
    </cfRule>
  </conditionalFormatting>
  <conditionalFormatting sqref="D18:CW18 D41:CV41 D60:CW60">
    <cfRule type="cellIs" dxfId="1" priority="2" operator="between">
      <formula>1</formula>
      <formula>2</formula>
    </cfRule>
  </conditionalFormatting>
  <conditionalFormatting sqref="D18:CW18 D41:CV41 D60:CW60">
    <cfRule type="cellIs" dxfId="2" priority="3" operator="greaterThanOrEqual">
      <formula>2</formula>
    </cfRule>
  </conditionalFormatting>
  <printOptions horizontalCentered="1"/>
  <pageMargins bottom="0.27238067787283665" footer="0.0" header="0.0" left="0.7" right="0.7" top="0.75"/>
  <pageSetup fitToHeight="0"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 outlineLevelRow="1"/>
  <cols>
    <col customWidth="1" min="1" max="1" width="40.75"/>
    <col customWidth="1" min="2" max="2" width="5.0"/>
    <col customWidth="1" min="3" max="6" width="12.63"/>
  </cols>
  <sheetData>
    <row r="1" ht="46.5" customHeight="1">
      <c r="A1" s="119" t="str">
        <f>Settings!B4</f>
        <v>Healthy4U</v>
      </c>
      <c r="B1" s="168"/>
      <c r="C1" s="169"/>
      <c r="D1" s="170"/>
      <c r="E1" s="170"/>
      <c r="F1" s="169"/>
      <c r="G1" s="170"/>
      <c r="H1" s="170"/>
      <c r="I1" s="170"/>
      <c r="J1" s="170"/>
      <c r="K1" s="170"/>
      <c r="L1" s="170"/>
      <c r="M1" s="171"/>
      <c r="N1" s="170"/>
      <c r="O1" s="170"/>
      <c r="P1" s="170"/>
      <c r="Q1" s="170"/>
      <c r="R1" s="170"/>
      <c r="S1" s="170"/>
      <c r="T1" s="170"/>
      <c r="U1" s="170"/>
      <c r="V1" s="169"/>
      <c r="W1" s="169"/>
      <c r="X1" s="169"/>
      <c r="Y1" s="169"/>
      <c r="Z1" s="169"/>
      <c r="AA1" s="169"/>
      <c r="AB1" s="169"/>
      <c r="AC1" s="169"/>
      <c r="AD1" s="169"/>
      <c r="AE1" s="170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</row>
    <row r="2" ht="29.25" customHeight="1">
      <c r="A2" s="123" t="s">
        <v>204</v>
      </c>
      <c r="B2" s="124"/>
      <c r="C2" s="125">
        <f>EDATE(D2,-1)</f>
        <v>45108</v>
      </c>
      <c r="D2" s="126">
        <f>Projections!$B$4</f>
        <v>45139</v>
      </c>
      <c r="E2" s="126">
        <f t="shared" ref="E2:CW2" si="1">EDATE(D2,1)</f>
        <v>45170</v>
      </c>
      <c r="F2" s="126">
        <f t="shared" si="1"/>
        <v>45200</v>
      </c>
      <c r="G2" s="126">
        <f t="shared" si="1"/>
        <v>45231</v>
      </c>
      <c r="H2" s="126">
        <f t="shared" si="1"/>
        <v>45261</v>
      </c>
      <c r="I2" s="126">
        <f t="shared" si="1"/>
        <v>45292</v>
      </c>
      <c r="J2" s="126">
        <f t="shared" si="1"/>
        <v>45323</v>
      </c>
      <c r="K2" s="126">
        <f t="shared" si="1"/>
        <v>45352</v>
      </c>
      <c r="L2" s="126">
        <f t="shared" si="1"/>
        <v>45383</v>
      </c>
      <c r="M2" s="126">
        <f t="shared" si="1"/>
        <v>45413</v>
      </c>
      <c r="N2" s="126">
        <f t="shared" si="1"/>
        <v>45444</v>
      </c>
      <c r="O2" s="126">
        <f t="shared" si="1"/>
        <v>45474</v>
      </c>
      <c r="P2" s="126">
        <f t="shared" si="1"/>
        <v>45505</v>
      </c>
      <c r="Q2" s="126">
        <f t="shared" si="1"/>
        <v>45536</v>
      </c>
      <c r="R2" s="126">
        <f t="shared" si="1"/>
        <v>45566</v>
      </c>
      <c r="S2" s="126">
        <f t="shared" si="1"/>
        <v>45597</v>
      </c>
      <c r="T2" s="126">
        <f t="shared" si="1"/>
        <v>45627</v>
      </c>
      <c r="U2" s="126">
        <f t="shared" si="1"/>
        <v>45658</v>
      </c>
      <c r="V2" s="126">
        <f t="shared" si="1"/>
        <v>45689</v>
      </c>
      <c r="W2" s="126">
        <f t="shared" si="1"/>
        <v>45717</v>
      </c>
      <c r="X2" s="126">
        <f t="shared" si="1"/>
        <v>45748</v>
      </c>
      <c r="Y2" s="126">
        <f t="shared" si="1"/>
        <v>45778</v>
      </c>
      <c r="Z2" s="126">
        <f t="shared" si="1"/>
        <v>45809</v>
      </c>
      <c r="AA2" s="126">
        <f t="shared" si="1"/>
        <v>45839</v>
      </c>
      <c r="AB2" s="126">
        <f t="shared" si="1"/>
        <v>45870</v>
      </c>
      <c r="AC2" s="126">
        <f t="shared" si="1"/>
        <v>45901</v>
      </c>
      <c r="AD2" s="126">
        <f t="shared" si="1"/>
        <v>45931</v>
      </c>
      <c r="AE2" s="126">
        <f t="shared" si="1"/>
        <v>45962</v>
      </c>
      <c r="AF2" s="126">
        <f t="shared" si="1"/>
        <v>45992</v>
      </c>
      <c r="AG2" s="126">
        <f t="shared" si="1"/>
        <v>46023</v>
      </c>
      <c r="AH2" s="126">
        <f t="shared" si="1"/>
        <v>46054</v>
      </c>
      <c r="AI2" s="126">
        <f t="shared" si="1"/>
        <v>46082</v>
      </c>
      <c r="AJ2" s="126">
        <f t="shared" si="1"/>
        <v>46113</v>
      </c>
      <c r="AK2" s="126">
        <f t="shared" si="1"/>
        <v>46143</v>
      </c>
      <c r="AL2" s="126">
        <f t="shared" si="1"/>
        <v>46174</v>
      </c>
      <c r="AM2" s="126">
        <f t="shared" si="1"/>
        <v>46204</v>
      </c>
      <c r="AN2" s="126">
        <f t="shared" si="1"/>
        <v>46235</v>
      </c>
      <c r="AO2" s="126">
        <f t="shared" si="1"/>
        <v>46266</v>
      </c>
      <c r="AP2" s="126">
        <f t="shared" si="1"/>
        <v>46296</v>
      </c>
      <c r="AQ2" s="126">
        <f t="shared" si="1"/>
        <v>46327</v>
      </c>
      <c r="AR2" s="126">
        <f t="shared" si="1"/>
        <v>46357</v>
      </c>
      <c r="AS2" s="126">
        <f t="shared" si="1"/>
        <v>46388</v>
      </c>
      <c r="AT2" s="126">
        <f t="shared" si="1"/>
        <v>46419</v>
      </c>
      <c r="AU2" s="126">
        <f t="shared" si="1"/>
        <v>46447</v>
      </c>
      <c r="AV2" s="126">
        <f t="shared" si="1"/>
        <v>46478</v>
      </c>
      <c r="AW2" s="126">
        <f t="shared" si="1"/>
        <v>46508</v>
      </c>
      <c r="AX2" s="126">
        <f t="shared" si="1"/>
        <v>46539</v>
      </c>
      <c r="AY2" s="126">
        <f t="shared" si="1"/>
        <v>46569</v>
      </c>
      <c r="AZ2" s="126">
        <f t="shared" si="1"/>
        <v>46600</v>
      </c>
      <c r="BA2" s="126">
        <f t="shared" si="1"/>
        <v>46631</v>
      </c>
      <c r="BB2" s="126">
        <f t="shared" si="1"/>
        <v>46661</v>
      </c>
      <c r="BC2" s="126">
        <f t="shared" si="1"/>
        <v>46692</v>
      </c>
      <c r="BD2" s="126">
        <f t="shared" si="1"/>
        <v>46722</v>
      </c>
      <c r="BE2" s="126">
        <f t="shared" si="1"/>
        <v>46753</v>
      </c>
      <c r="BF2" s="126">
        <f t="shared" si="1"/>
        <v>46784</v>
      </c>
      <c r="BG2" s="126">
        <f t="shared" si="1"/>
        <v>46813</v>
      </c>
      <c r="BH2" s="126">
        <f t="shared" si="1"/>
        <v>46844</v>
      </c>
      <c r="BI2" s="126">
        <f t="shared" si="1"/>
        <v>46874</v>
      </c>
      <c r="BJ2" s="126">
        <f t="shared" si="1"/>
        <v>46905</v>
      </c>
      <c r="BK2" s="126">
        <f t="shared" si="1"/>
        <v>46935</v>
      </c>
      <c r="BL2" s="126">
        <f t="shared" si="1"/>
        <v>46966</v>
      </c>
      <c r="BM2" s="126">
        <f t="shared" si="1"/>
        <v>46997</v>
      </c>
      <c r="BN2" s="126">
        <f t="shared" si="1"/>
        <v>47027</v>
      </c>
      <c r="BO2" s="126">
        <f t="shared" si="1"/>
        <v>47058</v>
      </c>
      <c r="BP2" s="126">
        <f t="shared" si="1"/>
        <v>47088</v>
      </c>
      <c r="BQ2" s="126">
        <f t="shared" si="1"/>
        <v>47119</v>
      </c>
      <c r="BR2" s="126">
        <f t="shared" si="1"/>
        <v>47150</v>
      </c>
      <c r="BS2" s="126">
        <f t="shared" si="1"/>
        <v>47178</v>
      </c>
      <c r="BT2" s="126">
        <f t="shared" si="1"/>
        <v>47209</v>
      </c>
      <c r="BU2" s="126">
        <f t="shared" si="1"/>
        <v>47239</v>
      </c>
      <c r="BV2" s="126">
        <f t="shared" si="1"/>
        <v>47270</v>
      </c>
      <c r="BW2" s="126">
        <f t="shared" si="1"/>
        <v>47300</v>
      </c>
      <c r="BX2" s="126">
        <f t="shared" si="1"/>
        <v>47331</v>
      </c>
      <c r="BY2" s="126">
        <f t="shared" si="1"/>
        <v>47362</v>
      </c>
      <c r="BZ2" s="126">
        <f t="shared" si="1"/>
        <v>47392</v>
      </c>
      <c r="CA2" s="126">
        <f t="shared" si="1"/>
        <v>47423</v>
      </c>
      <c r="CB2" s="126">
        <f t="shared" si="1"/>
        <v>47453</v>
      </c>
      <c r="CC2" s="126">
        <f t="shared" si="1"/>
        <v>47484</v>
      </c>
      <c r="CD2" s="126">
        <f t="shared" si="1"/>
        <v>47515</v>
      </c>
      <c r="CE2" s="126">
        <f t="shared" si="1"/>
        <v>47543</v>
      </c>
      <c r="CF2" s="126">
        <f t="shared" si="1"/>
        <v>47574</v>
      </c>
      <c r="CG2" s="126">
        <f t="shared" si="1"/>
        <v>47604</v>
      </c>
      <c r="CH2" s="126">
        <f t="shared" si="1"/>
        <v>47635</v>
      </c>
      <c r="CI2" s="126">
        <f t="shared" si="1"/>
        <v>47665</v>
      </c>
      <c r="CJ2" s="126">
        <f t="shared" si="1"/>
        <v>47696</v>
      </c>
      <c r="CK2" s="126">
        <f t="shared" si="1"/>
        <v>47727</v>
      </c>
      <c r="CL2" s="126">
        <f t="shared" si="1"/>
        <v>47757</v>
      </c>
      <c r="CM2" s="126">
        <f t="shared" si="1"/>
        <v>47788</v>
      </c>
      <c r="CN2" s="126">
        <f t="shared" si="1"/>
        <v>47818</v>
      </c>
      <c r="CO2" s="126">
        <f t="shared" si="1"/>
        <v>47849</v>
      </c>
      <c r="CP2" s="126">
        <f t="shared" si="1"/>
        <v>47880</v>
      </c>
      <c r="CQ2" s="126">
        <f t="shared" si="1"/>
        <v>47908</v>
      </c>
      <c r="CR2" s="126">
        <f t="shared" si="1"/>
        <v>47939</v>
      </c>
      <c r="CS2" s="126">
        <f t="shared" si="1"/>
        <v>47969</v>
      </c>
      <c r="CT2" s="126">
        <f t="shared" si="1"/>
        <v>48000</v>
      </c>
      <c r="CU2" s="126">
        <f t="shared" si="1"/>
        <v>48030</v>
      </c>
      <c r="CV2" s="126">
        <f t="shared" si="1"/>
        <v>48061</v>
      </c>
      <c r="CW2" s="126">
        <f t="shared" si="1"/>
        <v>48092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ht="23.25" customHeight="1">
      <c r="A4" s="29" t="s">
        <v>253</v>
      </c>
      <c r="B4" s="30"/>
      <c r="C4" s="128"/>
      <c r="D4" s="30"/>
      <c r="E4" s="30"/>
      <c r="F4" s="30"/>
      <c r="G4" s="30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29"/>
      <c r="AC4" s="30"/>
      <c r="AD4" s="30"/>
      <c r="AE4" s="30"/>
      <c r="AF4" s="30"/>
      <c r="AG4" s="30"/>
      <c r="AH4" s="29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29"/>
      <c r="BC4" s="30"/>
      <c r="BD4" s="30"/>
      <c r="BE4" s="30"/>
      <c r="BF4" s="30"/>
      <c r="BG4" s="30"/>
      <c r="BH4" s="29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ht="15.75" customHeight="1">
      <c r="A6" s="146" t="s">
        <v>125</v>
      </c>
      <c r="B6" s="149"/>
      <c r="C6" s="147" t="str">
        <f>C7</f>
        <v/>
      </c>
      <c r="D6" s="147">
        <f t="shared" ref="D6:CW6" si="2">SUM(D7:D9)</f>
        <v>2204.5</v>
      </c>
      <c r="E6" s="147">
        <f t="shared" si="2"/>
        <v>4179.415789</v>
      </c>
      <c r="F6" s="147">
        <f t="shared" si="2"/>
        <v>5964.331292</v>
      </c>
      <c r="G6" s="147">
        <f t="shared" si="2"/>
        <v>7793.152675</v>
      </c>
      <c r="H6" s="147">
        <f t="shared" si="2"/>
        <v>9464.973259</v>
      </c>
      <c r="I6" s="147">
        <f t="shared" si="2"/>
        <v>11009.30935</v>
      </c>
      <c r="J6" s="147">
        <f t="shared" si="2"/>
        <v>12651.55139</v>
      </c>
      <c r="K6" s="147">
        <f t="shared" si="2"/>
        <v>14183.59822</v>
      </c>
      <c r="L6" s="147">
        <f t="shared" si="2"/>
        <v>15625.24166</v>
      </c>
      <c r="M6" s="147">
        <f t="shared" si="2"/>
        <v>17161.44773</v>
      </c>
      <c r="N6" s="147">
        <f t="shared" si="2"/>
        <v>18583.57251</v>
      </c>
      <c r="O6" s="147">
        <f t="shared" si="2"/>
        <v>19914.54567</v>
      </c>
      <c r="P6" s="147">
        <f t="shared" si="2"/>
        <v>21374.14831</v>
      </c>
      <c r="Q6" s="147">
        <f t="shared" si="2"/>
        <v>22749.49978</v>
      </c>
      <c r="R6" s="147">
        <f t="shared" si="2"/>
        <v>24059.97221</v>
      </c>
      <c r="S6" s="147">
        <f t="shared" si="2"/>
        <v>25522.36865</v>
      </c>
      <c r="T6" s="147">
        <f t="shared" si="2"/>
        <v>26921.32523</v>
      </c>
      <c r="U6" s="147">
        <f t="shared" si="2"/>
        <v>28274.15392</v>
      </c>
      <c r="V6" s="147">
        <f t="shared" si="2"/>
        <v>29795.95969</v>
      </c>
      <c r="W6" s="147">
        <f t="shared" si="2"/>
        <v>31269.99103</v>
      </c>
      <c r="X6" s="147">
        <f t="shared" si="2"/>
        <v>32712.43893</v>
      </c>
      <c r="Y6" s="147">
        <f t="shared" si="2"/>
        <v>34337.51698</v>
      </c>
      <c r="Z6" s="147">
        <f t="shared" si="2"/>
        <v>35927.78051</v>
      </c>
      <c r="AA6" s="147">
        <f t="shared" si="2"/>
        <v>37498.89907</v>
      </c>
      <c r="AB6" s="147">
        <f t="shared" si="2"/>
        <v>39264.71412</v>
      </c>
      <c r="AC6" s="147">
        <f t="shared" si="2"/>
        <v>41007.53942</v>
      </c>
      <c r="AD6" s="147">
        <f t="shared" si="2"/>
        <v>42742.91754</v>
      </c>
      <c r="AE6" s="147">
        <f t="shared" si="2"/>
        <v>44684.66439</v>
      </c>
      <c r="AF6" s="147">
        <f t="shared" si="2"/>
        <v>46615.15844</v>
      </c>
      <c r="AG6" s="147">
        <f t="shared" si="2"/>
        <v>48550.08807</v>
      </c>
      <c r="AH6" s="147">
        <f t="shared" si="2"/>
        <v>50503.48842</v>
      </c>
      <c r="AI6" s="147">
        <f t="shared" si="2"/>
        <v>52488.0244</v>
      </c>
      <c r="AJ6" s="147">
        <f t="shared" si="2"/>
        <v>54515.23294</v>
      </c>
      <c r="AK6" s="147">
        <f t="shared" si="2"/>
        <v>56595.73081</v>
      </c>
      <c r="AL6" s="147">
        <f t="shared" si="2"/>
        <v>58739.39314</v>
      </c>
      <c r="AM6" s="147">
        <f t="shared" si="2"/>
        <v>60955.50722</v>
      </c>
      <c r="AN6" s="147">
        <f t="shared" si="2"/>
        <v>63252.90534</v>
      </c>
      <c r="AO6" s="147">
        <f t="shared" si="2"/>
        <v>65640.07996</v>
      </c>
      <c r="AP6" s="147">
        <f t="shared" si="2"/>
        <v>68125.2839</v>
      </c>
      <c r="AQ6" s="147">
        <f t="shared" si="2"/>
        <v>70716.61804</v>
      </c>
      <c r="AR6" s="147">
        <f t="shared" si="2"/>
        <v>73422.10841</v>
      </c>
      <c r="AS6" s="147">
        <f t="shared" si="2"/>
        <v>76249.77437</v>
      </c>
      <c r="AT6" s="147">
        <f t="shared" si="2"/>
        <v>79207.68954</v>
      </c>
      <c r="AU6" s="147">
        <f t="shared" si="2"/>
        <v>82304.03651</v>
      </c>
      <c r="AV6" s="147">
        <f t="shared" si="2"/>
        <v>85547.15645</v>
      </c>
      <c r="AW6" s="147">
        <f t="shared" si="2"/>
        <v>88945.59468</v>
      </c>
      <c r="AX6" s="147">
        <f t="shared" si="2"/>
        <v>92508.14275</v>
      </c>
      <c r="AY6" s="147">
        <f t="shared" si="2"/>
        <v>96243.87798</v>
      </c>
      <c r="AZ6" s="147">
        <f t="shared" si="2"/>
        <v>100162.2007</v>
      </c>
      <c r="BA6" s="147">
        <f t="shared" si="2"/>
        <v>104272.8703</v>
      </c>
      <c r="BB6" s="147">
        <f t="shared" si="2"/>
        <v>108586.0395</v>
      </c>
      <c r="BC6" s="147">
        <f t="shared" si="2"/>
        <v>113112.2882</v>
      </c>
      <c r="BD6" s="147">
        <f t="shared" si="2"/>
        <v>117862.6574</v>
      </c>
      <c r="BE6" s="147">
        <f t="shared" si="2"/>
        <v>122848.6818</v>
      </c>
      <c r="BF6" s="147">
        <f t="shared" si="2"/>
        <v>128082.4237</v>
      </c>
      <c r="BG6" s="147">
        <f t="shared" si="2"/>
        <v>133576.5065</v>
      </c>
      <c r="BH6" s="147">
        <f t="shared" si="2"/>
        <v>139344.1492</v>
      </c>
      <c r="BI6" s="147">
        <f t="shared" si="2"/>
        <v>145399.2015</v>
      </c>
      <c r="BJ6" s="147">
        <f t="shared" si="2"/>
        <v>151756.1796</v>
      </c>
      <c r="BK6" s="147">
        <f t="shared" si="2"/>
        <v>158430.3039</v>
      </c>
      <c r="BL6" s="147">
        <f t="shared" si="2"/>
        <v>165437.5372</v>
      </c>
      <c r="BM6" s="147">
        <f t="shared" si="2"/>
        <v>172794.6244</v>
      </c>
      <c r="BN6" s="147">
        <f t="shared" si="2"/>
        <v>180519.1344</v>
      </c>
      <c r="BO6" s="147">
        <f t="shared" si="2"/>
        <v>188629.5031</v>
      </c>
      <c r="BP6" s="147">
        <f t="shared" si="2"/>
        <v>197145.0784</v>
      </c>
      <c r="BQ6" s="147">
        <f t="shared" si="2"/>
        <v>206086.1675</v>
      </c>
      <c r="BR6" s="147">
        <f t="shared" si="2"/>
        <v>215474.0858</v>
      </c>
      <c r="BS6" s="147">
        <f t="shared" si="2"/>
        <v>225331.2084</v>
      </c>
      <c r="BT6" s="147">
        <f t="shared" si="2"/>
        <v>235681.0245</v>
      </c>
      <c r="BU6" s="147">
        <f t="shared" si="2"/>
        <v>246548.193</v>
      </c>
      <c r="BV6" s="147">
        <f t="shared" si="2"/>
        <v>257958.6024</v>
      </c>
      <c r="BW6" s="147">
        <f t="shared" si="2"/>
        <v>269939.4322</v>
      </c>
      <c r="BX6" s="147">
        <f t="shared" si="2"/>
        <v>282519.2186</v>
      </c>
      <c r="BY6" s="147">
        <f t="shared" si="2"/>
        <v>295727.9221</v>
      </c>
      <c r="BZ6" s="147">
        <f t="shared" si="2"/>
        <v>309596.9994</v>
      </c>
      <c r="CA6" s="147">
        <f t="shared" si="2"/>
        <v>324159.4784</v>
      </c>
      <c r="CB6" s="147">
        <f t="shared" si="2"/>
        <v>339450.037</v>
      </c>
      <c r="CC6" s="147">
        <f t="shared" si="2"/>
        <v>355505.0858</v>
      </c>
      <c r="CD6" s="147">
        <f t="shared" si="2"/>
        <v>372362.855</v>
      </c>
      <c r="CE6" s="147">
        <f t="shared" si="2"/>
        <v>390063.4854</v>
      </c>
      <c r="CF6" s="147">
        <f t="shared" si="2"/>
        <v>408649.1242</v>
      </c>
      <c r="CG6" s="147">
        <f t="shared" si="2"/>
        <v>428164.0252</v>
      </c>
      <c r="CH6" s="147">
        <f t="shared" si="2"/>
        <v>448654.6546</v>
      </c>
      <c r="CI6" s="147">
        <f t="shared" si="2"/>
        <v>470169.8012</v>
      </c>
      <c r="CJ6" s="147">
        <f t="shared" si="2"/>
        <v>492760.6931</v>
      </c>
      <c r="CK6" s="147">
        <f t="shared" si="2"/>
        <v>516481.1193</v>
      </c>
      <c r="CL6" s="147">
        <f t="shared" si="2"/>
        <v>541387.5581</v>
      </c>
      <c r="CM6" s="147">
        <f t="shared" si="2"/>
        <v>567539.3114</v>
      </c>
      <c r="CN6" s="147">
        <f t="shared" si="2"/>
        <v>594998.646</v>
      </c>
      <c r="CO6" s="147">
        <f t="shared" si="2"/>
        <v>623830.9421</v>
      </c>
      <c r="CP6" s="147">
        <f t="shared" si="2"/>
        <v>654104.8483</v>
      </c>
      <c r="CQ6" s="147">
        <f t="shared" si="2"/>
        <v>685892.446</v>
      </c>
      <c r="CR6" s="147">
        <f t="shared" si="2"/>
        <v>719269.4203</v>
      </c>
      <c r="CS6" s="147">
        <f t="shared" si="2"/>
        <v>754315.2405</v>
      </c>
      <c r="CT6" s="147">
        <f t="shared" si="2"/>
        <v>791113.3494</v>
      </c>
      <c r="CU6" s="147">
        <f t="shared" si="2"/>
        <v>825199.347</v>
      </c>
      <c r="CV6" s="147">
        <f t="shared" si="2"/>
        <v>854172.4449</v>
      </c>
      <c r="CW6" s="147">
        <f t="shared" si="2"/>
        <v>878799.5782</v>
      </c>
    </row>
    <row r="7" ht="15.75" customHeight="1">
      <c r="A7" s="56" t="str">
        <f>'Monthly forecast'!A15</f>
        <v>REVENUE STREAM 1: SELF-SERVICE</v>
      </c>
      <c r="B7" s="56"/>
      <c r="C7" s="73" t="str">
        <f>'Monthly forecast'!D22</f>
        <v/>
      </c>
      <c r="D7" s="73">
        <f>'Monthly forecast'!E22</f>
        <v>668.1666667</v>
      </c>
      <c r="E7" s="73">
        <f>'Monthly forecast'!F22</f>
        <v>1269.805263</v>
      </c>
      <c r="F7" s="73">
        <f>'Monthly forecast'!G22</f>
        <v>1816.610431</v>
      </c>
      <c r="G7" s="73">
        <f>'Monthly forecast'!H22</f>
        <v>2318.609225</v>
      </c>
      <c r="H7" s="73">
        <f>'Monthly forecast'!I22</f>
        <v>2784.41567</v>
      </c>
      <c r="I7" s="73">
        <f>'Monthly forecast'!J22</f>
        <v>3221.447344</v>
      </c>
      <c r="J7" s="73">
        <f>'Monthly forecast'!K22</f>
        <v>3636.109724</v>
      </c>
      <c r="K7" s="73">
        <f>'Monthly forecast'!L22</f>
        <v>4033.953113</v>
      </c>
      <c r="L7" s="73">
        <f>'Monthly forecast'!M22</f>
        <v>4418.587868</v>
      </c>
      <c r="M7" s="73">
        <f>'Monthly forecast'!N22</f>
        <v>4782.463796</v>
      </c>
      <c r="N7" s="73">
        <f>'Monthly forecast'!O22</f>
        <v>5130.54154</v>
      </c>
      <c r="O7" s="73">
        <f>'Monthly forecast'!P22</f>
        <v>5467.129988</v>
      </c>
      <c r="P7" s="73">
        <f>'Monthly forecast'!Q22</f>
        <v>5795.988653</v>
      </c>
      <c r="Q7" s="73">
        <f>'Monthly forecast'!R22</f>
        <v>6120.414926</v>
      </c>
      <c r="R7" s="73">
        <f>'Monthly forecast'!S22</f>
        <v>6443.318487</v>
      </c>
      <c r="S7" s="73">
        <f>'Monthly forecast'!T22</f>
        <v>6767.284804</v>
      </c>
      <c r="T7" s="73">
        <f>'Monthly forecast'!U22</f>
        <v>7094.629377</v>
      </c>
      <c r="U7" s="73">
        <f>'Monthly forecast'!V22</f>
        <v>7427.44413</v>
      </c>
      <c r="V7" s="73">
        <f>'Monthly forecast'!W22</f>
        <v>7767.637127</v>
      </c>
      <c r="W7" s="73">
        <f>'Monthly forecast'!X22</f>
        <v>8116.966656</v>
      </c>
      <c r="X7" s="73">
        <f>'Monthly forecast'!Y22</f>
        <v>8477.07051</v>
      </c>
      <c r="Y7" s="73">
        <f>'Monthly forecast'!Z22</f>
        <v>8849.491229</v>
      </c>
      <c r="Z7" s="73">
        <f>'Monthly forecast'!AA22</f>
        <v>9235.697904</v>
      </c>
      <c r="AA7" s="73">
        <f>'Monthly forecast'!AB22</f>
        <v>9637.105097</v>
      </c>
      <c r="AB7" s="73">
        <f>'Monthly forecast'!AC22</f>
        <v>10055.0893</v>
      </c>
      <c r="AC7" s="73">
        <f>'Monthly forecast'!AD22</f>
        <v>10491.00338</v>
      </c>
      <c r="AD7" s="73">
        <f>'Monthly forecast'!AE22</f>
        <v>10946.18922</v>
      </c>
      <c r="AE7" s="73">
        <f>'Monthly forecast'!AF22</f>
        <v>11421.98899</v>
      </c>
      <c r="AF7" s="73">
        <f>'Monthly forecast'!AG22</f>
        <v>11919.75521</v>
      </c>
      <c r="AG7" s="73">
        <f>'Monthly forecast'!AH22</f>
        <v>12440.85973</v>
      </c>
      <c r="AH7" s="73">
        <f>'Monthly forecast'!AI22</f>
        <v>12986.70196</v>
      </c>
      <c r="AI7" s="73">
        <f>'Monthly forecast'!AJ22</f>
        <v>13558.71641</v>
      </c>
      <c r="AJ7" s="73">
        <f>'Monthly forecast'!AK22</f>
        <v>14158.37968</v>
      </c>
      <c r="AK7" s="73">
        <f>'Monthly forecast'!AL22</f>
        <v>14787.217</v>
      </c>
      <c r="AL7" s="73">
        <f>'Monthly forecast'!AM22</f>
        <v>15446.80844</v>
      </c>
      <c r="AM7" s="73">
        <f>'Monthly forecast'!AN22</f>
        <v>16138.79485</v>
      </c>
      <c r="AN7" s="73">
        <f>'Monthly forecast'!AO22</f>
        <v>16864.88369</v>
      </c>
      <c r="AO7" s="73">
        <f>'Monthly forecast'!AP22</f>
        <v>17626.85461</v>
      </c>
      <c r="AP7" s="73">
        <f>'Monthly forecast'!AQ22</f>
        <v>18426.56507</v>
      </c>
      <c r="AQ7" s="73">
        <f>'Monthly forecast'!AR22</f>
        <v>19265.95588</v>
      </c>
      <c r="AR7" s="73">
        <f>'Monthly forecast'!AS22</f>
        <v>20147.05686</v>
      </c>
      <c r="AS7" s="73">
        <f>'Monthly forecast'!AT22</f>
        <v>21071.9924</v>
      </c>
      <c r="AT7" s="73">
        <f>'Monthly forecast'!AU22</f>
        <v>22042.98732</v>
      </c>
      <c r="AU7" s="73">
        <f>'Monthly forecast'!AV22</f>
        <v>23062.37269</v>
      </c>
      <c r="AV7" s="73">
        <f>'Monthly forecast'!AW22</f>
        <v>24132.59192</v>
      </c>
      <c r="AW7" s="73">
        <f>'Monthly forecast'!AX22</f>
        <v>25256.20703</v>
      </c>
      <c r="AX7" s="73">
        <f>'Monthly forecast'!AY22</f>
        <v>26435.90507</v>
      </c>
      <c r="AY7" s="73">
        <f>'Monthly forecast'!AZ22</f>
        <v>27674.50485</v>
      </c>
      <c r="AZ7" s="73">
        <f>'Monthly forecast'!BA22</f>
        <v>28974.96395</v>
      </c>
      <c r="BA7" s="73">
        <f>'Monthly forecast'!BB22</f>
        <v>30340.38592</v>
      </c>
      <c r="BB7" s="73">
        <f>'Monthly forecast'!BC22</f>
        <v>31774.02793</v>
      </c>
      <c r="BC7" s="73">
        <f>'Monthly forecast'!BD22</f>
        <v>33279.30863</v>
      </c>
      <c r="BD7" s="73">
        <f>'Monthly forecast'!BE22</f>
        <v>34859.81646</v>
      </c>
      <c r="BE7" s="73">
        <f>'Monthly forecast'!BF22</f>
        <v>36519.31833</v>
      </c>
      <c r="BF7" s="73">
        <f>'Monthly forecast'!BG22</f>
        <v>38261.76864</v>
      </c>
      <c r="BG7" s="73">
        <f>'Monthly forecast'!BH22</f>
        <v>40091.3188</v>
      </c>
      <c r="BH7" s="73">
        <f>'Monthly forecast'!BI22</f>
        <v>42012.32721</v>
      </c>
      <c r="BI7" s="73">
        <f>'Monthly forecast'!BJ22</f>
        <v>44029.36967</v>
      </c>
      <c r="BJ7" s="73">
        <f>'Monthly forecast'!BK22</f>
        <v>46147.25034</v>
      </c>
      <c r="BK7" s="73">
        <f>'Monthly forecast'!BL22</f>
        <v>48371.01322</v>
      </c>
      <c r="BL7" s="73">
        <f>'Monthly forecast'!BM22</f>
        <v>50705.95418</v>
      </c>
      <c r="BM7" s="73">
        <f>'Monthly forecast'!BN22</f>
        <v>53157.63365</v>
      </c>
      <c r="BN7" s="73">
        <f>'Monthly forecast'!BO22</f>
        <v>55731.88982</v>
      </c>
      <c r="BO7" s="73">
        <f>'Monthly forecast'!BP22</f>
        <v>58434.85264</v>
      </c>
      <c r="BP7" s="73">
        <f>'Monthly forecast'!BQ22</f>
        <v>61272.95834</v>
      </c>
      <c r="BQ7" s="73">
        <f>'Monthly forecast'!BR22</f>
        <v>64252.96487</v>
      </c>
      <c r="BR7" s="73">
        <f>'Monthly forecast'!BS22</f>
        <v>67381.96793</v>
      </c>
      <c r="BS7" s="73">
        <f>'Monthly forecast'!BT22</f>
        <v>70667.41793</v>
      </c>
      <c r="BT7" s="73">
        <f>'Monthly forecast'!BU22</f>
        <v>74117.13768</v>
      </c>
      <c r="BU7" s="73">
        <f>'Monthly forecast'!BV22</f>
        <v>77739.34109</v>
      </c>
      <c r="BV7" s="73">
        <f>'Monthly forecast'!BW22</f>
        <v>81542.6527</v>
      </c>
      <c r="BW7" s="73">
        <f>'Monthly forecast'!BX22</f>
        <v>85536.1282</v>
      </c>
      <c r="BX7" s="73">
        <f>'Monthly forecast'!BY22</f>
        <v>89729.27604</v>
      </c>
      <c r="BY7" s="73">
        <f>'Monthly forecast'!BZ22</f>
        <v>94132.08007</v>
      </c>
      <c r="BZ7" s="73">
        <f>'Monthly forecast'!CA22</f>
        <v>98755.02326</v>
      </c>
      <c r="CA7" s="73">
        <f>'Monthly forecast'!CB22</f>
        <v>103609.1127</v>
      </c>
      <c r="CB7" s="73">
        <f>'Monthly forecast'!CC22</f>
        <v>108705.9059</v>
      </c>
      <c r="CC7" s="73">
        <f>'Monthly forecast'!CD22</f>
        <v>114057.5382</v>
      </c>
      <c r="CD7" s="73">
        <f>'Monthly forecast'!CE22</f>
        <v>119676.7515</v>
      </c>
      <c r="CE7" s="73">
        <f>'Monthly forecast'!CF22</f>
        <v>125576.925</v>
      </c>
      <c r="CF7" s="73">
        <f>'Monthly forecast'!CG22</f>
        <v>131772.1067</v>
      </c>
      <c r="CG7" s="73">
        <f>'Monthly forecast'!CH22</f>
        <v>138277.0473</v>
      </c>
      <c r="CH7" s="73">
        <f>'Monthly forecast'!CI22</f>
        <v>145107.2346</v>
      </c>
      <c r="CI7" s="73">
        <f>'Monthly forecast'!CJ22</f>
        <v>152278.931</v>
      </c>
      <c r="CJ7" s="73">
        <f>'Monthly forecast'!CK22</f>
        <v>159809.212</v>
      </c>
      <c r="CK7" s="73">
        <f>'Monthly forecast'!CL22</f>
        <v>167716.007</v>
      </c>
      <c r="CL7" s="73">
        <f>'Monthly forecast'!CM22</f>
        <v>176018.1415</v>
      </c>
      <c r="CM7" s="73">
        <f>'Monthly forecast'!CN22</f>
        <v>184735.3826</v>
      </c>
      <c r="CN7" s="73">
        <f>'Monthly forecast'!CO22</f>
        <v>193888.4857</v>
      </c>
      <c r="CO7" s="73">
        <f>'Monthly forecast'!CP22</f>
        <v>203499.2438</v>
      </c>
      <c r="CP7" s="73">
        <f>'Monthly forecast'!CQ22</f>
        <v>213590.5397</v>
      </c>
      <c r="CQ7" s="73">
        <f>'Monthly forecast'!CR22</f>
        <v>224186.4004</v>
      </c>
      <c r="CR7" s="73">
        <f>'Monthly forecast'!CS22</f>
        <v>235312.0541</v>
      </c>
      <c r="CS7" s="73">
        <f>'Monthly forecast'!CT22</f>
        <v>246993.9904</v>
      </c>
      <c r="CT7" s="73">
        <f>'Monthly forecast'!CU22</f>
        <v>259260.0235</v>
      </c>
      <c r="CU7" s="73">
        <f>'Monthly forecast'!CV22</f>
        <v>270622.02</v>
      </c>
      <c r="CV7" s="73">
        <f>'Monthly forecast'!CW22</f>
        <v>280279.717</v>
      </c>
      <c r="CW7" s="73">
        <f>'Monthly forecast'!CX22</f>
        <v>288488.7594</v>
      </c>
    </row>
    <row r="8" ht="15.75" customHeight="1">
      <c r="A8" s="56" t="str">
        <f>'Monthly forecast'!A24</f>
        <v>REVENUE STREAM 2: INBOUND SALES</v>
      </c>
      <c r="B8" s="56"/>
      <c r="C8" s="56" t="str">
        <f>'Monthly forecast'!D33</f>
        <v/>
      </c>
      <c r="D8" s="56">
        <f>'Monthly forecast'!E33</f>
        <v>1336.333333</v>
      </c>
      <c r="E8" s="56">
        <f>'Monthly forecast'!F33</f>
        <v>2539.610526</v>
      </c>
      <c r="F8" s="56">
        <f>'Monthly forecast'!G33</f>
        <v>3633.220861</v>
      </c>
      <c r="G8" s="56">
        <f>'Monthly forecast'!H33</f>
        <v>4637.21845</v>
      </c>
      <c r="H8" s="56">
        <f>'Monthly forecast'!I33</f>
        <v>5568.831339</v>
      </c>
      <c r="I8" s="56">
        <f>'Monthly forecast'!J33</f>
        <v>6442.894689</v>
      </c>
      <c r="J8" s="56">
        <f>'Monthly forecast'!K33</f>
        <v>7272.219449</v>
      </c>
      <c r="K8" s="56">
        <f>'Monthly forecast'!L33</f>
        <v>8067.906226</v>
      </c>
      <c r="L8" s="56">
        <f>'Monthly forecast'!M33</f>
        <v>8837.175736</v>
      </c>
      <c r="M8" s="56">
        <f>'Monthly forecast'!N33</f>
        <v>9564.927592</v>
      </c>
      <c r="N8" s="56">
        <f>'Monthly forecast'!O33</f>
        <v>10261.08308</v>
      </c>
      <c r="O8" s="56">
        <f>'Monthly forecast'!P33</f>
        <v>10934.25998</v>
      </c>
      <c r="P8" s="56">
        <f>'Monthly forecast'!Q33</f>
        <v>11591.97731</v>
      </c>
      <c r="Q8" s="56">
        <f>'Monthly forecast'!R33</f>
        <v>12240.82985</v>
      </c>
      <c r="R8" s="56">
        <f>'Monthly forecast'!S33</f>
        <v>12886.63697</v>
      </c>
      <c r="S8" s="56">
        <f>'Monthly forecast'!T33</f>
        <v>13534.56961</v>
      </c>
      <c r="T8" s="56">
        <f>'Monthly forecast'!U33</f>
        <v>14189.25875</v>
      </c>
      <c r="U8" s="56">
        <f>'Monthly forecast'!V33</f>
        <v>14854.88826</v>
      </c>
      <c r="V8" s="56">
        <f>'Monthly forecast'!W33</f>
        <v>15535.27425</v>
      </c>
      <c r="W8" s="56">
        <f>'Monthly forecast'!X33</f>
        <v>16233.93331</v>
      </c>
      <c r="X8" s="56">
        <f>'Monthly forecast'!Y33</f>
        <v>16954.14102</v>
      </c>
      <c r="Y8" s="56">
        <f>'Monthly forecast'!Z33</f>
        <v>17698.98246</v>
      </c>
      <c r="Z8" s="56">
        <f>'Monthly forecast'!AA33</f>
        <v>18471.39581</v>
      </c>
      <c r="AA8" s="56">
        <f>'Monthly forecast'!AB33</f>
        <v>19274.21019</v>
      </c>
      <c r="AB8" s="56">
        <f>'Monthly forecast'!AC33</f>
        <v>20110.17861</v>
      </c>
      <c r="AC8" s="56">
        <f>'Monthly forecast'!AD33</f>
        <v>20982.00676</v>
      </c>
      <c r="AD8" s="56">
        <f>'Monthly forecast'!AE33</f>
        <v>21892.37843</v>
      </c>
      <c r="AE8" s="56">
        <f>'Monthly forecast'!AF33</f>
        <v>22843.97799</v>
      </c>
      <c r="AF8" s="56">
        <f>'Monthly forecast'!AG33</f>
        <v>23839.51043</v>
      </c>
      <c r="AG8" s="56">
        <f>'Monthly forecast'!AH33</f>
        <v>24881.71946</v>
      </c>
      <c r="AH8" s="56">
        <f>'Monthly forecast'!AI33</f>
        <v>25973.40392</v>
      </c>
      <c r="AI8" s="56">
        <f>'Monthly forecast'!AJ33</f>
        <v>27117.43282</v>
      </c>
      <c r="AJ8" s="56">
        <f>'Monthly forecast'!AK33</f>
        <v>28316.75937</v>
      </c>
      <c r="AK8" s="56">
        <f>'Monthly forecast'!AL33</f>
        <v>29574.434</v>
      </c>
      <c r="AL8" s="56">
        <f>'Monthly forecast'!AM33</f>
        <v>30893.61687</v>
      </c>
      <c r="AM8" s="56">
        <f>'Monthly forecast'!AN33</f>
        <v>32277.58971</v>
      </c>
      <c r="AN8" s="56">
        <f>'Monthly forecast'!AO33</f>
        <v>33729.76739</v>
      </c>
      <c r="AO8" s="56">
        <f>'Monthly forecast'!AP33</f>
        <v>35253.70922</v>
      </c>
      <c r="AP8" s="56">
        <f>'Monthly forecast'!AQ33</f>
        <v>36853.13013</v>
      </c>
      <c r="AQ8" s="56">
        <f>'Monthly forecast'!AR33</f>
        <v>38531.91176</v>
      </c>
      <c r="AR8" s="56">
        <f>'Monthly forecast'!AS33</f>
        <v>40294.11371</v>
      </c>
      <c r="AS8" s="56">
        <f>'Monthly forecast'!AT33</f>
        <v>42143.9848</v>
      </c>
      <c r="AT8" s="56">
        <f>'Monthly forecast'!AU33</f>
        <v>44085.97464</v>
      </c>
      <c r="AU8" s="56">
        <f>'Monthly forecast'!AV33</f>
        <v>46124.74538</v>
      </c>
      <c r="AV8" s="56">
        <f>'Monthly forecast'!AW33</f>
        <v>48265.18385</v>
      </c>
      <c r="AW8" s="56">
        <f>'Monthly forecast'!AX33</f>
        <v>50512.41406</v>
      </c>
      <c r="AX8" s="56">
        <f>'Monthly forecast'!AY33</f>
        <v>52871.81014</v>
      </c>
      <c r="AY8" s="56">
        <f>'Monthly forecast'!AZ33</f>
        <v>55349.00971</v>
      </c>
      <c r="AZ8" s="56">
        <f>'Monthly forecast'!BA33</f>
        <v>57949.9279</v>
      </c>
      <c r="BA8" s="56">
        <f>'Monthly forecast'!BB33</f>
        <v>60680.77184</v>
      </c>
      <c r="BB8" s="56">
        <f>'Monthly forecast'!BC33</f>
        <v>63548.05585</v>
      </c>
      <c r="BC8" s="56">
        <f>'Monthly forecast'!BD33</f>
        <v>66558.61725</v>
      </c>
      <c r="BD8" s="56">
        <f>'Monthly forecast'!BE33</f>
        <v>69719.63293</v>
      </c>
      <c r="BE8" s="56">
        <f>'Monthly forecast'!BF33</f>
        <v>73038.63666</v>
      </c>
      <c r="BF8" s="56">
        <f>'Monthly forecast'!BG33</f>
        <v>76523.53728</v>
      </c>
      <c r="BG8" s="56">
        <f>'Monthly forecast'!BH33</f>
        <v>80182.6376</v>
      </c>
      <c r="BH8" s="56">
        <f>'Monthly forecast'!BI33</f>
        <v>84024.65442</v>
      </c>
      <c r="BI8" s="56">
        <f>'Monthly forecast'!BJ33</f>
        <v>88058.73934</v>
      </c>
      <c r="BJ8" s="56">
        <f>'Monthly forecast'!BK33</f>
        <v>92294.50068</v>
      </c>
      <c r="BK8" s="56">
        <f>'Monthly forecast'!BL33</f>
        <v>96742.02643</v>
      </c>
      <c r="BL8" s="56">
        <f>'Monthly forecast'!BM33</f>
        <v>101411.9084</v>
      </c>
      <c r="BM8" s="56">
        <f>'Monthly forecast'!BN33</f>
        <v>106315.2673</v>
      </c>
      <c r="BN8" s="56">
        <f>'Monthly forecast'!BO33</f>
        <v>111463.7796</v>
      </c>
      <c r="BO8" s="56">
        <f>'Monthly forecast'!BP33</f>
        <v>116869.7053</v>
      </c>
      <c r="BP8" s="56">
        <f>'Monthly forecast'!BQ33</f>
        <v>122545.9167</v>
      </c>
      <c r="BQ8" s="56">
        <f>'Monthly forecast'!BR33</f>
        <v>128505.9297</v>
      </c>
      <c r="BR8" s="56">
        <f>'Monthly forecast'!BS33</f>
        <v>134763.9359</v>
      </c>
      <c r="BS8" s="56">
        <f>'Monthly forecast'!BT33</f>
        <v>141334.8359</v>
      </c>
      <c r="BT8" s="56">
        <f>'Monthly forecast'!BU33</f>
        <v>148234.2754</v>
      </c>
      <c r="BU8" s="56">
        <f>'Monthly forecast'!BV33</f>
        <v>155478.6822</v>
      </c>
      <c r="BV8" s="56">
        <f>'Monthly forecast'!BW33</f>
        <v>163085.3054</v>
      </c>
      <c r="BW8" s="56">
        <f>'Monthly forecast'!BX33</f>
        <v>171072.2564</v>
      </c>
      <c r="BX8" s="56">
        <f>'Monthly forecast'!BY33</f>
        <v>179458.5521</v>
      </c>
      <c r="BY8" s="56">
        <f>'Monthly forecast'!BZ33</f>
        <v>188264.1601</v>
      </c>
      <c r="BZ8" s="56">
        <f>'Monthly forecast'!CA33</f>
        <v>197510.0465</v>
      </c>
      <c r="CA8" s="56">
        <f>'Monthly forecast'!CB33</f>
        <v>207218.2255</v>
      </c>
      <c r="CB8" s="56">
        <f>'Monthly forecast'!CC33</f>
        <v>217411.8119</v>
      </c>
      <c r="CC8" s="56">
        <f>'Monthly forecast'!CD33</f>
        <v>228115.0763</v>
      </c>
      <c r="CD8" s="56">
        <f>'Monthly forecast'!CE33</f>
        <v>239353.5029</v>
      </c>
      <c r="CE8" s="56">
        <f>'Monthly forecast'!CF33</f>
        <v>251153.8499</v>
      </c>
      <c r="CF8" s="56">
        <f>'Monthly forecast'!CG33</f>
        <v>263544.2135</v>
      </c>
      <c r="CG8" s="56">
        <f>'Monthly forecast'!CH33</f>
        <v>276554.0946</v>
      </c>
      <c r="CH8" s="56">
        <f>'Monthly forecast'!CI33</f>
        <v>290214.4692</v>
      </c>
      <c r="CI8" s="56">
        <f>'Monthly forecast'!CJ33</f>
        <v>304557.862</v>
      </c>
      <c r="CJ8" s="56">
        <f>'Monthly forecast'!CK33</f>
        <v>319618.4241</v>
      </c>
      <c r="CK8" s="56">
        <f>'Monthly forecast'!CL33</f>
        <v>335432.0139</v>
      </c>
      <c r="CL8" s="56">
        <f>'Monthly forecast'!CM33</f>
        <v>352036.283</v>
      </c>
      <c r="CM8" s="56">
        <f>'Monthly forecast'!CN33</f>
        <v>369470.7652</v>
      </c>
      <c r="CN8" s="56">
        <f>'Monthly forecast'!CO33</f>
        <v>387776.9713</v>
      </c>
      <c r="CO8" s="56">
        <f>'Monthly forecast'!CP33</f>
        <v>406998.4876</v>
      </c>
      <c r="CP8" s="56">
        <f>'Monthly forecast'!CQ33</f>
        <v>427181.0795</v>
      </c>
      <c r="CQ8" s="56">
        <f>'Monthly forecast'!CR33</f>
        <v>448372.8009</v>
      </c>
      <c r="CR8" s="56">
        <f>'Monthly forecast'!CS33</f>
        <v>470624.1082</v>
      </c>
      <c r="CS8" s="56">
        <f>'Monthly forecast'!CT33</f>
        <v>493987.9808</v>
      </c>
      <c r="CT8" s="56">
        <f>'Monthly forecast'!CU33</f>
        <v>518520.047</v>
      </c>
      <c r="CU8" s="56">
        <f>'Monthly forecast'!CV33</f>
        <v>541244.0399</v>
      </c>
      <c r="CV8" s="56">
        <f>'Monthly forecast'!CW33</f>
        <v>560559.4339</v>
      </c>
      <c r="CW8" s="56">
        <f>'Monthly forecast'!CX33</f>
        <v>576977.5188</v>
      </c>
    </row>
    <row r="9" ht="15.75" customHeight="1">
      <c r="A9" s="56" t="str">
        <f>'Monthly forecast'!A35</f>
        <v>REVENUE STREAM 3: OUTBOUND SALES</v>
      </c>
      <c r="B9" s="56"/>
      <c r="C9" s="56" t="str">
        <f>'Monthly forecast'!D42</f>
        <v/>
      </c>
      <c r="D9" s="56">
        <f>'Monthly forecast'!E42</f>
        <v>200</v>
      </c>
      <c r="E9" s="56">
        <f>'Monthly forecast'!F42</f>
        <v>370</v>
      </c>
      <c r="F9" s="56">
        <f>'Monthly forecast'!G42</f>
        <v>514.5</v>
      </c>
      <c r="G9" s="56">
        <f>'Monthly forecast'!H42</f>
        <v>837.325</v>
      </c>
      <c r="H9" s="56">
        <f>'Monthly forecast'!I42</f>
        <v>1111.72625</v>
      </c>
      <c r="I9" s="56">
        <f>'Monthly forecast'!J42</f>
        <v>1344.967313</v>
      </c>
      <c r="J9" s="56">
        <f>'Monthly forecast'!K42</f>
        <v>1743.222216</v>
      </c>
      <c r="K9" s="56">
        <f>'Monthly forecast'!L42</f>
        <v>2081.738883</v>
      </c>
      <c r="L9" s="56">
        <f>'Monthly forecast'!M42</f>
        <v>2369.478051</v>
      </c>
      <c r="M9" s="56">
        <f>'Monthly forecast'!N42</f>
        <v>2814.056343</v>
      </c>
      <c r="N9" s="56">
        <f>'Monthly forecast'!O42</f>
        <v>3191.947892</v>
      </c>
      <c r="O9" s="56">
        <f>'Monthly forecast'!P42</f>
        <v>3513.155708</v>
      </c>
      <c r="P9" s="56">
        <f>'Monthly forecast'!Q42</f>
        <v>3986.182352</v>
      </c>
      <c r="Q9" s="56">
        <f>'Monthly forecast'!R42</f>
        <v>4388.254999</v>
      </c>
      <c r="R9" s="56">
        <f>'Monthly forecast'!S42</f>
        <v>4730.016749</v>
      </c>
      <c r="S9" s="56">
        <f>'Monthly forecast'!T42</f>
        <v>5220.514237</v>
      </c>
      <c r="T9" s="56">
        <f>'Monthly forecast'!U42</f>
        <v>5637.437101</v>
      </c>
      <c r="U9" s="56">
        <f>'Monthly forecast'!V42</f>
        <v>5991.821536</v>
      </c>
      <c r="V9" s="56">
        <f>'Monthly forecast'!W42</f>
        <v>6493.048306</v>
      </c>
      <c r="W9" s="56">
        <f>'Monthly forecast'!X42</f>
        <v>6919.09106</v>
      </c>
      <c r="X9" s="56">
        <f>'Monthly forecast'!Y42</f>
        <v>7281.227401</v>
      </c>
      <c r="Y9" s="56">
        <f>'Monthly forecast'!Z42</f>
        <v>7789.043291</v>
      </c>
      <c r="Z9" s="56">
        <f>'Monthly forecast'!AA42</f>
        <v>8220.686797</v>
      </c>
      <c r="AA9" s="56">
        <f>'Monthly forecast'!AB42</f>
        <v>8587.583778</v>
      </c>
      <c r="AB9" s="56">
        <f>'Monthly forecast'!AC42</f>
        <v>9099.446211</v>
      </c>
      <c r="AC9" s="56">
        <f>'Monthly forecast'!AD42</f>
        <v>9534.529279</v>
      </c>
      <c r="AD9" s="56">
        <f>'Monthly forecast'!AE42</f>
        <v>9904.349887</v>
      </c>
      <c r="AE9" s="56">
        <f>'Monthly forecast'!AF42</f>
        <v>10418.6974</v>
      </c>
      <c r="AF9" s="56">
        <f>'Monthly forecast'!AG42</f>
        <v>10855.89279</v>
      </c>
      <c r="AG9" s="56">
        <f>'Monthly forecast'!AH42</f>
        <v>11227.50887</v>
      </c>
      <c r="AH9" s="56">
        <f>'Monthly forecast'!AI42</f>
        <v>11543.38254</v>
      </c>
      <c r="AI9" s="56">
        <f>'Monthly forecast'!AJ42</f>
        <v>11811.87516</v>
      </c>
      <c r="AJ9" s="56">
        <f>'Monthly forecast'!AK42</f>
        <v>12040.09389</v>
      </c>
      <c r="AK9" s="56">
        <f>'Monthly forecast'!AL42</f>
        <v>12234.0798</v>
      </c>
      <c r="AL9" s="56">
        <f>'Monthly forecast'!AM42</f>
        <v>12398.96783</v>
      </c>
      <c r="AM9" s="56">
        <f>'Monthly forecast'!AN42</f>
        <v>12539.12266</v>
      </c>
      <c r="AN9" s="56">
        <f>'Monthly forecast'!AO42</f>
        <v>12658.25426</v>
      </c>
      <c r="AO9" s="56">
        <f>'Monthly forecast'!AP42</f>
        <v>12759.51612</v>
      </c>
      <c r="AP9" s="56">
        <f>'Monthly forecast'!AQ42</f>
        <v>12845.5887</v>
      </c>
      <c r="AQ9" s="56">
        <f>'Monthly forecast'!AR42</f>
        <v>12918.7504</v>
      </c>
      <c r="AR9" s="56">
        <f>'Monthly forecast'!AS42</f>
        <v>12980.93784</v>
      </c>
      <c r="AS9" s="56">
        <f>'Monthly forecast'!AT42</f>
        <v>13033.79716</v>
      </c>
      <c r="AT9" s="56">
        <f>'Monthly forecast'!AU42</f>
        <v>13078.72759</v>
      </c>
      <c r="AU9" s="56">
        <f>'Monthly forecast'!AV42</f>
        <v>13116.91845</v>
      </c>
      <c r="AV9" s="56">
        <f>'Monthly forecast'!AW42</f>
        <v>13149.38068</v>
      </c>
      <c r="AW9" s="56">
        <f>'Monthly forecast'!AX42</f>
        <v>13176.97358</v>
      </c>
      <c r="AX9" s="56">
        <f>'Monthly forecast'!AY42</f>
        <v>13200.42754</v>
      </c>
      <c r="AY9" s="56">
        <f>'Monthly forecast'!AZ42</f>
        <v>13220.36341</v>
      </c>
      <c r="AZ9" s="56">
        <f>'Monthly forecast'!BA42</f>
        <v>13237.3089</v>
      </c>
      <c r="BA9" s="56">
        <f>'Monthly forecast'!BB42</f>
        <v>13251.71256</v>
      </c>
      <c r="BB9" s="56">
        <f>'Monthly forecast'!BC42</f>
        <v>13263.95568</v>
      </c>
      <c r="BC9" s="56">
        <f>'Monthly forecast'!BD42</f>
        <v>13274.36233</v>
      </c>
      <c r="BD9" s="56">
        <f>'Monthly forecast'!BE42</f>
        <v>13283.20798</v>
      </c>
      <c r="BE9" s="56">
        <f>'Monthly forecast'!BF42</f>
        <v>13290.72678</v>
      </c>
      <c r="BF9" s="56">
        <f>'Monthly forecast'!BG42</f>
        <v>13297.11776</v>
      </c>
      <c r="BG9" s="56">
        <f>'Monthly forecast'!BH42</f>
        <v>13302.5501</v>
      </c>
      <c r="BH9" s="56">
        <f>'Monthly forecast'!BI42</f>
        <v>13307.16759</v>
      </c>
      <c r="BI9" s="56">
        <f>'Monthly forecast'!BJ42</f>
        <v>13311.09245</v>
      </c>
      <c r="BJ9" s="56">
        <f>'Monthly forecast'!BK42</f>
        <v>13314.42858</v>
      </c>
      <c r="BK9" s="56">
        <f>'Monthly forecast'!BL42</f>
        <v>13317.26429</v>
      </c>
      <c r="BL9" s="56">
        <f>'Monthly forecast'!BM42</f>
        <v>13319.67465</v>
      </c>
      <c r="BM9" s="56">
        <f>'Monthly forecast'!BN42</f>
        <v>13321.72345</v>
      </c>
      <c r="BN9" s="56">
        <f>'Monthly forecast'!BO42</f>
        <v>13323.46493</v>
      </c>
      <c r="BO9" s="56">
        <f>'Monthly forecast'!BP42</f>
        <v>13324.94519</v>
      </c>
      <c r="BP9" s="56">
        <f>'Monthly forecast'!BQ42</f>
        <v>13326.20341</v>
      </c>
      <c r="BQ9" s="56">
        <f>'Monthly forecast'!BR42</f>
        <v>13327.2729</v>
      </c>
      <c r="BR9" s="56">
        <f>'Monthly forecast'!BS42</f>
        <v>13328.18197</v>
      </c>
      <c r="BS9" s="56">
        <f>'Monthly forecast'!BT42</f>
        <v>13328.95467</v>
      </c>
      <c r="BT9" s="56">
        <f>'Monthly forecast'!BU42</f>
        <v>13329.61147</v>
      </c>
      <c r="BU9" s="56">
        <f>'Monthly forecast'!BV42</f>
        <v>13330.16975</v>
      </c>
      <c r="BV9" s="56">
        <f>'Monthly forecast'!BW42</f>
        <v>13330.64429</v>
      </c>
      <c r="BW9" s="56">
        <f>'Monthly forecast'!BX42</f>
        <v>13331.04764</v>
      </c>
      <c r="BX9" s="56">
        <f>'Monthly forecast'!BY42</f>
        <v>13331.3905</v>
      </c>
      <c r="BY9" s="56">
        <f>'Monthly forecast'!BZ42</f>
        <v>13331.68192</v>
      </c>
      <c r="BZ9" s="56">
        <f>'Monthly forecast'!CA42</f>
        <v>13331.92963</v>
      </c>
      <c r="CA9" s="56">
        <f>'Monthly forecast'!CB42</f>
        <v>13332.14019</v>
      </c>
      <c r="CB9" s="56">
        <f>'Monthly forecast'!CC42</f>
        <v>13332.31916</v>
      </c>
      <c r="CC9" s="56">
        <f>'Monthly forecast'!CD42</f>
        <v>13332.47129</v>
      </c>
      <c r="CD9" s="56">
        <f>'Monthly forecast'!CE42</f>
        <v>13332.60059</v>
      </c>
      <c r="CE9" s="56">
        <f>'Monthly forecast'!CF42</f>
        <v>13332.7105</v>
      </c>
      <c r="CF9" s="56">
        <f>'Monthly forecast'!CG42</f>
        <v>13332.80393</v>
      </c>
      <c r="CG9" s="56">
        <f>'Monthly forecast'!CH42</f>
        <v>13332.88334</v>
      </c>
      <c r="CH9" s="56">
        <f>'Monthly forecast'!CI42</f>
        <v>13332.95084</v>
      </c>
      <c r="CI9" s="56">
        <f>'Monthly forecast'!CJ42</f>
        <v>13333.00821</v>
      </c>
      <c r="CJ9" s="56">
        <f>'Monthly forecast'!CK42</f>
        <v>13333.05698</v>
      </c>
      <c r="CK9" s="56">
        <f>'Monthly forecast'!CL42</f>
        <v>13333.09843</v>
      </c>
      <c r="CL9" s="56">
        <f>'Monthly forecast'!CM42</f>
        <v>13333.13367</v>
      </c>
      <c r="CM9" s="56">
        <f>'Monthly forecast'!CN42</f>
        <v>13333.16362</v>
      </c>
      <c r="CN9" s="56">
        <f>'Monthly forecast'!CO42</f>
        <v>13333.18908</v>
      </c>
      <c r="CO9" s="56">
        <f>'Monthly forecast'!CP42</f>
        <v>13333.21071</v>
      </c>
      <c r="CP9" s="56">
        <f>'Monthly forecast'!CQ42</f>
        <v>13333.22911</v>
      </c>
      <c r="CQ9" s="56">
        <f>'Monthly forecast'!CR42</f>
        <v>13333.24474</v>
      </c>
      <c r="CR9" s="56">
        <f>'Monthly forecast'!CS42</f>
        <v>13333.25803</v>
      </c>
      <c r="CS9" s="56">
        <f>'Monthly forecast'!CT42</f>
        <v>13333.26933</v>
      </c>
      <c r="CT9" s="56">
        <f>'Monthly forecast'!CU42</f>
        <v>13333.27893</v>
      </c>
      <c r="CU9" s="56">
        <f>'Monthly forecast'!CV42</f>
        <v>13333.28709</v>
      </c>
      <c r="CV9" s="56">
        <f>'Monthly forecast'!CW42</f>
        <v>13333.29402</v>
      </c>
      <c r="CW9" s="56">
        <f>'Monthly forecast'!CX42</f>
        <v>13333.29992</v>
      </c>
    </row>
    <row r="10" ht="15.7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 ht="15.75" customHeight="1">
      <c r="A11" s="146" t="s">
        <v>161</v>
      </c>
      <c r="B11" s="149"/>
      <c r="C11" s="73" t="str">
        <f>'Monthly forecast'!D47</f>
        <v/>
      </c>
      <c r="D11" s="73">
        <f>'Monthly forecast'!E47</f>
        <v>66.135</v>
      </c>
      <c r="E11" s="73">
        <f>'Monthly forecast'!F47</f>
        <v>125.3824737</v>
      </c>
      <c r="F11" s="73">
        <f>'Monthly forecast'!G47</f>
        <v>178.9299387</v>
      </c>
      <c r="G11" s="73">
        <f>'Monthly forecast'!H47</f>
        <v>233.7945803</v>
      </c>
      <c r="H11" s="73">
        <f>'Monthly forecast'!I47</f>
        <v>283.9491978</v>
      </c>
      <c r="I11" s="73">
        <f>'Monthly forecast'!J47</f>
        <v>330.2792804</v>
      </c>
      <c r="J11" s="73">
        <f>'Monthly forecast'!K47</f>
        <v>379.5465417</v>
      </c>
      <c r="K11" s="73">
        <f>'Monthly forecast'!L47</f>
        <v>425.5079467</v>
      </c>
      <c r="L11" s="73">
        <f>'Monthly forecast'!M47</f>
        <v>468.7572497</v>
      </c>
      <c r="M11" s="73">
        <f>'Monthly forecast'!N47</f>
        <v>514.8434319</v>
      </c>
      <c r="N11" s="73">
        <f>'Monthly forecast'!O47</f>
        <v>557.5071753</v>
      </c>
      <c r="O11" s="73">
        <f>'Monthly forecast'!P47</f>
        <v>597.4363702</v>
      </c>
      <c r="P11" s="73">
        <f>'Monthly forecast'!Q47</f>
        <v>641.2244493</v>
      </c>
      <c r="Q11" s="73">
        <f>'Monthly forecast'!R47</f>
        <v>682.4849933</v>
      </c>
      <c r="R11" s="73">
        <f>'Monthly forecast'!S47</f>
        <v>721.7991663</v>
      </c>
      <c r="S11" s="73">
        <f>'Monthly forecast'!T47</f>
        <v>765.6710594</v>
      </c>
      <c r="T11" s="73">
        <f>'Monthly forecast'!U47</f>
        <v>807.639757</v>
      </c>
      <c r="U11" s="73">
        <f>'Monthly forecast'!V47</f>
        <v>848.2246177</v>
      </c>
      <c r="V11" s="73">
        <f>'Monthly forecast'!W47</f>
        <v>893.8787906</v>
      </c>
      <c r="W11" s="73">
        <f>'Monthly forecast'!X47</f>
        <v>938.0997308</v>
      </c>
      <c r="X11" s="73">
        <f>'Monthly forecast'!Y47</f>
        <v>981.3731679</v>
      </c>
      <c r="Y11" s="73">
        <f>'Monthly forecast'!Z47</f>
        <v>1030.125509</v>
      </c>
      <c r="Z11" s="73">
        <f>'Monthly forecast'!AA47</f>
        <v>1077.833415</v>
      </c>
      <c r="AA11" s="73">
        <f>'Monthly forecast'!AB47</f>
        <v>1124.966972</v>
      </c>
      <c r="AB11" s="73">
        <f>'Monthly forecast'!AC47</f>
        <v>1177.941424</v>
      </c>
      <c r="AC11" s="73">
        <f>'Monthly forecast'!AD47</f>
        <v>1230.226182</v>
      </c>
      <c r="AD11" s="73">
        <f>'Monthly forecast'!AE47</f>
        <v>1282.287526</v>
      </c>
      <c r="AE11" s="73">
        <f>'Monthly forecast'!AF47</f>
        <v>1340.539932</v>
      </c>
      <c r="AF11" s="73">
        <f>'Monthly forecast'!AG47</f>
        <v>1398.454753</v>
      </c>
      <c r="AG11" s="73">
        <f>'Monthly forecast'!AH47</f>
        <v>1456.502642</v>
      </c>
      <c r="AH11" s="73">
        <f>'Monthly forecast'!AI47</f>
        <v>1515.104653</v>
      </c>
      <c r="AI11" s="73">
        <f>'Monthly forecast'!AJ47</f>
        <v>1574.640732</v>
      </c>
      <c r="AJ11" s="73">
        <f>'Monthly forecast'!AK47</f>
        <v>1635.456988</v>
      </c>
      <c r="AK11" s="73">
        <f>'Monthly forecast'!AL47</f>
        <v>1697.871924</v>
      </c>
      <c r="AL11" s="73">
        <f>'Monthly forecast'!AM47</f>
        <v>1762.181794</v>
      </c>
      <c r="AM11" s="73">
        <f>'Monthly forecast'!AN47</f>
        <v>1828.665217</v>
      </c>
      <c r="AN11" s="73">
        <f>'Monthly forecast'!AO47</f>
        <v>1897.58716</v>
      </c>
      <c r="AO11" s="73">
        <f>'Monthly forecast'!AP47</f>
        <v>1969.202399</v>
      </c>
      <c r="AP11" s="73">
        <f>'Monthly forecast'!AQ47</f>
        <v>2043.758517</v>
      </c>
      <c r="AQ11" s="73">
        <f>'Monthly forecast'!AR47</f>
        <v>2121.498541</v>
      </c>
      <c r="AR11" s="73">
        <f>'Monthly forecast'!AS47</f>
        <v>2202.663252</v>
      </c>
      <c r="AS11" s="73">
        <f>'Monthly forecast'!AT47</f>
        <v>2287.493231</v>
      </c>
      <c r="AT11" s="73">
        <f>'Monthly forecast'!AU47</f>
        <v>2376.230686</v>
      </c>
      <c r="AU11" s="73">
        <f>'Monthly forecast'!AV47</f>
        <v>2469.121095</v>
      </c>
      <c r="AV11" s="73">
        <f>'Monthly forecast'!AW47</f>
        <v>2566.414694</v>
      </c>
      <c r="AW11" s="73">
        <f>'Monthly forecast'!AX47</f>
        <v>2668.36784</v>
      </c>
      <c r="AX11" s="73">
        <f>'Monthly forecast'!AY47</f>
        <v>2775.244282</v>
      </c>
      <c r="AY11" s="73">
        <f>'Monthly forecast'!AZ47</f>
        <v>2887.316339</v>
      </c>
      <c r="AZ11" s="73">
        <f>'Monthly forecast'!BA47</f>
        <v>3004.866022</v>
      </c>
      <c r="BA11" s="73">
        <f>'Monthly forecast'!BB47</f>
        <v>3128.18611</v>
      </c>
      <c r="BB11" s="73">
        <f>'Monthly forecast'!BC47</f>
        <v>3257.581184</v>
      </c>
      <c r="BC11" s="73">
        <f>'Monthly forecast'!BD47</f>
        <v>3393.368646</v>
      </c>
      <c r="BD11" s="73">
        <f>'Monthly forecast'!BE47</f>
        <v>3535.879721</v>
      </c>
      <c r="BE11" s="73">
        <f>'Monthly forecast'!BF47</f>
        <v>3685.460453</v>
      </c>
      <c r="BF11" s="73">
        <f>'Monthly forecast'!BG47</f>
        <v>3842.47271</v>
      </c>
      <c r="BG11" s="73">
        <f>'Monthly forecast'!BH47</f>
        <v>4007.295195</v>
      </c>
      <c r="BH11" s="73">
        <f>'Monthly forecast'!BI47</f>
        <v>4180.324477</v>
      </c>
      <c r="BI11" s="73">
        <f>'Monthly forecast'!BJ47</f>
        <v>4361.976044</v>
      </c>
      <c r="BJ11" s="73">
        <f>'Monthly forecast'!BK47</f>
        <v>4552.685388</v>
      </c>
      <c r="BK11" s="73">
        <f>'Monthly forecast'!BL47</f>
        <v>4752.909118</v>
      </c>
      <c r="BL11" s="73">
        <f>'Monthly forecast'!BM47</f>
        <v>4963.126116</v>
      </c>
      <c r="BM11" s="73">
        <f>'Monthly forecast'!BN47</f>
        <v>5183.838732</v>
      </c>
      <c r="BN11" s="73">
        <f>'Monthly forecast'!BO47</f>
        <v>5415.574032</v>
      </c>
      <c r="BO11" s="73">
        <f>'Monthly forecast'!BP47</f>
        <v>5658.885093</v>
      </c>
      <c r="BP11" s="73">
        <f>'Monthly forecast'!BQ47</f>
        <v>5914.352353</v>
      </c>
      <c r="BQ11" s="73">
        <f>'Monthly forecast'!BR47</f>
        <v>6182.585025</v>
      </c>
      <c r="BR11" s="73">
        <f>'Monthly forecast'!BS47</f>
        <v>6464.222573</v>
      </c>
      <c r="BS11" s="73">
        <f>'Monthly forecast'!BT47</f>
        <v>6759.936253</v>
      </c>
      <c r="BT11" s="73">
        <f>'Monthly forecast'!BU47</f>
        <v>7070.430735</v>
      </c>
      <c r="BU11" s="73">
        <f>'Monthly forecast'!BV47</f>
        <v>7396.445791</v>
      </c>
      <c r="BV11" s="73">
        <f>'Monthly forecast'!BW47</f>
        <v>7738.758071</v>
      </c>
      <c r="BW11" s="73">
        <f>'Monthly forecast'!BX47</f>
        <v>8098.182967</v>
      </c>
      <c r="BX11" s="73">
        <f>'Monthly forecast'!BY47</f>
        <v>8475.576559</v>
      </c>
      <c r="BY11" s="73">
        <f>'Monthly forecast'!BZ47</f>
        <v>8871.837664</v>
      </c>
      <c r="BZ11" s="73">
        <f>'Monthly forecast'!CA47</f>
        <v>9287.909982</v>
      </c>
      <c r="CA11" s="73">
        <f>'Monthly forecast'!CB47</f>
        <v>9724.784352</v>
      </c>
      <c r="CB11" s="73">
        <f>'Monthly forecast'!CC47</f>
        <v>10183.50111</v>
      </c>
      <c r="CC11" s="73">
        <f>'Monthly forecast'!CD47</f>
        <v>10665.15257</v>
      </c>
      <c r="CD11" s="73">
        <f>'Monthly forecast'!CE47</f>
        <v>11170.88565</v>
      </c>
      <c r="CE11" s="73">
        <f>'Monthly forecast'!CF47</f>
        <v>11701.90456</v>
      </c>
      <c r="CF11" s="73">
        <f>'Monthly forecast'!CG47</f>
        <v>12259.47373</v>
      </c>
      <c r="CG11" s="73">
        <f>'Monthly forecast'!CH47</f>
        <v>12844.92076</v>
      </c>
      <c r="CH11" s="73">
        <f>'Monthly forecast'!CI47</f>
        <v>13459.63964</v>
      </c>
      <c r="CI11" s="73">
        <f>'Monthly forecast'!CJ47</f>
        <v>14105.09404</v>
      </c>
      <c r="CJ11" s="73">
        <f>'Monthly forecast'!CK47</f>
        <v>14782.82079</v>
      </c>
      <c r="CK11" s="73">
        <f>'Monthly forecast'!CL47</f>
        <v>15494.43358</v>
      </c>
      <c r="CL11" s="73">
        <f>'Monthly forecast'!CM47</f>
        <v>16241.62674</v>
      </c>
      <c r="CM11" s="73">
        <f>'Monthly forecast'!CN47</f>
        <v>17026.17934</v>
      </c>
      <c r="CN11" s="73">
        <f>'Monthly forecast'!CO47</f>
        <v>17849.95938</v>
      </c>
      <c r="CO11" s="73">
        <f>'Monthly forecast'!CP47</f>
        <v>18714.92826</v>
      </c>
      <c r="CP11" s="73">
        <f>'Monthly forecast'!CQ47</f>
        <v>19623.14545</v>
      </c>
      <c r="CQ11" s="73">
        <f>'Monthly forecast'!CR47</f>
        <v>20576.77338</v>
      </c>
      <c r="CR11" s="73">
        <f>'Monthly forecast'!CS47</f>
        <v>21578.08261</v>
      </c>
      <c r="CS11" s="73">
        <f>'Monthly forecast'!CT47</f>
        <v>22629.45722</v>
      </c>
      <c r="CT11" s="73">
        <f>'Monthly forecast'!CU47</f>
        <v>23733.40048</v>
      </c>
      <c r="CU11" s="73">
        <f>'Monthly forecast'!CV47</f>
        <v>24755.98041</v>
      </c>
      <c r="CV11" s="73">
        <f>'Monthly forecast'!CW47</f>
        <v>25625.17335</v>
      </c>
      <c r="CW11" s="73">
        <f>'Monthly forecast'!CX47</f>
        <v>26363.98735</v>
      </c>
    </row>
    <row r="12" ht="15.75" customHeight="1">
      <c r="A12" s="56" t="s">
        <v>254</v>
      </c>
      <c r="B12" s="56"/>
      <c r="C12" s="73">
        <f t="shared" ref="C12:CW12" si="3">C6-C11</f>
        <v>0</v>
      </c>
      <c r="D12" s="73">
        <f t="shared" si="3"/>
        <v>2138.365</v>
      </c>
      <c r="E12" s="73">
        <f t="shared" si="3"/>
        <v>4054.033316</v>
      </c>
      <c r="F12" s="73">
        <f t="shared" si="3"/>
        <v>5785.401353</v>
      </c>
      <c r="G12" s="73">
        <f t="shared" si="3"/>
        <v>7559.358095</v>
      </c>
      <c r="H12" s="73">
        <f t="shared" si="3"/>
        <v>9181.024061</v>
      </c>
      <c r="I12" s="73">
        <f t="shared" si="3"/>
        <v>10679.03006</v>
      </c>
      <c r="J12" s="73">
        <f t="shared" si="3"/>
        <v>12272.00485</v>
      </c>
      <c r="K12" s="73">
        <f t="shared" si="3"/>
        <v>13758.09028</v>
      </c>
      <c r="L12" s="73">
        <f t="shared" si="3"/>
        <v>15156.48441</v>
      </c>
      <c r="M12" s="73">
        <f t="shared" si="3"/>
        <v>16646.6043</v>
      </c>
      <c r="N12" s="73">
        <f t="shared" si="3"/>
        <v>18026.06534</v>
      </c>
      <c r="O12" s="73">
        <f t="shared" si="3"/>
        <v>19317.1093</v>
      </c>
      <c r="P12" s="73">
        <f t="shared" si="3"/>
        <v>20732.92386</v>
      </c>
      <c r="Q12" s="73">
        <f t="shared" si="3"/>
        <v>22067.01478</v>
      </c>
      <c r="R12" s="73">
        <f t="shared" si="3"/>
        <v>23338.17304</v>
      </c>
      <c r="S12" s="73">
        <f t="shared" si="3"/>
        <v>24756.69759</v>
      </c>
      <c r="T12" s="73">
        <f t="shared" si="3"/>
        <v>26113.68548</v>
      </c>
      <c r="U12" s="73">
        <f t="shared" si="3"/>
        <v>27425.92931</v>
      </c>
      <c r="V12" s="73">
        <f t="shared" si="3"/>
        <v>28902.0809</v>
      </c>
      <c r="W12" s="73">
        <f t="shared" si="3"/>
        <v>30331.8913</v>
      </c>
      <c r="X12" s="73">
        <f t="shared" si="3"/>
        <v>31731.06576</v>
      </c>
      <c r="Y12" s="73">
        <f t="shared" si="3"/>
        <v>33307.39147</v>
      </c>
      <c r="Z12" s="73">
        <f t="shared" si="3"/>
        <v>34849.94709</v>
      </c>
      <c r="AA12" s="73">
        <f t="shared" si="3"/>
        <v>36373.9321</v>
      </c>
      <c r="AB12" s="73">
        <f t="shared" si="3"/>
        <v>38086.7727</v>
      </c>
      <c r="AC12" s="73">
        <f t="shared" si="3"/>
        <v>39777.31323</v>
      </c>
      <c r="AD12" s="73">
        <f t="shared" si="3"/>
        <v>41460.63001</v>
      </c>
      <c r="AE12" s="73">
        <f t="shared" si="3"/>
        <v>43344.12446</v>
      </c>
      <c r="AF12" s="73">
        <f t="shared" si="3"/>
        <v>45216.70368</v>
      </c>
      <c r="AG12" s="73">
        <f t="shared" si="3"/>
        <v>47093.58542</v>
      </c>
      <c r="AH12" s="73">
        <f t="shared" si="3"/>
        <v>48988.38377</v>
      </c>
      <c r="AI12" s="73">
        <f t="shared" si="3"/>
        <v>50913.38366</v>
      </c>
      <c r="AJ12" s="73">
        <f t="shared" si="3"/>
        <v>52879.77595</v>
      </c>
      <c r="AK12" s="73">
        <f t="shared" si="3"/>
        <v>54897.85889</v>
      </c>
      <c r="AL12" s="73">
        <f t="shared" si="3"/>
        <v>56977.21135</v>
      </c>
      <c r="AM12" s="73">
        <f t="shared" si="3"/>
        <v>59126.84201</v>
      </c>
      <c r="AN12" s="73">
        <f t="shared" si="3"/>
        <v>61355.31818</v>
      </c>
      <c r="AO12" s="73">
        <f t="shared" si="3"/>
        <v>63670.87756</v>
      </c>
      <c r="AP12" s="73">
        <f t="shared" si="3"/>
        <v>66081.52538</v>
      </c>
      <c r="AQ12" s="73">
        <f t="shared" si="3"/>
        <v>68595.1195</v>
      </c>
      <c r="AR12" s="73">
        <f t="shared" si="3"/>
        <v>71219.44515</v>
      </c>
      <c r="AS12" s="73">
        <f t="shared" si="3"/>
        <v>73962.28114</v>
      </c>
      <c r="AT12" s="73">
        <f t="shared" si="3"/>
        <v>76831.45886</v>
      </c>
      <c r="AU12" s="73">
        <f t="shared" si="3"/>
        <v>79834.91542</v>
      </c>
      <c r="AV12" s="73">
        <f t="shared" si="3"/>
        <v>82980.74176</v>
      </c>
      <c r="AW12" s="73">
        <f t="shared" si="3"/>
        <v>86277.22684</v>
      </c>
      <c r="AX12" s="73">
        <f t="shared" si="3"/>
        <v>89732.89847</v>
      </c>
      <c r="AY12" s="73">
        <f t="shared" si="3"/>
        <v>93356.56164</v>
      </c>
      <c r="AZ12" s="73">
        <f t="shared" si="3"/>
        <v>97157.33473</v>
      </c>
      <c r="BA12" s="73">
        <f t="shared" si="3"/>
        <v>101144.6842</v>
      </c>
      <c r="BB12" s="73">
        <f t="shared" si="3"/>
        <v>105328.4583</v>
      </c>
      <c r="BC12" s="73">
        <f t="shared" si="3"/>
        <v>109718.9196</v>
      </c>
      <c r="BD12" s="73">
        <f t="shared" si="3"/>
        <v>114326.7776</v>
      </c>
      <c r="BE12" s="73">
        <f t="shared" si="3"/>
        <v>119163.2213</v>
      </c>
      <c r="BF12" s="73">
        <f t="shared" si="3"/>
        <v>124239.951</v>
      </c>
      <c r="BG12" s="73">
        <f t="shared" si="3"/>
        <v>129569.2113</v>
      </c>
      <c r="BH12" s="73">
        <f t="shared" si="3"/>
        <v>135163.8247</v>
      </c>
      <c r="BI12" s="73">
        <f t="shared" si="3"/>
        <v>141037.2254</v>
      </c>
      <c r="BJ12" s="73">
        <f t="shared" si="3"/>
        <v>147203.4942</v>
      </c>
      <c r="BK12" s="73">
        <f t="shared" si="3"/>
        <v>153677.3948</v>
      </c>
      <c r="BL12" s="73">
        <f t="shared" si="3"/>
        <v>160474.4111</v>
      </c>
      <c r="BM12" s="73">
        <f t="shared" si="3"/>
        <v>167610.7857</v>
      </c>
      <c r="BN12" s="73">
        <f t="shared" si="3"/>
        <v>175103.5604</v>
      </c>
      <c r="BO12" s="73">
        <f t="shared" si="3"/>
        <v>182970.618</v>
      </c>
      <c r="BP12" s="73">
        <f t="shared" si="3"/>
        <v>191230.7261</v>
      </c>
      <c r="BQ12" s="73">
        <f t="shared" si="3"/>
        <v>199903.5825</v>
      </c>
      <c r="BR12" s="73">
        <f t="shared" si="3"/>
        <v>209009.8632</v>
      </c>
      <c r="BS12" s="73">
        <f t="shared" si="3"/>
        <v>218571.2722</v>
      </c>
      <c r="BT12" s="73">
        <f t="shared" si="3"/>
        <v>228610.5938</v>
      </c>
      <c r="BU12" s="73">
        <f t="shared" si="3"/>
        <v>239151.7472</v>
      </c>
      <c r="BV12" s="73">
        <f t="shared" si="3"/>
        <v>250219.8443</v>
      </c>
      <c r="BW12" s="73">
        <f t="shared" si="3"/>
        <v>261841.2493</v>
      </c>
      <c r="BX12" s="73">
        <f t="shared" si="3"/>
        <v>274043.6421</v>
      </c>
      <c r="BY12" s="73">
        <f t="shared" si="3"/>
        <v>286856.0845</v>
      </c>
      <c r="BZ12" s="73">
        <f t="shared" si="3"/>
        <v>300309.0894</v>
      </c>
      <c r="CA12" s="73">
        <f t="shared" si="3"/>
        <v>314434.694</v>
      </c>
      <c r="CB12" s="73">
        <f t="shared" si="3"/>
        <v>329266.5359</v>
      </c>
      <c r="CC12" s="73">
        <f t="shared" si="3"/>
        <v>344839.9332</v>
      </c>
      <c r="CD12" s="73">
        <f t="shared" si="3"/>
        <v>361191.9693</v>
      </c>
      <c r="CE12" s="73">
        <f t="shared" si="3"/>
        <v>378361.5808</v>
      </c>
      <c r="CF12" s="73">
        <f t="shared" si="3"/>
        <v>396389.6505</v>
      </c>
      <c r="CG12" s="73">
        <f t="shared" si="3"/>
        <v>415319.1045</v>
      </c>
      <c r="CH12" s="73">
        <f t="shared" si="3"/>
        <v>435195.015</v>
      </c>
      <c r="CI12" s="73">
        <f t="shared" si="3"/>
        <v>456064.7072</v>
      </c>
      <c r="CJ12" s="73">
        <f t="shared" si="3"/>
        <v>477977.8723</v>
      </c>
      <c r="CK12" s="73">
        <f t="shared" si="3"/>
        <v>500986.6857</v>
      </c>
      <c r="CL12" s="73">
        <f t="shared" si="3"/>
        <v>525145.9314</v>
      </c>
      <c r="CM12" s="73">
        <f t="shared" si="3"/>
        <v>550513.132</v>
      </c>
      <c r="CN12" s="73">
        <f t="shared" si="3"/>
        <v>577148.6867</v>
      </c>
      <c r="CO12" s="73">
        <f t="shared" si="3"/>
        <v>605116.0138</v>
      </c>
      <c r="CP12" s="73">
        <f t="shared" si="3"/>
        <v>634481.7029</v>
      </c>
      <c r="CQ12" s="73">
        <f t="shared" si="3"/>
        <v>665315.6726</v>
      </c>
      <c r="CR12" s="73">
        <f t="shared" si="3"/>
        <v>697691.3377</v>
      </c>
      <c r="CS12" s="73">
        <f t="shared" si="3"/>
        <v>731685.7833</v>
      </c>
      <c r="CT12" s="73">
        <f t="shared" si="3"/>
        <v>767379.9489</v>
      </c>
      <c r="CU12" s="73">
        <f t="shared" si="3"/>
        <v>800443.3666</v>
      </c>
      <c r="CV12" s="73">
        <f t="shared" si="3"/>
        <v>828547.2716</v>
      </c>
      <c r="CW12" s="73">
        <f t="shared" si="3"/>
        <v>852435.5908</v>
      </c>
    </row>
    <row r="13" ht="15.75" customHeight="1">
      <c r="A13" s="172" t="s">
        <v>255</v>
      </c>
      <c r="B13" s="172"/>
      <c r="C13" s="172">
        <f t="shared" ref="C13:CW13" si="4">iferror(C12/#REF!,0)</f>
        <v>0</v>
      </c>
      <c r="D13" s="172">
        <f t="shared" si="4"/>
        <v>0</v>
      </c>
      <c r="E13" s="172">
        <f t="shared" si="4"/>
        <v>0</v>
      </c>
      <c r="F13" s="172">
        <f t="shared" si="4"/>
        <v>0</v>
      </c>
      <c r="G13" s="172">
        <f t="shared" si="4"/>
        <v>0</v>
      </c>
      <c r="H13" s="172">
        <f t="shared" si="4"/>
        <v>0</v>
      </c>
      <c r="I13" s="172">
        <f t="shared" si="4"/>
        <v>0</v>
      </c>
      <c r="J13" s="172">
        <f t="shared" si="4"/>
        <v>0</v>
      </c>
      <c r="K13" s="172">
        <f t="shared" si="4"/>
        <v>0</v>
      </c>
      <c r="L13" s="172">
        <f t="shared" si="4"/>
        <v>0</v>
      </c>
      <c r="M13" s="172">
        <f t="shared" si="4"/>
        <v>0</v>
      </c>
      <c r="N13" s="172">
        <f t="shared" si="4"/>
        <v>0</v>
      </c>
      <c r="O13" s="172">
        <f t="shared" si="4"/>
        <v>0</v>
      </c>
      <c r="P13" s="172">
        <f t="shared" si="4"/>
        <v>0</v>
      </c>
      <c r="Q13" s="172">
        <f t="shared" si="4"/>
        <v>0</v>
      </c>
      <c r="R13" s="172">
        <f t="shared" si="4"/>
        <v>0</v>
      </c>
      <c r="S13" s="172">
        <f t="shared" si="4"/>
        <v>0</v>
      </c>
      <c r="T13" s="172">
        <f t="shared" si="4"/>
        <v>0</v>
      </c>
      <c r="U13" s="172">
        <f t="shared" si="4"/>
        <v>0</v>
      </c>
      <c r="V13" s="172">
        <f t="shared" si="4"/>
        <v>0</v>
      </c>
      <c r="W13" s="172">
        <f t="shared" si="4"/>
        <v>0</v>
      </c>
      <c r="X13" s="172">
        <f t="shared" si="4"/>
        <v>0</v>
      </c>
      <c r="Y13" s="172">
        <f t="shared" si="4"/>
        <v>0</v>
      </c>
      <c r="Z13" s="172">
        <f t="shared" si="4"/>
        <v>0</v>
      </c>
      <c r="AA13" s="172">
        <f t="shared" si="4"/>
        <v>0</v>
      </c>
      <c r="AB13" s="172">
        <f t="shared" si="4"/>
        <v>0</v>
      </c>
      <c r="AC13" s="172">
        <f t="shared" si="4"/>
        <v>0</v>
      </c>
      <c r="AD13" s="172">
        <f t="shared" si="4"/>
        <v>0</v>
      </c>
      <c r="AE13" s="172">
        <f t="shared" si="4"/>
        <v>0</v>
      </c>
      <c r="AF13" s="172">
        <f t="shared" si="4"/>
        <v>0</v>
      </c>
      <c r="AG13" s="172">
        <f t="shared" si="4"/>
        <v>0</v>
      </c>
      <c r="AH13" s="172">
        <f t="shared" si="4"/>
        <v>0</v>
      </c>
      <c r="AI13" s="172">
        <f t="shared" si="4"/>
        <v>0</v>
      </c>
      <c r="AJ13" s="172">
        <f t="shared" si="4"/>
        <v>0</v>
      </c>
      <c r="AK13" s="172">
        <f t="shared" si="4"/>
        <v>0</v>
      </c>
      <c r="AL13" s="172">
        <f t="shared" si="4"/>
        <v>0</v>
      </c>
      <c r="AM13" s="172">
        <f t="shared" si="4"/>
        <v>0</v>
      </c>
      <c r="AN13" s="172">
        <f t="shared" si="4"/>
        <v>0</v>
      </c>
      <c r="AO13" s="172">
        <f t="shared" si="4"/>
        <v>0</v>
      </c>
      <c r="AP13" s="172">
        <f t="shared" si="4"/>
        <v>0</v>
      </c>
      <c r="AQ13" s="172">
        <f t="shared" si="4"/>
        <v>0</v>
      </c>
      <c r="AR13" s="172">
        <f t="shared" si="4"/>
        <v>0</v>
      </c>
      <c r="AS13" s="172">
        <f t="shared" si="4"/>
        <v>0</v>
      </c>
      <c r="AT13" s="172">
        <f t="shared" si="4"/>
        <v>0</v>
      </c>
      <c r="AU13" s="172">
        <f t="shared" si="4"/>
        <v>0</v>
      </c>
      <c r="AV13" s="172">
        <f t="shared" si="4"/>
        <v>0</v>
      </c>
      <c r="AW13" s="172">
        <f t="shared" si="4"/>
        <v>0</v>
      </c>
      <c r="AX13" s="172">
        <f t="shared" si="4"/>
        <v>0</v>
      </c>
      <c r="AY13" s="172">
        <f t="shared" si="4"/>
        <v>0</v>
      </c>
      <c r="AZ13" s="172">
        <f t="shared" si="4"/>
        <v>0</v>
      </c>
      <c r="BA13" s="172">
        <f t="shared" si="4"/>
        <v>0</v>
      </c>
      <c r="BB13" s="172">
        <f t="shared" si="4"/>
        <v>0</v>
      </c>
      <c r="BC13" s="172">
        <f t="shared" si="4"/>
        <v>0</v>
      </c>
      <c r="BD13" s="172">
        <f t="shared" si="4"/>
        <v>0</v>
      </c>
      <c r="BE13" s="172">
        <f t="shared" si="4"/>
        <v>0</v>
      </c>
      <c r="BF13" s="172">
        <f t="shared" si="4"/>
        <v>0</v>
      </c>
      <c r="BG13" s="172">
        <f t="shared" si="4"/>
        <v>0</v>
      </c>
      <c r="BH13" s="172">
        <f t="shared" si="4"/>
        <v>0</v>
      </c>
      <c r="BI13" s="172">
        <f t="shared" si="4"/>
        <v>0</v>
      </c>
      <c r="BJ13" s="172">
        <f t="shared" si="4"/>
        <v>0</v>
      </c>
      <c r="BK13" s="172">
        <f t="shared" si="4"/>
        <v>0</v>
      </c>
      <c r="BL13" s="172">
        <f t="shared" si="4"/>
        <v>0</v>
      </c>
      <c r="BM13" s="172">
        <f t="shared" si="4"/>
        <v>0</v>
      </c>
      <c r="BN13" s="172">
        <f t="shared" si="4"/>
        <v>0</v>
      </c>
      <c r="BO13" s="172">
        <f t="shared" si="4"/>
        <v>0</v>
      </c>
      <c r="BP13" s="172">
        <f t="shared" si="4"/>
        <v>0</v>
      </c>
      <c r="BQ13" s="172">
        <f t="shared" si="4"/>
        <v>0</v>
      </c>
      <c r="BR13" s="172">
        <f t="shared" si="4"/>
        <v>0</v>
      </c>
      <c r="BS13" s="172">
        <f t="shared" si="4"/>
        <v>0</v>
      </c>
      <c r="BT13" s="172">
        <f t="shared" si="4"/>
        <v>0</v>
      </c>
      <c r="BU13" s="172">
        <f t="shared" si="4"/>
        <v>0</v>
      </c>
      <c r="BV13" s="172">
        <f t="shared" si="4"/>
        <v>0</v>
      </c>
      <c r="BW13" s="172">
        <f t="shared" si="4"/>
        <v>0</v>
      </c>
      <c r="BX13" s="172">
        <f t="shared" si="4"/>
        <v>0</v>
      </c>
      <c r="BY13" s="172">
        <f t="shared" si="4"/>
        <v>0</v>
      </c>
      <c r="BZ13" s="172">
        <f t="shared" si="4"/>
        <v>0</v>
      </c>
      <c r="CA13" s="172">
        <f t="shared" si="4"/>
        <v>0</v>
      </c>
      <c r="CB13" s="172">
        <f t="shared" si="4"/>
        <v>0</v>
      </c>
      <c r="CC13" s="172">
        <f t="shared" si="4"/>
        <v>0</v>
      </c>
      <c r="CD13" s="172">
        <f t="shared" si="4"/>
        <v>0</v>
      </c>
      <c r="CE13" s="172">
        <f t="shared" si="4"/>
        <v>0</v>
      </c>
      <c r="CF13" s="172">
        <f t="shared" si="4"/>
        <v>0</v>
      </c>
      <c r="CG13" s="172">
        <f t="shared" si="4"/>
        <v>0</v>
      </c>
      <c r="CH13" s="172">
        <f t="shared" si="4"/>
        <v>0</v>
      </c>
      <c r="CI13" s="172">
        <f t="shared" si="4"/>
        <v>0</v>
      </c>
      <c r="CJ13" s="172">
        <f t="shared" si="4"/>
        <v>0</v>
      </c>
      <c r="CK13" s="172">
        <f t="shared" si="4"/>
        <v>0</v>
      </c>
      <c r="CL13" s="172">
        <f t="shared" si="4"/>
        <v>0</v>
      </c>
      <c r="CM13" s="172">
        <f t="shared" si="4"/>
        <v>0</v>
      </c>
      <c r="CN13" s="172">
        <f t="shared" si="4"/>
        <v>0</v>
      </c>
      <c r="CO13" s="172">
        <f t="shared" si="4"/>
        <v>0</v>
      </c>
      <c r="CP13" s="172">
        <f t="shared" si="4"/>
        <v>0</v>
      </c>
      <c r="CQ13" s="172">
        <f t="shared" si="4"/>
        <v>0</v>
      </c>
      <c r="CR13" s="172">
        <f t="shared" si="4"/>
        <v>0</v>
      </c>
      <c r="CS13" s="172">
        <f t="shared" si="4"/>
        <v>0</v>
      </c>
      <c r="CT13" s="172">
        <f t="shared" si="4"/>
        <v>0</v>
      </c>
      <c r="CU13" s="172">
        <f t="shared" si="4"/>
        <v>0</v>
      </c>
      <c r="CV13" s="172">
        <f t="shared" si="4"/>
        <v>0</v>
      </c>
      <c r="CW13" s="172">
        <f t="shared" si="4"/>
        <v>0</v>
      </c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ht="15.75" customHeight="1">
      <c r="A15" s="173" t="s">
        <v>164</v>
      </c>
      <c r="B15" s="174"/>
      <c r="C15" s="73" t="str">
        <f>'Monthly forecast'!D53</f>
        <v/>
      </c>
      <c r="D15" s="73">
        <f>'Monthly forecast'!E53</f>
        <v>7076.923077</v>
      </c>
      <c r="E15" s="73">
        <f>'Monthly forecast'!F53</f>
        <v>7076.923077</v>
      </c>
      <c r="F15" s="73">
        <f>'Monthly forecast'!G53</f>
        <v>7076.923077</v>
      </c>
      <c r="G15" s="73">
        <f>'Monthly forecast'!H53</f>
        <v>7076.923077</v>
      </c>
      <c r="H15" s="73">
        <f>'Monthly forecast'!I53</f>
        <v>7076.923077</v>
      </c>
      <c r="I15" s="73">
        <f>'Monthly forecast'!J53</f>
        <v>7076.923077</v>
      </c>
      <c r="J15" s="73">
        <f>'Monthly forecast'!K53</f>
        <v>7076.923077</v>
      </c>
      <c r="K15" s="73">
        <f>'Monthly forecast'!L53</f>
        <v>7076.923077</v>
      </c>
      <c r="L15" s="73">
        <f>'Monthly forecast'!M53</f>
        <v>7076.923077</v>
      </c>
      <c r="M15" s="73">
        <f>'Monthly forecast'!N53</f>
        <v>8615.384615</v>
      </c>
      <c r="N15" s="73">
        <f>'Monthly forecast'!O53</f>
        <v>8615.384615</v>
      </c>
      <c r="O15" s="73">
        <f>'Monthly forecast'!P53</f>
        <v>8615.384615</v>
      </c>
      <c r="P15" s="73">
        <f>'Monthly forecast'!Q53</f>
        <v>8707.692308</v>
      </c>
      <c r="Q15" s="73">
        <f>'Monthly forecast'!R53</f>
        <v>8707.692308</v>
      </c>
      <c r="R15" s="73">
        <f>'Monthly forecast'!S53</f>
        <v>8707.692308</v>
      </c>
      <c r="S15" s="73">
        <f>'Monthly forecast'!T53</f>
        <v>8707.692308</v>
      </c>
      <c r="T15" s="73">
        <f>'Monthly forecast'!U53</f>
        <v>8707.692308</v>
      </c>
      <c r="U15" s="73">
        <f>'Monthly forecast'!V53</f>
        <v>8707.692308</v>
      </c>
      <c r="V15" s="73">
        <f>'Monthly forecast'!W53</f>
        <v>8707.692308</v>
      </c>
      <c r="W15" s="73">
        <f>'Monthly forecast'!X53</f>
        <v>10276.92308</v>
      </c>
      <c r="X15" s="73">
        <f>'Monthly forecast'!Y53</f>
        <v>10276.92308</v>
      </c>
      <c r="Y15" s="73">
        <f>'Monthly forecast'!Z53</f>
        <v>10276.92308</v>
      </c>
      <c r="Z15" s="73">
        <f>'Monthly forecast'!AA53</f>
        <v>10276.92308</v>
      </c>
      <c r="AA15" s="73">
        <f>'Monthly forecast'!AB53</f>
        <v>10276.92308</v>
      </c>
      <c r="AB15" s="73">
        <f>'Monthly forecast'!AC53</f>
        <v>10402.46154</v>
      </c>
      <c r="AC15" s="73">
        <f>'Monthly forecast'!AD53</f>
        <v>18094.76923</v>
      </c>
      <c r="AD15" s="73">
        <f>'Monthly forecast'!AE53</f>
        <v>19695.38462</v>
      </c>
      <c r="AE15" s="73">
        <f>'Monthly forecast'!AF53</f>
        <v>19695.38462</v>
      </c>
      <c r="AF15" s="73">
        <f>'Monthly forecast'!AG53</f>
        <v>19695.38462</v>
      </c>
      <c r="AG15" s="73">
        <f>'Monthly forecast'!AH53</f>
        <v>19695.38462</v>
      </c>
      <c r="AH15" s="73">
        <f>'Monthly forecast'!AI53</f>
        <v>19695.38462</v>
      </c>
      <c r="AI15" s="73">
        <f>'Monthly forecast'!AJ53</f>
        <v>21296</v>
      </c>
      <c r="AJ15" s="73">
        <f>'Monthly forecast'!AK53</f>
        <v>21296</v>
      </c>
      <c r="AK15" s="73">
        <f>'Monthly forecast'!AL53</f>
        <v>33603.69231</v>
      </c>
      <c r="AL15" s="73">
        <f>'Monthly forecast'!AM53</f>
        <v>33603.69231</v>
      </c>
      <c r="AM15" s="73">
        <f>'Monthly forecast'!AN53</f>
        <v>35204.30769</v>
      </c>
      <c r="AN15" s="73">
        <f>'Monthly forecast'!AO53</f>
        <v>35428.39385</v>
      </c>
      <c r="AO15" s="73">
        <f>'Monthly forecast'!AP53</f>
        <v>66274.54769</v>
      </c>
      <c r="AP15" s="73">
        <f>'Monthly forecast'!AQ53</f>
        <v>66274.54769</v>
      </c>
      <c r="AQ15" s="73">
        <f>'Monthly forecast'!AR53</f>
        <v>67907.17538</v>
      </c>
      <c r="AR15" s="73">
        <f>'Monthly forecast'!AS53</f>
        <v>67907.17538</v>
      </c>
      <c r="AS15" s="73">
        <f>'Monthly forecast'!AT53</f>
        <v>67907.17538</v>
      </c>
      <c r="AT15" s="73">
        <f>'Monthly forecast'!AU53</f>
        <v>69539.80308</v>
      </c>
      <c r="AU15" s="73">
        <f>'Monthly forecast'!AV53</f>
        <v>69539.80308</v>
      </c>
      <c r="AV15" s="73">
        <f>'Monthly forecast'!AW53</f>
        <v>71172.43077</v>
      </c>
      <c r="AW15" s="73">
        <f>'Monthly forecast'!AX53</f>
        <v>71172.43077</v>
      </c>
      <c r="AX15" s="73">
        <f>'Monthly forecast'!AY53</f>
        <v>71172.43077</v>
      </c>
      <c r="AY15" s="73">
        <f>'Monthly forecast'!AZ53</f>
        <v>72805.05846</v>
      </c>
      <c r="AZ15" s="73">
        <f>'Monthly forecast'!BA53</f>
        <v>73164.23655</v>
      </c>
      <c r="BA15" s="73">
        <f>'Monthly forecast'!BB53</f>
        <v>75417.20911</v>
      </c>
      <c r="BB15" s="73">
        <f>'Monthly forecast'!BC53</f>
        <v>75417.20911</v>
      </c>
      <c r="BC15" s="73">
        <f>'Monthly forecast'!BD53</f>
        <v>77082.48935</v>
      </c>
      <c r="BD15" s="73">
        <f>'Monthly forecast'!BE53</f>
        <v>78747.7696</v>
      </c>
      <c r="BE15" s="73">
        <f>'Monthly forecast'!BF53</f>
        <v>78747.7696</v>
      </c>
      <c r="BF15" s="73">
        <f>'Monthly forecast'!BG53</f>
        <v>80413.04985</v>
      </c>
      <c r="BG15" s="73">
        <f>'Monthly forecast'!BH53</f>
        <v>82078.33009</v>
      </c>
      <c r="BH15" s="73">
        <f>'Monthly forecast'!BI53</f>
        <v>82078.33009</v>
      </c>
      <c r="BI15" s="73">
        <f>'Monthly forecast'!BJ53</f>
        <v>83743.61034</v>
      </c>
      <c r="BJ15" s="73">
        <f>'Monthly forecast'!BK53</f>
        <v>85408.89058</v>
      </c>
      <c r="BK15" s="73">
        <f>'Monthly forecast'!BL53</f>
        <v>87074.17083</v>
      </c>
      <c r="BL15" s="73">
        <f>'Monthly forecast'!BM53</f>
        <v>89405.56318</v>
      </c>
      <c r="BM15" s="73">
        <f>'Monthly forecast'!BN53</f>
        <v>91712.21056</v>
      </c>
      <c r="BN15" s="73">
        <f>'Monthly forecast'!BO53</f>
        <v>93410.79642</v>
      </c>
      <c r="BO15" s="73">
        <f>'Monthly forecast'!BP53</f>
        <v>95109.38227</v>
      </c>
      <c r="BP15" s="73">
        <f>'Monthly forecast'!BQ53</f>
        <v>96807.96812</v>
      </c>
      <c r="BQ15" s="73">
        <f>'Monthly forecast'!BR53</f>
        <v>98506.55397</v>
      </c>
      <c r="BR15" s="73">
        <f>'Monthly forecast'!BS53</f>
        <v>100205.1398</v>
      </c>
      <c r="BS15" s="73">
        <f>'Monthly forecast'!BT53</f>
        <v>101903.7257</v>
      </c>
      <c r="BT15" s="73">
        <f>'Monthly forecast'!BU53</f>
        <v>105300.8974</v>
      </c>
      <c r="BU15" s="73">
        <f>'Monthly forecast'!BV53</f>
        <v>106999.4832</v>
      </c>
      <c r="BV15" s="73">
        <f>'Monthly forecast'!BW53</f>
        <v>108698.0691</v>
      </c>
      <c r="BW15" s="73">
        <f>'Monthly forecast'!BX53</f>
        <v>112095.2408</v>
      </c>
      <c r="BX15" s="73">
        <f>'Monthly forecast'!BY53</f>
        <v>116681.4226</v>
      </c>
      <c r="BY15" s="73">
        <f>'Monthly forecast'!BZ53</f>
        <v>119043.1629</v>
      </c>
      <c r="BZ15" s="73">
        <f>'Monthly forecast'!CA53</f>
        <v>122508.278</v>
      </c>
      <c r="CA15" s="73">
        <f>'Monthly forecast'!CB53</f>
        <v>125973.3932</v>
      </c>
      <c r="CB15" s="73">
        <f>'Monthly forecast'!CC53</f>
        <v>129438.5083</v>
      </c>
      <c r="CC15" s="73">
        <f>'Monthly forecast'!CD53</f>
        <v>132903.6235</v>
      </c>
      <c r="CD15" s="73">
        <f>'Monthly forecast'!CE53</f>
        <v>136368.7386</v>
      </c>
      <c r="CE15" s="73">
        <f>'Monthly forecast'!CF53</f>
        <v>139833.8537</v>
      </c>
      <c r="CF15" s="73">
        <f>'Monthly forecast'!CG53</f>
        <v>145031.5264</v>
      </c>
      <c r="CG15" s="73">
        <f>'Monthly forecast'!CH53</f>
        <v>148496.6416</v>
      </c>
      <c r="CH15" s="73">
        <f>'Monthly forecast'!CI53</f>
        <v>153694.3143</v>
      </c>
      <c r="CI15" s="73">
        <f>'Monthly forecast'!CJ53</f>
        <v>157159.4294</v>
      </c>
      <c r="CJ15" s="73">
        <f>'Monthly forecast'!CK53</f>
        <v>164470.8223</v>
      </c>
      <c r="CK15" s="73">
        <f>'Monthly forecast'!CL53</f>
        <v>170423.5333</v>
      </c>
      <c r="CL15" s="73">
        <f>'Monthly forecast'!CM53</f>
        <v>175725.1595</v>
      </c>
      <c r="CM15" s="73">
        <f>'Monthly forecast'!CN53</f>
        <v>182793.9944</v>
      </c>
      <c r="CN15" s="73">
        <f>'Monthly forecast'!CO53</f>
        <v>188095.6205</v>
      </c>
      <c r="CO15" s="73">
        <f>'Monthly forecast'!CP53</f>
        <v>195164.4554</v>
      </c>
      <c r="CP15" s="73">
        <f>'Monthly forecast'!CQ53</f>
        <v>202233.2903</v>
      </c>
      <c r="CQ15" s="73">
        <f>'Monthly forecast'!CR53</f>
        <v>209302.1252</v>
      </c>
      <c r="CR15" s="73">
        <f>'Monthly forecast'!CS53</f>
        <v>216370.96</v>
      </c>
      <c r="CS15" s="73">
        <f>'Monthly forecast'!CT53</f>
        <v>223439.7949</v>
      </c>
      <c r="CT15" s="73">
        <f>'Monthly forecast'!CU53</f>
        <v>232275.8385</v>
      </c>
      <c r="CU15" s="73">
        <f>'Monthly forecast'!CV53</f>
        <v>235810.256</v>
      </c>
      <c r="CV15" s="73">
        <f>'Monthly forecast'!CW53</f>
        <v>239380.0176</v>
      </c>
      <c r="CW15" s="73">
        <f>'Monthly forecast'!CX53</f>
        <v>240053.8152</v>
      </c>
    </row>
    <row r="16" ht="15.75" customHeight="1">
      <c r="A16" s="6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ht="15.75" customHeight="1">
      <c r="A17" s="61" t="s">
        <v>256</v>
      </c>
      <c r="B17" s="1"/>
      <c r="C17" s="56">
        <f t="shared" ref="C17:CW17" si="5">C12-C15</f>
        <v>0</v>
      </c>
      <c r="D17" s="56">
        <f t="shared" si="5"/>
        <v>-4938.558077</v>
      </c>
      <c r="E17" s="56">
        <f t="shared" si="5"/>
        <v>-3022.889761</v>
      </c>
      <c r="F17" s="56">
        <f t="shared" si="5"/>
        <v>-1291.521724</v>
      </c>
      <c r="G17" s="56">
        <f t="shared" si="5"/>
        <v>482.4350181</v>
      </c>
      <c r="H17" s="56">
        <f t="shared" si="5"/>
        <v>2104.100984</v>
      </c>
      <c r="I17" s="56">
        <f t="shared" si="5"/>
        <v>3602.106988</v>
      </c>
      <c r="J17" s="56">
        <f t="shared" si="5"/>
        <v>5195.08177</v>
      </c>
      <c r="K17" s="56">
        <f t="shared" si="5"/>
        <v>6681.167199</v>
      </c>
      <c r="L17" s="56">
        <f t="shared" si="5"/>
        <v>8079.561329</v>
      </c>
      <c r="M17" s="56">
        <f t="shared" si="5"/>
        <v>8031.219684</v>
      </c>
      <c r="N17" s="56">
        <f t="shared" si="5"/>
        <v>9410.680721</v>
      </c>
      <c r="O17" s="56">
        <f t="shared" si="5"/>
        <v>10701.72469</v>
      </c>
      <c r="P17" s="56">
        <f t="shared" si="5"/>
        <v>12025.23155</v>
      </c>
      <c r="Q17" s="56">
        <f t="shared" si="5"/>
        <v>13359.32248</v>
      </c>
      <c r="R17" s="56">
        <f t="shared" si="5"/>
        <v>14630.48074</v>
      </c>
      <c r="S17" s="56">
        <f t="shared" si="5"/>
        <v>16049.00528</v>
      </c>
      <c r="T17" s="56">
        <f t="shared" si="5"/>
        <v>17405.99317</v>
      </c>
      <c r="U17" s="56">
        <f t="shared" si="5"/>
        <v>18718.237</v>
      </c>
      <c r="V17" s="56">
        <f t="shared" si="5"/>
        <v>20194.38859</v>
      </c>
      <c r="W17" s="56">
        <f t="shared" si="5"/>
        <v>20054.96822</v>
      </c>
      <c r="X17" s="56">
        <f t="shared" si="5"/>
        <v>21454.14269</v>
      </c>
      <c r="Y17" s="56">
        <f t="shared" si="5"/>
        <v>23030.46839</v>
      </c>
      <c r="Z17" s="56">
        <f t="shared" si="5"/>
        <v>24573.02402</v>
      </c>
      <c r="AA17" s="56">
        <f t="shared" si="5"/>
        <v>26097.00902</v>
      </c>
      <c r="AB17" s="56">
        <f t="shared" si="5"/>
        <v>27684.31116</v>
      </c>
      <c r="AC17" s="56">
        <f t="shared" si="5"/>
        <v>21682.544</v>
      </c>
      <c r="AD17" s="56">
        <f t="shared" si="5"/>
        <v>21765.24539</v>
      </c>
      <c r="AE17" s="56">
        <f t="shared" si="5"/>
        <v>23648.73984</v>
      </c>
      <c r="AF17" s="56">
        <f t="shared" si="5"/>
        <v>25521.31907</v>
      </c>
      <c r="AG17" s="56">
        <f t="shared" si="5"/>
        <v>27398.20081</v>
      </c>
      <c r="AH17" s="56">
        <f t="shared" si="5"/>
        <v>29292.99915</v>
      </c>
      <c r="AI17" s="56">
        <f t="shared" si="5"/>
        <v>29617.38366</v>
      </c>
      <c r="AJ17" s="56">
        <f t="shared" si="5"/>
        <v>31583.77595</v>
      </c>
      <c r="AK17" s="56">
        <f t="shared" si="5"/>
        <v>21294.16658</v>
      </c>
      <c r="AL17" s="56">
        <f t="shared" si="5"/>
        <v>23373.51904</v>
      </c>
      <c r="AM17" s="56">
        <f t="shared" si="5"/>
        <v>23922.53431</v>
      </c>
      <c r="AN17" s="56">
        <f t="shared" si="5"/>
        <v>25926.92434</v>
      </c>
      <c r="AO17" s="56">
        <f t="shared" si="5"/>
        <v>-2603.670134</v>
      </c>
      <c r="AP17" s="56">
        <f t="shared" si="5"/>
        <v>-193.0223113</v>
      </c>
      <c r="AQ17" s="56">
        <f t="shared" si="5"/>
        <v>687.9441189</v>
      </c>
      <c r="AR17" s="56">
        <f t="shared" si="5"/>
        <v>3312.26977</v>
      </c>
      <c r="AS17" s="56">
        <f t="shared" si="5"/>
        <v>6055.105751</v>
      </c>
      <c r="AT17" s="56">
        <f t="shared" si="5"/>
        <v>7291.655781</v>
      </c>
      <c r="AU17" s="56">
        <f t="shared" si="5"/>
        <v>10295.11234</v>
      </c>
      <c r="AV17" s="56">
        <f t="shared" si="5"/>
        <v>11808.31099</v>
      </c>
      <c r="AW17" s="56">
        <f t="shared" si="5"/>
        <v>15104.79607</v>
      </c>
      <c r="AX17" s="56">
        <f t="shared" si="5"/>
        <v>18560.4677</v>
      </c>
      <c r="AY17" s="56">
        <f t="shared" si="5"/>
        <v>20551.50318</v>
      </c>
      <c r="AZ17" s="56">
        <f t="shared" si="5"/>
        <v>23993.09817</v>
      </c>
      <c r="BA17" s="56">
        <f t="shared" si="5"/>
        <v>25727.47511</v>
      </c>
      <c r="BB17" s="56">
        <f t="shared" si="5"/>
        <v>29911.24917</v>
      </c>
      <c r="BC17" s="56">
        <f t="shared" si="5"/>
        <v>32636.4302</v>
      </c>
      <c r="BD17" s="56">
        <f t="shared" si="5"/>
        <v>35579.00805</v>
      </c>
      <c r="BE17" s="56">
        <f t="shared" si="5"/>
        <v>40415.45173</v>
      </c>
      <c r="BF17" s="56">
        <f t="shared" si="5"/>
        <v>43826.90112</v>
      </c>
      <c r="BG17" s="56">
        <f t="shared" si="5"/>
        <v>47490.88121</v>
      </c>
      <c r="BH17" s="56">
        <f t="shared" si="5"/>
        <v>53085.49465</v>
      </c>
      <c r="BI17" s="56">
        <f t="shared" si="5"/>
        <v>57293.61508</v>
      </c>
      <c r="BJ17" s="56">
        <f t="shared" si="5"/>
        <v>61794.60363</v>
      </c>
      <c r="BK17" s="56">
        <f t="shared" si="5"/>
        <v>66603.22399</v>
      </c>
      <c r="BL17" s="56">
        <f t="shared" si="5"/>
        <v>71068.8479</v>
      </c>
      <c r="BM17" s="56">
        <f t="shared" si="5"/>
        <v>75898.5751</v>
      </c>
      <c r="BN17" s="56">
        <f t="shared" si="5"/>
        <v>81692.76396</v>
      </c>
      <c r="BO17" s="56">
        <f t="shared" si="5"/>
        <v>87861.23574</v>
      </c>
      <c r="BP17" s="56">
        <f t="shared" si="5"/>
        <v>94422.75797</v>
      </c>
      <c r="BQ17" s="56">
        <f t="shared" si="5"/>
        <v>101397.0285</v>
      </c>
      <c r="BR17" s="56">
        <f t="shared" si="5"/>
        <v>108804.7234</v>
      </c>
      <c r="BS17" s="56">
        <f t="shared" si="5"/>
        <v>116667.5465</v>
      </c>
      <c r="BT17" s="56">
        <f t="shared" si="5"/>
        <v>123309.6964</v>
      </c>
      <c r="BU17" s="56">
        <f t="shared" si="5"/>
        <v>132152.264</v>
      </c>
      <c r="BV17" s="56">
        <f t="shared" si="5"/>
        <v>141521.7752</v>
      </c>
      <c r="BW17" s="56">
        <f t="shared" si="5"/>
        <v>149746.0085</v>
      </c>
      <c r="BX17" s="56">
        <f t="shared" si="5"/>
        <v>157362.2195</v>
      </c>
      <c r="BY17" s="56">
        <f t="shared" si="5"/>
        <v>167812.9216</v>
      </c>
      <c r="BZ17" s="56">
        <f t="shared" si="5"/>
        <v>177800.8114</v>
      </c>
      <c r="CA17" s="56">
        <f t="shared" si="5"/>
        <v>188461.3009</v>
      </c>
      <c r="CB17" s="56">
        <f t="shared" si="5"/>
        <v>199828.0275</v>
      </c>
      <c r="CC17" s="56">
        <f t="shared" si="5"/>
        <v>211936.3097</v>
      </c>
      <c r="CD17" s="56">
        <f t="shared" si="5"/>
        <v>224823.2307</v>
      </c>
      <c r="CE17" s="56">
        <f t="shared" si="5"/>
        <v>238527.7271</v>
      </c>
      <c r="CF17" s="56">
        <f t="shared" si="5"/>
        <v>251358.124</v>
      </c>
      <c r="CG17" s="56">
        <f t="shared" si="5"/>
        <v>266822.4629</v>
      </c>
      <c r="CH17" s="56">
        <f t="shared" si="5"/>
        <v>281500.7007</v>
      </c>
      <c r="CI17" s="56">
        <f t="shared" si="5"/>
        <v>298905.2778</v>
      </c>
      <c r="CJ17" s="56">
        <f t="shared" si="5"/>
        <v>313507.05</v>
      </c>
      <c r="CK17" s="56">
        <f t="shared" si="5"/>
        <v>330563.1524</v>
      </c>
      <c r="CL17" s="56">
        <f t="shared" si="5"/>
        <v>349420.7719</v>
      </c>
      <c r="CM17" s="56">
        <f t="shared" si="5"/>
        <v>367719.1377</v>
      </c>
      <c r="CN17" s="56">
        <f t="shared" si="5"/>
        <v>389053.0661</v>
      </c>
      <c r="CO17" s="56">
        <f t="shared" si="5"/>
        <v>409951.5584</v>
      </c>
      <c r="CP17" s="56">
        <f t="shared" si="5"/>
        <v>432248.4126</v>
      </c>
      <c r="CQ17" s="56">
        <f t="shared" si="5"/>
        <v>456013.5475</v>
      </c>
      <c r="CR17" s="56">
        <f t="shared" si="5"/>
        <v>481320.3777</v>
      </c>
      <c r="CS17" s="56">
        <f t="shared" si="5"/>
        <v>508245.9884</v>
      </c>
      <c r="CT17" s="56">
        <f t="shared" si="5"/>
        <v>535104.1104</v>
      </c>
      <c r="CU17" s="56">
        <f t="shared" si="5"/>
        <v>564633.1106</v>
      </c>
      <c r="CV17" s="56">
        <f t="shared" si="5"/>
        <v>589167.254</v>
      </c>
      <c r="CW17" s="56">
        <f t="shared" si="5"/>
        <v>612381.7756</v>
      </c>
    </row>
    <row r="18" ht="15.75" customHeight="1">
      <c r="A18" s="61" t="s">
        <v>257</v>
      </c>
      <c r="B18" s="1"/>
      <c r="C18" s="172">
        <f t="shared" ref="C18:CW18" si="6">iferror(C17/#REF!,0)</f>
        <v>0</v>
      </c>
      <c r="D18" s="172">
        <f t="shared" si="6"/>
        <v>0</v>
      </c>
      <c r="E18" s="172">
        <f t="shared" si="6"/>
        <v>0</v>
      </c>
      <c r="F18" s="172">
        <f t="shared" si="6"/>
        <v>0</v>
      </c>
      <c r="G18" s="172">
        <f t="shared" si="6"/>
        <v>0</v>
      </c>
      <c r="H18" s="172">
        <f t="shared" si="6"/>
        <v>0</v>
      </c>
      <c r="I18" s="172">
        <f t="shared" si="6"/>
        <v>0</v>
      </c>
      <c r="J18" s="172">
        <f t="shared" si="6"/>
        <v>0</v>
      </c>
      <c r="K18" s="172">
        <f t="shared" si="6"/>
        <v>0</v>
      </c>
      <c r="L18" s="172">
        <f t="shared" si="6"/>
        <v>0</v>
      </c>
      <c r="M18" s="172">
        <f t="shared" si="6"/>
        <v>0</v>
      </c>
      <c r="N18" s="172">
        <f t="shared" si="6"/>
        <v>0</v>
      </c>
      <c r="O18" s="172">
        <f t="shared" si="6"/>
        <v>0</v>
      </c>
      <c r="P18" s="172">
        <f t="shared" si="6"/>
        <v>0</v>
      </c>
      <c r="Q18" s="172">
        <f t="shared" si="6"/>
        <v>0</v>
      </c>
      <c r="R18" s="172">
        <f t="shared" si="6"/>
        <v>0</v>
      </c>
      <c r="S18" s="172">
        <f t="shared" si="6"/>
        <v>0</v>
      </c>
      <c r="T18" s="172">
        <f t="shared" si="6"/>
        <v>0</v>
      </c>
      <c r="U18" s="172">
        <f t="shared" si="6"/>
        <v>0</v>
      </c>
      <c r="V18" s="172">
        <f t="shared" si="6"/>
        <v>0</v>
      </c>
      <c r="W18" s="172">
        <f t="shared" si="6"/>
        <v>0</v>
      </c>
      <c r="X18" s="172">
        <f t="shared" si="6"/>
        <v>0</v>
      </c>
      <c r="Y18" s="172">
        <f t="shared" si="6"/>
        <v>0</v>
      </c>
      <c r="Z18" s="172">
        <f t="shared" si="6"/>
        <v>0</v>
      </c>
      <c r="AA18" s="172">
        <f t="shared" si="6"/>
        <v>0</v>
      </c>
      <c r="AB18" s="172">
        <f t="shared" si="6"/>
        <v>0</v>
      </c>
      <c r="AC18" s="172">
        <f t="shared" si="6"/>
        <v>0</v>
      </c>
      <c r="AD18" s="172">
        <f t="shared" si="6"/>
        <v>0</v>
      </c>
      <c r="AE18" s="172">
        <f t="shared" si="6"/>
        <v>0</v>
      </c>
      <c r="AF18" s="172">
        <f t="shared" si="6"/>
        <v>0</v>
      </c>
      <c r="AG18" s="172">
        <f t="shared" si="6"/>
        <v>0</v>
      </c>
      <c r="AH18" s="172">
        <f t="shared" si="6"/>
        <v>0</v>
      </c>
      <c r="AI18" s="172">
        <f t="shared" si="6"/>
        <v>0</v>
      </c>
      <c r="AJ18" s="172">
        <f t="shared" si="6"/>
        <v>0</v>
      </c>
      <c r="AK18" s="172">
        <f t="shared" si="6"/>
        <v>0</v>
      </c>
      <c r="AL18" s="172">
        <f t="shared" si="6"/>
        <v>0</v>
      </c>
      <c r="AM18" s="172">
        <f t="shared" si="6"/>
        <v>0</v>
      </c>
      <c r="AN18" s="172">
        <f t="shared" si="6"/>
        <v>0</v>
      </c>
      <c r="AO18" s="172">
        <f t="shared" si="6"/>
        <v>0</v>
      </c>
      <c r="AP18" s="172">
        <f t="shared" si="6"/>
        <v>0</v>
      </c>
      <c r="AQ18" s="172">
        <f t="shared" si="6"/>
        <v>0</v>
      </c>
      <c r="AR18" s="172">
        <f t="shared" si="6"/>
        <v>0</v>
      </c>
      <c r="AS18" s="172">
        <f t="shared" si="6"/>
        <v>0</v>
      </c>
      <c r="AT18" s="172">
        <f t="shared" si="6"/>
        <v>0</v>
      </c>
      <c r="AU18" s="172">
        <f t="shared" si="6"/>
        <v>0</v>
      </c>
      <c r="AV18" s="172">
        <f t="shared" si="6"/>
        <v>0</v>
      </c>
      <c r="AW18" s="172">
        <f t="shared" si="6"/>
        <v>0</v>
      </c>
      <c r="AX18" s="172">
        <f t="shared" si="6"/>
        <v>0</v>
      </c>
      <c r="AY18" s="172">
        <f t="shared" si="6"/>
        <v>0</v>
      </c>
      <c r="AZ18" s="172">
        <f t="shared" si="6"/>
        <v>0</v>
      </c>
      <c r="BA18" s="172">
        <f t="shared" si="6"/>
        <v>0</v>
      </c>
      <c r="BB18" s="172">
        <f t="shared" si="6"/>
        <v>0</v>
      </c>
      <c r="BC18" s="172">
        <f t="shared" si="6"/>
        <v>0</v>
      </c>
      <c r="BD18" s="172">
        <f t="shared" si="6"/>
        <v>0</v>
      </c>
      <c r="BE18" s="172">
        <f t="shared" si="6"/>
        <v>0</v>
      </c>
      <c r="BF18" s="172">
        <f t="shared" si="6"/>
        <v>0</v>
      </c>
      <c r="BG18" s="172">
        <f t="shared" si="6"/>
        <v>0</v>
      </c>
      <c r="BH18" s="172">
        <f t="shared" si="6"/>
        <v>0</v>
      </c>
      <c r="BI18" s="172">
        <f t="shared" si="6"/>
        <v>0</v>
      </c>
      <c r="BJ18" s="172">
        <f t="shared" si="6"/>
        <v>0</v>
      </c>
      <c r="BK18" s="172">
        <f t="shared" si="6"/>
        <v>0</v>
      </c>
      <c r="BL18" s="172">
        <f t="shared" si="6"/>
        <v>0</v>
      </c>
      <c r="BM18" s="172">
        <f t="shared" si="6"/>
        <v>0</v>
      </c>
      <c r="BN18" s="172">
        <f t="shared" si="6"/>
        <v>0</v>
      </c>
      <c r="BO18" s="172">
        <f t="shared" si="6"/>
        <v>0</v>
      </c>
      <c r="BP18" s="172">
        <f t="shared" si="6"/>
        <v>0</v>
      </c>
      <c r="BQ18" s="172">
        <f t="shared" si="6"/>
        <v>0</v>
      </c>
      <c r="BR18" s="172">
        <f t="shared" si="6"/>
        <v>0</v>
      </c>
      <c r="BS18" s="172">
        <f t="shared" si="6"/>
        <v>0</v>
      </c>
      <c r="BT18" s="172">
        <f t="shared" si="6"/>
        <v>0</v>
      </c>
      <c r="BU18" s="172">
        <f t="shared" si="6"/>
        <v>0</v>
      </c>
      <c r="BV18" s="172">
        <f t="shared" si="6"/>
        <v>0</v>
      </c>
      <c r="BW18" s="172">
        <f t="shared" si="6"/>
        <v>0</v>
      </c>
      <c r="BX18" s="172">
        <f t="shared" si="6"/>
        <v>0</v>
      </c>
      <c r="BY18" s="172">
        <f t="shared" si="6"/>
        <v>0</v>
      </c>
      <c r="BZ18" s="172">
        <f t="shared" si="6"/>
        <v>0</v>
      </c>
      <c r="CA18" s="172">
        <f t="shared" si="6"/>
        <v>0</v>
      </c>
      <c r="CB18" s="172">
        <f t="shared" si="6"/>
        <v>0</v>
      </c>
      <c r="CC18" s="172">
        <f t="shared" si="6"/>
        <v>0</v>
      </c>
      <c r="CD18" s="172">
        <f t="shared" si="6"/>
        <v>0</v>
      </c>
      <c r="CE18" s="172">
        <f t="shared" si="6"/>
        <v>0</v>
      </c>
      <c r="CF18" s="172">
        <f t="shared" si="6"/>
        <v>0</v>
      </c>
      <c r="CG18" s="172">
        <f t="shared" si="6"/>
        <v>0</v>
      </c>
      <c r="CH18" s="172">
        <f t="shared" si="6"/>
        <v>0</v>
      </c>
      <c r="CI18" s="172">
        <f t="shared" si="6"/>
        <v>0</v>
      </c>
      <c r="CJ18" s="172">
        <f t="shared" si="6"/>
        <v>0</v>
      </c>
      <c r="CK18" s="172">
        <f t="shared" si="6"/>
        <v>0</v>
      </c>
      <c r="CL18" s="172">
        <f t="shared" si="6"/>
        <v>0</v>
      </c>
      <c r="CM18" s="172">
        <f t="shared" si="6"/>
        <v>0</v>
      </c>
      <c r="CN18" s="172">
        <f t="shared" si="6"/>
        <v>0</v>
      </c>
      <c r="CO18" s="172">
        <f t="shared" si="6"/>
        <v>0</v>
      </c>
      <c r="CP18" s="172">
        <f t="shared" si="6"/>
        <v>0</v>
      </c>
      <c r="CQ18" s="172">
        <f t="shared" si="6"/>
        <v>0</v>
      </c>
      <c r="CR18" s="172">
        <f t="shared" si="6"/>
        <v>0</v>
      </c>
      <c r="CS18" s="172">
        <f t="shared" si="6"/>
        <v>0</v>
      </c>
      <c r="CT18" s="172">
        <f t="shared" si="6"/>
        <v>0</v>
      </c>
      <c r="CU18" s="172">
        <f t="shared" si="6"/>
        <v>0</v>
      </c>
      <c r="CV18" s="172">
        <f t="shared" si="6"/>
        <v>0</v>
      </c>
      <c r="CW18" s="172">
        <f t="shared" si="6"/>
        <v>0</v>
      </c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ht="15.75" customHeight="1">
      <c r="A20" s="61" t="s">
        <v>258</v>
      </c>
      <c r="B20" s="1"/>
      <c r="C20" s="56" t="str">
        <f>'Monthly forecast'!D169</f>
        <v/>
      </c>
      <c r="D20" s="56">
        <f>'Monthly forecast'!E169</f>
        <v>500</v>
      </c>
      <c r="E20" s="56">
        <f>'Monthly forecast'!F169</f>
        <v>500</v>
      </c>
      <c r="F20" s="56">
        <f>'Monthly forecast'!G169</f>
        <v>500</v>
      </c>
      <c r="G20" s="56">
        <f>'Monthly forecast'!H169</f>
        <v>500</v>
      </c>
      <c r="H20" s="56">
        <f>'Monthly forecast'!I169</f>
        <v>500</v>
      </c>
      <c r="I20" s="56">
        <f>'Monthly forecast'!J169</f>
        <v>500</v>
      </c>
      <c r="J20" s="56">
        <f>'Monthly forecast'!K169</f>
        <v>500</v>
      </c>
      <c r="K20" s="56">
        <f>'Monthly forecast'!L169</f>
        <v>500</v>
      </c>
      <c r="L20" s="56">
        <f>'Monthly forecast'!M169</f>
        <v>500</v>
      </c>
      <c r="M20" s="56">
        <f>'Monthly forecast'!N169</f>
        <v>500</v>
      </c>
      <c r="N20" s="56">
        <f>'Monthly forecast'!O169</f>
        <v>500</v>
      </c>
      <c r="O20" s="56">
        <f>'Monthly forecast'!P169</f>
        <v>500</v>
      </c>
      <c r="P20" s="56">
        <f>'Monthly forecast'!Q169</f>
        <v>500</v>
      </c>
      <c r="Q20" s="56">
        <f>'Monthly forecast'!R169</f>
        <v>500</v>
      </c>
      <c r="R20" s="56">
        <f>'Monthly forecast'!S169</f>
        <v>500</v>
      </c>
      <c r="S20" s="56">
        <f>'Monthly forecast'!T169</f>
        <v>500</v>
      </c>
      <c r="T20" s="56">
        <f>'Monthly forecast'!U169</f>
        <v>500</v>
      </c>
      <c r="U20" s="56">
        <f>'Monthly forecast'!V169</f>
        <v>500</v>
      </c>
      <c r="V20" s="56">
        <f>'Monthly forecast'!W169</f>
        <v>500</v>
      </c>
      <c r="W20" s="56">
        <f>'Monthly forecast'!X169</f>
        <v>500</v>
      </c>
      <c r="X20" s="56">
        <f>'Monthly forecast'!Y169</f>
        <v>500</v>
      </c>
      <c r="Y20" s="56">
        <f>'Monthly forecast'!Z169</f>
        <v>500</v>
      </c>
      <c r="Z20" s="56">
        <f>'Monthly forecast'!AA169</f>
        <v>500</v>
      </c>
      <c r="AA20" s="56">
        <f>'Monthly forecast'!AB169</f>
        <v>500</v>
      </c>
      <c r="AB20" s="56">
        <f>'Monthly forecast'!AC169</f>
        <v>0</v>
      </c>
      <c r="AC20" s="56">
        <f>'Monthly forecast'!AD169</f>
        <v>166.6666667</v>
      </c>
      <c r="AD20" s="56">
        <f>'Monthly forecast'!AE169</f>
        <v>166.6666667</v>
      </c>
      <c r="AE20" s="56">
        <f>'Monthly forecast'!AF169</f>
        <v>166.6666667</v>
      </c>
      <c r="AF20" s="56">
        <f>'Monthly forecast'!AG169</f>
        <v>166.6666667</v>
      </c>
      <c r="AG20" s="56">
        <f>'Monthly forecast'!AH169</f>
        <v>166.6666667</v>
      </c>
      <c r="AH20" s="56">
        <f>'Monthly forecast'!AI169</f>
        <v>166.6666667</v>
      </c>
      <c r="AI20" s="56">
        <f>'Monthly forecast'!AJ169</f>
        <v>166.6666667</v>
      </c>
      <c r="AJ20" s="56">
        <f>'Monthly forecast'!AK169</f>
        <v>166.6666667</v>
      </c>
      <c r="AK20" s="56">
        <f>'Monthly forecast'!AL169</f>
        <v>250</v>
      </c>
      <c r="AL20" s="56">
        <f>'Monthly forecast'!AM169</f>
        <v>250</v>
      </c>
      <c r="AM20" s="56">
        <f>'Monthly forecast'!AN169</f>
        <v>250</v>
      </c>
      <c r="AN20" s="56">
        <f>'Monthly forecast'!AO169</f>
        <v>333.3333333</v>
      </c>
      <c r="AO20" s="56">
        <f>'Monthly forecast'!AP169</f>
        <v>750</v>
      </c>
      <c r="AP20" s="56">
        <f>'Monthly forecast'!AQ169</f>
        <v>750</v>
      </c>
      <c r="AQ20" s="56">
        <f>'Monthly forecast'!AR169</f>
        <v>750</v>
      </c>
      <c r="AR20" s="56">
        <f>'Monthly forecast'!AS169</f>
        <v>750</v>
      </c>
      <c r="AS20" s="56">
        <f>'Monthly forecast'!AT169</f>
        <v>750</v>
      </c>
      <c r="AT20" s="56">
        <f>'Monthly forecast'!AU169</f>
        <v>750</v>
      </c>
      <c r="AU20" s="56">
        <f>'Monthly forecast'!AV169</f>
        <v>750</v>
      </c>
      <c r="AV20" s="56">
        <f>'Monthly forecast'!AW169</f>
        <v>750</v>
      </c>
      <c r="AW20" s="56">
        <f>'Monthly forecast'!AX169</f>
        <v>750</v>
      </c>
      <c r="AX20" s="56">
        <f>'Monthly forecast'!AY169</f>
        <v>750</v>
      </c>
      <c r="AY20" s="56">
        <f>'Monthly forecast'!AZ169</f>
        <v>750</v>
      </c>
      <c r="AZ20" s="56">
        <f>'Monthly forecast'!BA169</f>
        <v>750</v>
      </c>
      <c r="BA20" s="56">
        <f>'Monthly forecast'!BB169</f>
        <v>583.3333333</v>
      </c>
      <c r="BB20" s="56">
        <f>'Monthly forecast'!BC169</f>
        <v>583.3333333</v>
      </c>
      <c r="BC20" s="56">
        <f>'Monthly forecast'!BD169</f>
        <v>583.3333333</v>
      </c>
      <c r="BD20" s="56">
        <f>'Monthly forecast'!BE169</f>
        <v>583.3333333</v>
      </c>
      <c r="BE20" s="56">
        <f>'Monthly forecast'!BF169</f>
        <v>583.3333333</v>
      </c>
      <c r="BF20" s="56">
        <f>'Monthly forecast'!BG169</f>
        <v>583.3333333</v>
      </c>
      <c r="BG20" s="56">
        <f>'Monthly forecast'!BH169</f>
        <v>583.3333333</v>
      </c>
      <c r="BH20" s="56">
        <f>'Monthly forecast'!BI169</f>
        <v>583.3333333</v>
      </c>
      <c r="BI20" s="56">
        <f>'Monthly forecast'!BJ169</f>
        <v>500</v>
      </c>
      <c r="BJ20" s="56">
        <f>'Monthly forecast'!BK169</f>
        <v>500</v>
      </c>
      <c r="BK20" s="56">
        <f>'Monthly forecast'!BL169</f>
        <v>500</v>
      </c>
      <c r="BL20" s="56">
        <f>'Monthly forecast'!BM169</f>
        <v>416.6666667</v>
      </c>
      <c r="BM20" s="56">
        <f>'Monthly forecast'!BN169</f>
        <v>0</v>
      </c>
      <c r="BN20" s="56">
        <f>'Monthly forecast'!BO169</f>
        <v>0</v>
      </c>
      <c r="BO20" s="56">
        <f>'Monthly forecast'!BP169</f>
        <v>0</v>
      </c>
      <c r="BP20" s="56">
        <f>'Monthly forecast'!BQ169</f>
        <v>0</v>
      </c>
      <c r="BQ20" s="56">
        <f>'Monthly forecast'!BR169</f>
        <v>0</v>
      </c>
      <c r="BR20" s="56">
        <f>'Monthly forecast'!BS169</f>
        <v>0</v>
      </c>
      <c r="BS20" s="56">
        <f>'Monthly forecast'!BT169</f>
        <v>0</v>
      </c>
      <c r="BT20" s="56">
        <f>'Monthly forecast'!BU169</f>
        <v>0</v>
      </c>
      <c r="BU20" s="56">
        <f>'Monthly forecast'!BV169</f>
        <v>0</v>
      </c>
      <c r="BV20" s="56">
        <f>'Monthly forecast'!BW169</f>
        <v>0</v>
      </c>
      <c r="BW20" s="56">
        <f>'Monthly forecast'!BX169</f>
        <v>0</v>
      </c>
      <c r="BX20" s="56">
        <f>'Monthly forecast'!BY169</f>
        <v>0</v>
      </c>
      <c r="BY20" s="56">
        <f>'Monthly forecast'!BZ169</f>
        <v>0</v>
      </c>
      <c r="BZ20" s="56">
        <f>'Monthly forecast'!CA169</f>
        <v>0</v>
      </c>
      <c r="CA20" s="56">
        <f>'Monthly forecast'!CB169</f>
        <v>0</v>
      </c>
      <c r="CB20" s="56">
        <f>'Monthly forecast'!CC169</f>
        <v>0</v>
      </c>
      <c r="CC20" s="56">
        <f>'Monthly forecast'!CD169</f>
        <v>0</v>
      </c>
      <c r="CD20" s="56">
        <f>'Monthly forecast'!CE169</f>
        <v>0</v>
      </c>
      <c r="CE20" s="56">
        <f>'Monthly forecast'!CF169</f>
        <v>0</v>
      </c>
      <c r="CF20" s="56">
        <f>'Monthly forecast'!CG169</f>
        <v>0</v>
      </c>
      <c r="CG20" s="56">
        <f>'Monthly forecast'!CH169</f>
        <v>0</v>
      </c>
      <c r="CH20" s="56">
        <f>'Monthly forecast'!CI169</f>
        <v>0</v>
      </c>
      <c r="CI20" s="56">
        <f>'Monthly forecast'!CJ169</f>
        <v>0</v>
      </c>
      <c r="CJ20" s="56">
        <f>'Monthly forecast'!CK169</f>
        <v>0</v>
      </c>
      <c r="CK20" s="56">
        <f>'Monthly forecast'!CL169</f>
        <v>0</v>
      </c>
      <c r="CL20" s="56">
        <f>'Monthly forecast'!CM169</f>
        <v>0</v>
      </c>
      <c r="CM20" s="56">
        <f>'Monthly forecast'!CN169</f>
        <v>0</v>
      </c>
      <c r="CN20" s="56">
        <f>'Monthly forecast'!CO169</f>
        <v>0</v>
      </c>
      <c r="CO20" s="56">
        <f>'Monthly forecast'!CP169</f>
        <v>0</v>
      </c>
      <c r="CP20" s="56">
        <f>'Monthly forecast'!CQ169</f>
        <v>0</v>
      </c>
      <c r="CQ20" s="56">
        <f>'Monthly forecast'!CR169</f>
        <v>0</v>
      </c>
      <c r="CR20" s="56">
        <f>'Monthly forecast'!CS169</f>
        <v>0</v>
      </c>
      <c r="CS20" s="56">
        <f>'Monthly forecast'!CT169</f>
        <v>0</v>
      </c>
      <c r="CT20" s="56">
        <f>'Monthly forecast'!CU169</f>
        <v>0</v>
      </c>
      <c r="CU20" s="56">
        <f>'Monthly forecast'!CV169</f>
        <v>0</v>
      </c>
      <c r="CV20" s="56">
        <f>'Monthly forecast'!CW169</f>
        <v>0</v>
      </c>
      <c r="CW20" s="56">
        <f>'Monthly forecast'!CX169</f>
        <v>0</v>
      </c>
    </row>
    <row r="21" ht="15.75" customHeight="1">
      <c r="A21" s="1" t="s">
        <v>259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ht="15.75" customHeight="1" outlineLevel="1">
      <c r="A23" s="61" t="s">
        <v>260</v>
      </c>
      <c r="B23" s="1"/>
      <c r="C23" s="56">
        <f t="shared" ref="C23:CW23" si="7">C17-C20-C21</f>
        <v>0</v>
      </c>
      <c r="D23" s="56">
        <f t="shared" si="7"/>
        <v>-5438.558077</v>
      </c>
      <c r="E23" s="56">
        <f t="shared" si="7"/>
        <v>-3522.889761</v>
      </c>
      <c r="F23" s="56">
        <f t="shared" si="7"/>
        <v>-1791.521724</v>
      </c>
      <c r="G23" s="56">
        <f t="shared" si="7"/>
        <v>-17.56498187</v>
      </c>
      <c r="H23" s="56">
        <f t="shared" si="7"/>
        <v>1604.100984</v>
      </c>
      <c r="I23" s="56">
        <f t="shared" si="7"/>
        <v>3102.106988</v>
      </c>
      <c r="J23" s="56">
        <f t="shared" si="7"/>
        <v>4695.08177</v>
      </c>
      <c r="K23" s="56">
        <f t="shared" si="7"/>
        <v>6181.167199</v>
      </c>
      <c r="L23" s="56">
        <f t="shared" si="7"/>
        <v>7579.561329</v>
      </c>
      <c r="M23" s="56">
        <f t="shared" si="7"/>
        <v>7531.219684</v>
      </c>
      <c r="N23" s="56">
        <f t="shared" si="7"/>
        <v>8910.680721</v>
      </c>
      <c r="O23" s="56">
        <f t="shared" si="7"/>
        <v>10201.72469</v>
      </c>
      <c r="P23" s="56">
        <f t="shared" si="7"/>
        <v>11525.23155</v>
      </c>
      <c r="Q23" s="56">
        <f t="shared" si="7"/>
        <v>12859.32248</v>
      </c>
      <c r="R23" s="56">
        <f t="shared" si="7"/>
        <v>14130.48074</v>
      </c>
      <c r="S23" s="56">
        <f t="shared" si="7"/>
        <v>15549.00528</v>
      </c>
      <c r="T23" s="56">
        <f t="shared" si="7"/>
        <v>16905.99317</v>
      </c>
      <c r="U23" s="56">
        <f t="shared" si="7"/>
        <v>18218.237</v>
      </c>
      <c r="V23" s="56">
        <f t="shared" si="7"/>
        <v>19694.38859</v>
      </c>
      <c r="W23" s="56">
        <f t="shared" si="7"/>
        <v>19554.96822</v>
      </c>
      <c r="X23" s="56">
        <f t="shared" si="7"/>
        <v>20954.14269</v>
      </c>
      <c r="Y23" s="56">
        <f t="shared" si="7"/>
        <v>22530.46839</v>
      </c>
      <c r="Z23" s="56">
        <f t="shared" si="7"/>
        <v>24073.02402</v>
      </c>
      <c r="AA23" s="56">
        <f t="shared" si="7"/>
        <v>25597.00902</v>
      </c>
      <c r="AB23" s="56">
        <f t="shared" si="7"/>
        <v>27684.31116</v>
      </c>
      <c r="AC23" s="56">
        <f t="shared" si="7"/>
        <v>21515.87734</v>
      </c>
      <c r="AD23" s="56">
        <f t="shared" si="7"/>
        <v>21598.57873</v>
      </c>
      <c r="AE23" s="56">
        <f t="shared" si="7"/>
        <v>23482.07317</v>
      </c>
      <c r="AF23" s="56">
        <f t="shared" si="7"/>
        <v>25354.6524</v>
      </c>
      <c r="AG23" s="56">
        <f t="shared" si="7"/>
        <v>27231.53414</v>
      </c>
      <c r="AH23" s="56">
        <f t="shared" si="7"/>
        <v>29126.33248</v>
      </c>
      <c r="AI23" s="56">
        <f t="shared" si="7"/>
        <v>29450.717</v>
      </c>
      <c r="AJ23" s="56">
        <f t="shared" si="7"/>
        <v>31417.10928</v>
      </c>
      <c r="AK23" s="56">
        <f t="shared" si="7"/>
        <v>21044.16658</v>
      </c>
      <c r="AL23" s="56">
        <f t="shared" si="7"/>
        <v>23123.51904</v>
      </c>
      <c r="AM23" s="56">
        <f t="shared" si="7"/>
        <v>23672.53431</v>
      </c>
      <c r="AN23" s="56">
        <f t="shared" si="7"/>
        <v>25593.591</v>
      </c>
      <c r="AO23" s="56">
        <f t="shared" si="7"/>
        <v>-3353.670134</v>
      </c>
      <c r="AP23" s="56">
        <f t="shared" si="7"/>
        <v>-943.0223113</v>
      </c>
      <c r="AQ23" s="56">
        <f t="shared" si="7"/>
        <v>-62.05588109</v>
      </c>
      <c r="AR23" s="56">
        <f t="shared" si="7"/>
        <v>2562.26977</v>
      </c>
      <c r="AS23" s="56">
        <f t="shared" si="7"/>
        <v>5305.105751</v>
      </c>
      <c r="AT23" s="56">
        <f t="shared" si="7"/>
        <v>6541.655781</v>
      </c>
      <c r="AU23" s="56">
        <f t="shared" si="7"/>
        <v>9545.11234</v>
      </c>
      <c r="AV23" s="56">
        <f t="shared" si="7"/>
        <v>11058.31099</v>
      </c>
      <c r="AW23" s="56">
        <f t="shared" si="7"/>
        <v>14354.79607</v>
      </c>
      <c r="AX23" s="56">
        <f t="shared" si="7"/>
        <v>17810.4677</v>
      </c>
      <c r="AY23" s="56">
        <f t="shared" si="7"/>
        <v>19801.50318</v>
      </c>
      <c r="AZ23" s="56">
        <f t="shared" si="7"/>
        <v>23243.09817</v>
      </c>
      <c r="BA23" s="56">
        <f t="shared" si="7"/>
        <v>25144.14178</v>
      </c>
      <c r="BB23" s="56">
        <f t="shared" si="7"/>
        <v>29327.91584</v>
      </c>
      <c r="BC23" s="56">
        <f t="shared" si="7"/>
        <v>32053.09687</v>
      </c>
      <c r="BD23" s="56">
        <f t="shared" si="7"/>
        <v>34995.67471</v>
      </c>
      <c r="BE23" s="56">
        <f t="shared" si="7"/>
        <v>39832.11839</v>
      </c>
      <c r="BF23" s="56">
        <f t="shared" si="7"/>
        <v>43243.56779</v>
      </c>
      <c r="BG23" s="56">
        <f t="shared" si="7"/>
        <v>46907.54788</v>
      </c>
      <c r="BH23" s="56">
        <f t="shared" si="7"/>
        <v>52502.16132</v>
      </c>
      <c r="BI23" s="56">
        <f t="shared" si="7"/>
        <v>56793.61508</v>
      </c>
      <c r="BJ23" s="56">
        <f t="shared" si="7"/>
        <v>61294.60363</v>
      </c>
      <c r="BK23" s="56">
        <f t="shared" si="7"/>
        <v>66103.22399</v>
      </c>
      <c r="BL23" s="56">
        <f t="shared" si="7"/>
        <v>70652.18123</v>
      </c>
      <c r="BM23" s="56">
        <f t="shared" si="7"/>
        <v>75898.5751</v>
      </c>
      <c r="BN23" s="56">
        <f t="shared" si="7"/>
        <v>81692.76396</v>
      </c>
      <c r="BO23" s="56">
        <f t="shared" si="7"/>
        <v>87861.23574</v>
      </c>
      <c r="BP23" s="56">
        <f t="shared" si="7"/>
        <v>94422.75797</v>
      </c>
      <c r="BQ23" s="56">
        <f t="shared" si="7"/>
        <v>101397.0285</v>
      </c>
      <c r="BR23" s="56">
        <f t="shared" si="7"/>
        <v>108804.7234</v>
      </c>
      <c r="BS23" s="56">
        <f t="shared" si="7"/>
        <v>116667.5465</v>
      </c>
      <c r="BT23" s="56">
        <f t="shared" si="7"/>
        <v>123309.6964</v>
      </c>
      <c r="BU23" s="56">
        <f t="shared" si="7"/>
        <v>132152.264</v>
      </c>
      <c r="BV23" s="56">
        <f t="shared" si="7"/>
        <v>141521.7752</v>
      </c>
      <c r="BW23" s="56">
        <f t="shared" si="7"/>
        <v>149746.0085</v>
      </c>
      <c r="BX23" s="56">
        <f t="shared" si="7"/>
        <v>157362.2195</v>
      </c>
      <c r="BY23" s="56">
        <f t="shared" si="7"/>
        <v>167812.9216</v>
      </c>
      <c r="BZ23" s="56">
        <f t="shared" si="7"/>
        <v>177800.8114</v>
      </c>
      <c r="CA23" s="56">
        <f t="shared" si="7"/>
        <v>188461.3009</v>
      </c>
      <c r="CB23" s="56">
        <f t="shared" si="7"/>
        <v>199828.0275</v>
      </c>
      <c r="CC23" s="56">
        <f t="shared" si="7"/>
        <v>211936.3097</v>
      </c>
      <c r="CD23" s="56">
        <f t="shared" si="7"/>
        <v>224823.2307</v>
      </c>
      <c r="CE23" s="56">
        <f t="shared" si="7"/>
        <v>238527.7271</v>
      </c>
      <c r="CF23" s="56">
        <f t="shared" si="7"/>
        <v>251358.124</v>
      </c>
      <c r="CG23" s="56">
        <f t="shared" si="7"/>
        <v>266822.4629</v>
      </c>
      <c r="CH23" s="56">
        <f t="shared" si="7"/>
        <v>281500.7007</v>
      </c>
      <c r="CI23" s="56">
        <f t="shared" si="7"/>
        <v>298905.2778</v>
      </c>
      <c r="CJ23" s="56">
        <f t="shared" si="7"/>
        <v>313507.05</v>
      </c>
      <c r="CK23" s="56">
        <f t="shared" si="7"/>
        <v>330563.1524</v>
      </c>
      <c r="CL23" s="56">
        <f t="shared" si="7"/>
        <v>349420.7719</v>
      </c>
      <c r="CM23" s="56">
        <f t="shared" si="7"/>
        <v>367719.1377</v>
      </c>
      <c r="CN23" s="56">
        <f t="shared" si="7"/>
        <v>389053.0661</v>
      </c>
      <c r="CO23" s="56">
        <f t="shared" si="7"/>
        <v>409951.5584</v>
      </c>
      <c r="CP23" s="56">
        <f t="shared" si="7"/>
        <v>432248.4126</v>
      </c>
      <c r="CQ23" s="56">
        <f t="shared" si="7"/>
        <v>456013.5475</v>
      </c>
      <c r="CR23" s="56">
        <f t="shared" si="7"/>
        <v>481320.3777</v>
      </c>
      <c r="CS23" s="56">
        <f t="shared" si="7"/>
        <v>508245.9884</v>
      </c>
      <c r="CT23" s="56">
        <f t="shared" si="7"/>
        <v>535104.1104</v>
      </c>
      <c r="CU23" s="56">
        <f t="shared" si="7"/>
        <v>564633.1106</v>
      </c>
      <c r="CV23" s="56">
        <f t="shared" si="7"/>
        <v>589167.254</v>
      </c>
      <c r="CW23" s="56">
        <f t="shared" si="7"/>
        <v>612381.7756</v>
      </c>
    </row>
    <row r="24" ht="15.75" customHeight="1" outlineLevel="1">
      <c r="A24" s="6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ht="15.75" customHeight="1">
      <c r="A25" s="61" t="s">
        <v>261</v>
      </c>
      <c r="B25" s="1"/>
      <c r="C25" s="34">
        <f>Settings!$B$7</f>
        <v>0.23</v>
      </c>
      <c r="D25" s="34">
        <f>Settings!$B$7</f>
        <v>0.23</v>
      </c>
      <c r="E25" s="34">
        <f>Settings!$B$7</f>
        <v>0.23</v>
      </c>
      <c r="F25" s="34">
        <f>Settings!$B$7</f>
        <v>0.23</v>
      </c>
      <c r="G25" s="34">
        <f>Settings!$B$7</f>
        <v>0.23</v>
      </c>
      <c r="H25" s="34">
        <f>Settings!$B$7</f>
        <v>0.23</v>
      </c>
      <c r="I25" s="34">
        <f>Settings!$B$7</f>
        <v>0.23</v>
      </c>
      <c r="J25" s="34">
        <f>Settings!$B$7</f>
        <v>0.23</v>
      </c>
      <c r="K25" s="34">
        <f>Settings!$B$7</f>
        <v>0.23</v>
      </c>
      <c r="L25" s="34">
        <f>Settings!$B$7</f>
        <v>0.23</v>
      </c>
      <c r="M25" s="34">
        <f>Settings!$B$7</f>
        <v>0.23</v>
      </c>
      <c r="N25" s="34">
        <f>Settings!$B$7</f>
        <v>0.23</v>
      </c>
      <c r="O25" s="34">
        <f>Settings!$B$7</f>
        <v>0.23</v>
      </c>
      <c r="P25" s="34">
        <f>Settings!$B$7</f>
        <v>0.23</v>
      </c>
      <c r="Q25" s="34">
        <f>Settings!$B$7</f>
        <v>0.23</v>
      </c>
      <c r="R25" s="34">
        <f>Settings!$B$7</f>
        <v>0.23</v>
      </c>
      <c r="S25" s="34">
        <f>Settings!$B$7</f>
        <v>0.23</v>
      </c>
      <c r="T25" s="34">
        <f>Settings!$B$7</f>
        <v>0.23</v>
      </c>
      <c r="U25" s="34">
        <f>Settings!$B$7</f>
        <v>0.23</v>
      </c>
      <c r="V25" s="34">
        <f>Settings!$B$7</f>
        <v>0.23</v>
      </c>
      <c r="W25" s="34">
        <f>Settings!$B$7</f>
        <v>0.23</v>
      </c>
      <c r="X25" s="34">
        <f>Settings!$B$7</f>
        <v>0.23</v>
      </c>
      <c r="Y25" s="34">
        <f>Settings!$B$7</f>
        <v>0.23</v>
      </c>
      <c r="Z25" s="34">
        <f>Settings!$B$7</f>
        <v>0.23</v>
      </c>
      <c r="AA25" s="34">
        <f>Settings!$B$7</f>
        <v>0.23</v>
      </c>
      <c r="AB25" s="34">
        <f>Settings!$B$7</f>
        <v>0.23</v>
      </c>
      <c r="AC25" s="34">
        <f>Settings!$B$7</f>
        <v>0.23</v>
      </c>
      <c r="AD25" s="34">
        <f>Settings!$B$7</f>
        <v>0.23</v>
      </c>
      <c r="AE25" s="34">
        <f>Settings!$B$7</f>
        <v>0.23</v>
      </c>
      <c r="AF25" s="34">
        <f>Settings!$B$7</f>
        <v>0.23</v>
      </c>
      <c r="AG25" s="34">
        <f>Settings!$B$7</f>
        <v>0.23</v>
      </c>
      <c r="AH25" s="34">
        <f>Settings!$B$7</f>
        <v>0.23</v>
      </c>
      <c r="AI25" s="34">
        <f>Settings!$B$7</f>
        <v>0.23</v>
      </c>
      <c r="AJ25" s="34">
        <f>Settings!$B$7</f>
        <v>0.23</v>
      </c>
      <c r="AK25" s="34">
        <f>Settings!$B$7</f>
        <v>0.23</v>
      </c>
      <c r="AL25" s="34">
        <f>Settings!$B$7</f>
        <v>0.23</v>
      </c>
      <c r="AM25" s="34">
        <f>Settings!$B$7</f>
        <v>0.23</v>
      </c>
      <c r="AN25" s="34">
        <f>Settings!$B$7</f>
        <v>0.23</v>
      </c>
      <c r="AO25" s="34">
        <f>Settings!$B$7</f>
        <v>0.23</v>
      </c>
      <c r="AP25" s="34">
        <f>Settings!$B$7</f>
        <v>0.23</v>
      </c>
      <c r="AQ25" s="34">
        <f>Settings!$B$7</f>
        <v>0.23</v>
      </c>
      <c r="AR25" s="34">
        <f>Settings!$B$7</f>
        <v>0.23</v>
      </c>
      <c r="AS25" s="34">
        <f>Settings!$B$7</f>
        <v>0.23</v>
      </c>
      <c r="AT25" s="34">
        <f>Settings!$B$7</f>
        <v>0.23</v>
      </c>
      <c r="AU25" s="34">
        <f>Settings!$B$7</f>
        <v>0.23</v>
      </c>
      <c r="AV25" s="34">
        <f>Settings!$B$7</f>
        <v>0.23</v>
      </c>
      <c r="AW25" s="34">
        <f>Settings!$B$7</f>
        <v>0.23</v>
      </c>
      <c r="AX25" s="34">
        <f>Settings!$B$7</f>
        <v>0.23</v>
      </c>
      <c r="AY25" s="34">
        <f>Settings!$B$7</f>
        <v>0.23</v>
      </c>
      <c r="AZ25" s="34">
        <f>Settings!$B$7</f>
        <v>0.23</v>
      </c>
      <c r="BA25" s="34">
        <f>Settings!$B$7</f>
        <v>0.23</v>
      </c>
      <c r="BB25" s="34">
        <f>Settings!$B$7</f>
        <v>0.23</v>
      </c>
      <c r="BC25" s="34">
        <f>Settings!$B$7</f>
        <v>0.23</v>
      </c>
      <c r="BD25" s="34">
        <f>Settings!$B$7</f>
        <v>0.23</v>
      </c>
      <c r="BE25" s="34">
        <f>Settings!$B$7</f>
        <v>0.23</v>
      </c>
      <c r="BF25" s="34">
        <f>Settings!$B$7</f>
        <v>0.23</v>
      </c>
      <c r="BG25" s="34">
        <f>Settings!$B$7</f>
        <v>0.23</v>
      </c>
      <c r="BH25" s="34">
        <f>Settings!$B$7</f>
        <v>0.23</v>
      </c>
      <c r="BI25" s="34">
        <f>Settings!$B$7</f>
        <v>0.23</v>
      </c>
      <c r="BJ25" s="34">
        <f>Settings!$B$7</f>
        <v>0.23</v>
      </c>
      <c r="BK25" s="34">
        <f>Settings!$B$7</f>
        <v>0.23</v>
      </c>
      <c r="BL25" s="34">
        <f>Settings!$B$7</f>
        <v>0.23</v>
      </c>
      <c r="BM25" s="34">
        <f>Settings!$B$7</f>
        <v>0.23</v>
      </c>
      <c r="BN25" s="34">
        <f>Settings!$B$7</f>
        <v>0.23</v>
      </c>
      <c r="BO25" s="34">
        <f>Settings!$B$7</f>
        <v>0.23</v>
      </c>
      <c r="BP25" s="34">
        <f>Settings!$B$7</f>
        <v>0.23</v>
      </c>
      <c r="BQ25" s="34">
        <f>Settings!$B$7</f>
        <v>0.23</v>
      </c>
      <c r="BR25" s="34">
        <f>Settings!$B$7</f>
        <v>0.23</v>
      </c>
      <c r="BS25" s="34">
        <f>Settings!$B$7</f>
        <v>0.23</v>
      </c>
      <c r="BT25" s="34">
        <f>Settings!$B$7</f>
        <v>0.23</v>
      </c>
      <c r="BU25" s="34">
        <f>Settings!$B$7</f>
        <v>0.23</v>
      </c>
      <c r="BV25" s="34">
        <f>Settings!$B$7</f>
        <v>0.23</v>
      </c>
      <c r="BW25" s="34">
        <f>Settings!$B$7</f>
        <v>0.23</v>
      </c>
      <c r="BX25" s="34">
        <f>Settings!$B$7</f>
        <v>0.23</v>
      </c>
      <c r="BY25" s="34">
        <f>Settings!$B$7</f>
        <v>0.23</v>
      </c>
      <c r="BZ25" s="34">
        <f>Settings!$B$7</f>
        <v>0.23</v>
      </c>
      <c r="CA25" s="34">
        <f>Settings!$B$7</f>
        <v>0.23</v>
      </c>
      <c r="CB25" s="34">
        <f>Settings!$B$7</f>
        <v>0.23</v>
      </c>
      <c r="CC25" s="34">
        <f>Settings!$B$7</f>
        <v>0.23</v>
      </c>
      <c r="CD25" s="34">
        <f>Settings!$B$7</f>
        <v>0.23</v>
      </c>
      <c r="CE25" s="34">
        <f>Settings!$B$7</f>
        <v>0.23</v>
      </c>
      <c r="CF25" s="34">
        <f>Settings!$B$7</f>
        <v>0.23</v>
      </c>
      <c r="CG25" s="34">
        <f>Settings!$B$7</f>
        <v>0.23</v>
      </c>
      <c r="CH25" s="34">
        <f>Settings!$B$7</f>
        <v>0.23</v>
      </c>
      <c r="CI25" s="34">
        <f>Settings!$B$7</f>
        <v>0.23</v>
      </c>
      <c r="CJ25" s="34">
        <f>Settings!$B$7</f>
        <v>0.23</v>
      </c>
      <c r="CK25" s="34">
        <f>Settings!$B$7</f>
        <v>0.23</v>
      </c>
      <c r="CL25" s="34">
        <f>Settings!$B$7</f>
        <v>0.23</v>
      </c>
      <c r="CM25" s="34">
        <f>Settings!$B$7</f>
        <v>0.23</v>
      </c>
      <c r="CN25" s="34">
        <f>Settings!$B$7</f>
        <v>0.23</v>
      </c>
      <c r="CO25" s="34">
        <f>Settings!$B$7</f>
        <v>0.23</v>
      </c>
      <c r="CP25" s="34">
        <f>Settings!$B$7</f>
        <v>0.23</v>
      </c>
      <c r="CQ25" s="34">
        <f>Settings!$B$7</f>
        <v>0.23</v>
      </c>
      <c r="CR25" s="34">
        <f>Settings!$B$7</f>
        <v>0.23</v>
      </c>
      <c r="CS25" s="34">
        <f>Settings!$B$7</f>
        <v>0.23</v>
      </c>
      <c r="CT25" s="34">
        <f>Settings!$B$7</f>
        <v>0.23</v>
      </c>
      <c r="CU25" s="34">
        <f>Settings!$B$7</f>
        <v>0.23</v>
      </c>
      <c r="CV25" s="34">
        <f>Settings!$B$7</f>
        <v>0.23</v>
      </c>
      <c r="CW25" s="34">
        <f>Settings!$B$7</f>
        <v>0.23</v>
      </c>
    </row>
    <row r="26" ht="15.75" customHeight="1">
      <c r="A26" s="61" t="s">
        <v>262</v>
      </c>
      <c r="B26" s="1"/>
      <c r="C26" s="1">
        <f t="shared" ref="C26:CW26" si="8">IF(C23&gt;0,C23*C25,0)</f>
        <v>0</v>
      </c>
      <c r="D26" s="1">
        <f t="shared" si="8"/>
        <v>0</v>
      </c>
      <c r="E26" s="1">
        <f t="shared" si="8"/>
        <v>0</v>
      </c>
      <c r="F26" s="1">
        <f t="shared" si="8"/>
        <v>0</v>
      </c>
      <c r="G26" s="1">
        <f t="shared" si="8"/>
        <v>0</v>
      </c>
      <c r="H26" s="1">
        <f t="shared" si="8"/>
        <v>368.9432263</v>
      </c>
      <c r="I26" s="1">
        <f t="shared" si="8"/>
        <v>713.4846073</v>
      </c>
      <c r="J26" s="1">
        <f t="shared" si="8"/>
        <v>1079.868807</v>
      </c>
      <c r="K26" s="1">
        <f t="shared" si="8"/>
        <v>1421.668456</v>
      </c>
      <c r="L26" s="1">
        <f t="shared" si="8"/>
        <v>1743.299106</v>
      </c>
      <c r="M26" s="1">
        <f t="shared" si="8"/>
        <v>1732.180527</v>
      </c>
      <c r="N26" s="1">
        <f t="shared" si="8"/>
        <v>2049.456566</v>
      </c>
      <c r="O26" s="1">
        <f t="shared" si="8"/>
        <v>2346.396678</v>
      </c>
      <c r="P26" s="1">
        <f t="shared" si="8"/>
        <v>2650.803257</v>
      </c>
      <c r="Q26" s="1">
        <f t="shared" si="8"/>
        <v>2957.64417</v>
      </c>
      <c r="R26" s="1">
        <f t="shared" si="8"/>
        <v>3250.010569</v>
      </c>
      <c r="S26" s="1">
        <f t="shared" si="8"/>
        <v>3576.271214</v>
      </c>
      <c r="T26" s="1">
        <f t="shared" si="8"/>
        <v>3888.378429</v>
      </c>
      <c r="U26" s="1">
        <f t="shared" si="8"/>
        <v>4190.19451</v>
      </c>
      <c r="V26" s="1">
        <f t="shared" si="8"/>
        <v>4529.709375</v>
      </c>
      <c r="W26" s="1">
        <f t="shared" si="8"/>
        <v>4497.64269</v>
      </c>
      <c r="X26" s="1">
        <f t="shared" si="8"/>
        <v>4819.452818</v>
      </c>
      <c r="Y26" s="1">
        <f t="shared" si="8"/>
        <v>5182.00773</v>
      </c>
      <c r="Z26" s="1">
        <f t="shared" si="8"/>
        <v>5536.795524</v>
      </c>
      <c r="AA26" s="1">
        <f t="shared" si="8"/>
        <v>5887.312074</v>
      </c>
      <c r="AB26" s="1">
        <f t="shared" si="8"/>
        <v>6367.391567</v>
      </c>
      <c r="AC26" s="56">
        <f t="shared" si="8"/>
        <v>4948.651787</v>
      </c>
      <c r="AD26" s="56">
        <f t="shared" si="8"/>
        <v>4967.673107</v>
      </c>
      <c r="AE26" s="56">
        <f t="shared" si="8"/>
        <v>5400.87683</v>
      </c>
      <c r="AF26" s="56">
        <f t="shared" si="8"/>
        <v>5831.570053</v>
      </c>
      <c r="AG26" s="56">
        <f t="shared" si="8"/>
        <v>6263.252852</v>
      </c>
      <c r="AH26" s="56">
        <f t="shared" si="8"/>
        <v>6699.056471</v>
      </c>
      <c r="AI26" s="56">
        <f t="shared" si="8"/>
        <v>6773.664909</v>
      </c>
      <c r="AJ26" s="56">
        <f t="shared" si="8"/>
        <v>7225.935136</v>
      </c>
      <c r="AK26" s="56">
        <f t="shared" si="8"/>
        <v>4840.158313</v>
      </c>
      <c r="AL26" s="56">
        <f t="shared" si="8"/>
        <v>5318.40938</v>
      </c>
      <c r="AM26" s="56">
        <f t="shared" si="8"/>
        <v>5444.682892</v>
      </c>
      <c r="AN26" s="56">
        <f t="shared" si="8"/>
        <v>5886.525931</v>
      </c>
      <c r="AO26" s="56">
        <f t="shared" si="8"/>
        <v>0</v>
      </c>
      <c r="AP26" s="56">
        <f t="shared" si="8"/>
        <v>0</v>
      </c>
      <c r="AQ26" s="56">
        <f t="shared" si="8"/>
        <v>0</v>
      </c>
      <c r="AR26" s="56">
        <f t="shared" si="8"/>
        <v>589.322047</v>
      </c>
      <c r="AS26" s="56">
        <f t="shared" si="8"/>
        <v>1220.174323</v>
      </c>
      <c r="AT26" s="56">
        <f t="shared" si="8"/>
        <v>1504.58083</v>
      </c>
      <c r="AU26" s="56">
        <f t="shared" si="8"/>
        <v>2195.375838</v>
      </c>
      <c r="AV26" s="56">
        <f t="shared" si="8"/>
        <v>2543.411528</v>
      </c>
      <c r="AW26" s="56">
        <f t="shared" si="8"/>
        <v>3301.603095</v>
      </c>
      <c r="AX26" s="56">
        <f t="shared" si="8"/>
        <v>4096.407571</v>
      </c>
      <c r="AY26" s="56">
        <f t="shared" si="8"/>
        <v>4554.34573</v>
      </c>
      <c r="AZ26" s="56">
        <f t="shared" si="8"/>
        <v>5345.91258</v>
      </c>
      <c r="BA26" s="56">
        <f t="shared" si="8"/>
        <v>5783.15261</v>
      </c>
      <c r="BB26" s="56">
        <f t="shared" si="8"/>
        <v>6745.420642</v>
      </c>
      <c r="BC26" s="56">
        <f t="shared" si="8"/>
        <v>7372.21228</v>
      </c>
      <c r="BD26" s="56">
        <f t="shared" si="8"/>
        <v>8049.005184</v>
      </c>
      <c r="BE26" s="56">
        <f t="shared" si="8"/>
        <v>9161.38723</v>
      </c>
      <c r="BF26" s="56">
        <f t="shared" si="8"/>
        <v>9946.020591</v>
      </c>
      <c r="BG26" s="56">
        <f t="shared" si="8"/>
        <v>10788.73601</v>
      </c>
      <c r="BH26" s="56">
        <f t="shared" si="8"/>
        <v>12075.4971</v>
      </c>
      <c r="BI26" s="56">
        <f t="shared" si="8"/>
        <v>13062.53147</v>
      </c>
      <c r="BJ26" s="56">
        <f t="shared" si="8"/>
        <v>14097.75884</v>
      </c>
      <c r="BK26" s="56">
        <f t="shared" si="8"/>
        <v>15203.74152</v>
      </c>
      <c r="BL26" s="56">
        <f t="shared" si="8"/>
        <v>16250.00168</v>
      </c>
      <c r="BM26" s="56">
        <f t="shared" si="8"/>
        <v>17456.67227</v>
      </c>
      <c r="BN26" s="56">
        <f t="shared" si="8"/>
        <v>18789.33571</v>
      </c>
      <c r="BO26" s="56">
        <f t="shared" si="8"/>
        <v>20208.08422</v>
      </c>
      <c r="BP26" s="56">
        <f t="shared" si="8"/>
        <v>21717.23433</v>
      </c>
      <c r="BQ26" s="56">
        <f t="shared" si="8"/>
        <v>23321.31656</v>
      </c>
      <c r="BR26" s="56">
        <f t="shared" si="8"/>
        <v>25025.08638</v>
      </c>
      <c r="BS26" s="56">
        <f t="shared" si="8"/>
        <v>26833.5357</v>
      </c>
      <c r="BT26" s="56">
        <f t="shared" si="8"/>
        <v>28361.23017</v>
      </c>
      <c r="BU26" s="56">
        <f t="shared" si="8"/>
        <v>30395.02072</v>
      </c>
      <c r="BV26" s="56">
        <f t="shared" si="8"/>
        <v>32550.0083</v>
      </c>
      <c r="BW26" s="56">
        <f t="shared" si="8"/>
        <v>34441.58195</v>
      </c>
      <c r="BX26" s="56">
        <f t="shared" si="8"/>
        <v>36193.31048</v>
      </c>
      <c r="BY26" s="56">
        <f t="shared" si="8"/>
        <v>38596.97196</v>
      </c>
      <c r="BZ26" s="56">
        <f t="shared" si="8"/>
        <v>40894.18662</v>
      </c>
      <c r="CA26" s="56">
        <f t="shared" si="8"/>
        <v>43346.0992</v>
      </c>
      <c r="CB26" s="56">
        <f t="shared" si="8"/>
        <v>45960.44633</v>
      </c>
      <c r="CC26" s="56">
        <f t="shared" si="8"/>
        <v>48745.35124</v>
      </c>
      <c r="CD26" s="56">
        <f t="shared" si="8"/>
        <v>51709.34307</v>
      </c>
      <c r="CE26" s="56">
        <f t="shared" si="8"/>
        <v>54861.37723</v>
      </c>
      <c r="CF26" s="56">
        <f t="shared" si="8"/>
        <v>57812.36852</v>
      </c>
      <c r="CG26" s="56">
        <f t="shared" si="8"/>
        <v>61369.16647</v>
      </c>
      <c r="CH26" s="56">
        <f t="shared" si="8"/>
        <v>64745.16116</v>
      </c>
      <c r="CI26" s="56">
        <f t="shared" si="8"/>
        <v>68748.21389</v>
      </c>
      <c r="CJ26" s="56">
        <f t="shared" si="8"/>
        <v>72106.62149</v>
      </c>
      <c r="CK26" s="56">
        <f t="shared" si="8"/>
        <v>76029.52505</v>
      </c>
      <c r="CL26" s="56">
        <f t="shared" si="8"/>
        <v>80366.77753</v>
      </c>
      <c r="CM26" s="56">
        <f t="shared" si="8"/>
        <v>84575.40167</v>
      </c>
      <c r="CN26" s="56">
        <f t="shared" si="8"/>
        <v>89482.20521</v>
      </c>
      <c r="CO26" s="56">
        <f t="shared" si="8"/>
        <v>94288.85843</v>
      </c>
      <c r="CP26" s="56">
        <f t="shared" si="8"/>
        <v>99417.1349</v>
      </c>
      <c r="CQ26" s="56">
        <f t="shared" si="8"/>
        <v>104883.1159</v>
      </c>
      <c r="CR26" s="56">
        <f t="shared" si="8"/>
        <v>110703.6869</v>
      </c>
      <c r="CS26" s="56">
        <f t="shared" si="8"/>
        <v>116896.5773</v>
      </c>
      <c r="CT26" s="56">
        <f t="shared" si="8"/>
        <v>123073.9454</v>
      </c>
      <c r="CU26" s="56">
        <f t="shared" si="8"/>
        <v>129865.6154</v>
      </c>
      <c r="CV26" s="56">
        <f t="shared" si="8"/>
        <v>135508.4684</v>
      </c>
      <c r="CW26" s="56">
        <f t="shared" si="8"/>
        <v>140847.8084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ht="15.75" customHeight="1">
      <c r="A28" s="111" t="s">
        <v>263</v>
      </c>
      <c r="B28" s="50"/>
      <c r="C28" s="60">
        <f t="shared" ref="C28:CW28" si="9">C17-C20-C21-C26</f>
        <v>0</v>
      </c>
      <c r="D28" s="60">
        <f t="shared" si="9"/>
        <v>-5438.558077</v>
      </c>
      <c r="E28" s="60">
        <f t="shared" si="9"/>
        <v>-3522.889761</v>
      </c>
      <c r="F28" s="60">
        <f t="shared" si="9"/>
        <v>-1791.521724</v>
      </c>
      <c r="G28" s="60">
        <f t="shared" si="9"/>
        <v>-17.56498187</v>
      </c>
      <c r="H28" s="60">
        <f t="shared" si="9"/>
        <v>1235.157758</v>
      </c>
      <c r="I28" s="60">
        <f t="shared" si="9"/>
        <v>2388.622381</v>
      </c>
      <c r="J28" s="60">
        <f t="shared" si="9"/>
        <v>3615.212963</v>
      </c>
      <c r="K28" s="60">
        <f t="shared" si="9"/>
        <v>4759.498744</v>
      </c>
      <c r="L28" s="60">
        <f t="shared" si="9"/>
        <v>5836.262223</v>
      </c>
      <c r="M28" s="60">
        <f t="shared" si="9"/>
        <v>5799.039156</v>
      </c>
      <c r="N28" s="60">
        <f t="shared" si="9"/>
        <v>6861.224155</v>
      </c>
      <c r="O28" s="60">
        <f t="shared" si="9"/>
        <v>7855.328008</v>
      </c>
      <c r="P28" s="60">
        <f t="shared" si="9"/>
        <v>8874.428296</v>
      </c>
      <c r="Q28" s="60">
        <f t="shared" si="9"/>
        <v>9901.678307</v>
      </c>
      <c r="R28" s="60">
        <f t="shared" si="9"/>
        <v>10880.47017</v>
      </c>
      <c r="S28" s="60">
        <f t="shared" si="9"/>
        <v>11972.73407</v>
      </c>
      <c r="T28" s="60">
        <f t="shared" si="9"/>
        <v>13017.61474</v>
      </c>
      <c r="U28" s="60">
        <f t="shared" si="9"/>
        <v>14028.04249</v>
      </c>
      <c r="V28" s="60">
        <f t="shared" si="9"/>
        <v>15164.67921</v>
      </c>
      <c r="W28" s="60">
        <f t="shared" si="9"/>
        <v>15057.32553</v>
      </c>
      <c r="X28" s="60">
        <f t="shared" si="9"/>
        <v>16134.68987</v>
      </c>
      <c r="Y28" s="60">
        <f t="shared" si="9"/>
        <v>17348.46066</v>
      </c>
      <c r="Z28" s="60">
        <f t="shared" si="9"/>
        <v>18536.22849</v>
      </c>
      <c r="AA28" s="60">
        <f t="shared" si="9"/>
        <v>19709.69694</v>
      </c>
      <c r="AB28" s="60">
        <f t="shared" si="9"/>
        <v>21316.91959</v>
      </c>
      <c r="AC28" s="60">
        <f t="shared" si="9"/>
        <v>16567.22555</v>
      </c>
      <c r="AD28" s="60">
        <f t="shared" si="9"/>
        <v>16630.90562</v>
      </c>
      <c r="AE28" s="60">
        <f t="shared" si="9"/>
        <v>18081.19634</v>
      </c>
      <c r="AF28" s="60">
        <f t="shared" si="9"/>
        <v>19523.08235</v>
      </c>
      <c r="AG28" s="60">
        <f t="shared" si="9"/>
        <v>20968.28129</v>
      </c>
      <c r="AH28" s="60">
        <f t="shared" si="9"/>
        <v>22427.27601</v>
      </c>
      <c r="AI28" s="60">
        <f t="shared" si="9"/>
        <v>22677.05209</v>
      </c>
      <c r="AJ28" s="60">
        <f t="shared" si="9"/>
        <v>24191.17415</v>
      </c>
      <c r="AK28" s="60">
        <f t="shared" si="9"/>
        <v>16204.00827</v>
      </c>
      <c r="AL28" s="60">
        <f t="shared" si="9"/>
        <v>17805.10966</v>
      </c>
      <c r="AM28" s="60">
        <f t="shared" si="9"/>
        <v>18227.85142</v>
      </c>
      <c r="AN28" s="60">
        <f t="shared" si="9"/>
        <v>19707.06507</v>
      </c>
      <c r="AO28" s="60">
        <f t="shared" si="9"/>
        <v>-3353.670134</v>
      </c>
      <c r="AP28" s="60">
        <f t="shared" si="9"/>
        <v>-943.0223113</v>
      </c>
      <c r="AQ28" s="60">
        <f t="shared" si="9"/>
        <v>-62.05588109</v>
      </c>
      <c r="AR28" s="60">
        <f t="shared" si="9"/>
        <v>1972.947723</v>
      </c>
      <c r="AS28" s="60">
        <f t="shared" si="9"/>
        <v>4084.931429</v>
      </c>
      <c r="AT28" s="60">
        <f t="shared" si="9"/>
        <v>5037.074952</v>
      </c>
      <c r="AU28" s="60">
        <f t="shared" si="9"/>
        <v>7349.736502</v>
      </c>
      <c r="AV28" s="60">
        <f t="shared" si="9"/>
        <v>8514.899464</v>
      </c>
      <c r="AW28" s="60">
        <f t="shared" si="9"/>
        <v>11053.19297</v>
      </c>
      <c r="AX28" s="60">
        <f t="shared" si="9"/>
        <v>13714.06013</v>
      </c>
      <c r="AY28" s="60">
        <f t="shared" si="9"/>
        <v>15247.15744</v>
      </c>
      <c r="AZ28" s="60">
        <f t="shared" si="9"/>
        <v>17897.18559</v>
      </c>
      <c r="BA28" s="60">
        <f t="shared" si="9"/>
        <v>19360.98917</v>
      </c>
      <c r="BB28" s="60">
        <f t="shared" si="9"/>
        <v>22582.49519</v>
      </c>
      <c r="BC28" s="60">
        <f t="shared" si="9"/>
        <v>24680.88459</v>
      </c>
      <c r="BD28" s="60">
        <f t="shared" si="9"/>
        <v>26946.66953</v>
      </c>
      <c r="BE28" s="60">
        <f t="shared" si="9"/>
        <v>30670.73116</v>
      </c>
      <c r="BF28" s="60">
        <f t="shared" si="9"/>
        <v>33297.5472</v>
      </c>
      <c r="BG28" s="60">
        <f t="shared" si="9"/>
        <v>36118.81187</v>
      </c>
      <c r="BH28" s="60">
        <f t="shared" si="9"/>
        <v>40426.66421</v>
      </c>
      <c r="BI28" s="60">
        <f t="shared" si="9"/>
        <v>43731.08361</v>
      </c>
      <c r="BJ28" s="60">
        <f t="shared" si="9"/>
        <v>47196.8448</v>
      </c>
      <c r="BK28" s="60">
        <f t="shared" si="9"/>
        <v>50899.48247</v>
      </c>
      <c r="BL28" s="60">
        <f t="shared" si="9"/>
        <v>54402.17955</v>
      </c>
      <c r="BM28" s="60">
        <f t="shared" si="9"/>
        <v>58441.90283</v>
      </c>
      <c r="BN28" s="60">
        <f t="shared" si="9"/>
        <v>62903.42825</v>
      </c>
      <c r="BO28" s="60">
        <f t="shared" si="9"/>
        <v>67653.15152</v>
      </c>
      <c r="BP28" s="60">
        <f t="shared" si="9"/>
        <v>72705.52363</v>
      </c>
      <c r="BQ28" s="60">
        <f t="shared" si="9"/>
        <v>78075.71196</v>
      </c>
      <c r="BR28" s="60">
        <f t="shared" si="9"/>
        <v>83779.637</v>
      </c>
      <c r="BS28" s="60">
        <f t="shared" si="9"/>
        <v>89834.01082</v>
      </c>
      <c r="BT28" s="60">
        <f t="shared" si="9"/>
        <v>94948.46623</v>
      </c>
      <c r="BU28" s="60">
        <f t="shared" si="9"/>
        <v>101757.2433</v>
      </c>
      <c r="BV28" s="60">
        <f t="shared" si="9"/>
        <v>108971.7669</v>
      </c>
      <c r="BW28" s="60">
        <f t="shared" si="9"/>
        <v>115304.4265</v>
      </c>
      <c r="BX28" s="60">
        <f t="shared" si="9"/>
        <v>121168.909</v>
      </c>
      <c r="BY28" s="60">
        <f t="shared" si="9"/>
        <v>129215.9496</v>
      </c>
      <c r="BZ28" s="60">
        <f t="shared" si="9"/>
        <v>136906.6248</v>
      </c>
      <c r="CA28" s="60">
        <f t="shared" si="9"/>
        <v>145115.2017</v>
      </c>
      <c r="CB28" s="60">
        <f t="shared" si="9"/>
        <v>153867.5812</v>
      </c>
      <c r="CC28" s="60">
        <f t="shared" si="9"/>
        <v>163190.9585</v>
      </c>
      <c r="CD28" s="60">
        <f t="shared" si="9"/>
        <v>173113.8877</v>
      </c>
      <c r="CE28" s="60">
        <f t="shared" si="9"/>
        <v>183666.3499</v>
      </c>
      <c r="CF28" s="60">
        <f t="shared" si="9"/>
        <v>193545.7555</v>
      </c>
      <c r="CG28" s="60">
        <f t="shared" si="9"/>
        <v>205453.2964</v>
      </c>
      <c r="CH28" s="60">
        <f t="shared" si="9"/>
        <v>216755.5395</v>
      </c>
      <c r="CI28" s="60">
        <f t="shared" si="9"/>
        <v>230157.0639</v>
      </c>
      <c r="CJ28" s="60">
        <f t="shared" si="9"/>
        <v>241400.4285</v>
      </c>
      <c r="CK28" s="60">
        <f t="shared" si="9"/>
        <v>254533.6274</v>
      </c>
      <c r="CL28" s="60">
        <f t="shared" si="9"/>
        <v>269053.9943</v>
      </c>
      <c r="CM28" s="60">
        <f t="shared" si="9"/>
        <v>283143.736</v>
      </c>
      <c r="CN28" s="60">
        <f t="shared" si="9"/>
        <v>299570.8609</v>
      </c>
      <c r="CO28" s="60">
        <f t="shared" si="9"/>
        <v>315662.7</v>
      </c>
      <c r="CP28" s="60">
        <f t="shared" si="9"/>
        <v>332831.2777</v>
      </c>
      <c r="CQ28" s="60">
        <f t="shared" si="9"/>
        <v>351130.4316</v>
      </c>
      <c r="CR28" s="60">
        <f t="shared" si="9"/>
        <v>370616.6908</v>
      </c>
      <c r="CS28" s="60">
        <f t="shared" si="9"/>
        <v>391349.4111</v>
      </c>
      <c r="CT28" s="60">
        <f t="shared" si="9"/>
        <v>412030.165</v>
      </c>
      <c r="CU28" s="60">
        <f t="shared" si="9"/>
        <v>434767.4952</v>
      </c>
      <c r="CV28" s="60">
        <f t="shared" si="9"/>
        <v>453658.7856</v>
      </c>
      <c r="CW28" s="60">
        <f t="shared" si="9"/>
        <v>471533.9672</v>
      </c>
    </row>
    <row r="29" ht="15.75" customHeight="1">
      <c r="A29" s="172" t="s">
        <v>264</v>
      </c>
      <c r="B29" s="172"/>
      <c r="C29" s="172">
        <f t="shared" ref="C29:CW29" si="10">IFERROR(C28/#REF!,0)</f>
        <v>0</v>
      </c>
      <c r="D29" s="172">
        <f t="shared" si="10"/>
        <v>0</v>
      </c>
      <c r="E29" s="172">
        <f t="shared" si="10"/>
        <v>0</v>
      </c>
      <c r="F29" s="172">
        <f t="shared" si="10"/>
        <v>0</v>
      </c>
      <c r="G29" s="172">
        <f t="shared" si="10"/>
        <v>0</v>
      </c>
      <c r="H29" s="172">
        <f t="shared" si="10"/>
        <v>0</v>
      </c>
      <c r="I29" s="172">
        <f t="shared" si="10"/>
        <v>0</v>
      </c>
      <c r="J29" s="172">
        <f t="shared" si="10"/>
        <v>0</v>
      </c>
      <c r="K29" s="172">
        <f t="shared" si="10"/>
        <v>0</v>
      </c>
      <c r="L29" s="172">
        <f t="shared" si="10"/>
        <v>0</v>
      </c>
      <c r="M29" s="172">
        <f t="shared" si="10"/>
        <v>0</v>
      </c>
      <c r="N29" s="172">
        <f t="shared" si="10"/>
        <v>0</v>
      </c>
      <c r="O29" s="172">
        <f t="shared" si="10"/>
        <v>0</v>
      </c>
      <c r="P29" s="172">
        <f t="shared" si="10"/>
        <v>0</v>
      </c>
      <c r="Q29" s="172">
        <f t="shared" si="10"/>
        <v>0</v>
      </c>
      <c r="R29" s="172">
        <f t="shared" si="10"/>
        <v>0</v>
      </c>
      <c r="S29" s="172">
        <f t="shared" si="10"/>
        <v>0</v>
      </c>
      <c r="T29" s="172">
        <f t="shared" si="10"/>
        <v>0</v>
      </c>
      <c r="U29" s="172">
        <f t="shared" si="10"/>
        <v>0</v>
      </c>
      <c r="V29" s="172">
        <f t="shared" si="10"/>
        <v>0</v>
      </c>
      <c r="W29" s="172">
        <f t="shared" si="10"/>
        <v>0</v>
      </c>
      <c r="X29" s="172">
        <f t="shared" si="10"/>
        <v>0</v>
      </c>
      <c r="Y29" s="172">
        <f t="shared" si="10"/>
        <v>0</v>
      </c>
      <c r="Z29" s="172">
        <f t="shared" si="10"/>
        <v>0</v>
      </c>
      <c r="AA29" s="172">
        <f t="shared" si="10"/>
        <v>0</v>
      </c>
      <c r="AB29" s="172">
        <f t="shared" si="10"/>
        <v>0</v>
      </c>
      <c r="AC29" s="172">
        <f t="shared" si="10"/>
        <v>0</v>
      </c>
      <c r="AD29" s="172">
        <f t="shared" si="10"/>
        <v>0</v>
      </c>
      <c r="AE29" s="172">
        <f t="shared" si="10"/>
        <v>0</v>
      </c>
      <c r="AF29" s="172">
        <f t="shared" si="10"/>
        <v>0</v>
      </c>
      <c r="AG29" s="172">
        <f t="shared" si="10"/>
        <v>0</v>
      </c>
      <c r="AH29" s="172">
        <f t="shared" si="10"/>
        <v>0</v>
      </c>
      <c r="AI29" s="172">
        <f t="shared" si="10"/>
        <v>0</v>
      </c>
      <c r="AJ29" s="172">
        <f t="shared" si="10"/>
        <v>0</v>
      </c>
      <c r="AK29" s="172">
        <f t="shared" si="10"/>
        <v>0</v>
      </c>
      <c r="AL29" s="172">
        <f t="shared" si="10"/>
        <v>0</v>
      </c>
      <c r="AM29" s="172">
        <f t="shared" si="10"/>
        <v>0</v>
      </c>
      <c r="AN29" s="172">
        <f t="shared" si="10"/>
        <v>0</v>
      </c>
      <c r="AO29" s="172">
        <f t="shared" si="10"/>
        <v>0</v>
      </c>
      <c r="AP29" s="172">
        <f t="shared" si="10"/>
        <v>0</v>
      </c>
      <c r="AQ29" s="172">
        <f t="shared" si="10"/>
        <v>0</v>
      </c>
      <c r="AR29" s="172">
        <f t="shared" si="10"/>
        <v>0</v>
      </c>
      <c r="AS29" s="172">
        <f t="shared" si="10"/>
        <v>0</v>
      </c>
      <c r="AT29" s="172">
        <f t="shared" si="10"/>
        <v>0</v>
      </c>
      <c r="AU29" s="172">
        <f t="shared" si="10"/>
        <v>0</v>
      </c>
      <c r="AV29" s="172">
        <f t="shared" si="10"/>
        <v>0</v>
      </c>
      <c r="AW29" s="172">
        <f t="shared" si="10"/>
        <v>0</v>
      </c>
      <c r="AX29" s="172">
        <f t="shared" si="10"/>
        <v>0</v>
      </c>
      <c r="AY29" s="172">
        <f t="shared" si="10"/>
        <v>0</v>
      </c>
      <c r="AZ29" s="172">
        <f t="shared" si="10"/>
        <v>0</v>
      </c>
      <c r="BA29" s="172">
        <f t="shared" si="10"/>
        <v>0</v>
      </c>
      <c r="BB29" s="172">
        <f t="shared" si="10"/>
        <v>0</v>
      </c>
      <c r="BC29" s="172">
        <f t="shared" si="10"/>
        <v>0</v>
      </c>
      <c r="BD29" s="172">
        <f t="shared" si="10"/>
        <v>0</v>
      </c>
      <c r="BE29" s="172">
        <f t="shared" si="10"/>
        <v>0</v>
      </c>
      <c r="BF29" s="172">
        <f t="shared" si="10"/>
        <v>0</v>
      </c>
      <c r="BG29" s="172">
        <f t="shared" si="10"/>
        <v>0</v>
      </c>
      <c r="BH29" s="172">
        <f t="shared" si="10"/>
        <v>0</v>
      </c>
      <c r="BI29" s="172">
        <f t="shared" si="10"/>
        <v>0</v>
      </c>
      <c r="BJ29" s="172">
        <f t="shared" si="10"/>
        <v>0</v>
      </c>
      <c r="BK29" s="172">
        <f t="shared" si="10"/>
        <v>0</v>
      </c>
      <c r="BL29" s="172">
        <f t="shared" si="10"/>
        <v>0</v>
      </c>
      <c r="BM29" s="172">
        <f t="shared" si="10"/>
        <v>0</v>
      </c>
      <c r="BN29" s="172">
        <f t="shared" si="10"/>
        <v>0</v>
      </c>
      <c r="BO29" s="172">
        <f t="shared" si="10"/>
        <v>0</v>
      </c>
      <c r="BP29" s="172">
        <f t="shared" si="10"/>
        <v>0</v>
      </c>
      <c r="BQ29" s="172">
        <f t="shared" si="10"/>
        <v>0</v>
      </c>
      <c r="BR29" s="172">
        <f t="shared" si="10"/>
        <v>0</v>
      </c>
      <c r="BS29" s="172">
        <f t="shared" si="10"/>
        <v>0</v>
      </c>
      <c r="BT29" s="172">
        <f t="shared" si="10"/>
        <v>0</v>
      </c>
      <c r="BU29" s="172">
        <f t="shared" si="10"/>
        <v>0</v>
      </c>
      <c r="BV29" s="172">
        <f t="shared" si="10"/>
        <v>0</v>
      </c>
      <c r="BW29" s="172">
        <f t="shared" si="10"/>
        <v>0</v>
      </c>
      <c r="BX29" s="172">
        <f t="shared" si="10"/>
        <v>0</v>
      </c>
      <c r="BY29" s="172">
        <f t="shared" si="10"/>
        <v>0</v>
      </c>
      <c r="BZ29" s="172">
        <f t="shared" si="10"/>
        <v>0</v>
      </c>
      <c r="CA29" s="172">
        <f t="shared" si="10"/>
        <v>0</v>
      </c>
      <c r="CB29" s="172">
        <f t="shared" si="10"/>
        <v>0</v>
      </c>
      <c r="CC29" s="172">
        <f t="shared" si="10"/>
        <v>0</v>
      </c>
      <c r="CD29" s="172">
        <f t="shared" si="10"/>
        <v>0</v>
      </c>
      <c r="CE29" s="172">
        <f t="shared" si="10"/>
        <v>0</v>
      </c>
      <c r="CF29" s="172">
        <f t="shared" si="10"/>
        <v>0</v>
      </c>
      <c r="CG29" s="172">
        <f t="shared" si="10"/>
        <v>0</v>
      </c>
      <c r="CH29" s="172">
        <f t="shared" si="10"/>
        <v>0</v>
      </c>
      <c r="CI29" s="172">
        <f t="shared" si="10"/>
        <v>0</v>
      </c>
      <c r="CJ29" s="172">
        <f t="shared" si="10"/>
        <v>0</v>
      </c>
      <c r="CK29" s="172">
        <f t="shared" si="10"/>
        <v>0</v>
      </c>
      <c r="CL29" s="172">
        <f t="shared" si="10"/>
        <v>0</v>
      </c>
      <c r="CM29" s="172">
        <f t="shared" si="10"/>
        <v>0</v>
      </c>
      <c r="CN29" s="172">
        <f t="shared" si="10"/>
        <v>0</v>
      </c>
      <c r="CO29" s="172">
        <f t="shared" si="10"/>
        <v>0</v>
      </c>
      <c r="CP29" s="172">
        <f t="shared" si="10"/>
        <v>0</v>
      </c>
      <c r="CQ29" s="172">
        <f t="shared" si="10"/>
        <v>0</v>
      </c>
      <c r="CR29" s="172">
        <f t="shared" si="10"/>
        <v>0</v>
      </c>
      <c r="CS29" s="172">
        <f t="shared" si="10"/>
        <v>0</v>
      </c>
      <c r="CT29" s="172">
        <f t="shared" si="10"/>
        <v>0</v>
      </c>
      <c r="CU29" s="172">
        <f t="shared" si="10"/>
        <v>0</v>
      </c>
      <c r="CV29" s="172">
        <f t="shared" si="10"/>
        <v>0</v>
      </c>
      <c r="CW29" s="172">
        <f t="shared" si="10"/>
        <v>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ht="23.25" customHeight="1">
      <c r="A32" s="142" t="s">
        <v>265</v>
      </c>
      <c r="B32" s="141"/>
      <c r="C32" s="144"/>
      <c r="D32" s="141"/>
      <c r="E32" s="141"/>
      <c r="F32" s="141"/>
      <c r="G32" s="141"/>
      <c r="H32" s="142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2"/>
      <c r="AC32" s="141"/>
      <c r="AD32" s="141"/>
      <c r="AE32" s="141"/>
      <c r="AF32" s="141"/>
      <c r="AG32" s="141"/>
      <c r="AH32" s="142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2"/>
      <c r="BC32" s="141"/>
      <c r="BD32" s="141"/>
      <c r="BE32" s="141"/>
      <c r="BF32" s="141"/>
      <c r="BG32" s="141"/>
      <c r="BH32" s="142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</row>
    <row r="34" ht="15.75" customHeight="1">
      <c r="A34" s="60" t="s">
        <v>266</v>
      </c>
      <c r="B34" s="56"/>
      <c r="C34" s="56">
        <f>Settings!$B$10</f>
        <v>0</v>
      </c>
      <c r="D34" s="56">
        <f t="shared" ref="D34:CW34" si="11">C39</f>
        <v>0</v>
      </c>
      <c r="E34" s="56">
        <f t="shared" si="11"/>
        <v>-16938.55808</v>
      </c>
      <c r="F34" s="56">
        <f t="shared" si="11"/>
        <v>-19961.44784</v>
      </c>
      <c r="G34" s="56">
        <f t="shared" si="11"/>
        <v>-21252.96956</v>
      </c>
      <c r="H34" s="56">
        <f t="shared" si="11"/>
        <v>-20770.53454</v>
      </c>
      <c r="I34" s="56">
        <f t="shared" si="11"/>
        <v>-19035.37679</v>
      </c>
      <c r="J34" s="56">
        <f t="shared" si="11"/>
        <v>-16146.75441</v>
      </c>
      <c r="K34" s="56">
        <f t="shared" si="11"/>
        <v>-12031.54144</v>
      </c>
      <c r="L34" s="56">
        <f t="shared" si="11"/>
        <v>-6772.042699</v>
      </c>
      <c r="M34" s="56">
        <f t="shared" si="11"/>
        <v>-435.7804758</v>
      </c>
      <c r="N34" s="56">
        <f t="shared" si="11"/>
        <v>5863.258681</v>
      </c>
      <c r="O34" s="56">
        <f t="shared" si="11"/>
        <v>13224.48284</v>
      </c>
      <c r="P34" s="56">
        <f t="shared" si="11"/>
        <v>21579.81084</v>
      </c>
      <c r="Q34" s="56">
        <f t="shared" si="11"/>
        <v>30954.23914</v>
      </c>
      <c r="R34" s="56">
        <f t="shared" si="11"/>
        <v>41355.91745</v>
      </c>
      <c r="S34" s="56">
        <f t="shared" si="11"/>
        <v>52736.38761</v>
      </c>
      <c r="T34" s="56">
        <f t="shared" si="11"/>
        <v>65209.12168</v>
      </c>
      <c r="U34" s="56">
        <f t="shared" si="11"/>
        <v>78726.73642</v>
      </c>
      <c r="V34" s="56">
        <f t="shared" si="11"/>
        <v>93254.77891</v>
      </c>
      <c r="W34" s="56">
        <f t="shared" si="11"/>
        <v>108919.4581</v>
      </c>
      <c r="X34" s="56">
        <f t="shared" si="11"/>
        <v>124476.7836</v>
      </c>
      <c r="Y34" s="56">
        <f t="shared" si="11"/>
        <v>141111.4735</v>
      </c>
      <c r="Z34" s="56">
        <f t="shared" si="11"/>
        <v>158959.9342</v>
      </c>
      <c r="AA34" s="56">
        <f t="shared" si="11"/>
        <v>177996.1627</v>
      </c>
      <c r="AB34" s="56">
        <f t="shared" si="11"/>
        <v>198205.8596</v>
      </c>
      <c r="AC34" s="56">
        <f t="shared" si="11"/>
        <v>219522.7792</v>
      </c>
      <c r="AD34" s="56">
        <f t="shared" si="11"/>
        <v>234256.6714</v>
      </c>
      <c r="AE34" s="56">
        <f t="shared" si="11"/>
        <v>251054.2437</v>
      </c>
      <c r="AF34" s="56">
        <f t="shared" si="11"/>
        <v>269302.1067</v>
      </c>
      <c r="AG34" s="56">
        <f t="shared" si="11"/>
        <v>288991.8557</v>
      </c>
      <c r="AH34" s="56">
        <f t="shared" si="11"/>
        <v>310126.8037</v>
      </c>
      <c r="AI34" s="56">
        <f t="shared" si="11"/>
        <v>332720.7464</v>
      </c>
      <c r="AJ34" s="56">
        <f t="shared" si="11"/>
        <v>355564.4651</v>
      </c>
      <c r="AK34" s="56">
        <f t="shared" si="11"/>
        <v>379922.3059</v>
      </c>
      <c r="AL34" s="56">
        <f t="shared" si="11"/>
        <v>394376.3142</v>
      </c>
      <c r="AM34" s="56">
        <f t="shared" si="11"/>
        <v>412431.4239</v>
      </c>
      <c r="AN34" s="56">
        <f t="shared" si="11"/>
        <v>430909.2753</v>
      </c>
      <c r="AO34" s="56">
        <f t="shared" si="11"/>
        <v>448949.6737</v>
      </c>
      <c r="AP34" s="56">
        <f t="shared" si="11"/>
        <v>436346.0036</v>
      </c>
      <c r="AQ34" s="56">
        <f t="shared" si="11"/>
        <v>436152.9813</v>
      </c>
      <c r="AR34" s="56">
        <f t="shared" si="11"/>
        <v>436840.9254</v>
      </c>
      <c r="AS34" s="56">
        <f t="shared" si="11"/>
        <v>439563.8731</v>
      </c>
      <c r="AT34" s="56">
        <f t="shared" si="11"/>
        <v>444398.8045</v>
      </c>
      <c r="AU34" s="56">
        <f t="shared" si="11"/>
        <v>450185.8795</v>
      </c>
      <c r="AV34" s="56">
        <f t="shared" si="11"/>
        <v>458285.616</v>
      </c>
      <c r="AW34" s="56">
        <f t="shared" si="11"/>
        <v>467550.5154</v>
      </c>
      <c r="AX34" s="56">
        <f t="shared" si="11"/>
        <v>479353.7084</v>
      </c>
      <c r="AY34" s="56">
        <f t="shared" si="11"/>
        <v>493817.7685</v>
      </c>
      <c r="AZ34" s="56">
        <f t="shared" si="11"/>
        <v>509814.926</v>
      </c>
      <c r="BA34" s="56">
        <f t="shared" si="11"/>
        <v>528462.1116</v>
      </c>
      <c r="BB34" s="56">
        <f t="shared" si="11"/>
        <v>548406.4341</v>
      </c>
      <c r="BC34" s="56">
        <f t="shared" si="11"/>
        <v>571572.2626</v>
      </c>
      <c r="BD34" s="56">
        <f t="shared" si="11"/>
        <v>596836.4805</v>
      </c>
      <c r="BE34" s="56">
        <f t="shared" si="11"/>
        <v>624366.4834</v>
      </c>
      <c r="BF34" s="56">
        <f t="shared" si="11"/>
        <v>655620.5479</v>
      </c>
      <c r="BG34" s="56">
        <f t="shared" si="11"/>
        <v>689501.4284</v>
      </c>
      <c r="BH34" s="56">
        <f t="shared" si="11"/>
        <v>726203.5736</v>
      </c>
      <c r="BI34" s="56">
        <f t="shared" si="11"/>
        <v>767213.5712</v>
      </c>
      <c r="BJ34" s="56">
        <f t="shared" si="11"/>
        <v>811444.6548</v>
      </c>
      <c r="BK34" s="56">
        <f t="shared" si="11"/>
        <v>859141.4996</v>
      </c>
      <c r="BL34" s="56">
        <f t="shared" si="11"/>
        <v>910540.9821</v>
      </c>
      <c r="BM34" s="56">
        <f t="shared" si="11"/>
        <v>965359.8283</v>
      </c>
      <c r="BN34" s="56">
        <f t="shared" si="11"/>
        <v>1023801.731</v>
      </c>
      <c r="BO34" s="56">
        <f t="shared" si="11"/>
        <v>1086705.159</v>
      </c>
      <c r="BP34" s="56">
        <f t="shared" si="11"/>
        <v>1154358.311</v>
      </c>
      <c r="BQ34" s="56">
        <f t="shared" si="11"/>
        <v>1227063.835</v>
      </c>
      <c r="BR34" s="56">
        <f t="shared" si="11"/>
        <v>1305139.546</v>
      </c>
      <c r="BS34" s="56">
        <f t="shared" si="11"/>
        <v>1388919.183</v>
      </c>
      <c r="BT34" s="56">
        <f t="shared" si="11"/>
        <v>1478753.194</v>
      </c>
      <c r="BU34" s="56">
        <f t="shared" si="11"/>
        <v>1573701.661</v>
      </c>
      <c r="BV34" s="56">
        <f t="shared" si="11"/>
        <v>1675458.904</v>
      </c>
      <c r="BW34" s="56">
        <f t="shared" si="11"/>
        <v>1784430.671</v>
      </c>
      <c r="BX34" s="56">
        <f t="shared" si="11"/>
        <v>1899735.097</v>
      </c>
      <c r="BY34" s="56">
        <f t="shared" si="11"/>
        <v>2020904.006</v>
      </c>
      <c r="BZ34" s="56">
        <f t="shared" si="11"/>
        <v>2150119.956</v>
      </c>
      <c r="CA34" s="56">
        <f t="shared" si="11"/>
        <v>2287026.581</v>
      </c>
      <c r="CB34" s="56">
        <f t="shared" si="11"/>
        <v>2432141.782</v>
      </c>
      <c r="CC34" s="56">
        <f t="shared" si="11"/>
        <v>2586009.363</v>
      </c>
      <c r="CD34" s="56">
        <f t="shared" si="11"/>
        <v>2749200.322</v>
      </c>
      <c r="CE34" s="56">
        <f t="shared" si="11"/>
        <v>2922314.21</v>
      </c>
      <c r="CF34" s="56">
        <f t="shared" si="11"/>
        <v>3105980.559</v>
      </c>
      <c r="CG34" s="56">
        <f t="shared" si="11"/>
        <v>3299526.315</v>
      </c>
      <c r="CH34" s="56">
        <f t="shared" si="11"/>
        <v>3504979.611</v>
      </c>
      <c r="CI34" s="56">
        <f t="shared" si="11"/>
        <v>3721735.151</v>
      </c>
      <c r="CJ34" s="56">
        <f t="shared" si="11"/>
        <v>3951892.215</v>
      </c>
      <c r="CK34" s="56">
        <f t="shared" si="11"/>
        <v>4193292.643</v>
      </c>
      <c r="CL34" s="56">
        <f t="shared" si="11"/>
        <v>4447826.271</v>
      </c>
      <c r="CM34" s="56">
        <f t="shared" si="11"/>
        <v>4716880.265</v>
      </c>
      <c r="CN34" s="56">
        <f t="shared" si="11"/>
        <v>5000024.001</v>
      </c>
      <c r="CO34" s="56">
        <f t="shared" si="11"/>
        <v>5299594.862</v>
      </c>
      <c r="CP34" s="56">
        <f t="shared" si="11"/>
        <v>5615257.562</v>
      </c>
      <c r="CQ34" s="56">
        <f t="shared" si="11"/>
        <v>5948088.84</v>
      </c>
      <c r="CR34" s="56">
        <f t="shared" si="11"/>
        <v>6299219.271</v>
      </c>
      <c r="CS34" s="56">
        <f t="shared" si="11"/>
        <v>6669835.962</v>
      </c>
      <c r="CT34" s="56">
        <f t="shared" si="11"/>
        <v>7061185.373</v>
      </c>
      <c r="CU34" s="56">
        <f t="shared" si="11"/>
        <v>7473215.538</v>
      </c>
      <c r="CV34" s="56">
        <f t="shared" si="11"/>
        <v>7907983.033</v>
      </c>
      <c r="CW34" s="56">
        <f t="shared" si="11"/>
        <v>8361641.819</v>
      </c>
    </row>
    <row r="35" ht="15.75" customHeight="1">
      <c r="A35" s="56" t="s">
        <v>267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</row>
    <row r="36" ht="15.75" customHeight="1">
      <c r="A36" s="56" t="s">
        <v>268</v>
      </c>
      <c r="B36" s="56"/>
      <c r="C36" s="56">
        <f t="shared" ref="C36:CW36" si="12">C28+C20</f>
        <v>0</v>
      </c>
      <c r="D36" s="56">
        <f t="shared" si="12"/>
        <v>-4938.558077</v>
      </c>
      <c r="E36" s="56">
        <f t="shared" si="12"/>
        <v>-3022.889761</v>
      </c>
      <c r="F36" s="56">
        <f t="shared" si="12"/>
        <v>-1291.521724</v>
      </c>
      <c r="G36" s="56">
        <f t="shared" si="12"/>
        <v>482.4350181</v>
      </c>
      <c r="H36" s="56">
        <f t="shared" si="12"/>
        <v>1735.157758</v>
      </c>
      <c r="I36" s="56">
        <f t="shared" si="12"/>
        <v>2888.622381</v>
      </c>
      <c r="J36" s="56">
        <f t="shared" si="12"/>
        <v>4115.212963</v>
      </c>
      <c r="K36" s="56">
        <f t="shared" si="12"/>
        <v>5259.498744</v>
      </c>
      <c r="L36" s="56">
        <f t="shared" si="12"/>
        <v>6336.262223</v>
      </c>
      <c r="M36" s="56">
        <f t="shared" si="12"/>
        <v>6299.039156</v>
      </c>
      <c r="N36" s="56">
        <f t="shared" si="12"/>
        <v>7361.224155</v>
      </c>
      <c r="O36" s="56">
        <f t="shared" si="12"/>
        <v>8355.328008</v>
      </c>
      <c r="P36" s="56">
        <f t="shared" si="12"/>
        <v>9374.428296</v>
      </c>
      <c r="Q36" s="56">
        <f t="shared" si="12"/>
        <v>10401.67831</v>
      </c>
      <c r="R36" s="56">
        <f t="shared" si="12"/>
        <v>11380.47017</v>
      </c>
      <c r="S36" s="56">
        <f t="shared" si="12"/>
        <v>12472.73407</v>
      </c>
      <c r="T36" s="56">
        <f t="shared" si="12"/>
        <v>13517.61474</v>
      </c>
      <c r="U36" s="56">
        <f t="shared" si="12"/>
        <v>14528.04249</v>
      </c>
      <c r="V36" s="56">
        <f t="shared" si="12"/>
        <v>15664.67921</v>
      </c>
      <c r="W36" s="56">
        <f t="shared" si="12"/>
        <v>15557.32553</v>
      </c>
      <c r="X36" s="56">
        <f t="shared" si="12"/>
        <v>16634.68987</v>
      </c>
      <c r="Y36" s="56">
        <f t="shared" si="12"/>
        <v>17848.46066</v>
      </c>
      <c r="Z36" s="56">
        <f t="shared" si="12"/>
        <v>19036.22849</v>
      </c>
      <c r="AA36" s="56">
        <f t="shared" si="12"/>
        <v>20209.69694</v>
      </c>
      <c r="AB36" s="56">
        <f t="shared" si="12"/>
        <v>21316.91959</v>
      </c>
      <c r="AC36" s="56">
        <f t="shared" si="12"/>
        <v>16733.89222</v>
      </c>
      <c r="AD36" s="56">
        <f t="shared" si="12"/>
        <v>16797.57229</v>
      </c>
      <c r="AE36" s="56">
        <f t="shared" si="12"/>
        <v>18247.86301</v>
      </c>
      <c r="AF36" s="56">
        <f t="shared" si="12"/>
        <v>19689.74902</v>
      </c>
      <c r="AG36" s="56">
        <f t="shared" si="12"/>
        <v>21134.94796</v>
      </c>
      <c r="AH36" s="56">
        <f t="shared" si="12"/>
        <v>22593.94268</v>
      </c>
      <c r="AI36" s="56">
        <f t="shared" si="12"/>
        <v>22843.71875</v>
      </c>
      <c r="AJ36" s="56">
        <f t="shared" si="12"/>
        <v>24357.84082</v>
      </c>
      <c r="AK36" s="56">
        <f t="shared" si="12"/>
        <v>16454.00827</v>
      </c>
      <c r="AL36" s="56">
        <f t="shared" si="12"/>
        <v>18055.10966</v>
      </c>
      <c r="AM36" s="56">
        <f t="shared" si="12"/>
        <v>18477.85142</v>
      </c>
      <c r="AN36" s="56">
        <f t="shared" si="12"/>
        <v>20040.39841</v>
      </c>
      <c r="AO36" s="56">
        <f t="shared" si="12"/>
        <v>-2603.670134</v>
      </c>
      <c r="AP36" s="56">
        <f t="shared" si="12"/>
        <v>-193.0223113</v>
      </c>
      <c r="AQ36" s="56">
        <f t="shared" si="12"/>
        <v>687.9441189</v>
      </c>
      <c r="AR36" s="56">
        <f t="shared" si="12"/>
        <v>2722.947723</v>
      </c>
      <c r="AS36" s="56">
        <f t="shared" si="12"/>
        <v>4834.931429</v>
      </c>
      <c r="AT36" s="56">
        <f t="shared" si="12"/>
        <v>5787.074952</v>
      </c>
      <c r="AU36" s="56">
        <f t="shared" si="12"/>
        <v>8099.736502</v>
      </c>
      <c r="AV36" s="56">
        <f t="shared" si="12"/>
        <v>9264.899464</v>
      </c>
      <c r="AW36" s="56">
        <f t="shared" si="12"/>
        <v>11803.19297</v>
      </c>
      <c r="AX36" s="56">
        <f t="shared" si="12"/>
        <v>14464.06013</v>
      </c>
      <c r="AY36" s="56">
        <f t="shared" si="12"/>
        <v>15997.15744</v>
      </c>
      <c r="AZ36" s="56">
        <f t="shared" si="12"/>
        <v>18647.18559</v>
      </c>
      <c r="BA36" s="56">
        <f t="shared" si="12"/>
        <v>19944.3225</v>
      </c>
      <c r="BB36" s="56">
        <f t="shared" si="12"/>
        <v>23165.82853</v>
      </c>
      <c r="BC36" s="56">
        <f t="shared" si="12"/>
        <v>25264.21792</v>
      </c>
      <c r="BD36" s="56">
        <f t="shared" si="12"/>
        <v>27530.00286</v>
      </c>
      <c r="BE36" s="56">
        <f t="shared" si="12"/>
        <v>31254.0645</v>
      </c>
      <c r="BF36" s="56">
        <f t="shared" si="12"/>
        <v>33880.88053</v>
      </c>
      <c r="BG36" s="56">
        <f t="shared" si="12"/>
        <v>36702.1452</v>
      </c>
      <c r="BH36" s="56">
        <f t="shared" si="12"/>
        <v>41009.99755</v>
      </c>
      <c r="BI36" s="56">
        <f t="shared" si="12"/>
        <v>44231.08361</v>
      </c>
      <c r="BJ36" s="56">
        <f t="shared" si="12"/>
        <v>47696.8448</v>
      </c>
      <c r="BK36" s="56">
        <f t="shared" si="12"/>
        <v>51399.48247</v>
      </c>
      <c r="BL36" s="56">
        <f t="shared" si="12"/>
        <v>54818.84622</v>
      </c>
      <c r="BM36" s="56">
        <f t="shared" si="12"/>
        <v>58441.90283</v>
      </c>
      <c r="BN36" s="56">
        <f t="shared" si="12"/>
        <v>62903.42825</v>
      </c>
      <c r="BO36" s="56">
        <f t="shared" si="12"/>
        <v>67653.15152</v>
      </c>
      <c r="BP36" s="56">
        <f t="shared" si="12"/>
        <v>72705.52363</v>
      </c>
      <c r="BQ36" s="56">
        <f t="shared" si="12"/>
        <v>78075.71196</v>
      </c>
      <c r="BR36" s="56">
        <f t="shared" si="12"/>
        <v>83779.637</v>
      </c>
      <c r="BS36" s="56">
        <f t="shared" si="12"/>
        <v>89834.01082</v>
      </c>
      <c r="BT36" s="56">
        <f t="shared" si="12"/>
        <v>94948.46623</v>
      </c>
      <c r="BU36" s="56">
        <f t="shared" si="12"/>
        <v>101757.2433</v>
      </c>
      <c r="BV36" s="56">
        <f t="shared" si="12"/>
        <v>108971.7669</v>
      </c>
      <c r="BW36" s="56">
        <f t="shared" si="12"/>
        <v>115304.4265</v>
      </c>
      <c r="BX36" s="56">
        <f t="shared" si="12"/>
        <v>121168.909</v>
      </c>
      <c r="BY36" s="56">
        <f t="shared" si="12"/>
        <v>129215.9496</v>
      </c>
      <c r="BZ36" s="56">
        <f t="shared" si="12"/>
        <v>136906.6248</v>
      </c>
      <c r="CA36" s="56">
        <f t="shared" si="12"/>
        <v>145115.2017</v>
      </c>
      <c r="CB36" s="56">
        <f t="shared" si="12"/>
        <v>153867.5812</v>
      </c>
      <c r="CC36" s="56">
        <f t="shared" si="12"/>
        <v>163190.9585</v>
      </c>
      <c r="CD36" s="56">
        <f t="shared" si="12"/>
        <v>173113.8877</v>
      </c>
      <c r="CE36" s="56">
        <f t="shared" si="12"/>
        <v>183666.3499</v>
      </c>
      <c r="CF36" s="56">
        <f t="shared" si="12"/>
        <v>193545.7555</v>
      </c>
      <c r="CG36" s="56">
        <f t="shared" si="12"/>
        <v>205453.2964</v>
      </c>
      <c r="CH36" s="56">
        <f t="shared" si="12"/>
        <v>216755.5395</v>
      </c>
      <c r="CI36" s="56">
        <f t="shared" si="12"/>
        <v>230157.0639</v>
      </c>
      <c r="CJ36" s="56">
        <f t="shared" si="12"/>
        <v>241400.4285</v>
      </c>
      <c r="CK36" s="56">
        <f t="shared" si="12"/>
        <v>254533.6274</v>
      </c>
      <c r="CL36" s="56">
        <f t="shared" si="12"/>
        <v>269053.9943</v>
      </c>
      <c r="CM36" s="56">
        <f t="shared" si="12"/>
        <v>283143.736</v>
      </c>
      <c r="CN36" s="56">
        <f t="shared" si="12"/>
        <v>299570.8609</v>
      </c>
      <c r="CO36" s="56">
        <f t="shared" si="12"/>
        <v>315662.7</v>
      </c>
      <c r="CP36" s="56">
        <f t="shared" si="12"/>
        <v>332831.2777</v>
      </c>
      <c r="CQ36" s="56">
        <f t="shared" si="12"/>
        <v>351130.4316</v>
      </c>
      <c r="CR36" s="56">
        <f t="shared" si="12"/>
        <v>370616.6908</v>
      </c>
      <c r="CS36" s="56">
        <f t="shared" si="12"/>
        <v>391349.4111</v>
      </c>
      <c r="CT36" s="56">
        <f t="shared" si="12"/>
        <v>412030.165</v>
      </c>
      <c r="CU36" s="56">
        <f t="shared" si="12"/>
        <v>434767.4952</v>
      </c>
      <c r="CV36" s="56">
        <f t="shared" si="12"/>
        <v>453658.7856</v>
      </c>
      <c r="CW36" s="56">
        <f t="shared" si="12"/>
        <v>471533.9672</v>
      </c>
    </row>
    <row r="37" ht="15.75" customHeight="1">
      <c r="A37" s="56" t="s">
        <v>269</v>
      </c>
      <c r="B37" s="56"/>
      <c r="C37" s="56">
        <f>-'Monthly forecast'!D160</f>
        <v>0</v>
      </c>
      <c r="D37" s="56">
        <f>-'Monthly forecast'!E160</f>
        <v>-12000</v>
      </c>
      <c r="E37" s="56">
        <f>-'Monthly forecast'!F160</f>
        <v>0</v>
      </c>
      <c r="F37" s="56">
        <f>-'Monthly forecast'!G160</f>
        <v>0</v>
      </c>
      <c r="G37" s="56">
        <f>-'Monthly forecast'!H160</f>
        <v>0</v>
      </c>
      <c r="H37" s="56">
        <f>-'Monthly forecast'!I160</f>
        <v>0</v>
      </c>
      <c r="I37" s="56">
        <f>-'Monthly forecast'!J160</f>
        <v>0</v>
      </c>
      <c r="J37" s="56">
        <f>-'Monthly forecast'!K160</f>
        <v>0</v>
      </c>
      <c r="K37" s="56">
        <f>-'Monthly forecast'!L160</f>
        <v>0</v>
      </c>
      <c r="L37" s="56">
        <f>-'Monthly forecast'!M160</f>
        <v>0</v>
      </c>
      <c r="M37" s="56">
        <f>-'Monthly forecast'!N160</f>
        <v>0</v>
      </c>
      <c r="N37" s="56">
        <f>-'Monthly forecast'!O160</f>
        <v>0</v>
      </c>
      <c r="O37" s="56">
        <f>-'Monthly forecast'!P160</f>
        <v>0</v>
      </c>
      <c r="P37" s="56">
        <f>-'Monthly forecast'!Q160</f>
        <v>0</v>
      </c>
      <c r="Q37" s="56">
        <f>-'Monthly forecast'!R160</f>
        <v>0</v>
      </c>
      <c r="R37" s="56">
        <f>-'Monthly forecast'!S160</f>
        <v>0</v>
      </c>
      <c r="S37" s="56">
        <f>-'Monthly forecast'!T160</f>
        <v>0</v>
      </c>
      <c r="T37" s="56">
        <f>-'Monthly forecast'!U160</f>
        <v>0</v>
      </c>
      <c r="U37" s="56">
        <f>-'Monthly forecast'!V160</f>
        <v>0</v>
      </c>
      <c r="V37" s="56">
        <f>-'Monthly forecast'!W160</f>
        <v>0</v>
      </c>
      <c r="W37" s="56">
        <f>-'Monthly forecast'!X160</f>
        <v>0</v>
      </c>
      <c r="X37" s="56">
        <f>-'Monthly forecast'!Y160</f>
        <v>0</v>
      </c>
      <c r="Y37" s="56">
        <f>-'Monthly forecast'!Z160</f>
        <v>0</v>
      </c>
      <c r="Z37" s="56">
        <f>-'Monthly forecast'!AA160</f>
        <v>0</v>
      </c>
      <c r="AA37" s="56">
        <f>-'Monthly forecast'!AB160</f>
        <v>0</v>
      </c>
      <c r="AB37" s="56">
        <f>-'Monthly forecast'!AC160</f>
        <v>0</v>
      </c>
      <c r="AC37" s="56">
        <f>-'Monthly forecast'!AD160</f>
        <v>-2000</v>
      </c>
      <c r="AD37" s="56">
        <f>-'Monthly forecast'!AE160</f>
        <v>0</v>
      </c>
      <c r="AE37" s="56">
        <f>-'Monthly forecast'!AF160</f>
        <v>0</v>
      </c>
      <c r="AF37" s="56">
        <f>-'Monthly forecast'!AG160</f>
        <v>0</v>
      </c>
      <c r="AG37" s="56">
        <f>-'Monthly forecast'!AH160</f>
        <v>0</v>
      </c>
      <c r="AH37" s="56">
        <f>-'Monthly forecast'!AI160</f>
        <v>0</v>
      </c>
      <c r="AI37" s="56">
        <f>-'Monthly forecast'!AJ160</f>
        <v>0</v>
      </c>
      <c r="AJ37" s="56">
        <f>-'Monthly forecast'!AK160</f>
        <v>0</v>
      </c>
      <c r="AK37" s="56">
        <f>-'Monthly forecast'!AL160</f>
        <v>-2000</v>
      </c>
      <c r="AL37" s="56">
        <f>-'Monthly forecast'!AM160</f>
        <v>0</v>
      </c>
      <c r="AM37" s="56">
        <f>-'Monthly forecast'!AN160</f>
        <v>0</v>
      </c>
      <c r="AN37" s="56">
        <f>-'Monthly forecast'!AO160</f>
        <v>-2000</v>
      </c>
      <c r="AO37" s="56">
        <f>-'Monthly forecast'!AP160</f>
        <v>-10000</v>
      </c>
      <c r="AP37" s="56">
        <f>-'Monthly forecast'!AQ160</f>
        <v>0</v>
      </c>
      <c r="AQ37" s="56">
        <f>-'Monthly forecast'!AR160</f>
        <v>0</v>
      </c>
      <c r="AR37" s="56">
        <f>-'Monthly forecast'!AS160</f>
        <v>0</v>
      </c>
      <c r="AS37" s="56">
        <f>-'Monthly forecast'!AT160</f>
        <v>0</v>
      </c>
      <c r="AT37" s="56">
        <f>-'Monthly forecast'!AU160</f>
        <v>0</v>
      </c>
      <c r="AU37" s="56">
        <f>-'Monthly forecast'!AV160</f>
        <v>0</v>
      </c>
      <c r="AV37" s="56">
        <f>-'Monthly forecast'!AW160</f>
        <v>0</v>
      </c>
      <c r="AW37" s="56">
        <f>-'Monthly forecast'!AX160</f>
        <v>0</v>
      </c>
      <c r="AX37" s="56">
        <f>-'Monthly forecast'!AY160</f>
        <v>0</v>
      </c>
      <c r="AY37" s="56">
        <f>-'Monthly forecast'!AZ160</f>
        <v>0</v>
      </c>
      <c r="AZ37" s="56">
        <f>-'Monthly forecast'!BA160</f>
        <v>0</v>
      </c>
      <c r="BA37" s="56">
        <f>-'Monthly forecast'!BB160</f>
        <v>0</v>
      </c>
      <c r="BB37" s="56">
        <f>-'Monthly forecast'!BC160</f>
        <v>0</v>
      </c>
      <c r="BC37" s="56">
        <f>-'Monthly forecast'!BD160</f>
        <v>0</v>
      </c>
      <c r="BD37" s="56">
        <f>-'Monthly forecast'!BE160</f>
        <v>0</v>
      </c>
      <c r="BE37" s="56">
        <f>-'Monthly forecast'!BF160</f>
        <v>0</v>
      </c>
      <c r="BF37" s="56">
        <f>-'Monthly forecast'!BG160</f>
        <v>0</v>
      </c>
      <c r="BG37" s="56">
        <f>-'Monthly forecast'!BH160</f>
        <v>0</v>
      </c>
      <c r="BH37" s="56">
        <f>-'Monthly forecast'!BI160</f>
        <v>0</v>
      </c>
      <c r="BI37" s="56">
        <f>-'Monthly forecast'!BJ160</f>
        <v>0</v>
      </c>
      <c r="BJ37" s="56">
        <f>-'Monthly forecast'!BK160</f>
        <v>0</v>
      </c>
      <c r="BK37" s="56">
        <f>-'Monthly forecast'!BL160</f>
        <v>0</v>
      </c>
      <c r="BL37" s="56">
        <f>-'Monthly forecast'!BM160</f>
        <v>0</v>
      </c>
      <c r="BM37" s="56">
        <f>-'Monthly forecast'!BN160</f>
        <v>0</v>
      </c>
      <c r="BN37" s="56">
        <f>-'Monthly forecast'!BO160</f>
        <v>0</v>
      </c>
      <c r="BO37" s="56">
        <f>-'Monthly forecast'!BP160</f>
        <v>0</v>
      </c>
      <c r="BP37" s="56">
        <f>-'Monthly forecast'!BQ160</f>
        <v>0</v>
      </c>
      <c r="BQ37" s="56">
        <f>-'Monthly forecast'!BR160</f>
        <v>0</v>
      </c>
      <c r="BR37" s="56">
        <f>-'Monthly forecast'!BS160</f>
        <v>0</v>
      </c>
      <c r="BS37" s="56">
        <f>-'Monthly forecast'!BT160</f>
        <v>0</v>
      </c>
      <c r="BT37" s="56">
        <f>-'Monthly forecast'!BU160</f>
        <v>0</v>
      </c>
      <c r="BU37" s="56">
        <f>-'Monthly forecast'!BV160</f>
        <v>0</v>
      </c>
      <c r="BV37" s="56">
        <f>-'Monthly forecast'!BW160</f>
        <v>0</v>
      </c>
      <c r="BW37" s="56">
        <f>-'Monthly forecast'!BX160</f>
        <v>0</v>
      </c>
      <c r="BX37" s="56">
        <f>-'Monthly forecast'!BY160</f>
        <v>0</v>
      </c>
      <c r="BY37" s="56">
        <f>-'Monthly forecast'!BZ160</f>
        <v>0</v>
      </c>
      <c r="BZ37" s="56">
        <f>-'Monthly forecast'!CA160</f>
        <v>0</v>
      </c>
      <c r="CA37" s="56">
        <f>-'Monthly forecast'!CB160</f>
        <v>0</v>
      </c>
      <c r="CB37" s="56">
        <f>-'Monthly forecast'!CC160</f>
        <v>0</v>
      </c>
      <c r="CC37" s="56">
        <f>-'Monthly forecast'!CD160</f>
        <v>0</v>
      </c>
      <c r="CD37" s="56">
        <f>-'Monthly forecast'!CE160</f>
        <v>0</v>
      </c>
      <c r="CE37" s="56">
        <f>-'Monthly forecast'!CF160</f>
        <v>0</v>
      </c>
      <c r="CF37" s="56">
        <f>-'Monthly forecast'!CG160</f>
        <v>0</v>
      </c>
      <c r="CG37" s="56">
        <f>-'Monthly forecast'!CH160</f>
        <v>0</v>
      </c>
      <c r="CH37" s="56">
        <f>-'Monthly forecast'!CI160</f>
        <v>0</v>
      </c>
      <c r="CI37" s="56">
        <f>-'Monthly forecast'!CJ160</f>
        <v>0</v>
      </c>
      <c r="CJ37" s="56">
        <f>-'Monthly forecast'!CK160</f>
        <v>0</v>
      </c>
      <c r="CK37" s="56">
        <f>-'Monthly forecast'!CL160</f>
        <v>0</v>
      </c>
      <c r="CL37" s="56">
        <f>-'Monthly forecast'!CM160</f>
        <v>0</v>
      </c>
      <c r="CM37" s="56">
        <f>-'Monthly forecast'!CN160</f>
        <v>0</v>
      </c>
      <c r="CN37" s="56">
        <f>-'Monthly forecast'!CO160</f>
        <v>0</v>
      </c>
      <c r="CO37" s="56">
        <f>-'Monthly forecast'!CP160</f>
        <v>0</v>
      </c>
      <c r="CP37" s="56">
        <f>-'Monthly forecast'!CQ160</f>
        <v>0</v>
      </c>
      <c r="CQ37" s="56">
        <f>-'Monthly forecast'!CR160</f>
        <v>0</v>
      </c>
      <c r="CR37" s="56">
        <f>-'Monthly forecast'!CS160</f>
        <v>0</v>
      </c>
      <c r="CS37" s="56">
        <f>-'Monthly forecast'!CT160</f>
        <v>0</v>
      </c>
      <c r="CT37" s="56">
        <f>-'Monthly forecast'!CU160</f>
        <v>0</v>
      </c>
      <c r="CU37" s="56">
        <f>-'Monthly forecast'!CV160</f>
        <v>0</v>
      </c>
      <c r="CV37" s="56">
        <f>-'Monthly forecast'!CW160</f>
        <v>0</v>
      </c>
      <c r="CW37" s="56">
        <f>-'Monthly forecast'!CX160</f>
        <v>0</v>
      </c>
    </row>
    <row r="38" ht="15.75" customHeight="1">
      <c r="A38" s="56" t="s">
        <v>270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</row>
    <row r="39" ht="15.75" customHeight="1">
      <c r="A39" s="60" t="s">
        <v>271</v>
      </c>
      <c r="B39" s="56"/>
      <c r="C39" s="56">
        <f t="shared" ref="C39:CW39" si="13">C34+C35+C36+C37+C38</f>
        <v>0</v>
      </c>
      <c r="D39" s="56">
        <f t="shared" si="13"/>
        <v>-16938.55808</v>
      </c>
      <c r="E39" s="56">
        <f t="shared" si="13"/>
        <v>-19961.44784</v>
      </c>
      <c r="F39" s="56">
        <f t="shared" si="13"/>
        <v>-21252.96956</v>
      </c>
      <c r="G39" s="56">
        <f t="shared" si="13"/>
        <v>-20770.53454</v>
      </c>
      <c r="H39" s="56">
        <f t="shared" si="13"/>
        <v>-19035.37679</v>
      </c>
      <c r="I39" s="56">
        <f t="shared" si="13"/>
        <v>-16146.75441</v>
      </c>
      <c r="J39" s="56">
        <f t="shared" si="13"/>
        <v>-12031.54144</v>
      </c>
      <c r="K39" s="56">
        <f t="shared" si="13"/>
        <v>-6772.042699</v>
      </c>
      <c r="L39" s="56">
        <f t="shared" si="13"/>
        <v>-435.7804758</v>
      </c>
      <c r="M39" s="56">
        <f t="shared" si="13"/>
        <v>5863.258681</v>
      </c>
      <c r="N39" s="56">
        <f t="shared" si="13"/>
        <v>13224.48284</v>
      </c>
      <c r="O39" s="56">
        <f t="shared" si="13"/>
        <v>21579.81084</v>
      </c>
      <c r="P39" s="56">
        <f t="shared" si="13"/>
        <v>30954.23914</v>
      </c>
      <c r="Q39" s="56">
        <f t="shared" si="13"/>
        <v>41355.91745</v>
      </c>
      <c r="R39" s="56">
        <f t="shared" si="13"/>
        <v>52736.38761</v>
      </c>
      <c r="S39" s="56">
        <f t="shared" si="13"/>
        <v>65209.12168</v>
      </c>
      <c r="T39" s="56">
        <f t="shared" si="13"/>
        <v>78726.73642</v>
      </c>
      <c r="U39" s="56">
        <f t="shared" si="13"/>
        <v>93254.77891</v>
      </c>
      <c r="V39" s="56">
        <f t="shared" si="13"/>
        <v>108919.4581</v>
      </c>
      <c r="W39" s="56">
        <f t="shared" si="13"/>
        <v>124476.7836</v>
      </c>
      <c r="X39" s="56">
        <f t="shared" si="13"/>
        <v>141111.4735</v>
      </c>
      <c r="Y39" s="56">
        <f t="shared" si="13"/>
        <v>158959.9342</v>
      </c>
      <c r="Z39" s="56">
        <f t="shared" si="13"/>
        <v>177996.1627</v>
      </c>
      <c r="AA39" s="56">
        <f t="shared" si="13"/>
        <v>198205.8596</v>
      </c>
      <c r="AB39" s="56">
        <f t="shared" si="13"/>
        <v>219522.7792</v>
      </c>
      <c r="AC39" s="56">
        <f t="shared" si="13"/>
        <v>234256.6714</v>
      </c>
      <c r="AD39" s="56">
        <f t="shared" si="13"/>
        <v>251054.2437</v>
      </c>
      <c r="AE39" s="56">
        <f t="shared" si="13"/>
        <v>269302.1067</v>
      </c>
      <c r="AF39" s="56">
        <f t="shared" si="13"/>
        <v>288991.8557</v>
      </c>
      <c r="AG39" s="56">
        <f t="shared" si="13"/>
        <v>310126.8037</v>
      </c>
      <c r="AH39" s="56">
        <f t="shared" si="13"/>
        <v>332720.7464</v>
      </c>
      <c r="AI39" s="56">
        <f t="shared" si="13"/>
        <v>355564.4651</v>
      </c>
      <c r="AJ39" s="56">
        <f t="shared" si="13"/>
        <v>379922.3059</v>
      </c>
      <c r="AK39" s="56">
        <f t="shared" si="13"/>
        <v>394376.3142</v>
      </c>
      <c r="AL39" s="56">
        <f t="shared" si="13"/>
        <v>412431.4239</v>
      </c>
      <c r="AM39" s="56">
        <f t="shared" si="13"/>
        <v>430909.2753</v>
      </c>
      <c r="AN39" s="56">
        <f t="shared" si="13"/>
        <v>448949.6737</v>
      </c>
      <c r="AO39" s="56">
        <f t="shared" si="13"/>
        <v>436346.0036</v>
      </c>
      <c r="AP39" s="56">
        <f t="shared" si="13"/>
        <v>436152.9813</v>
      </c>
      <c r="AQ39" s="56">
        <f t="shared" si="13"/>
        <v>436840.9254</v>
      </c>
      <c r="AR39" s="56">
        <f t="shared" si="13"/>
        <v>439563.8731</v>
      </c>
      <c r="AS39" s="56">
        <f t="shared" si="13"/>
        <v>444398.8045</v>
      </c>
      <c r="AT39" s="56">
        <f t="shared" si="13"/>
        <v>450185.8795</v>
      </c>
      <c r="AU39" s="56">
        <f t="shared" si="13"/>
        <v>458285.616</v>
      </c>
      <c r="AV39" s="56">
        <f t="shared" si="13"/>
        <v>467550.5154</v>
      </c>
      <c r="AW39" s="56">
        <f t="shared" si="13"/>
        <v>479353.7084</v>
      </c>
      <c r="AX39" s="56">
        <f t="shared" si="13"/>
        <v>493817.7685</v>
      </c>
      <c r="AY39" s="56">
        <f t="shared" si="13"/>
        <v>509814.926</v>
      </c>
      <c r="AZ39" s="56">
        <f t="shared" si="13"/>
        <v>528462.1116</v>
      </c>
      <c r="BA39" s="56">
        <f t="shared" si="13"/>
        <v>548406.4341</v>
      </c>
      <c r="BB39" s="56">
        <f t="shared" si="13"/>
        <v>571572.2626</v>
      </c>
      <c r="BC39" s="56">
        <f t="shared" si="13"/>
        <v>596836.4805</v>
      </c>
      <c r="BD39" s="56">
        <f t="shared" si="13"/>
        <v>624366.4834</v>
      </c>
      <c r="BE39" s="56">
        <f t="shared" si="13"/>
        <v>655620.5479</v>
      </c>
      <c r="BF39" s="56">
        <f t="shared" si="13"/>
        <v>689501.4284</v>
      </c>
      <c r="BG39" s="56">
        <f t="shared" si="13"/>
        <v>726203.5736</v>
      </c>
      <c r="BH39" s="56">
        <f t="shared" si="13"/>
        <v>767213.5712</v>
      </c>
      <c r="BI39" s="56">
        <f t="shared" si="13"/>
        <v>811444.6548</v>
      </c>
      <c r="BJ39" s="56">
        <f t="shared" si="13"/>
        <v>859141.4996</v>
      </c>
      <c r="BK39" s="56">
        <f t="shared" si="13"/>
        <v>910540.9821</v>
      </c>
      <c r="BL39" s="56">
        <f t="shared" si="13"/>
        <v>965359.8283</v>
      </c>
      <c r="BM39" s="56">
        <f t="shared" si="13"/>
        <v>1023801.731</v>
      </c>
      <c r="BN39" s="56">
        <f t="shared" si="13"/>
        <v>1086705.159</v>
      </c>
      <c r="BO39" s="56">
        <f t="shared" si="13"/>
        <v>1154358.311</v>
      </c>
      <c r="BP39" s="56">
        <f t="shared" si="13"/>
        <v>1227063.835</v>
      </c>
      <c r="BQ39" s="56">
        <f t="shared" si="13"/>
        <v>1305139.546</v>
      </c>
      <c r="BR39" s="56">
        <f t="shared" si="13"/>
        <v>1388919.183</v>
      </c>
      <c r="BS39" s="56">
        <f t="shared" si="13"/>
        <v>1478753.194</v>
      </c>
      <c r="BT39" s="56">
        <f t="shared" si="13"/>
        <v>1573701.661</v>
      </c>
      <c r="BU39" s="56">
        <f t="shared" si="13"/>
        <v>1675458.904</v>
      </c>
      <c r="BV39" s="56">
        <f t="shared" si="13"/>
        <v>1784430.671</v>
      </c>
      <c r="BW39" s="56">
        <f t="shared" si="13"/>
        <v>1899735.097</v>
      </c>
      <c r="BX39" s="56">
        <f t="shared" si="13"/>
        <v>2020904.006</v>
      </c>
      <c r="BY39" s="56">
        <f t="shared" si="13"/>
        <v>2150119.956</v>
      </c>
      <c r="BZ39" s="56">
        <f t="shared" si="13"/>
        <v>2287026.581</v>
      </c>
      <c r="CA39" s="56">
        <f t="shared" si="13"/>
        <v>2432141.782</v>
      </c>
      <c r="CB39" s="56">
        <f t="shared" si="13"/>
        <v>2586009.363</v>
      </c>
      <c r="CC39" s="56">
        <f t="shared" si="13"/>
        <v>2749200.322</v>
      </c>
      <c r="CD39" s="56">
        <f t="shared" si="13"/>
        <v>2922314.21</v>
      </c>
      <c r="CE39" s="56">
        <f t="shared" si="13"/>
        <v>3105980.559</v>
      </c>
      <c r="CF39" s="56">
        <f t="shared" si="13"/>
        <v>3299526.315</v>
      </c>
      <c r="CG39" s="56">
        <f t="shared" si="13"/>
        <v>3504979.611</v>
      </c>
      <c r="CH39" s="56">
        <f t="shared" si="13"/>
        <v>3721735.151</v>
      </c>
      <c r="CI39" s="56">
        <f t="shared" si="13"/>
        <v>3951892.215</v>
      </c>
      <c r="CJ39" s="56">
        <f t="shared" si="13"/>
        <v>4193292.643</v>
      </c>
      <c r="CK39" s="56">
        <f t="shared" si="13"/>
        <v>4447826.271</v>
      </c>
      <c r="CL39" s="56">
        <f t="shared" si="13"/>
        <v>4716880.265</v>
      </c>
      <c r="CM39" s="56">
        <f t="shared" si="13"/>
        <v>5000024.001</v>
      </c>
      <c r="CN39" s="56">
        <f t="shared" si="13"/>
        <v>5299594.862</v>
      </c>
      <c r="CO39" s="56">
        <f t="shared" si="13"/>
        <v>5615257.562</v>
      </c>
      <c r="CP39" s="56">
        <f t="shared" si="13"/>
        <v>5948088.84</v>
      </c>
      <c r="CQ39" s="56">
        <f t="shared" si="13"/>
        <v>6299219.271</v>
      </c>
      <c r="CR39" s="56">
        <f t="shared" si="13"/>
        <v>6669835.962</v>
      </c>
      <c r="CS39" s="56">
        <f t="shared" si="13"/>
        <v>7061185.373</v>
      </c>
      <c r="CT39" s="56">
        <f t="shared" si="13"/>
        <v>7473215.538</v>
      </c>
      <c r="CU39" s="56">
        <f t="shared" si="13"/>
        <v>7907983.033</v>
      </c>
      <c r="CV39" s="56">
        <f t="shared" si="13"/>
        <v>8361641.819</v>
      </c>
      <c r="CW39" s="56">
        <f t="shared" si="13"/>
        <v>8833175.786</v>
      </c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</row>
    <row r="43" ht="15.75" customHeight="1">
      <c r="A43" s="142" t="s">
        <v>272</v>
      </c>
      <c r="B43" s="150"/>
      <c r="C43" s="175"/>
      <c r="D43" s="150"/>
      <c r="E43" s="150"/>
      <c r="F43" s="150"/>
      <c r="G43" s="150"/>
      <c r="H43" s="142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42"/>
      <c r="AC43" s="150"/>
      <c r="AD43" s="150"/>
      <c r="AE43" s="150"/>
      <c r="AF43" s="150"/>
      <c r="AG43" s="150"/>
      <c r="AH43" s="142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42"/>
      <c r="BC43" s="150"/>
      <c r="BD43" s="150"/>
      <c r="BE43" s="150"/>
      <c r="BF43" s="150"/>
      <c r="BG43" s="150"/>
      <c r="BH43" s="142"/>
      <c r="BI43" s="150"/>
      <c r="BJ43" s="150"/>
      <c r="BK43" s="150"/>
      <c r="BL43" s="150"/>
      <c r="BM43" s="150"/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  <c r="CS43" s="150"/>
      <c r="CT43" s="150"/>
      <c r="CU43" s="150"/>
      <c r="CV43" s="150"/>
      <c r="CW43" s="150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</row>
    <row r="45" ht="15.75" customHeight="1">
      <c r="A45" s="60" t="s">
        <v>273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</row>
    <row r="46" ht="15.75" customHeight="1">
      <c r="A46" s="56" t="s">
        <v>274</v>
      </c>
      <c r="B46" s="56"/>
      <c r="C46" s="56">
        <f t="shared" ref="C46:CW46" si="14">C39</f>
        <v>0</v>
      </c>
      <c r="D46" s="56">
        <f t="shared" si="14"/>
        <v>-16938.55808</v>
      </c>
      <c r="E46" s="56">
        <f t="shared" si="14"/>
        <v>-19961.44784</v>
      </c>
      <c r="F46" s="56">
        <f t="shared" si="14"/>
        <v>-21252.96956</v>
      </c>
      <c r="G46" s="56">
        <f t="shared" si="14"/>
        <v>-20770.53454</v>
      </c>
      <c r="H46" s="56">
        <f t="shared" si="14"/>
        <v>-19035.37679</v>
      </c>
      <c r="I46" s="56">
        <f t="shared" si="14"/>
        <v>-16146.75441</v>
      </c>
      <c r="J46" s="56">
        <f t="shared" si="14"/>
        <v>-12031.54144</v>
      </c>
      <c r="K46" s="56">
        <f t="shared" si="14"/>
        <v>-6772.042699</v>
      </c>
      <c r="L46" s="56">
        <f t="shared" si="14"/>
        <v>-435.7804758</v>
      </c>
      <c r="M46" s="56">
        <f t="shared" si="14"/>
        <v>5863.258681</v>
      </c>
      <c r="N46" s="56">
        <f t="shared" si="14"/>
        <v>13224.48284</v>
      </c>
      <c r="O46" s="56">
        <f t="shared" si="14"/>
        <v>21579.81084</v>
      </c>
      <c r="P46" s="56">
        <f t="shared" si="14"/>
        <v>30954.23914</v>
      </c>
      <c r="Q46" s="56">
        <f t="shared" si="14"/>
        <v>41355.91745</v>
      </c>
      <c r="R46" s="56">
        <f t="shared" si="14"/>
        <v>52736.38761</v>
      </c>
      <c r="S46" s="56">
        <f t="shared" si="14"/>
        <v>65209.12168</v>
      </c>
      <c r="T46" s="56">
        <f t="shared" si="14"/>
        <v>78726.73642</v>
      </c>
      <c r="U46" s="56">
        <f t="shared" si="14"/>
        <v>93254.77891</v>
      </c>
      <c r="V46" s="56">
        <f t="shared" si="14"/>
        <v>108919.4581</v>
      </c>
      <c r="W46" s="56">
        <f t="shared" si="14"/>
        <v>124476.7836</v>
      </c>
      <c r="X46" s="56">
        <f t="shared" si="14"/>
        <v>141111.4735</v>
      </c>
      <c r="Y46" s="56">
        <f t="shared" si="14"/>
        <v>158959.9342</v>
      </c>
      <c r="Z46" s="56">
        <f t="shared" si="14"/>
        <v>177996.1627</v>
      </c>
      <c r="AA46" s="56">
        <f t="shared" si="14"/>
        <v>198205.8596</v>
      </c>
      <c r="AB46" s="56">
        <f t="shared" si="14"/>
        <v>219522.7792</v>
      </c>
      <c r="AC46" s="56">
        <f t="shared" si="14"/>
        <v>234256.6714</v>
      </c>
      <c r="AD46" s="56">
        <f t="shared" si="14"/>
        <v>251054.2437</v>
      </c>
      <c r="AE46" s="56">
        <f t="shared" si="14"/>
        <v>269302.1067</v>
      </c>
      <c r="AF46" s="56">
        <f t="shared" si="14"/>
        <v>288991.8557</v>
      </c>
      <c r="AG46" s="56">
        <f t="shared" si="14"/>
        <v>310126.8037</v>
      </c>
      <c r="AH46" s="56">
        <f t="shared" si="14"/>
        <v>332720.7464</v>
      </c>
      <c r="AI46" s="56">
        <f t="shared" si="14"/>
        <v>355564.4651</v>
      </c>
      <c r="AJ46" s="56">
        <f t="shared" si="14"/>
        <v>379922.3059</v>
      </c>
      <c r="AK46" s="56">
        <f t="shared" si="14"/>
        <v>394376.3142</v>
      </c>
      <c r="AL46" s="56">
        <f t="shared" si="14"/>
        <v>412431.4239</v>
      </c>
      <c r="AM46" s="56">
        <f t="shared" si="14"/>
        <v>430909.2753</v>
      </c>
      <c r="AN46" s="56">
        <f t="shared" si="14"/>
        <v>448949.6737</v>
      </c>
      <c r="AO46" s="56">
        <f t="shared" si="14"/>
        <v>436346.0036</v>
      </c>
      <c r="AP46" s="56">
        <f t="shared" si="14"/>
        <v>436152.9813</v>
      </c>
      <c r="AQ46" s="56">
        <f t="shared" si="14"/>
        <v>436840.9254</v>
      </c>
      <c r="AR46" s="56">
        <f t="shared" si="14"/>
        <v>439563.8731</v>
      </c>
      <c r="AS46" s="56">
        <f t="shared" si="14"/>
        <v>444398.8045</v>
      </c>
      <c r="AT46" s="56">
        <f t="shared" si="14"/>
        <v>450185.8795</v>
      </c>
      <c r="AU46" s="56">
        <f t="shared" si="14"/>
        <v>458285.616</v>
      </c>
      <c r="AV46" s="56">
        <f t="shared" si="14"/>
        <v>467550.5154</v>
      </c>
      <c r="AW46" s="56">
        <f t="shared" si="14"/>
        <v>479353.7084</v>
      </c>
      <c r="AX46" s="56">
        <f t="shared" si="14"/>
        <v>493817.7685</v>
      </c>
      <c r="AY46" s="56">
        <f t="shared" si="14"/>
        <v>509814.926</v>
      </c>
      <c r="AZ46" s="56">
        <f t="shared" si="14"/>
        <v>528462.1116</v>
      </c>
      <c r="BA46" s="56">
        <f t="shared" si="14"/>
        <v>548406.4341</v>
      </c>
      <c r="BB46" s="56">
        <f t="shared" si="14"/>
        <v>571572.2626</v>
      </c>
      <c r="BC46" s="56">
        <f t="shared" si="14"/>
        <v>596836.4805</v>
      </c>
      <c r="BD46" s="56">
        <f t="shared" si="14"/>
        <v>624366.4834</v>
      </c>
      <c r="BE46" s="56">
        <f t="shared" si="14"/>
        <v>655620.5479</v>
      </c>
      <c r="BF46" s="56">
        <f t="shared" si="14"/>
        <v>689501.4284</v>
      </c>
      <c r="BG46" s="56">
        <f t="shared" si="14"/>
        <v>726203.5736</v>
      </c>
      <c r="BH46" s="56">
        <f t="shared" si="14"/>
        <v>767213.5712</v>
      </c>
      <c r="BI46" s="56">
        <f t="shared" si="14"/>
        <v>811444.6548</v>
      </c>
      <c r="BJ46" s="56">
        <f t="shared" si="14"/>
        <v>859141.4996</v>
      </c>
      <c r="BK46" s="56">
        <f t="shared" si="14"/>
        <v>910540.9821</v>
      </c>
      <c r="BL46" s="56">
        <f t="shared" si="14"/>
        <v>965359.8283</v>
      </c>
      <c r="BM46" s="56">
        <f t="shared" si="14"/>
        <v>1023801.731</v>
      </c>
      <c r="BN46" s="56">
        <f t="shared" si="14"/>
        <v>1086705.159</v>
      </c>
      <c r="BO46" s="56">
        <f t="shared" si="14"/>
        <v>1154358.311</v>
      </c>
      <c r="BP46" s="56">
        <f t="shared" si="14"/>
        <v>1227063.835</v>
      </c>
      <c r="BQ46" s="56">
        <f t="shared" si="14"/>
        <v>1305139.546</v>
      </c>
      <c r="BR46" s="56">
        <f t="shared" si="14"/>
        <v>1388919.183</v>
      </c>
      <c r="BS46" s="56">
        <f t="shared" si="14"/>
        <v>1478753.194</v>
      </c>
      <c r="BT46" s="56">
        <f t="shared" si="14"/>
        <v>1573701.661</v>
      </c>
      <c r="BU46" s="56">
        <f t="shared" si="14"/>
        <v>1675458.904</v>
      </c>
      <c r="BV46" s="56">
        <f t="shared" si="14"/>
        <v>1784430.671</v>
      </c>
      <c r="BW46" s="56">
        <f t="shared" si="14"/>
        <v>1899735.097</v>
      </c>
      <c r="BX46" s="56">
        <f t="shared" si="14"/>
        <v>2020904.006</v>
      </c>
      <c r="BY46" s="56">
        <f t="shared" si="14"/>
        <v>2150119.956</v>
      </c>
      <c r="BZ46" s="56">
        <f t="shared" si="14"/>
        <v>2287026.581</v>
      </c>
      <c r="CA46" s="56">
        <f t="shared" si="14"/>
        <v>2432141.782</v>
      </c>
      <c r="CB46" s="56">
        <f t="shared" si="14"/>
        <v>2586009.363</v>
      </c>
      <c r="CC46" s="56">
        <f t="shared" si="14"/>
        <v>2749200.322</v>
      </c>
      <c r="CD46" s="56">
        <f t="shared" si="14"/>
        <v>2922314.21</v>
      </c>
      <c r="CE46" s="56">
        <f t="shared" si="14"/>
        <v>3105980.559</v>
      </c>
      <c r="CF46" s="56">
        <f t="shared" si="14"/>
        <v>3299526.315</v>
      </c>
      <c r="CG46" s="56">
        <f t="shared" si="14"/>
        <v>3504979.611</v>
      </c>
      <c r="CH46" s="56">
        <f t="shared" si="14"/>
        <v>3721735.151</v>
      </c>
      <c r="CI46" s="56">
        <f t="shared" si="14"/>
        <v>3951892.215</v>
      </c>
      <c r="CJ46" s="56">
        <f t="shared" si="14"/>
        <v>4193292.643</v>
      </c>
      <c r="CK46" s="56">
        <f t="shared" si="14"/>
        <v>4447826.271</v>
      </c>
      <c r="CL46" s="56">
        <f t="shared" si="14"/>
        <v>4716880.265</v>
      </c>
      <c r="CM46" s="56">
        <f t="shared" si="14"/>
        <v>5000024.001</v>
      </c>
      <c r="CN46" s="56">
        <f t="shared" si="14"/>
        <v>5299594.862</v>
      </c>
      <c r="CO46" s="56">
        <f t="shared" si="14"/>
        <v>5615257.562</v>
      </c>
      <c r="CP46" s="56">
        <f t="shared" si="14"/>
        <v>5948088.84</v>
      </c>
      <c r="CQ46" s="56">
        <f t="shared" si="14"/>
        <v>6299219.271</v>
      </c>
      <c r="CR46" s="56">
        <f t="shared" si="14"/>
        <v>6669835.962</v>
      </c>
      <c r="CS46" s="56">
        <f t="shared" si="14"/>
        <v>7061185.373</v>
      </c>
      <c r="CT46" s="56">
        <f t="shared" si="14"/>
        <v>7473215.538</v>
      </c>
      <c r="CU46" s="56">
        <f t="shared" si="14"/>
        <v>7907983.033</v>
      </c>
      <c r="CV46" s="56">
        <f t="shared" si="14"/>
        <v>8361641.819</v>
      </c>
      <c r="CW46" s="56">
        <f t="shared" si="14"/>
        <v>8833175.786</v>
      </c>
    </row>
    <row r="47" ht="15.75" customHeight="1">
      <c r="A47" s="56" t="s">
        <v>275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</row>
    <row r="48" ht="15.75" customHeight="1">
      <c r="A48" s="56" t="s">
        <v>276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</row>
    <row r="49" ht="15.75" customHeight="1">
      <c r="A49" s="56" t="s">
        <v>277</v>
      </c>
      <c r="B49" s="56"/>
      <c r="C49" s="56">
        <f>C37-C20</f>
        <v>0</v>
      </c>
      <c r="D49" s="56">
        <f t="shared" ref="D49:CW49" si="15">C49-D37-D20</f>
        <v>11500</v>
      </c>
      <c r="E49" s="56">
        <f t="shared" si="15"/>
        <v>11000</v>
      </c>
      <c r="F49" s="56">
        <f t="shared" si="15"/>
        <v>10500</v>
      </c>
      <c r="G49" s="56">
        <f t="shared" si="15"/>
        <v>10000</v>
      </c>
      <c r="H49" s="56">
        <f t="shared" si="15"/>
        <v>9500</v>
      </c>
      <c r="I49" s="56">
        <f t="shared" si="15"/>
        <v>9000</v>
      </c>
      <c r="J49" s="56">
        <f t="shared" si="15"/>
        <v>8500</v>
      </c>
      <c r="K49" s="56">
        <f t="shared" si="15"/>
        <v>8000</v>
      </c>
      <c r="L49" s="56">
        <f t="shared" si="15"/>
        <v>7500</v>
      </c>
      <c r="M49" s="56">
        <f t="shared" si="15"/>
        <v>7000</v>
      </c>
      <c r="N49" s="56">
        <f t="shared" si="15"/>
        <v>6500</v>
      </c>
      <c r="O49" s="56">
        <f t="shared" si="15"/>
        <v>6000</v>
      </c>
      <c r="P49" s="56">
        <f t="shared" si="15"/>
        <v>5500</v>
      </c>
      <c r="Q49" s="56">
        <f t="shared" si="15"/>
        <v>5000</v>
      </c>
      <c r="R49" s="56">
        <f t="shared" si="15"/>
        <v>4500</v>
      </c>
      <c r="S49" s="56">
        <f t="shared" si="15"/>
        <v>4000</v>
      </c>
      <c r="T49" s="56">
        <f t="shared" si="15"/>
        <v>3500</v>
      </c>
      <c r="U49" s="56">
        <f t="shared" si="15"/>
        <v>3000</v>
      </c>
      <c r="V49" s="56">
        <f t="shared" si="15"/>
        <v>2500</v>
      </c>
      <c r="W49" s="56">
        <f t="shared" si="15"/>
        <v>2000</v>
      </c>
      <c r="X49" s="56">
        <f t="shared" si="15"/>
        <v>1500</v>
      </c>
      <c r="Y49" s="56">
        <f t="shared" si="15"/>
        <v>1000</v>
      </c>
      <c r="Z49" s="56">
        <f t="shared" si="15"/>
        <v>500</v>
      </c>
      <c r="AA49" s="56">
        <f t="shared" si="15"/>
        <v>0</v>
      </c>
      <c r="AB49" s="56">
        <f t="shared" si="15"/>
        <v>0</v>
      </c>
      <c r="AC49" s="56">
        <f t="shared" si="15"/>
        <v>1833.333333</v>
      </c>
      <c r="AD49" s="56">
        <f t="shared" si="15"/>
        <v>1666.666667</v>
      </c>
      <c r="AE49" s="56">
        <f t="shared" si="15"/>
        <v>1500</v>
      </c>
      <c r="AF49" s="56">
        <f t="shared" si="15"/>
        <v>1333.333333</v>
      </c>
      <c r="AG49" s="56">
        <f t="shared" si="15"/>
        <v>1166.666667</v>
      </c>
      <c r="AH49" s="56">
        <f t="shared" si="15"/>
        <v>1000</v>
      </c>
      <c r="AI49" s="56">
        <f t="shared" si="15"/>
        <v>833.3333333</v>
      </c>
      <c r="AJ49" s="56">
        <f t="shared" si="15"/>
        <v>666.6666667</v>
      </c>
      <c r="AK49" s="56">
        <f t="shared" si="15"/>
        <v>2416.666667</v>
      </c>
      <c r="AL49" s="56">
        <f t="shared" si="15"/>
        <v>2166.666667</v>
      </c>
      <c r="AM49" s="56">
        <f t="shared" si="15"/>
        <v>1916.666667</v>
      </c>
      <c r="AN49" s="56">
        <f t="shared" si="15"/>
        <v>3583.333333</v>
      </c>
      <c r="AO49" s="56">
        <f t="shared" si="15"/>
        <v>12833.33333</v>
      </c>
      <c r="AP49" s="56">
        <f t="shared" si="15"/>
        <v>12083.33333</v>
      </c>
      <c r="AQ49" s="56">
        <f t="shared" si="15"/>
        <v>11333.33333</v>
      </c>
      <c r="AR49" s="56">
        <f t="shared" si="15"/>
        <v>10583.33333</v>
      </c>
      <c r="AS49" s="56">
        <f t="shared" si="15"/>
        <v>9833.333333</v>
      </c>
      <c r="AT49" s="56">
        <f t="shared" si="15"/>
        <v>9083.333333</v>
      </c>
      <c r="AU49" s="56">
        <f t="shared" si="15"/>
        <v>8333.333333</v>
      </c>
      <c r="AV49" s="56">
        <f t="shared" si="15"/>
        <v>7583.333333</v>
      </c>
      <c r="AW49" s="56">
        <f t="shared" si="15"/>
        <v>6833.333333</v>
      </c>
      <c r="AX49" s="56">
        <f t="shared" si="15"/>
        <v>6083.333333</v>
      </c>
      <c r="AY49" s="56">
        <f t="shared" si="15"/>
        <v>5333.333333</v>
      </c>
      <c r="AZ49" s="56">
        <f t="shared" si="15"/>
        <v>4583.333333</v>
      </c>
      <c r="BA49" s="56">
        <f t="shared" si="15"/>
        <v>4000</v>
      </c>
      <c r="BB49" s="56">
        <f t="shared" si="15"/>
        <v>3416.666667</v>
      </c>
      <c r="BC49" s="56">
        <f t="shared" si="15"/>
        <v>2833.333333</v>
      </c>
      <c r="BD49" s="56">
        <f t="shared" si="15"/>
        <v>2250</v>
      </c>
      <c r="BE49" s="56">
        <f t="shared" si="15"/>
        <v>1666.666667</v>
      </c>
      <c r="BF49" s="56">
        <f t="shared" si="15"/>
        <v>1083.333333</v>
      </c>
      <c r="BG49" s="56">
        <f t="shared" si="15"/>
        <v>500</v>
      </c>
      <c r="BH49" s="56">
        <f t="shared" si="15"/>
        <v>-83.33333333</v>
      </c>
      <c r="BI49" s="56">
        <f t="shared" si="15"/>
        <v>-583.3333333</v>
      </c>
      <c r="BJ49" s="56">
        <f t="shared" si="15"/>
        <v>-1083.333333</v>
      </c>
      <c r="BK49" s="56">
        <f t="shared" si="15"/>
        <v>-1583.333333</v>
      </c>
      <c r="BL49" s="56">
        <f t="shared" si="15"/>
        <v>-2000</v>
      </c>
      <c r="BM49" s="56">
        <f t="shared" si="15"/>
        <v>-2000</v>
      </c>
      <c r="BN49" s="56">
        <f t="shared" si="15"/>
        <v>-2000</v>
      </c>
      <c r="BO49" s="56">
        <f t="shared" si="15"/>
        <v>-2000</v>
      </c>
      <c r="BP49" s="56">
        <f t="shared" si="15"/>
        <v>-2000</v>
      </c>
      <c r="BQ49" s="56">
        <f t="shared" si="15"/>
        <v>-2000</v>
      </c>
      <c r="BR49" s="56">
        <f t="shared" si="15"/>
        <v>-2000</v>
      </c>
      <c r="BS49" s="56">
        <f t="shared" si="15"/>
        <v>-2000</v>
      </c>
      <c r="BT49" s="56">
        <f t="shared" si="15"/>
        <v>-2000</v>
      </c>
      <c r="BU49" s="56">
        <f t="shared" si="15"/>
        <v>-2000</v>
      </c>
      <c r="BV49" s="56">
        <f t="shared" si="15"/>
        <v>-2000</v>
      </c>
      <c r="BW49" s="56">
        <f t="shared" si="15"/>
        <v>-2000</v>
      </c>
      <c r="BX49" s="56">
        <f t="shared" si="15"/>
        <v>-2000</v>
      </c>
      <c r="BY49" s="56">
        <f t="shared" si="15"/>
        <v>-2000</v>
      </c>
      <c r="BZ49" s="56">
        <f t="shared" si="15"/>
        <v>-2000</v>
      </c>
      <c r="CA49" s="56">
        <f t="shared" si="15"/>
        <v>-2000</v>
      </c>
      <c r="CB49" s="56">
        <f t="shared" si="15"/>
        <v>-2000</v>
      </c>
      <c r="CC49" s="56">
        <f t="shared" si="15"/>
        <v>-2000</v>
      </c>
      <c r="CD49" s="56">
        <f t="shared" si="15"/>
        <v>-2000</v>
      </c>
      <c r="CE49" s="56">
        <f t="shared" si="15"/>
        <v>-2000</v>
      </c>
      <c r="CF49" s="56">
        <f t="shared" si="15"/>
        <v>-2000</v>
      </c>
      <c r="CG49" s="56">
        <f t="shared" si="15"/>
        <v>-2000</v>
      </c>
      <c r="CH49" s="56">
        <f t="shared" si="15"/>
        <v>-2000</v>
      </c>
      <c r="CI49" s="56">
        <f t="shared" si="15"/>
        <v>-2000</v>
      </c>
      <c r="CJ49" s="56">
        <f t="shared" si="15"/>
        <v>-2000</v>
      </c>
      <c r="CK49" s="56">
        <f t="shared" si="15"/>
        <v>-2000</v>
      </c>
      <c r="CL49" s="56">
        <f t="shared" si="15"/>
        <v>-2000</v>
      </c>
      <c r="CM49" s="56">
        <f t="shared" si="15"/>
        <v>-2000</v>
      </c>
      <c r="CN49" s="56">
        <f t="shared" si="15"/>
        <v>-2000</v>
      </c>
      <c r="CO49" s="56">
        <f t="shared" si="15"/>
        <v>-2000</v>
      </c>
      <c r="CP49" s="56">
        <f t="shared" si="15"/>
        <v>-2000</v>
      </c>
      <c r="CQ49" s="56">
        <f t="shared" si="15"/>
        <v>-2000</v>
      </c>
      <c r="CR49" s="56">
        <f t="shared" si="15"/>
        <v>-2000</v>
      </c>
      <c r="CS49" s="56">
        <f t="shared" si="15"/>
        <v>-2000</v>
      </c>
      <c r="CT49" s="56">
        <f t="shared" si="15"/>
        <v>-2000</v>
      </c>
      <c r="CU49" s="56">
        <f t="shared" si="15"/>
        <v>-2000</v>
      </c>
      <c r="CV49" s="56">
        <f t="shared" si="15"/>
        <v>-2000</v>
      </c>
      <c r="CW49" s="56">
        <f t="shared" si="15"/>
        <v>-2000</v>
      </c>
    </row>
    <row r="50" ht="15.75" customHeight="1">
      <c r="A50" s="60" t="s">
        <v>278</v>
      </c>
      <c r="B50" s="56"/>
      <c r="C50" s="157">
        <f t="shared" ref="C50:CW50" si="16">ROUND(SUM(C46:C49),0)</f>
        <v>0</v>
      </c>
      <c r="D50" s="157">
        <f t="shared" si="16"/>
        <v>-5439</v>
      </c>
      <c r="E50" s="157">
        <f t="shared" si="16"/>
        <v>-8961</v>
      </c>
      <c r="F50" s="157">
        <f t="shared" si="16"/>
        <v>-10753</v>
      </c>
      <c r="G50" s="157">
        <f t="shared" si="16"/>
        <v>-10771</v>
      </c>
      <c r="H50" s="157">
        <f t="shared" si="16"/>
        <v>-9535</v>
      </c>
      <c r="I50" s="157">
        <f t="shared" si="16"/>
        <v>-7147</v>
      </c>
      <c r="J50" s="157">
        <f t="shared" si="16"/>
        <v>-3532</v>
      </c>
      <c r="K50" s="157">
        <f t="shared" si="16"/>
        <v>1228</v>
      </c>
      <c r="L50" s="157">
        <f t="shared" si="16"/>
        <v>7064</v>
      </c>
      <c r="M50" s="157">
        <f t="shared" si="16"/>
        <v>12863</v>
      </c>
      <c r="N50" s="157">
        <f t="shared" si="16"/>
        <v>19724</v>
      </c>
      <c r="O50" s="157">
        <f t="shared" si="16"/>
        <v>27580</v>
      </c>
      <c r="P50" s="157">
        <f t="shared" si="16"/>
        <v>36454</v>
      </c>
      <c r="Q50" s="157">
        <f t="shared" si="16"/>
        <v>46356</v>
      </c>
      <c r="R50" s="157">
        <f t="shared" si="16"/>
        <v>57236</v>
      </c>
      <c r="S50" s="157">
        <f t="shared" si="16"/>
        <v>69209</v>
      </c>
      <c r="T50" s="157">
        <f t="shared" si="16"/>
        <v>82227</v>
      </c>
      <c r="U50" s="157">
        <f t="shared" si="16"/>
        <v>96255</v>
      </c>
      <c r="V50" s="157">
        <f t="shared" si="16"/>
        <v>111419</v>
      </c>
      <c r="W50" s="157">
        <f t="shared" si="16"/>
        <v>126477</v>
      </c>
      <c r="X50" s="157">
        <f t="shared" si="16"/>
        <v>142611</v>
      </c>
      <c r="Y50" s="157">
        <f t="shared" si="16"/>
        <v>159960</v>
      </c>
      <c r="Z50" s="157">
        <f t="shared" si="16"/>
        <v>178496</v>
      </c>
      <c r="AA50" s="157">
        <f t="shared" si="16"/>
        <v>198206</v>
      </c>
      <c r="AB50" s="157">
        <f t="shared" si="16"/>
        <v>219523</v>
      </c>
      <c r="AC50" s="157">
        <f t="shared" si="16"/>
        <v>236090</v>
      </c>
      <c r="AD50" s="157">
        <f t="shared" si="16"/>
        <v>252721</v>
      </c>
      <c r="AE50" s="157">
        <f t="shared" si="16"/>
        <v>270802</v>
      </c>
      <c r="AF50" s="157">
        <f t="shared" si="16"/>
        <v>290325</v>
      </c>
      <c r="AG50" s="157">
        <f t="shared" si="16"/>
        <v>311293</v>
      </c>
      <c r="AH50" s="157">
        <f t="shared" si="16"/>
        <v>333721</v>
      </c>
      <c r="AI50" s="157">
        <f t="shared" si="16"/>
        <v>356398</v>
      </c>
      <c r="AJ50" s="157">
        <f t="shared" si="16"/>
        <v>380589</v>
      </c>
      <c r="AK50" s="157">
        <f t="shared" si="16"/>
        <v>396793</v>
      </c>
      <c r="AL50" s="157">
        <f t="shared" si="16"/>
        <v>414598</v>
      </c>
      <c r="AM50" s="157">
        <f t="shared" si="16"/>
        <v>432826</v>
      </c>
      <c r="AN50" s="157">
        <f t="shared" si="16"/>
        <v>452533</v>
      </c>
      <c r="AO50" s="157">
        <f t="shared" si="16"/>
        <v>449179</v>
      </c>
      <c r="AP50" s="157">
        <f t="shared" si="16"/>
        <v>448236</v>
      </c>
      <c r="AQ50" s="157">
        <f t="shared" si="16"/>
        <v>448174</v>
      </c>
      <c r="AR50" s="157">
        <f t="shared" si="16"/>
        <v>450147</v>
      </c>
      <c r="AS50" s="157">
        <f t="shared" si="16"/>
        <v>454232</v>
      </c>
      <c r="AT50" s="157">
        <f t="shared" si="16"/>
        <v>459269</v>
      </c>
      <c r="AU50" s="157">
        <f t="shared" si="16"/>
        <v>466619</v>
      </c>
      <c r="AV50" s="157">
        <f t="shared" si="16"/>
        <v>475134</v>
      </c>
      <c r="AW50" s="157">
        <f t="shared" si="16"/>
        <v>486187</v>
      </c>
      <c r="AX50" s="157">
        <f t="shared" si="16"/>
        <v>499901</v>
      </c>
      <c r="AY50" s="157">
        <f t="shared" si="16"/>
        <v>515148</v>
      </c>
      <c r="AZ50" s="157">
        <f t="shared" si="16"/>
        <v>533045</v>
      </c>
      <c r="BA50" s="157">
        <f t="shared" si="16"/>
        <v>552406</v>
      </c>
      <c r="BB50" s="157">
        <f t="shared" si="16"/>
        <v>574989</v>
      </c>
      <c r="BC50" s="157">
        <f t="shared" si="16"/>
        <v>599670</v>
      </c>
      <c r="BD50" s="157">
        <f t="shared" si="16"/>
        <v>626616</v>
      </c>
      <c r="BE50" s="157">
        <f t="shared" si="16"/>
        <v>657287</v>
      </c>
      <c r="BF50" s="157">
        <f t="shared" si="16"/>
        <v>690585</v>
      </c>
      <c r="BG50" s="157">
        <f t="shared" si="16"/>
        <v>726704</v>
      </c>
      <c r="BH50" s="157">
        <f t="shared" si="16"/>
        <v>767130</v>
      </c>
      <c r="BI50" s="157">
        <f t="shared" si="16"/>
        <v>810861</v>
      </c>
      <c r="BJ50" s="157">
        <f t="shared" si="16"/>
        <v>858058</v>
      </c>
      <c r="BK50" s="157">
        <f t="shared" si="16"/>
        <v>908958</v>
      </c>
      <c r="BL50" s="157">
        <f t="shared" si="16"/>
        <v>963360</v>
      </c>
      <c r="BM50" s="157">
        <f t="shared" si="16"/>
        <v>1021802</v>
      </c>
      <c r="BN50" s="157">
        <f t="shared" si="16"/>
        <v>1084705</v>
      </c>
      <c r="BO50" s="157">
        <f t="shared" si="16"/>
        <v>1152358</v>
      </c>
      <c r="BP50" s="157">
        <f t="shared" si="16"/>
        <v>1225064</v>
      </c>
      <c r="BQ50" s="157">
        <f t="shared" si="16"/>
        <v>1303140</v>
      </c>
      <c r="BR50" s="157">
        <f t="shared" si="16"/>
        <v>1386919</v>
      </c>
      <c r="BS50" s="157">
        <f t="shared" si="16"/>
        <v>1476753</v>
      </c>
      <c r="BT50" s="157">
        <f t="shared" si="16"/>
        <v>1571702</v>
      </c>
      <c r="BU50" s="157">
        <f t="shared" si="16"/>
        <v>1673459</v>
      </c>
      <c r="BV50" s="157">
        <f t="shared" si="16"/>
        <v>1782431</v>
      </c>
      <c r="BW50" s="157">
        <f t="shared" si="16"/>
        <v>1897735</v>
      </c>
      <c r="BX50" s="157">
        <f t="shared" si="16"/>
        <v>2018904</v>
      </c>
      <c r="BY50" s="157">
        <f t="shared" si="16"/>
        <v>2148120</v>
      </c>
      <c r="BZ50" s="157">
        <f t="shared" si="16"/>
        <v>2285027</v>
      </c>
      <c r="CA50" s="157">
        <f t="shared" si="16"/>
        <v>2430142</v>
      </c>
      <c r="CB50" s="157">
        <f t="shared" si="16"/>
        <v>2584009</v>
      </c>
      <c r="CC50" s="157">
        <f t="shared" si="16"/>
        <v>2747200</v>
      </c>
      <c r="CD50" s="157">
        <f t="shared" si="16"/>
        <v>2920314</v>
      </c>
      <c r="CE50" s="157">
        <f t="shared" si="16"/>
        <v>3103981</v>
      </c>
      <c r="CF50" s="157">
        <f t="shared" si="16"/>
        <v>3297526</v>
      </c>
      <c r="CG50" s="157">
        <f t="shared" si="16"/>
        <v>3502980</v>
      </c>
      <c r="CH50" s="157">
        <f t="shared" si="16"/>
        <v>3719735</v>
      </c>
      <c r="CI50" s="157">
        <f t="shared" si="16"/>
        <v>3949892</v>
      </c>
      <c r="CJ50" s="157">
        <f t="shared" si="16"/>
        <v>4191293</v>
      </c>
      <c r="CK50" s="157">
        <f t="shared" si="16"/>
        <v>4445826</v>
      </c>
      <c r="CL50" s="157">
        <f t="shared" si="16"/>
        <v>4714880</v>
      </c>
      <c r="CM50" s="157">
        <f t="shared" si="16"/>
        <v>4998024</v>
      </c>
      <c r="CN50" s="157">
        <f t="shared" si="16"/>
        <v>5297595</v>
      </c>
      <c r="CO50" s="157">
        <f t="shared" si="16"/>
        <v>5613258</v>
      </c>
      <c r="CP50" s="157">
        <f t="shared" si="16"/>
        <v>5946089</v>
      </c>
      <c r="CQ50" s="157">
        <f t="shared" si="16"/>
        <v>6297219</v>
      </c>
      <c r="CR50" s="157">
        <f t="shared" si="16"/>
        <v>6667836</v>
      </c>
      <c r="CS50" s="157">
        <f t="shared" si="16"/>
        <v>7059185</v>
      </c>
      <c r="CT50" s="157">
        <f t="shared" si="16"/>
        <v>7471216</v>
      </c>
      <c r="CU50" s="157">
        <f t="shared" si="16"/>
        <v>7905983</v>
      </c>
      <c r="CV50" s="157">
        <f t="shared" si="16"/>
        <v>8359642</v>
      </c>
      <c r="CW50" s="157">
        <f t="shared" si="16"/>
        <v>8831176</v>
      </c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</row>
    <row r="52" ht="15.75" customHeight="1">
      <c r="A52" s="60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</row>
    <row r="53" ht="15.75" customHeight="1">
      <c r="A53" s="60" t="s">
        <v>279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</row>
    <row r="54" ht="15.75" customHeight="1">
      <c r="A54" s="56" t="s">
        <v>280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</row>
    <row r="55" ht="15.75" customHeight="1">
      <c r="A55" s="56" t="s">
        <v>281</v>
      </c>
      <c r="B55" s="56"/>
      <c r="C55" s="56" t="str">
        <f>C35</f>
        <v/>
      </c>
      <c r="D55" s="56" t="str">
        <f t="shared" ref="D55:CW55" si="17">C55</f>
        <v/>
      </c>
      <c r="E55" s="56" t="str">
        <f t="shared" si="17"/>
        <v/>
      </c>
      <c r="F55" s="56" t="str">
        <f t="shared" si="17"/>
        <v/>
      </c>
      <c r="G55" s="56" t="str">
        <f t="shared" si="17"/>
        <v/>
      </c>
      <c r="H55" s="56" t="str">
        <f t="shared" si="17"/>
        <v/>
      </c>
      <c r="I55" s="56" t="str">
        <f t="shared" si="17"/>
        <v/>
      </c>
      <c r="J55" s="56" t="str">
        <f t="shared" si="17"/>
        <v/>
      </c>
      <c r="K55" s="56" t="str">
        <f t="shared" si="17"/>
        <v/>
      </c>
      <c r="L55" s="56" t="str">
        <f t="shared" si="17"/>
        <v/>
      </c>
      <c r="M55" s="56" t="str">
        <f t="shared" si="17"/>
        <v/>
      </c>
      <c r="N55" s="56" t="str">
        <f t="shared" si="17"/>
        <v/>
      </c>
      <c r="O55" s="56" t="str">
        <f t="shared" si="17"/>
        <v/>
      </c>
      <c r="P55" s="56" t="str">
        <f t="shared" si="17"/>
        <v/>
      </c>
      <c r="Q55" s="56" t="str">
        <f t="shared" si="17"/>
        <v/>
      </c>
      <c r="R55" s="56" t="str">
        <f t="shared" si="17"/>
        <v/>
      </c>
      <c r="S55" s="56" t="str">
        <f t="shared" si="17"/>
        <v/>
      </c>
      <c r="T55" s="56" t="str">
        <f t="shared" si="17"/>
        <v/>
      </c>
      <c r="U55" s="56" t="str">
        <f t="shared" si="17"/>
        <v/>
      </c>
      <c r="V55" s="56" t="str">
        <f t="shared" si="17"/>
        <v/>
      </c>
      <c r="W55" s="56" t="str">
        <f t="shared" si="17"/>
        <v/>
      </c>
      <c r="X55" s="56" t="str">
        <f t="shared" si="17"/>
        <v/>
      </c>
      <c r="Y55" s="56" t="str">
        <f t="shared" si="17"/>
        <v/>
      </c>
      <c r="Z55" s="56" t="str">
        <f t="shared" si="17"/>
        <v/>
      </c>
      <c r="AA55" s="56" t="str">
        <f t="shared" si="17"/>
        <v/>
      </c>
      <c r="AB55" s="56" t="str">
        <f t="shared" si="17"/>
        <v/>
      </c>
      <c r="AC55" s="56" t="str">
        <f t="shared" si="17"/>
        <v/>
      </c>
      <c r="AD55" s="56" t="str">
        <f t="shared" si="17"/>
        <v/>
      </c>
      <c r="AE55" s="56" t="str">
        <f t="shared" si="17"/>
        <v/>
      </c>
      <c r="AF55" s="56" t="str">
        <f t="shared" si="17"/>
        <v/>
      </c>
      <c r="AG55" s="56" t="str">
        <f t="shared" si="17"/>
        <v/>
      </c>
      <c r="AH55" s="56" t="str">
        <f t="shared" si="17"/>
        <v/>
      </c>
      <c r="AI55" s="56" t="str">
        <f t="shared" si="17"/>
        <v/>
      </c>
      <c r="AJ55" s="56" t="str">
        <f t="shared" si="17"/>
        <v/>
      </c>
      <c r="AK55" s="56" t="str">
        <f t="shared" si="17"/>
        <v/>
      </c>
      <c r="AL55" s="56" t="str">
        <f t="shared" si="17"/>
        <v/>
      </c>
      <c r="AM55" s="56" t="str">
        <f t="shared" si="17"/>
        <v/>
      </c>
      <c r="AN55" s="56" t="str">
        <f t="shared" si="17"/>
        <v/>
      </c>
      <c r="AO55" s="56" t="str">
        <f t="shared" si="17"/>
        <v/>
      </c>
      <c r="AP55" s="56" t="str">
        <f t="shared" si="17"/>
        <v/>
      </c>
      <c r="AQ55" s="56" t="str">
        <f t="shared" si="17"/>
        <v/>
      </c>
      <c r="AR55" s="56" t="str">
        <f t="shared" si="17"/>
        <v/>
      </c>
      <c r="AS55" s="56" t="str">
        <f t="shared" si="17"/>
        <v/>
      </c>
      <c r="AT55" s="56" t="str">
        <f t="shared" si="17"/>
        <v/>
      </c>
      <c r="AU55" s="56" t="str">
        <f t="shared" si="17"/>
        <v/>
      </c>
      <c r="AV55" s="56" t="str">
        <f t="shared" si="17"/>
        <v/>
      </c>
      <c r="AW55" s="56" t="str">
        <f t="shared" si="17"/>
        <v/>
      </c>
      <c r="AX55" s="56" t="str">
        <f t="shared" si="17"/>
        <v/>
      </c>
      <c r="AY55" s="56" t="str">
        <f t="shared" si="17"/>
        <v/>
      </c>
      <c r="AZ55" s="56" t="str">
        <f t="shared" si="17"/>
        <v/>
      </c>
      <c r="BA55" s="56" t="str">
        <f t="shared" si="17"/>
        <v/>
      </c>
      <c r="BB55" s="56" t="str">
        <f t="shared" si="17"/>
        <v/>
      </c>
      <c r="BC55" s="56" t="str">
        <f t="shared" si="17"/>
        <v/>
      </c>
      <c r="BD55" s="56" t="str">
        <f t="shared" si="17"/>
        <v/>
      </c>
      <c r="BE55" s="56" t="str">
        <f t="shared" si="17"/>
        <v/>
      </c>
      <c r="BF55" s="56" t="str">
        <f t="shared" si="17"/>
        <v/>
      </c>
      <c r="BG55" s="56" t="str">
        <f t="shared" si="17"/>
        <v/>
      </c>
      <c r="BH55" s="56" t="str">
        <f t="shared" si="17"/>
        <v/>
      </c>
      <c r="BI55" s="56" t="str">
        <f t="shared" si="17"/>
        <v/>
      </c>
      <c r="BJ55" s="56" t="str">
        <f t="shared" si="17"/>
        <v/>
      </c>
      <c r="BK55" s="56" t="str">
        <f t="shared" si="17"/>
        <v/>
      </c>
      <c r="BL55" s="56" t="str">
        <f t="shared" si="17"/>
        <v/>
      </c>
      <c r="BM55" s="56" t="str">
        <f t="shared" si="17"/>
        <v/>
      </c>
      <c r="BN55" s="56" t="str">
        <f t="shared" si="17"/>
        <v/>
      </c>
      <c r="BO55" s="56" t="str">
        <f t="shared" si="17"/>
        <v/>
      </c>
      <c r="BP55" s="56" t="str">
        <f t="shared" si="17"/>
        <v/>
      </c>
      <c r="BQ55" s="56" t="str">
        <f t="shared" si="17"/>
        <v/>
      </c>
      <c r="BR55" s="56" t="str">
        <f t="shared" si="17"/>
        <v/>
      </c>
      <c r="BS55" s="56" t="str">
        <f t="shared" si="17"/>
        <v/>
      </c>
      <c r="BT55" s="56" t="str">
        <f t="shared" si="17"/>
        <v/>
      </c>
      <c r="BU55" s="56" t="str">
        <f t="shared" si="17"/>
        <v/>
      </c>
      <c r="BV55" s="56" t="str">
        <f t="shared" si="17"/>
        <v/>
      </c>
      <c r="BW55" s="56" t="str">
        <f t="shared" si="17"/>
        <v/>
      </c>
      <c r="BX55" s="56" t="str">
        <f t="shared" si="17"/>
        <v/>
      </c>
      <c r="BY55" s="56" t="str">
        <f t="shared" si="17"/>
        <v/>
      </c>
      <c r="BZ55" s="56" t="str">
        <f t="shared" si="17"/>
        <v/>
      </c>
      <c r="CA55" s="56" t="str">
        <f t="shared" si="17"/>
        <v/>
      </c>
      <c r="CB55" s="56" t="str">
        <f t="shared" si="17"/>
        <v/>
      </c>
      <c r="CC55" s="56" t="str">
        <f t="shared" si="17"/>
        <v/>
      </c>
      <c r="CD55" s="56" t="str">
        <f t="shared" si="17"/>
        <v/>
      </c>
      <c r="CE55" s="56" t="str">
        <f t="shared" si="17"/>
        <v/>
      </c>
      <c r="CF55" s="56" t="str">
        <f t="shared" si="17"/>
        <v/>
      </c>
      <c r="CG55" s="56" t="str">
        <f t="shared" si="17"/>
        <v/>
      </c>
      <c r="CH55" s="56" t="str">
        <f t="shared" si="17"/>
        <v/>
      </c>
      <c r="CI55" s="56" t="str">
        <f t="shared" si="17"/>
        <v/>
      </c>
      <c r="CJ55" s="56" t="str">
        <f t="shared" si="17"/>
        <v/>
      </c>
      <c r="CK55" s="56" t="str">
        <f t="shared" si="17"/>
        <v/>
      </c>
      <c r="CL55" s="56" t="str">
        <f t="shared" si="17"/>
        <v/>
      </c>
      <c r="CM55" s="56" t="str">
        <f t="shared" si="17"/>
        <v/>
      </c>
      <c r="CN55" s="56" t="str">
        <f t="shared" si="17"/>
        <v/>
      </c>
      <c r="CO55" s="56" t="str">
        <f t="shared" si="17"/>
        <v/>
      </c>
      <c r="CP55" s="56" t="str">
        <f t="shared" si="17"/>
        <v/>
      </c>
      <c r="CQ55" s="56" t="str">
        <f t="shared" si="17"/>
        <v/>
      </c>
      <c r="CR55" s="56" t="str">
        <f t="shared" si="17"/>
        <v/>
      </c>
      <c r="CS55" s="56" t="str">
        <f t="shared" si="17"/>
        <v/>
      </c>
      <c r="CT55" s="56" t="str">
        <f t="shared" si="17"/>
        <v/>
      </c>
      <c r="CU55" s="56" t="str">
        <f t="shared" si="17"/>
        <v/>
      </c>
      <c r="CV55" s="56" t="str">
        <f t="shared" si="17"/>
        <v/>
      </c>
      <c r="CW55" s="56" t="str">
        <f t="shared" si="17"/>
        <v/>
      </c>
    </row>
    <row r="56" ht="15.75" customHeight="1">
      <c r="A56" s="60" t="s">
        <v>282</v>
      </c>
      <c r="B56" s="56"/>
      <c r="C56" s="157">
        <f t="shared" ref="C56:CW56" si="18">SUM(C54:C55)</f>
        <v>0</v>
      </c>
      <c r="D56" s="157">
        <f t="shared" si="18"/>
        <v>0</v>
      </c>
      <c r="E56" s="157">
        <f t="shared" si="18"/>
        <v>0</v>
      </c>
      <c r="F56" s="157">
        <f t="shared" si="18"/>
        <v>0</v>
      </c>
      <c r="G56" s="157">
        <f t="shared" si="18"/>
        <v>0</v>
      </c>
      <c r="H56" s="157">
        <f t="shared" si="18"/>
        <v>0</v>
      </c>
      <c r="I56" s="157">
        <f t="shared" si="18"/>
        <v>0</v>
      </c>
      <c r="J56" s="157">
        <f t="shared" si="18"/>
        <v>0</v>
      </c>
      <c r="K56" s="157">
        <f t="shared" si="18"/>
        <v>0</v>
      </c>
      <c r="L56" s="157">
        <f t="shared" si="18"/>
        <v>0</v>
      </c>
      <c r="M56" s="157">
        <f t="shared" si="18"/>
        <v>0</v>
      </c>
      <c r="N56" s="157">
        <f t="shared" si="18"/>
        <v>0</v>
      </c>
      <c r="O56" s="157">
        <f t="shared" si="18"/>
        <v>0</v>
      </c>
      <c r="P56" s="157">
        <f t="shared" si="18"/>
        <v>0</v>
      </c>
      <c r="Q56" s="157">
        <f t="shared" si="18"/>
        <v>0</v>
      </c>
      <c r="R56" s="157">
        <f t="shared" si="18"/>
        <v>0</v>
      </c>
      <c r="S56" s="157">
        <f t="shared" si="18"/>
        <v>0</v>
      </c>
      <c r="T56" s="157">
        <f t="shared" si="18"/>
        <v>0</v>
      </c>
      <c r="U56" s="157">
        <f t="shared" si="18"/>
        <v>0</v>
      </c>
      <c r="V56" s="157">
        <f t="shared" si="18"/>
        <v>0</v>
      </c>
      <c r="W56" s="157">
        <f t="shared" si="18"/>
        <v>0</v>
      </c>
      <c r="X56" s="157">
        <f t="shared" si="18"/>
        <v>0</v>
      </c>
      <c r="Y56" s="157">
        <f t="shared" si="18"/>
        <v>0</v>
      </c>
      <c r="Z56" s="157">
        <f t="shared" si="18"/>
        <v>0</v>
      </c>
      <c r="AA56" s="157">
        <f t="shared" si="18"/>
        <v>0</v>
      </c>
      <c r="AB56" s="157">
        <f t="shared" si="18"/>
        <v>0</v>
      </c>
      <c r="AC56" s="157">
        <f t="shared" si="18"/>
        <v>0</v>
      </c>
      <c r="AD56" s="157">
        <f t="shared" si="18"/>
        <v>0</v>
      </c>
      <c r="AE56" s="157">
        <f t="shared" si="18"/>
        <v>0</v>
      </c>
      <c r="AF56" s="157">
        <f t="shared" si="18"/>
        <v>0</v>
      </c>
      <c r="AG56" s="157">
        <f t="shared" si="18"/>
        <v>0</v>
      </c>
      <c r="AH56" s="157">
        <f t="shared" si="18"/>
        <v>0</v>
      </c>
      <c r="AI56" s="157">
        <f t="shared" si="18"/>
        <v>0</v>
      </c>
      <c r="AJ56" s="157">
        <f t="shared" si="18"/>
        <v>0</v>
      </c>
      <c r="AK56" s="157">
        <f t="shared" si="18"/>
        <v>0</v>
      </c>
      <c r="AL56" s="157">
        <f t="shared" si="18"/>
        <v>0</v>
      </c>
      <c r="AM56" s="157">
        <f t="shared" si="18"/>
        <v>0</v>
      </c>
      <c r="AN56" s="157">
        <f t="shared" si="18"/>
        <v>0</v>
      </c>
      <c r="AO56" s="157">
        <f t="shared" si="18"/>
        <v>0</v>
      </c>
      <c r="AP56" s="157">
        <f t="shared" si="18"/>
        <v>0</v>
      </c>
      <c r="AQ56" s="157">
        <f t="shared" si="18"/>
        <v>0</v>
      </c>
      <c r="AR56" s="157">
        <f t="shared" si="18"/>
        <v>0</v>
      </c>
      <c r="AS56" s="157">
        <f t="shared" si="18"/>
        <v>0</v>
      </c>
      <c r="AT56" s="157">
        <f t="shared" si="18"/>
        <v>0</v>
      </c>
      <c r="AU56" s="157">
        <f t="shared" si="18"/>
        <v>0</v>
      </c>
      <c r="AV56" s="157">
        <f t="shared" si="18"/>
        <v>0</v>
      </c>
      <c r="AW56" s="157">
        <f t="shared" si="18"/>
        <v>0</v>
      </c>
      <c r="AX56" s="157">
        <f t="shared" si="18"/>
        <v>0</v>
      </c>
      <c r="AY56" s="157">
        <f t="shared" si="18"/>
        <v>0</v>
      </c>
      <c r="AZ56" s="157">
        <f t="shared" si="18"/>
        <v>0</v>
      </c>
      <c r="BA56" s="157">
        <f t="shared" si="18"/>
        <v>0</v>
      </c>
      <c r="BB56" s="157">
        <f t="shared" si="18"/>
        <v>0</v>
      </c>
      <c r="BC56" s="157">
        <f t="shared" si="18"/>
        <v>0</v>
      </c>
      <c r="BD56" s="157">
        <f t="shared" si="18"/>
        <v>0</v>
      </c>
      <c r="BE56" s="157">
        <f t="shared" si="18"/>
        <v>0</v>
      </c>
      <c r="BF56" s="157">
        <f t="shared" si="18"/>
        <v>0</v>
      </c>
      <c r="BG56" s="157">
        <f t="shared" si="18"/>
        <v>0</v>
      </c>
      <c r="BH56" s="157">
        <f t="shared" si="18"/>
        <v>0</v>
      </c>
      <c r="BI56" s="157">
        <f t="shared" si="18"/>
        <v>0</v>
      </c>
      <c r="BJ56" s="157">
        <f t="shared" si="18"/>
        <v>0</v>
      </c>
      <c r="BK56" s="157">
        <f t="shared" si="18"/>
        <v>0</v>
      </c>
      <c r="BL56" s="157">
        <f t="shared" si="18"/>
        <v>0</v>
      </c>
      <c r="BM56" s="157">
        <f t="shared" si="18"/>
        <v>0</v>
      </c>
      <c r="BN56" s="157">
        <f t="shared" si="18"/>
        <v>0</v>
      </c>
      <c r="BO56" s="157">
        <f t="shared" si="18"/>
        <v>0</v>
      </c>
      <c r="BP56" s="157">
        <f t="shared" si="18"/>
        <v>0</v>
      </c>
      <c r="BQ56" s="157">
        <f t="shared" si="18"/>
        <v>0</v>
      </c>
      <c r="BR56" s="157">
        <f t="shared" si="18"/>
        <v>0</v>
      </c>
      <c r="BS56" s="157">
        <f t="shared" si="18"/>
        <v>0</v>
      </c>
      <c r="BT56" s="157">
        <f t="shared" si="18"/>
        <v>0</v>
      </c>
      <c r="BU56" s="157">
        <f t="shared" si="18"/>
        <v>0</v>
      </c>
      <c r="BV56" s="157">
        <f t="shared" si="18"/>
        <v>0</v>
      </c>
      <c r="BW56" s="157">
        <f t="shared" si="18"/>
        <v>0</v>
      </c>
      <c r="BX56" s="157">
        <f t="shared" si="18"/>
        <v>0</v>
      </c>
      <c r="BY56" s="157">
        <f t="shared" si="18"/>
        <v>0</v>
      </c>
      <c r="BZ56" s="157">
        <f t="shared" si="18"/>
        <v>0</v>
      </c>
      <c r="CA56" s="157">
        <f t="shared" si="18"/>
        <v>0</v>
      </c>
      <c r="CB56" s="157">
        <f t="shared" si="18"/>
        <v>0</v>
      </c>
      <c r="CC56" s="157">
        <f t="shared" si="18"/>
        <v>0</v>
      </c>
      <c r="CD56" s="157">
        <f t="shared" si="18"/>
        <v>0</v>
      </c>
      <c r="CE56" s="157">
        <f t="shared" si="18"/>
        <v>0</v>
      </c>
      <c r="CF56" s="157">
        <f t="shared" si="18"/>
        <v>0</v>
      </c>
      <c r="CG56" s="157">
        <f t="shared" si="18"/>
        <v>0</v>
      </c>
      <c r="CH56" s="157">
        <f t="shared" si="18"/>
        <v>0</v>
      </c>
      <c r="CI56" s="157">
        <f t="shared" si="18"/>
        <v>0</v>
      </c>
      <c r="CJ56" s="157">
        <f t="shared" si="18"/>
        <v>0</v>
      </c>
      <c r="CK56" s="157">
        <f t="shared" si="18"/>
        <v>0</v>
      </c>
      <c r="CL56" s="157">
        <f t="shared" si="18"/>
        <v>0</v>
      </c>
      <c r="CM56" s="157">
        <f t="shared" si="18"/>
        <v>0</v>
      </c>
      <c r="CN56" s="157">
        <f t="shared" si="18"/>
        <v>0</v>
      </c>
      <c r="CO56" s="157">
        <f t="shared" si="18"/>
        <v>0</v>
      </c>
      <c r="CP56" s="157">
        <f t="shared" si="18"/>
        <v>0</v>
      </c>
      <c r="CQ56" s="157">
        <f t="shared" si="18"/>
        <v>0</v>
      </c>
      <c r="CR56" s="157">
        <f t="shared" si="18"/>
        <v>0</v>
      </c>
      <c r="CS56" s="157">
        <f t="shared" si="18"/>
        <v>0</v>
      </c>
      <c r="CT56" s="157">
        <f t="shared" si="18"/>
        <v>0</v>
      </c>
      <c r="CU56" s="157">
        <f t="shared" si="18"/>
        <v>0</v>
      </c>
      <c r="CV56" s="157">
        <f t="shared" si="18"/>
        <v>0</v>
      </c>
      <c r="CW56" s="157">
        <f t="shared" si="18"/>
        <v>0</v>
      </c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</row>
    <row r="58" ht="15.75" customHeight="1">
      <c r="A58" s="60" t="s">
        <v>283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</row>
    <row r="59" ht="15.75" customHeight="1">
      <c r="A59" s="56" t="s">
        <v>284</v>
      </c>
      <c r="B59" s="56"/>
      <c r="C59" s="56">
        <f>Settings!$B$10</f>
        <v>0</v>
      </c>
      <c r="D59" s="56">
        <f t="shared" ref="D59:CW59" si="19">C59</f>
        <v>0</v>
      </c>
      <c r="E59" s="56">
        <f t="shared" si="19"/>
        <v>0</v>
      </c>
      <c r="F59" s="56">
        <f t="shared" si="19"/>
        <v>0</v>
      </c>
      <c r="G59" s="56">
        <f t="shared" si="19"/>
        <v>0</v>
      </c>
      <c r="H59" s="56">
        <f t="shared" si="19"/>
        <v>0</v>
      </c>
      <c r="I59" s="56">
        <f t="shared" si="19"/>
        <v>0</v>
      </c>
      <c r="J59" s="56">
        <f t="shared" si="19"/>
        <v>0</v>
      </c>
      <c r="K59" s="56">
        <f t="shared" si="19"/>
        <v>0</v>
      </c>
      <c r="L59" s="56">
        <f t="shared" si="19"/>
        <v>0</v>
      </c>
      <c r="M59" s="56">
        <f t="shared" si="19"/>
        <v>0</v>
      </c>
      <c r="N59" s="56">
        <f t="shared" si="19"/>
        <v>0</v>
      </c>
      <c r="O59" s="56">
        <f t="shared" si="19"/>
        <v>0</v>
      </c>
      <c r="P59" s="56">
        <f t="shared" si="19"/>
        <v>0</v>
      </c>
      <c r="Q59" s="56">
        <f t="shared" si="19"/>
        <v>0</v>
      </c>
      <c r="R59" s="56">
        <f t="shared" si="19"/>
        <v>0</v>
      </c>
      <c r="S59" s="56">
        <f t="shared" si="19"/>
        <v>0</v>
      </c>
      <c r="T59" s="56">
        <f t="shared" si="19"/>
        <v>0</v>
      </c>
      <c r="U59" s="56">
        <f t="shared" si="19"/>
        <v>0</v>
      </c>
      <c r="V59" s="56">
        <f t="shared" si="19"/>
        <v>0</v>
      </c>
      <c r="W59" s="56">
        <f t="shared" si="19"/>
        <v>0</v>
      </c>
      <c r="X59" s="56">
        <f t="shared" si="19"/>
        <v>0</v>
      </c>
      <c r="Y59" s="56">
        <f t="shared" si="19"/>
        <v>0</v>
      </c>
      <c r="Z59" s="56">
        <f t="shared" si="19"/>
        <v>0</v>
      </c>
      <c r="AA59" s="56">
        <f t="shared" si="19"/>
        <v>0</v>
      </c>
      <c r="AB59" s="56">
        <f t="shared" si="19"/>
        <v>0</v>
      </c>
      <c r="AC59" s="56">
        <f t="shared" si="19"/>
        <v>0</v>
      </c>
      <c r="AD59" s="56">
        <f t="shared" si="19"/>
        <v>0</v>
      </c>
      <c r="AE59" s="56">
        <f t="shared" si="19"/>
        <v>0</v>
      </c>
      <c r="AF59" s="56">
        <f t="shared" si="19"/>
        <v>0</v>
      </c>
      <c r="AG59" s="56">
        <f t="shared" si="19"/>
        <v>0</v>
      </c>
      <c r="AH59" s="56">
        <f t="shared" si="19"/>
        <v>0</v>
      </c>
      <c r="AI59" s="56">
        <f t="shared" si="19"/>
        <v>0</v>
      </c>
      <c r="AJ59" s="56">
        <f t="shared" si="19"/>
        <v>0</v>
      </c>
      <c r="AK59" s="56">
        <f t="shared" si="19"/>
        <v>0</v>
      </c>
      <c r="AL59" s="56">
        <f t="shared" si="19"/>
        <v>0</v>
      </c>
      <c r="AM59" s="56">
        <f t="shared" si="19"/>
        <v>0</v>
      </c>
      <c r="AN59" s="56">
        <f t="shared" si="19"/>
        <v>0</v>
      </c>
      <c r="AO59" s="56">
        <f t="shared" si="19"/>
        <v>0</v>
      </c>
      <c r="AP59" s="56">
        <f t="shared" si="19"/>
        <v>0</v>
      </c>
      <c r="AQ59" s="56">
        <f t="shared" si="19"/>
        <v>0</v>
      </c>
      <c r="AR59" s="56">
        <f t="shared" si="19"/>
        <v>0</v>
      </c>
      <c r="AS59" s="56">
        <f t="shared" si="19"/>
        <v>0</v>
      </c>
      <c r="AT59" s="56">
        <f t="shared" si="19"/>
        <v>0</v>
      </c>
      <c r="AU59" s="56">
        <f t="shared" si="19"/>
        <v>0</v>
      </c>
      <c r="AV59" s="56">
        <f t="shared" si="19"/>
        <v>0</v>
      </c>
      <c r="AW59" s="56">
        <f t="shared" si="19"/>
        <v>0</v>
      </c>
      <c r="AX59" s="56">
        <f t="shared" si="19"/>
        <v>0</v>
      </c>
      <c r="AY59" s="56">
        <f t="shared" si="19"/>
        <v>0</v>
      </c>
      <c r="AZ59" s="56">
        <f t="shared" si="19"/>
        <v>0</v>
      </c>
      <c r="BA59" s="56">
        <f t="shared" si="19"/>
        <v>0</v>
      </c>
      <c r="BB59" s="56">
        <f t="shared" si="19"/>
        <v>0</v>
      </c>
      <c r="BC59" s="56">
        <f t="shared" si="19"/>
        <v>0</v>
      </c>
      <c r="BD59" s="56">
        <f t="shared" si="19"/>
        <v>0</v>
      </c>
      <c r="BE59" s="56">
        <f t="shared" si="19"/>
        <v>0</v>
      </c>
      <c r="BF59" s="56">
        <f t="shared" si="19"/>
        <v>0</v>
      </c>
      <c r="BG59" s="56">
        <f t="shared" si="19"/>
        <v>0</v>
      </c>
      <c r="BH59" s="56">
        <f t="shared" si="19"/>
        <v>0</v>
      </c>
      <c r="BI59" s="56">
        <f t="shared" si="19"/>
        <v>0</v>
      </c>
      <c r="BJ59" s="56">
        <f t="shared" si="19"/>
        <v>0</v>
      </c>
      <c r="BK59" s="56">
        <f t="shared" si="19"/>
        <v>0</v>
      </c>
      <c r="BL59" s="56">
        <f t="shared" si="19"/>
        <v>0</v>
      </c>
      <c r="BM59" s="56">
        <f t="shared" si="19"/>
        <v>0</v>
      </c>
      <c r="BN59" s="56">
        <f t="shared" si="19"/>
        <v>0</v>
      </c>
      <c r="BO59" s="56">
        <f t="shared" si="19"/>
        <v>0</v>
      </c>
      <c r="BP59" s="56">
        <f t="shared" si="19"/>
        <v>0</v>
      </c>
      <c r="BQ59" s="56">
        <f t="shared" si="19"/>
        <v>0</v>
      </c>
      <c r="BR59" s="56">
        <f t="shared" si="19"/>
        <v>0</v>
      </c>
      <c r="BS59" s="56">
        <f t="shared" si="19"/>
        <v>0</v>
      </c>
      <c r="BT59" s="56">
        <f t="shared" si="19"/>
        <v>0</v>
      </c>
      <c r="BU59" s="56">
        <f t="shared" si="19"/>
        <v>0</v>
      </c>
      <c r="BV59" s="56">
        <f t="shared" si="19"/>
        <v>0</v>
      </c>
      <c r="BW59" s="56">
        <f t="shared" si="19"/>
        <v>0</v>
      </c>
      <c r="BX59" s="56">
        <f t="shared" si="19"/>
        <v>0</v>
      </c>
      <c r="BY59" s="56">
        <f t="shared" si="19"/>
        <v>0</v>
      </c>
      <c r="BZ59" s="56">
        <f t="shared" si="19"/>
        <v>0</v>
      </c>
      <c r="CA59" s="56">
        <f t="shared" si="19"/>
        <v>0</v>
      </c>
      <c r="CB59" s="56">
        <f t="shared" si="19"/>
        <v>0</v>
      </c>
      <c r="CC59" s="56">
        <f t="shared" si="19"/>
        <v>0</v>
      </c>
      <c r="CD59" s="56">
        <f t="shared" si="19"/>
        <v>0</v>
      </c>
      <c r="CE59" s="56">
        <f t="shared" si="19"/>
        <v>0</v>
      </c>
      <c r="CF59" s="56">
        <f t="shared" si="19"/>
        <v>0</v>
      </c>
      <c r="CG59" s="56">
        <f t="shared" si="19"/>
        <v>0</v>
      </c>
      <c r="CH59" s="56">
        <f t="shared" si="19"/>
        <v>0</v>
      </c>
      <c r="CI59" s="56">
        <f t="shared" si="19"/>
        <v>0</v>
      </c>
      <c r="CJ59" s="56">
        <f t="shared" si="19"/>
        <v>0</v>
      </c>
      <c r="CK59" s="56">
        <f t="shared" si="19"/>
        <v>0</v>
      </c>
      <c r="CL59" s="56">
        <f t="shared" si="19"/>
        <v>0</v>
      </c>
      <c r="CM59" s="56">
        <f t="shared" si="19"/>
        <v>0</v>
      </c>
      <c r="CN59" s="56">
        <f t="shared" si="19"/>
        <v>0</v>
      </c>
      <c r="CO59" s="56">
        <f t="shared" si="19"/>
        <v>0</v>
      </c>
      <c r="CP59" s="56">
        <f t="shared" si="19"/>
        <v>0</v>
      </c>
      <c r="CQ59" s="56">
        <f t="shared" si="19"/>
        <v>0</v>
      </c>
      <c r="CR59" s="56">
        <f t="shared" si="19"/>
        <v>0</v>
      </c>
      <c r="CS59" s="56">
        <f t="shared" si="19"/>
        <v>0</v>
      </c>
      <c r="CT59" s="56">
        <f t="shared" si="19"/>
        <v>0</v>
      </c>
      <c r="CU59" s="56">
        <f t="shared" si="19"/>
        <v>0</v>
      </c>
      <c r="CV59" s="56">
        <f t="shared" si="19"/>
        <v>0</v>
      </c>
      <c r="CW59" s="56">
        <f t="shared" si="19"/>
        <v>0</v>
      </c>
    </row>
    <row r="60" ht="15.75" customHeight="1">
      <c r="A60" s="56" t="s">
        <v>285</v>
      </c>
      <c r="B60" s="56"/>
      <c r="C60" s="56">
        <f>C28</f>
        <v>0</v>
      </c>
      <c r="D60" s="56">
        <f t="shared" ref="D60:CW60" si="20">C60+D28</f>
        <v>-5438.558077</v>
      </c>
      <c r="E60" s="56">
        <f t="shared" si="20"/>
        <v>-8961.447838</v>
      </c>
      <c r="F60" s="56">
        <f t="shared" si="20"/>
        <v>-10752.96956</v>
      </c>
      <c r="G60" s="56">
        <f t="shared" si="20"/>
        <v>-10770.53454</v>
      </c>
      <c r="H60" s="56">
        <f t="shared" si="20"/>
        <v>-9535.376786</v>
      </c>
      <c r="I60" s="56">
        <f t="shared" si="20"/>
        <v>-7146.754406</v>
      </c>
      <c r="J60" s="56">
        <f t="shared" si="20"/>
        <v>-3531.541442</v>
      </c>
      <c r="K60" s="56">
        <f t="shared" si="20"/>
        <v>1227.957301</v>
      </c>
      <c r="L60" s="56">
        <f t="shared" si="20"/>
        <v>7064.219524</v>
      </c>
      <c r="M60" s="56">
        <f t="shared" si="20"/>
        <v>12863.25868</v>
      </c>
      <c r="N60" s="56">
        <f t="shared" si="20"/>
        <v>19724.48284</v>
      </c>
      <c r="O60" s="56">
        <f t="shared" si="20"/>
        <v>27579.81084</v>
      </c>
      <c r="P60" s="56">
        <f t="shared" si="20"/>
        <v>36454.23914</v>
      </c>
      <c r="Q60" s="56">
        <f t="shared" si="20"/>
        <v>46355.91745</v>
      </c>
      <c r="R60" s="56">
        <f t="shared" si="20"/>
        <v>57236.38761</v>
      </c>
      <c r="S60" s="56">
        <f t="shared" si="20"/>
        <v>69209.12168</v>
      </c>
      <c r="T60" s="56">
        <f t="shared" si="20"/>
        <v>82226.73642</v>
      </c>
      <c r="U60" s="56">
        <f t="shared" si="20"/>
        <v>96254.77891</v>
      </c>
      <c r="V60" s="56">
        <f t="shared" si="20"/>
        <v>111419.4581</v>
      </c>
      <c r="W60" s="56">
        <f t="shared" si="20"/>
        <v>126476.7836</v>
      </c>
      <c r="X60" s="56">
        <f t="shared" si="20"/>
        <v>142611.4735</v>
      </c>
      <c r="Y60" s="56">
        <f t="shared" si="20"/>
        <v>159959.9342</v>
      </c>
      <c r="Z60" s="56">
        <f t="shared" si="20"/>
        <v>178496.1627</v>
      </c>
      <c r="AA60" s="56">
        <f t="shared" si="20"/>
        <v>198205.8596</v>
      </c>
      <c r="AB60" s="56">
        <f t="shared" si="20"/>
        <v>219522.7792</v>
      </c>
      <c r="AC60" s="56">
        <f t="shared" si="20"/>
        <v>236090.0048</v>
      </c>
      <c r="AD60" s="56">
        <f t="shared" si="20"/>
        <v>252720.9104</v>
      </c>
      <c r="AE60" s="56">
        <f t="shared" si="20"/>
        <v>270802.1067</v>
      </c>
      <c r="AF60" s="56">
        <f t="shared" si="20"/>
        <v>290325.1891</v>
      </c>
      <c r="AG60" s="56">
        <f t="shared" si="20"/>
        <v>311293.4704</v>
      </c>
      <c r="AH60" s="56">
        <f t="shared" si="20"/>
        <v>333720.7464</v>
      </c>
      <c r="AI60" s="56">
        <f t="shared" si="20"/>
        <v>356397.7985</v>
      </c>
      <c r="AJ60" s="56">
        <f t="shared" si="20"/>
        <v>380588.9726</v>
      </c>
      <c r="AK60" s="56">
        <f t="shared" si="20"/>
        <v>396792.9809</v>
      </c>
      <c r="AL60" s="56">
        <f t="shared" si="20"/>
        <v>414598.0905</v>
      </c>
      <c r="AM60" s="56">
        <f t="shared" si="20"/>
        <v>432825.942</v>
      </c>
      <c r="AN60" s="56">
        <f t="shared" si="20"/>
        <v>452533.007</v>
      </c>
      <c r="AO60" s="56">
        <f t="shared" si="20"/>
        <v>449179.3369</v>
      </c>
      <c r="AP60" s="56">
        <f t="shared" si="20"/>
        <v>448236.3146</v>
      </c>
      <c r="AQ60" s="56">
        <f t="shared" si="20"/>
        <v>448174.2587</v>
      </c>
      <c r="AR60" s="56">
        <f t="shared" si="20"/>
        <v>450147.2064</v>
      </c>
      <c r="AS60" s="56">
        <f t="shared" si="20"/>
        <v>454232.1379</v>
      </c>
      <c r="AT60" s="56">
        <f t="shared" si="20"/>
        <v>459269.2128</v>
      </c>
      <c r="AU60" s="56">
        <f t="shared" si="20"/>
        <v>466618.9493</v>
      </c>
      <c r="AV60" s="56">
        <f t="shared" si="20"/>
        <v>475133.8488</v>
      </c>
      <c r="AW60" s="56">
        <f t="shared" si="20"/>
        <v>486187.0417</v>
      </c>
      <c r="AX60" s="56">
        <f t="shared" si="20"/>
        <v>499901.1019</v>
      </c>
      <c r="AY60" s="56">
        <f t="shared" si="20"/>
        <v>515148.2593</v>
      </c>
      <c r="AZ60" s="56">
        <f t="shared" si="20"/>
        <v>533045.4449</v>
      </c>
      <c r="BA60" s="56">
        <f t="shared" si="20"/>
        <v>552406.4341</v>
      </c>
      <c r="BB60" s="56">
        <f t="shared" si="20"/>
        <v>574988.9293</v>
      </c>
      <c r="BC60" s="56">
        <f t="shared" si="20"/>
        <v>599669.8139</v>
      </c>
      <c r="BD60" s="56">
        <f t="shared" si="20"/>
        <v>626616.4834</v>
      </c>
      <c r="BE60" s="56">
        <f t="shared" si="20"/>
        <v>657287.2146</v>
      </c>
      <c r="BF60" s="56">
        <f t="shared" si="20"/>
        <v>690584.7618</v>
      </c>
      <c r="BG60" s="56">
        <f t="shared" si="20"/>
        <v>726703.5736</v>
      </c>
      <c r="BH60" s="56">
        <f t="shared" si="20"/>
        <v>767130.2378</v>
      </c>
      <c r="BI60" s="56">
        <f t="shared" si="20"/>
        <v>810861.3215</v>
      </c>
      <c r="BJ60" s="56">
        <f t="shared" si="20"/>
        <v>858058.1662</v>
      </c>
      <c r="BK60" s="56">
        <f t="shared" si="20"/>
        <v>908957.6487</v>
      </c>
      <c r="BL60" s="56">
        <f t="shared" si="20"/>
        <v>963359.8283</v>
      </c>
      <c r="BM60" s="56">
        <f t="shared" si="20"/>
        <v>1021801.731</v>
      </c>
      <c r="BN60" s="56">
        <f t="shared" si="20"/>
        <v>1084705.159</v>
      </c>
      <c r="BO60" s="56">
        <f t="shared" si="20"/>
        <v>1152358.311</v>
      </c>
      <c r="BP60" s="56">
        <f t="shared" si="20"/>
        <v>1225063.835</v>
      </c>
      <c r="BQ60" s="56">
        <f t="shared" si="20"/>
        <v>1303139.546</v>
      </c>
      <c r="BR60" s="56">
        <f t="shared" si="20"/>
        <v>1386919.183</v>
      </c>
      <c r="BS60" s="56">
        <f t="shared" si="20"/>
        <v>1476753.194</v>
      </c>
      <c r="BT60" s="56">
        <f t="shared" si="20"/>
        <v>1571701.661</v>
      </c>
      <c r="BU60" s="56">
        <f t="shared" si="20"/>
        <v>1673458.904</v>
      </c>
      <c r="BV60" s="56">
        <f t="shared" si="20"/>
        <v>1782430.671</v>
      </c>
      <c r="BW60" s="56">
        <f t="shared" si="20"/>
        <v>1897735.097</v>
      </c>
      <c r="BX60" s="56">
        <f t="shared" si="20"/>
        <v>2018904.006</v>
      </c>
      <c r="BY60" s="56">
        <f t="shared" si="20"/>
        <v>2148119.956</v>
      </c>
      <c r="BZ60" s="56">
        <f t="shared" si="20"/>
        <v>2285026.581</v>
      </c>
      <c r="CA60" s="56">
        <f t="shared" si="20"/>
        <v>2430141.782</v>
      </c>
      <c r="CB60" s="56">
        <f t="shared" si="20"/>
        <v>2584009.363</v>
      </c>
      <c r="CC60" s="56">
        <f t="shared" si="20"/>
        <v>2747200.322</v>
      </c>
      <c r="CD60" s="56">
        <f t="shared" si="20"/>
        <v>2920314.21</v>
      </c>
      <c r="CE60" s="56">
        <f t="shared" si="20"/>
        <v>3103980.559</v>
      </c>
      <c r="CF60" s="56">
        <f t="shared" si="20"/>
        <v>3297526.315</v>
      </c>
      <c r="CG60" s="56">
        <f t="shared" si="20"/>
        <v>3502979.611</v>
      </c>
      <c r="CH60" s="56">
        <f t="shared" si="20"/>
        <v>3719735.151</v>
      </c>
      <c r="CI60" s="56">
        <f t="shared" si="20"/>
        <v>3949892.215</v>
      </c>
      <c r="CJ60" s="56">
        <f t="shared" si="20"/>
        <v>4191292.643</v>
      </c>
      <c r="CK60" s="56">
        <f t="shared" si="20"/>
        <v>4445826.271</v>
      </c>
      <c r="CL60" s="56">
        <f t="shared" si="20"/>
        <v>4714880.265</v>
      </c>
      <c r="CM60" s="56">
        <f t="shared" si="20"/>
        <v>4998024.001</v>
      </c>
      <c r="CN60" s="56">
        <f t="shared" si="20"/>
        <v>5297594.862</v>
      </c>
      <c r="CO60" s="56">
        <f t="shared" si="20"/>
        <v>5613257.562</v>
      </c>
      <c r="CP60" s="56">
        <f t="shared" si="20"/>
        <v>5946088.84</v>
      </c>
      <c r="CQ60" s="56">
        <f t="shared" si="20"/>
        <v>6297219.271</v>
      </c>
      <c r="CR60" s="56">
        <f t="shared" si="20"/>
        <v>6667835.962</v>
      </c>
      <c r="CS60" s="56">
        <f t="shared" si="20"/>
        <v>7059185.373</v>
      </c>
      <c r="CT60" s="56">
        <f t="shared" si="20"/>
        <v>7471215.538</v>
      </c>
      <c r="CU60" s="56">
        <f t="shared" si="20"/>
        <v>7905983.033</v>
      </c>
      <c r="CV60" s="56">
        <f t="shared" si="20"/>
        <v>8359641.819</v>
      </c>
      <c r="CW60" s="56">
        <f t="shared" si="20"/>
        <v>8831175.786</v>
      </c>
    </row>
    <row r="61" ht="15.75" customHeight="1">
      <c r="A61" s="60" t="s">
        <v>286</v>
      </c>
      <c r="B61" s="56"/>
      <c r="C61" s="157">
        <f t="shared" ref="C61:CW61" si="21">SUM(C59:C60)</f>
        <v>0</v>
      </c>
      <c r="D61" s="157">
        <f t="shared" si="21"/>
        <v>-5438.558077</v>
      </c>
      <c r="E61" s="157">
        <f t="shared" si="21"/>
        <v>-8961.447838</v>
      </c>
      <c r="F61" s="157">
        <f t="shared" si="21"/>
        <v>-10752.96956</v>
      </c>
      <c r="G61" s="157">
        <f t="shared" si="21"/>
        <v>-10770.53454</v>
      </c>
      <c r="H61" s="157">
        <f t="shared" si="21"/>
        <v>-9535.376786</v>
      </c>
      <c r="I61" s="157">
        <f t="shared" si="21"/>
        <v>-7146.754406</v>
      </c>
      <c r="J61" s="157">
        <f t="shared" si="21"/>
        <v>-3531.541442</v>
      </c>
      <c r="K61" s="157">
        <f t="shared" si="21"/>
        <v>1227.957301</v>
      </c>
      <c r="L61" s="157">
        <f t="shared" si="21"/>
        <v>7064.219524</v>
      </c>
      <c r="M61" s="157">
        <f t="shared" si="21"/>
        <v>12863.25868</v>
      </c>
      <c r="N61" s="157">
        <f t="shared" si="21"/>
        <v>19724.48284</v>
      </c>
      <c r="O61" s="157">
        <f t="shared" si="21"/>
        <v>27579.81084</v>
      </c>
      <c r="P61" s="157">
        <f t="shared" si="21"/>
        <v>36454.23914</v>
      </c>
      <c r="Q61" s="157">
        <f t="shared" si="21"/>
        <v>46355.91745</v>
      </c>
      <c r="R61" s="157">
        <f t="shared" si="21"/>
        <v>57236.38761</v>
      </c>
      <c r="S61" s="157">
        <f t="shared" si="21"/>
        <v>69209.12168</v>
      </c>
      <c r="T61" s="157">
        <f t="shared" si="21"/>
        <v>82226.73642</v>
      </c>
      <c r="U61" s="157">
        <f t="shared" si="21"/>
        <v>96254.77891</v>
      </c>
      <c r="V61" s="157">
        <f t="shared" si="21"/>
        <v>111419.4581</v>
      </c>
      <c r="W61" s="157">
        <f t="shared" si="21"/>
        <v>126476.7836</v>
      </c>
      <c r="X61" s="157">
        <f t="shared" si="21"/>
        <v>142611.4735</v>
      </c>
      <c r="Y61" s="157">
        <f t="shared" si="21"/>
        <v>159959.9342</v>
      </c>
      <c r="Z61" s="157">
        <f t="shared" si="21"/>
        <v>178496.1627</v>
      </c>
      <c r="AA61" s="157">
        <f t="shared" si="21"/>
        <v>198205.8596</v>
      </c>
      <c r="AB61" s="157">
        <f t="shared" si="21"/>
        <v>219522.7792</v>
      </c>
      <c r="AC61" s="157">
        <f t="shared" si="21"/>
        <v>236090.0048</v>
      </c>
      <c r="AD61" s="157">
        <f t="shared" si="21"/>
        <v>252720.9104</v>
      </c>
      <c r="AE61" s="157">
        <f t="shared" si="21"/>
        <v>270802.1067</v>
      </c>
      <c r="AF61" s="157">
        <f t="shared" si="21"/>
        <v>290325.1891</v>
      </c>
      <c r="AG61" s="157">
        <f t="shared" si="21"/>
        <v>311293.4704</v>
      </c>
      <c r="AH61" s="157">
        <f t="shared" si="21"/>
        <v>333720.7464</v>
      </c>
      <c r="AI61" s="157">
        <f t="shared" si="21"/>
        <v>356397.7985</v>
      </c>
      <c r="AJ61" s="157">
        <f t="shared" si="21"/>
        <v>380588.9726</v>
      </c>
      <c r="AK61" s="157">
        <f t="shared" si="21"/>
        <v>396792.9809</v>
      </c>
      <c r="AL61" s="157">
        <f t="shared" si="21"/>
        <v>414598.0905</v>
      </c>
      <c r="AM61" s="157">
        <f t="shared" si="21"/>
        <v>432825.942</v>
      </c>
      <c r="AN61" s="157">
        <f t="shared" si="21"/>
        <v>452533.007</v>
      </c>
      <c r="AO61" s="157">
        <f t="shared" si="21"/>
        <v>449179.3369</v>
      </c>
      <c r="AP61" s="157">
        <f t="shared" si="21"/>
        <v>448236.3146</v>
      </c>
      <c r="AQ61" s="157">
        <f t="shared" si="21"/>
        <v>448174.2587</v>
      </c>
      <c r="AR61" s="157">
        <f t="shared" si="21"/>
        <v>450147.2064</v>
      </c>
      <c r="AS61" s="157">
        <f t="shared" si="21"/>
        <v>454232.1379</v>
      </c>
      <c r="AT61" s="157">
        <f t="shared" si="21"/>
        <v>459269.2128</v>
      </c>
      <c r="AU61" s="157">
        <f t="shared" si="21"/>
        <v>466618.9493</v>
      </c>
      <c r="AV61" s="157">
        <f t="shared" si="21"/>
        <v>475133.8488</v>
      </c>
      <c r="AW61" s="157">
        <f t="shared" si="21"/>
        <v>486187.0417</v>
      </c>
      <c r="AX61" s="157">
        <f t="shared" si="21"/>
        <v>499901.1019</v>
      </c>
      <c r="AY61" s="157">
        <f t="shared" si="21"/>
        <v>515148.2593</v>
      </c>
      <c r="AZ61" s="157">
        <f t="shared" si="21"/>
        <v>533045.4449</v>
      </c>
      <c r="BA61" s="157">
        <f t="shared" si="21"/>
        <v>552406.4341</v>
      </c>
      <c r="BB61" s="157">
        <f t="shared" si="21"/>
        <v>574988.9293</v>
      </c>
      <c r="BC61" s="157">
        <f t="shared" si="21"/>
        <v>599669.8139</v>
      </c>
      <c r="BD61" s="157">
        <f t="shared" si="21"/>
        <v>626616.4834</v>
      </c>
      <c r="BE61" s="157">
        <f t="shared" si="21"/>
        <v>657287.2146</v>
      </c>
      <c r="BF61" s="157">
        <f t="shared" si="21"/>
        <v>690584.7618</v>
      </c>
      <c r="BG61" s="157">
        <f t="shared" si="21"/>
        <v>726703.5736</v>
      </c>
      <c r="BH61" s="157">
        <f t="shared" si="21"/>
        <v>767130.2378</v>
      </c>
      <c r="BI61" s="157">
        <f t="shared" si="21"/>
        <v>810861.3215</v>
      </c>
      <c r="BJ61" s="157">
        <f t="shared" si="21"/>
        <v>858058.1662</v>
      </c>
      <c r="BK61" s="157">
        <f t="shared" si="21"/>
        <v>908957.6487</v>
      </c>
      <c r="BL61" s="157">
        <f t="shared" si="21"/>
        <v>963359.8283</v>
      </c>
      <c r="BM61" s="157">
        <f t="shared" si="21"/>
        <v>1021801.731</v>
      </c>
      <c r="BN61" s="157">
        <f t="shared" si="21"/>
        <v>1084705.159</v>
      </c>
      <c r="BO61" s="157">
        <f t="shared" si="21"/>
        <v>1152358.311</v>
      </c>
      <c r="BP61" s="157">
        <f t="shared" si="21"/>
        <v>1225063.835</v>
      </c>
      <c r="BQ61" s="157">
        <f t="shared" si="21"/>
        <v>1303139.546</v>
      </c>
      <c r="BR61" s="157">
        <f t="shared" si="21"/>
        <v>1386919.183</v>
      </c>
      <c r="BS61" s="157">
        <f t="shared" si="21"/>
        <v>1476753.194</v>
      </c>
      <c r="BT61" s="157">
        <f t="shared" si="21"/>
        <v>1571701.661</v>
      </c>
      <c r="BU61" s="157">
        <f t="shared" si="21"/>
        <v>1673458.904</v>
      </c>
      <c r="BV61" s="157">
        <f t="shared" si="21"/>
        <v>1782430.671</v>
      </c>
      <c r="BW61" s="157">
        <f t="shared" si="21"/>
        <v>1897735.097</v>
      </c>
      <c r="BX61" s="157">
        <f t="shared" si="21"/>
        <v>2018904.006</v>
      </c>
      <c r="BY61" s="157">
        <f t="shared" si="21"/>
        <v>2148119.956</v>
      </c>
      <c r="BZ61" s="157">
        <f t="shared" si="21"/>
        <v>2285026.581</v>
      </c>
      <c r="CA61" s="157">
        <f t="shared" si="21"/>
        <v>2430141.782</v>
      </c>
      <c r="CB61" s="157">
        <f t="shared" si="21"/>
        <v>2584009.363</v>
      </c>
      <c r="CC61" s="157">
        <f t="shared" si="21"/>
        <v>2747200.322</v>
      </c>
      <c r="CD61" s="157">
        <f t="shared" si="21"/>
        <v>2920314.21</v>
      </c>
      <c r="CE61" s="157">
        <f t="shared" si="21"/>
        <v>3103980.559</v>
      </c>
      <c r="CF61" s="157">
        <f t="shared" si="21"/>
        <v>3297526.315</v>
      </c>
      <c r="CG61" s="157">
        <f t="shared" si="21"/>
        <v>3502979.611</v>
      </c>
      <c r="CH61" s="157">
        <f t="shared" si="21"/>
        <v>3719735.151</v>
      </c>
      <c r="CI61" s="157">
        <f t="shared" si="21"/>
        <v>3949892.215</v>
      </c>
      <c r="CJ61" s="157">
        <f t="shared" si="21"/>
        <v>4191292.643</v>
      </c>
      <c r="CK61" s="157">
        <f t="shared" si="21"/>
        <v>4445826.271</v>
      </c>
      <c r="CL61" s="157">
        <f t="shared" si="21"/>
        <v>4714880.265</v>
      </c>
      <c r="CM61" s="157">
        <f t="shared" si="21"/>
        <v>4998024.001</v>
      </c>
      <c r="CN61" s="157">
        <f t="shared" si="21"/>
        <v>5297594.862</v>
      </c>
      <c r="CO61" s="157">
        <f t="shared" si="21"/>
        <v>5613257.562</v>
      </c>
      <c r="CP61" s="157">
        <f t="shared" si="21"/>
        <v>5946088.84</v>
      </c>
      <c r="CQ61" s="157">
        <f t="shared" si="21"/>
        <v>6297219.271</v>
      </c>
      <c r="CR61" s="157">
        <f t="shared" si="21"/>
        <v>6667835.962</v>
      </c>
      <c r="CS61" s="157">
        <f t="shared" si="21"/>
        <v>7059185.373</v>
      </c>
      <c r="CT61" s="157">
        <f t="shared" si="21"/>
        <v>7471215.538</v>
      </c>
      <c r="CU61" s="157">
        <f t="shared" si="21"/>
        <v>7905983.033</v>
      </c>
      <c r="CV61" s="157">
        <f t="shared" si="21"/>
        <v>8359641.819</v>
      </c>
      <c r="CW61" s="157">
        <f t="shared" si="21"/>
        <v>8831175.786</v>
      </c>
    </row>
    <row r="62" ht="15.75" customHeight="1">
      <c r="A62" s="60" t="s">
        <v>287</v>
      </c>
      <c r="B62" s="56"/>
      <c r="C62" s="157">
        <f t="shared" ref="C62:CW62" si="22">ROUND(C56+C61,0)</f>
        <v>0</v>
      </c>
      <c r="D62" s="157">
        <f t="shared" si="22"/>
        <v>-5439</v>
      </c>
      <c r="E62" s="157">
        <f t="shared" si="22"/>
        <v>-8961</v>
      </c>
      <c r="F62" s="157">
        <f t="shared" si="22"/>
        <v>-10753</v>
      </c>
      <c r="G62" s="157">
        <f t="shared" si="22"/>
        <v>-10771</v>
      </c>
      <c r="H62" s="157">
        <f t="shared" si="22"/>
        <v>-9535</v>
      </c>
      <c r="I62" s="157">
        <f t="shared" si="22"/>
        <v>-7147</v>
      </c>
      <c r="J62" s="157">
        <f t="shared" si="22"/>
        <v>-3532</v>
      </c>
      <c r="K62" s="157">
        <f t="shared" si="22"/>
        <v>1228</v>
      </c>
      <c r="L62" s="157">
        <f t="shared" si="22"/>
        <v>7064</v>
      </c>
      <c r="M62" s="157">
        <f t="shared" si="22"/>
        <v>12863</v>
      </c>
      <c r="N62" s="157">
        <f t="shared" si="22"/>
        <v>19724</v>
      </c>
      <c r="O62" s="157">
        <f t="shared" si="22"/>
        <v>27580</v>
      </c>
      <c r="P62" s="157">
        <f t="shared" si="22"/>
        <v>36454</v>
      </c>
      <c r="Q62" s="157">
        <f t="shared" si="22"/>
        <v>46356</v>
      </c>
      <c r="R62" s="157">
        <f t="shared" si="22"/>
        <v>57236</v>
      </c>
      <c r="S62" s="157">
        <f t="shared" si="22"/>
        <v>69209</v>
      </c>
      <c r="T62" s="157">
        <f t="shared" si="22"/>
        <v>82227</v>
      </c>
      <c r="U62" s="157">
        <f t="shared" si="22"/>
        <v>96255</v>
      </c>
      <c r="V62" s="157">
        <f t="shared" si="22"/>
        <v>111419</v>
      </c>
      <c r="W62" s="157">
        <f t="shared" si="22"/>
        <v>126477</v>
      </c>
      <c r="X62" s="157">
        <f t="shared" si="22"/>
        <v>142611</v>
      </c>
      <c r="Y62" s="157">
        <f t="shared" si="22"/>
        <v>159960</v>
      </c>
      <c r="Z62" s="157">
        <f t="shared" si="22"/>
        <v>178496</v>
      </c>
      <c r="AA62" s="157">
        <f t="shared" si="22"/>
        <v>198206</v>
      </c>
      <c r="AB62" s="157">
        <f t="shared" si="22"/>
        <v>219523</v>
      </c>
      <c r="AC62" s="157">
        <f t="shared" si="22"/>
        <v>236090</v>
      </c>
      <c r="AD62" s="157">
        <f t="shared" si="22"/>
        <v>252721</v>
      </c>
      <c r="AE62" s="157">
        <f t="shared" si="22"/>
        <v>270802</v>
      </c>
      <c r="AF62" s="157">
        <f t="shared" si="22"/>
        <v>290325</v>
      </c>
      <c r="AG62" s="157">
        <f t="shared" si="22"/>
        <v>311293</v>
      </c>
      <c r="AH62" s="157">
        <f t="shared" si="22"/>
        <v>333721</v>
      </c>
      <c r="AI62" s="157">
        <f t="shared" si="22"/>
        <v>356398</v>
      </c>
      <c r="AJ62" s="157">
        <f t="shared" si="22"/>
        <v>380589</v>
      </c>
      <c r="AK62" s="157">
        <f t="shared" si="22"/>
        <v>396793</v>
      </c>
      <c r="AL62" s="157">
        <f t="shared" si="22"/>
        <v>414598</v>
      </c>
      <c r="AM62" s="157">
        <f t="shared" si="22"/>
        <v>432826</v>
      </c>
      <c r="AN62" s="157">
        <f t="shared" si="22"/>
        <v>452533</v>
      </c>
      <c r="AO62" s="157">
        <f t="shared" si="22"/>
        <v>449179</v>
      </c>
      <c r="AP62" s="157">
        <f t="shared" si="22"/>
        <v>448236</v>
      </c>
      <c r="AQ62" s="157">
        <f t="shared" si="22"/>
        <v>448174</v>
      </c>
      <c r="AR62" s="157">
        <f t="shared" si="22"/>
        <v>450147</v>
      </c>
      <c r="AS62" s="157">
        <f t="shared" si="22"/>
        <v>454232</v>
      </c>
      <c r="AT62" s="157">
        <f t="shared" si="22"/>
        <v>459269</v>
      </c>
      <c r="AU62" s="157">
        <f t="shared" si="22"/>
        <v>466619</v>
      </c>
      <c r="AV62" s="157">
        <f t="shared" si="22"/>
        <v>475134</v>
      </c>
      <c r="AW62" s="157">
        <f t="shared" si="22"/>
        <v>486187</v>
      </c>
      <c r="AX62" s="157">
        <f t="shared" si="22"/>
        <v>499901</v>
      </c>
      <c r="AY62" s="157">
        <f t="shared" si="22"/>
        <v>515148</v>
      </c>
      <c r="AZ62" s="157">
        <f t="shared" si="22"/>
        <v>533045</v>
      </c>
      <c r="BA62" s="157">
        <f t="shared" si="22"/>
        <v>552406</v>
      </c>
      <c r="BB62" s="157">
        <f t="shared" si="22"/>
        <v>574989</v>
      </c>
      <c r="BC62" s="157">
        <f t="shared" si="22"/>
        <v>599670</v>
      </c>
      <c r="BD62" s="157">
        <f t="shared" si="22"/>
        <v>626616</v>
      </c>
      <c r="BE62" s="157">
        <f t="shared" si="22"/>
        <v>657287</v>
      </c>
      <c r="BF62" s="157">
        <f t="shared" si="22"/>
        <v>690585</v>
      </c>
      <c r="BG62" s="157">
        <f t="shared" si="22"/>
        <v>726704</v>
      </c>
      <c r="BH62" s="157">
        <f t="shared" si="22"/>
        <v>767130</v>
      </c>
      <c r="BI62" s="157">
        <f t="shared" si="22"/>
        <v>810861</v>
      </c>
      <c r="BJ62" s="157">
        <f t="shared" si="22"/>
        <v>858058</v>
      </c>
      <c r="BK62" s="157">
        <f t="shared" si="22"/>
        <v>908958</v>
      </c>
      <c r="BL62" s="157">
        <f t="shared" si="22"/>
        <v>963360</v>
      </c>
      <c r="BM62" s="157">
        <f t="shared" si="22"/>
        <v>1021802</v>
      </c>
      <c r="BN62" s="157">
        <f t="shared" si="22"/>
        <v>1084705</v>
      </c>
      <c r="BO62" s="157">
        <f t="shared" si="22"/>
        <v>1152358</v>
      </c>
      <c r="BP62" s="157">
        <f t="shared" si="22"/>
        <v>1225064</v>
      </c>
      <c r="BQ62" s="157">
        <f t="shared" si="22"/>
        <v>1303140</v>
      </c>
      <c r="BR62" s="157">
        <f t="shared" si="22"/>
        <v>1386919</v>
      </c>
      <c r="BS62" s="157">
        <f t="shared" si="22"/>
        <v>1476753</v>
      </c>
      <c r="BT62" s="157">
        <f t="shared" si="22"/>
        <v>1571702</v>
      </c>
      <c r="BU62" s="157">
        <f t="shared" si="22"/>
        <v>1673459</v>
      </c>
      <c r="BV62" s="157">
        <f t="shared" si="22"/>
        <v>1782431</v>
      </c>
      <c r="BW62" s="157">
        <f t="shared" si="22"/>
        <v>1897735</v>
      </c>
      <c r="BX62" s="157">
        <f t="shared" si="22"/>
        <v>2018904</v>
      </c>
      <c r="BY62" s="157">
        <f t="shared" si="22"/>
        <v>2148120</v>
      </c>
      <c r="BZ62" s="157">
        <f t="shared" si="22"/>
        <v>2285027</v>
      </c>
      <c r="CA62" s="157">
        <f t="shared" si="22"/>
        <v>2430142</v>
      </c>
      <c r="CB62" s="157">
        <f t="shared" si="22"/>
        <v>2584009</v>
      </c>
      <c r="CC62" s="157">
        <f t="shared" si="22"/>
        <v>2747200</v>
      </c>
      <c r="CD62" s="157">
        <f t="shared" si="22"/>
        <v>2920314</v>
      </c>
      <c r="CE62" s="157">
        <f t="shared" si="22"/>
        <v>3103981</v>
      </c>
      <c r="CF62" s="157">
        <f t="shared" si="22"/>
        <v>3297526</v>
      </c>
      <c r="CG62" s="157">
        <f t="shared" si="22"/>
        <v>3502980</v>
      </c>
      <c r="CH62" s="157">
        <f t="shared" si="22"/>
        <v>3719735</v>
      </c>
      <c r="CI62" s="157">
        <f t="shared" si="22"/>
        <v>3949892</v>
      </c>
      <c r="CJ62" s="157">
        <f t="shared" si="22"/>
        <v>4191293</v>
      </c>
      <c r="CK62" s="157">
        <f t="shared" si="22"/>
        <v>4445826</v>
      </c>
      <c r="CL62" s="157">
        <f t="shared" si="22"/>
        <v>4714880</v>
      </c>
      <c r="CM62" s="157">
        <f t="shared" si="22"/>
        <v>4998024</v>
      </c>
      <c r="CN62" s="157">
        <f t="shared" si="22"/>
        <v>5297595</v>
      </c>
      <c r="CO62" s="157">
        <f t="shared" si="22"/>
        <v>5613258</v>
      </c>
      <c r="CP62" s="157">
        <f t="shared" si="22"/>
        <v>5946089</v>
      </c>
      <c r="CQ62" s="157">
        <f t="shared" si="22"/>
        <v>6297219</v>
      </c>
      <c r="CR62" s="157">
        <f t="shared" si="22"/>
        <v>6667836</v>
      </c>
      <c r="CS62" s="157">
        <f t="shared" si="22"/>
        <v>7059185</v>
      </c>
      <c r="CT62" s="157">
        <f t="shared" si="22"/>
        <v>7471216</v>
      </c>
      <c r="CU62" s="157">
        <f t="shared" si="22"/>
        <v>7905983</v>
      </c>
      <c r="CV62" s="157">
        <f t="shared" si="22"/>
        <v>8359642</v>
      </c>
      <c r="CW62" s="157">
        <f t="shared" si="22"/>
        <v>8831176</v>
      </c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</row>
    <row r="64" ht="15.75" customHeight="1">
      <c r="A64" s="56" t="s">
        <v>288</v>
      </c>
      <c r="B64" s="56"/>
      <c r="C64" s="176">
        <f t="shared" ref="C64:CW64" si="23">C62-C50</f>
        <v>0</v>
      </c>
      <c r="D64" s="176">
        <f t="shared" si="23"/>
        <v>0</v>
      </c>
      <c r="E64" s="176">
        <f t="shared" si="23"/>
        <v>0</v>
      </c>
      <c r="F64" s="176">
        <f t="shared" si="23"/>
        <v>0</v>
      </c>
      <c r="G64" s="176">
        <f t="shared" si="23"/>
        <v>0</v>
      </c>
      <c r="H64" s="176">
        <f t="shared" si="23"/>
        <v>0</v>
      </c>
      <c r="I64" s="176">
        <f t="shared" si="23"/>
        <v>0</v>
      </c>
      <c r="J64" s="176">
        <f t="shared" si="23"/>
        <v>0</v>
      </c>
      <c r="K64" s="176">
        <f t="shared" si="23"/>
        <v>0</v>
      </c>
      <c r="L64" s="176">
        <f t="shared" si="23"/>
        <v>0</v>
      </c>
      <c r="M64" s="176">
        <f t="shared" si="23"/>
        <v>0</v>
      </c>
      <c r="N64" s="176">
        <f t="shared" si="23"/>
        <v>0</v>
      </c>
      <c r="O64" s="176">
        <f t="shared" si="23"/>
        <v>0</v>
      </c>
      <c r="P64" s="176">
        <f t="shared" si="23"/>
        <v>0</v>
      </c>
      <c r="Q64" s="176">
        <f t="shared" si="23"/>
        <v>0</v>
      </c>
      <c r="R64" s="176">
        <f t="shared" si="23"/>
        <v>0</v>
      </c>
      <c r="S64" s="176">
        <f t="shared" si="23"/>
        <v>0</v>
      </c>
      <c r="T64" s="176">
        <f t="shared" si="23"/>
        <v>0</v>
      </c>
      <c r="U64" s="176">
        <f t="shared" si="23"/>
        <v>0</v>
      </c>
      <c r="V64" s="176">
        <f t="shared" si="23"/>
        <v>0</v>
      </c>
      <c r="W64" s="176">
        <f t="shared" si="23"/>
        <v>0</v>
      </c>
      <c r="X64" s="176">
        <f t="shared" si="23"/>
        <v>0</v>
      </c>
      <c r="Y64" s="176">
        <f t="shared" si="23"/>
        <v>0</v>
      </c>
      <c r="Z64" s="176">
        <f t="shared" si="23"/>
        <v>0</v>
      </c>
      <c r="AA64" s="176">
        <f t="shared" si="23"/>
        <v>0</v>
      </c>
      <c r="AB64" s="176">
        <f t="shared" si="23"/>
        <v>0</v>
      </c>
      <c r="AC64" s="176">
        <f t="shared" si="23"/>
        <v>0</v>
      </c>
      <c r="AD64" s="176">
        <f t="shared" si="23"/>
        <v>0</v>
      </c>
      <c r="AE64" s="176">
        <f t="shared" si="23"/>
        <v>0</v>
      </c>
      <c r="AF64" s="176">
        <f t="shared" si="23"/>
        <v>0</v>
      </c>
      <c r="AG64" s="176">
        <f t="shared" si="23"/>
        <v>0</v>
      </c>
      <c r="AH64" s="176">
        <f t="shared" si="23"/>
        <v>0</v>
      </c>
      <c r="AI64" s="176">
        <f t="shared" si="23"/>
        <v>0</v>
      </c>
      <c r="AJ64" s="176">
        <f t="shared" si="23"/>
        <v>0</v>
      </c>
      <c r="AK64" s="176">
        <f t="shared" si="23"/>
        <v>0</v>
      </c>
      <c r="AL64" s="176">
        <f t="shared" si="23"/>
        <v>0</v>
      </c>
      <c r="AM64" s="176">
        <f t="shared" si="23"/>
        <v>0</v>
      </c>
      <c r="AN64" s="176">
        <f t="shared" si="23"/>
        <v>0</v>
      </c>
      <c r="AO64" s="176">
        <f t="shared" si="23"/>
        <v>0</v>
      </c>
      <c r="AP64" s="176">
        <f t="shared" si="23"/>
        <v>0</v>
      </c>
      <c r="AQ64" s="176">
        <f t="shared" si="23"/>
        <v>0</v>
      </c>
      <c r="AR64" s="176">
        <f t="shared" si="23"/>
        <v>0</v>
      </c>
      <c r="AS64" s="176">
        <f t="shared" si="23"/>
        <v>0</v>
      </c>
      <c r="AT64" s="176">
        <f t="shared" si="23"/>
        <v>0</v>
      </c>
      <c r="AU64" s="176">
        <f t="shared" si="23"/>
        <v>0</v>
      </c>
      <c r="AV64" s="176">
        <f t="shared" si="23"/>
        <v>0</v>
      </c>
      <c r="AW64" s="176">
        <f t="shared" si="23"/>
        <v>0</v>
      </c>
      <c r="AX64" s="176">
        <f t="shared" si="23"/>
        <v>0</v>
      </c>
      <c r="AY64" s="176">
        <f t="shared" si="23"/>
        <v>0</v>
      </c>
      <c r="AZ64" s="176">
        <f t="shared" si="23"/>
        <v>0</v>
      </c>
      <c r="BA64" s="176">
        <f t="shared" si="23"/>
        <v>0</v>
      </c>
      <c r="BB64" s="176">
        <f t="shared" si="23"/>
        <v>0</v>
      </c>
      <c r="BC64" s="176">
        <f t="shared" si="23"/>
        <v>0</v>
      </c>
      <c r="BD64" s="176">
        <f t="shared" si="23"/>
        <v>0</v>
      </c>
      <c r="BE64" s="176">
        <f t="shared" si="23"/>
        <v>0</v>
      </c>
      <c r="BF64" s="176">
        <f t="shared" si="23"/>
        <v>0</v>
      </c>
      <c r="BG64" s="176">
        <f t="shared" si="23"/>
        <v>0</v>
      </c>
      <c r="BH64" s="176">
        <f t="shared" si="23"/>
        <v>0</v>
      </c>
      <c r="BI64" s="176">
        <f t="shared" si="23"/>
        <v>0</v>
      </c>
      <c r="BJ64" s="176">
        <f t="shared" si="23"/>
        <v>0</v>
      </c>
      <c r="BK64" s="176">
        <f t="shared" si="23"/>
        <v>0</v>
      </c>
      <c r="BL64" s="176">
        <f t="shared" si="23"/>
        <v>0</v>
      </c>
      <c r="BM64" s="176">
        <f t="shared" si="23"/>
        <v>0</v>
      </c>
      <c r="BN64" s="176">
        <f t="shared" si="23"/>
        <v>0</v>
      </c>
      <c r="BO64" s="176">
        <f t="shared" si="23"/>
        <v>0</v>
      </c>
      <c r="BP64" s="176">
        <f t="shared" si="23"/>
        <v>0</v>
      </c>
      <c r="BQ64" s="176">
        <f t="shared" si="23"/>
        <v>0</v>
      </c>
      <c r="BR64" s="176">
        <f t="shared" si="23"/>
        <v>0</v>
      </c>
      <c r="BS64" s="176">
        <f t="shared" si="23"/>
        <v>0</v>
      </c>
      <c r="BT64" s="176">
        <f t="shared" si="23"/>
        <v>0</v>
      </c>
      <c r="BU64" s="176">
        <f t="shared" si="23"/>
        <v>0</v>
      </c>
      <c r="BV64" s="176">
        <f t="shared" si="23"/>
        <v>0</v>
      </c>
      <c r="BW64" s="176">
        <f t="shared" si="23"/>
        <v>0</v>
      </c>
      <c r="BX64" s="176">
        <f t="shared" si="23"/>
        <v>0</v>
      </c>
      <c r="BY64" s="176">
        <f t="shared" si="23"/>
        <v>0</v>
      </c>
      <c r="BZ64" s="176">
        <f t="shared" si="23"/>
        <v>0</v>
      </c>
      <c r="CA64" s="176">
        <f t="shared" si="23"/>
        <v>0</v>
      </c>
      <c r="CB64" s="176">
        <f t="shared" si="23"/>
        <v>0</v>
      </c>
      <c r="CC64" s="176">
        <f t="shared" si="23"/>
        <v>0</v>
      </c>
      <c r="CD64" s="176">
        <f t="shared" si="23"/>
        <v>0</v>
      </c>
      <c r="CE64" s="176">
        <f t="shared" si="23"/>
        <v>0</v>
      </c>
      <c r="CF64" s="176">
        <f t="shared" si="23"/>
        <v>0</v>
      </c>
      <c r="CG64" s="176">
        <f t="shared" si="23"/>
        <v>0</v>
      </c>
      <c r="CH64" s="176">
        <f t="shared" si="23"/>
        <v>0</v>
      </c>
      <c r="CI64" s="176">
        <f t="shared" si="23"/>
        <v>0</v>
      </c>
      <c r="CJ64" s="176">
        <f t="shared" si="23"/>
        <v>0</v>
      </c>
      <c r="CK64" s="176">
        <f t="shared" si="23"/>
        <v>0</v>
      </c>
      <c r="CL64" s="176">
        <f t="shared" si="23"/>
        <v>0</v>
      </c>
      <c r="CM64" s="176">
        <f t="shared" si="23"/>
        <v>0</v>
      </c>
      <c r="CN64" s="176">
        <f t="shared" si="23"/>
        <v>0</v>
      </c>
      <c r="CO64" s="176">
        <f t="shared" si="23"/>
        <v>0</v>
      </c>
      <c r="CP64" s="176">
        <f t="shared" si="23"/>
        <v>0</v>
      </c>
      <c r="CQ64" s="176">
        <f t="shared" si="23"/>
        <v>0</v>
      </c>
      <c r="CR64" s="176">
        <f t="shared" si="23"/>
        <v>0</v>
      </c>
      <c r="CS64" s="176">
        <f t="shared" si="23"/>
        <v>0</v>
      </c>
      <c r="CT64" s="176">
        <f t="shared" si="23"/>
        <v>0</v>
      </c>
      <c r="CU64" s="176">
        <f t="shared" si="23"/>
        <v>0</v>
      </c>
      <c r="CV64" s="176">
        <f t="shared" si="23"/>
        <v>0</v>
      </c>
      <c r="CW64" s="176">
        <f t="shared" si="23"/>
        <v>0</v>
      </c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</row>
  </sheetData>
  <printOptions horizontalCentered="1"/>
  <pageMargins bottom="1.3469299225743696" footer="0.0" header="0.0" left="0.7" right="0.7" top="0.75"/>
  <pageSetup fitToHeight="0" paperSize="9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4.63"/>
    <col customWidth="1" min="3" max="3" width="12.63"/>
    <col customWidth="1" min="4" max="5" width="12.75"/>
    <col customWidth="1" min="6" max="6" width="1.75"/>
    <col customWidth="1" min="7" max="7" width="17.38"/>
    <col customWidth="1" min="11" max="11" width="2.25"/>
    <col customWidth="1" min="12" max="12" width="16.63"/>
    <col customWidth="1" min="16" max="16" width="2.25"/>
    <col customWidth="1" min="17" max="17" width="16.63"/>
  </cols>
  <sheetData>
    <row r="1" ht="25.5" customHeight="1">
      <c r="A1" s="177"/>
      <c r="B1" s="151" t="str">
        <f>Settings!B4</f>
        <v>Healthy4U</v>
      </c>
      <c r="C1" s="178"/>
      <c r="D1" s="179"/>
      <c r="E1" s="179"/>
      <c r="F1" s="178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8"/>
      <c r="W1" s="178"/>
      <c r="X1" s="178"/>
      <c r="Y1" s="178"/>
      <c r="Z1" s="178"/>
      <c r="AA1" s="178"/>
      <c r="AB1" s="178"/>
      <c r="AC1" s="178"/>
      <c r="AD1" s="178"/>
      <c r="AE1" s="179"/>
      <c r="AF1" s="178"/>
      <c r="AG1" s="178"/>
      <c r="AH1" s="178"/>
      <c r="AI1" s="178"/>
      <c r="AJ1" s="178"/>
      <c r="AK1" s="178"/>
      <c r="AL1" s="178"/>
      <c r="AM1" s="178"/>
      <c r="AN1" s="178"/>
    </row>
    <row r="2" ht="15.7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</row>
    <row r="3" ht="15.75" customHeight="1">
      <c r="A3" s="5"/>
      <c r="B3" s="180" t="s">
        <v>289</v>
      </c>
      <c r="C3" s="181"/>
      <c r="D3" s="181"/>
      <c r="E3" s="182"/>
      <c r="F3" s="5"/>
      <c r="G3" s="180" t="s">
        <v>290</v>
      </c>
      <c r="H3" s="181"/>
      <c r="I3" s="181"/>
      <c r="J3" s="182"/>
      <c r="K3" s="5"/>
      <c r="L3" s="180" t="s">
        <v>291</v>
      </c>
      <c r="M3" s="181"/>
      <c r="N3" s="181"/>
      <c r="O3" s="182"/>
      <c r="P3" s="5"/>
      <c r="Q3" s="180" t="s">
        <v>292</v>
      </c>
      <c r="R3" s="181"/>
      <c r="S3" s="181"/>
      <c r="T3" s="18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5.75" customHeight="1">
      <c r="A4" s="5"/>
      <c r="B4" s="183" t="s">
        <v>53</v>
      </c>
      <c r="C4" s="184">
        <f>Roadmap!C7</f>
        <v>45139</v>
      </c>
      <c r="D4" s="185"/>
      <c r="E4" s="186"/>
      <c r="F4" s="5"/>
      <c r="G4" s="183" t="s">
        <v>53</v>
      </c>
      <c r="H4" s="184">
        <v>45444.0</v>
      </c>
      <c r="I4" s="185"/>
      <c r="J4" s="186"/>
      <c r="K4" s="5"/>
      <c r="L4" s="183" t="s">
        <v>53</v>
      </c>
      <c r="M4" s="184">
        <v>45809.0</v>
      </c>
      <c r="N4" s="185"/>
      <c r="O4" s="186"/>
      <c r="P4" s="5"/>
      <c r="Q4" s="183" t="s">
        <v>53</v>
      </c>
      <c r="R4" s="184">
        <v>46174.0</v>
      </c>
      <c r="S4" s="185"/>
      <c r="T4" s="186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5.75" customHeight="1">
      <c r="A5" s="66"/>
      <c r="B5" s="187"/>
      <c r="C5" s="66"/>
      <c r="D5" s="66"/>
      <c r="E5" s="188"/>
      <c r="F5" s="66"/>
      <c r="G5" s="189"/>
      <c r="H5" s="66"/>
      <c r="I5" s="66"/>
      <c r="J5" s="188"/>
      <c r="K5" s="66"/>
      <c r="L5" s="189"/>
      <c r="M5" s="66"/>
      <c r="N5" s="66"/>
      <c r="O5" s="188"/>
      <c r="P5" s="66"/>
      <c r="Q5" s="189"/>
      <c r="R5" s="66"/>
      <c r="S5" s="66"/>
      <c r="T5" s="188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</row>
    <row r="6" ht="15.75" customHeight="1">
      <c r="A6" s="66"/>
      <c r="B6" s="190" t="s">
        <v>293</v>
      </c>
      <c r="C6" s="191"/>
      <c r="D6" s="191"/>
      <c r="E6" s="192"/>
      <c r="F6" s="5"/>
      <c r="G6" s="190" t="s">
        <v>293</v>
      </c>
      <c r="H6" s="191"/>
      <c r="I6" s="191"/>
      <c r="J6" s="192"/>
      <c r="K6" s="5"/>
      <c r="L6" s="190" t="s">
        <v>293</v>
      </c>
      <c r="M6" s="191"/>
      <c r="N6" s="191"/>
      <c r="O6" s="192"/>
      <c r="P6" s="5"/>
      <c r="Q6" s="190" t="s">
        <v>293</v>
      </c>
      <c r="R6" s="191"/>
      <c r="S6" s="191"/>
      <c r="T6" s="192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</row>
    <row r="7" ht="15.75" customHeight="1">
      <c r="A7" s="66"/>
      <c r="B7" s="193"/>
      <c r="C7" s="194" t="s">
        <v>294</v>
      </c>
      <c r="D7" s="194" t="s">
        <v>295</v>
      </c>
      <c r="E7" s="195" t="s">
        <v>296</v>
      </c>
      <c r="F7" s="5"/>
      <c r="G7" s="193"/>
      <c r="H7" s="194" t="s">
        <v>294</v>
      </c>
      <c r="I7" s="194" t="s">
        <v>295</v>
      </c>
      <c r="J7" s="195" t="s">
        <v>296</v>
      </c>
      <c r="K7" s="5"/>
      <c r="L7" s="193"/>
      <c r="M7" s="194" t="s">
        <v>294</v>
      </c>
      <c r="N7" s="194" t="s">
        <v>295</v>
      </c>
      <c r="O7" s="195" t="s">
        <v>296</v>
      </c>
      <c r="P7" s="5"/>
      <c r="Q7" s="193"/>
      <c r="R7" s="194" t="s">
        <v>294</v>
      </c>
      <c r="S7" s="194" t="s">
        <v>295</v>
      </c>
      <c r="T7" s="195" t="s">
        <v>296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</row>
    <row r="8" ht="15.75" customHeight="1">
      <c r="A8" s="66"/>
      <c r="B8" s="196" t="s">
        <v>297</v>
      </c>
      <c r="C8" s="197">
        <v>0.0</v>
      </c>
      <c r="D8" s="197">
        <f>C8/E8</f>
        <v>0</v>
      </c>
      <c r="E8" s="198">
        <v>1000000.0</v>
      </c>
      <c r="F8" s="66"/>
      <c r="G8" s="196" t="s">
        <v>297</v>
      </c>
      <c r="H8" s="197">
        <v>1000000.0</v>
      </c>
      <c r="I8" s="197">
        <f>H8/J8</f>
        <v>1</v>
      </c>
      <c r="J8" s="198">
        <v>1000000.0</v>
      </c>
      <c r="K8" s="66"/>
      <c r="L8" s="196" t="s">
        <v>297</v>
      </c>
      <c r="M8" s="197">
        <v>5000000.0</v>
      </c>
      <c r="N8" s="197">
        <f>M8/O8</f>
        <v>2.5</v>
      </c>
      <c r="O8" s="198">
        <f>J11</f>
        <v>2000000</v>
      </c>
      <c r="P8" s="66"/>
      <c r="Q8" s="196" t="s">
        <v>297</v>
      </c>
      <c r="R8" s="197">
        <v>1.0E7</v>
      </c>
      <c r="S8" s="197">
        <f>R8/T8</f>
        <v>3.424657534</v>
      </c>
      <c r="T8" s="198">
        <f>O11</f>
        <v>2920000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</row>
    <row r="9" ht="15.75" customHeight="1">
      <c r="A9" s="66"/>
      <c r="B9" s="187"/>
      <c r="C9" s="56"/>
      <c r="D9" s="199"/>
      <c r="E9" s="200"/>
      <c r="F9" s="66"/>
      <c r="G9" s="201" t="s">
        <v>298</v>
      </c>
      <c r="H9" s="202">
        <f>SUM(H20:H23)</f>
        <v>1000000</v>
      </c>
      <c r="I9" s="202">
        <f>I8</f>
        <v>1</v>
      </c>
      <c r="J9" s="203">
        <f>H9/I8</f>
        <v>1000000</v>
      </c>
      <c r="K9" s="66"/>
      <c r="L9" s="201" t="s">
        <v>298</v>
      </c>
      <c r="M9" s="202">
        <f>SUM(M15:M27)</f>
        <v>2300000</v>
      </c>
      <c r="N9" s="202">
        <f>N8</f>
        <v>2.5</v>
      </c>
      <c r="O9" s="203">
        <f>M9/N8</f>
        <v>920000</v>
      </c>
      <c r="P9" s="66"/>
      <c r="Q9" s="201" t="s">
        <v>298</v>
      </c>
      <c r="R9" s="202">
        <f>SUM(R15:R29)</f>
        <v>2000000</v>
      </c>
      <c r="S9" s="202">
        <f>S8</f>
        <v>3.424657534</v>
      </c>
      <c r="T9" s="203">
        <f>R9/S8</f>
        <v>584000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</row>
    <row r="10" ht="15.75" customHeight="1">
      <c r="A10" s="66"/>
      <c r="B10" s="187"/>
      <c r="C10" s="56"/>
      <c r="D10" s="1"/>
      <c r="E10" s="204"/>
      <c r="F10" s="66"/>
      <c r="G10" s="201" t="s">
        <v>299</v>
      </c>
      <c r="H10" s="205">
        <f>H8+H9</f>
        <v>2000000</v>
      </c>
      <c r="I10" s="206"/>
      <c r="J10" s="188"/>
      <c r="K10" s="66"/>
      <c r="L10" s="201" t="s">
        <v>299</v>
      </c>
      <c r="M10" s="205">
        <f>M8+M9</f>
        <v>7300000</v>
      </c>
      <c r="N10" s="206"/>
      <c r="O10" s="188"/>
      <c r="P10" s="66"/>
      <c r="Q10" s="201" t="s">
        <v>299</v>
      </c>
      <c r="R10" s="205">
        <f>R8+R9</f>
        <v>12000000</v>
      </c>
      <c r="S10" s="206"/>
      <c r="T10" s="188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</row>
    <row r="11" ht="15.75" customHeight="1">
      <c r="A11" s="66"/>
      <c r="B11" s="207" t="s">
        <v>300</v>
      </c>
      <c r="C11" s="66"/>
      <c r="D11" s="66"/>
      <c r="E11" s="208">
        <f>E8+E9</f>
        <v>1000000</v>
      </c>
      <c r="F11" s="66"/>
      <c r="G11" s="207" t="s">
        <v>300</v>
      </c>
      <c r="H11" s="66"/>
      <c r="I11" s="66"/>
      <c r="J11" s="208">
        <f>J8+J9</f>
        <v>2000000</v>
      </c>
      <c r="K11" s="66"/>
      <c r="L11" s="207" t="s">
        <v>300</v>
      </c>
      <c r="M11" s="66"/>
      <c r="N11" s="66"/>
      <c r="O11" s="208">
        <f>O8+O9</f>
        <v>2920000</v>
      </c>
      <c r="P11" s="66"/>
      <c r="Q11" s="207" t="s">
        <v>300</v>
      </c>
      <c r="R11" s="66"/>
      <c r="S11" s="66"/>
      <c r="T11" s="208">
        <f>T8+T9</f>
        <v>3504000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</row>
    <row r="12" ht="15.75" customHeight="1">
      <c r="A12" s="66"/>
      <c r="B12" s="187"/>
      <c r="C12" s="66"/>
      <c r="D12" s="66"/>
      <c r="E12" s="188"/>
      <c r="F12" s="66"/>
      <c r="G12" s="189"/>
      <c r="H12" s="66"/>
      <c r="I12" s="66"/>
      <c r="J12" s="188"/>
      <c r="K12" s="66"/>
      <c r="L12" s="189"/>
      <c r="M12" s="66"/>
      <c r="N12" s="66"/>
      <c r="O12" s="188"/>
      <c r="P12" s="66"/>
      <c r="Q12" s="189"/>
      <c r="R12" s="66"/>
      <c r="S12" s="66"/>
      <c r="T12" s="188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</row>
    <row r="13" ht="15.75" customHeight="1">
      <c r="A13" s="5"/>
      <c r="B13" s="190" t="s">
        <v>301</v>
      </c>
      <c r="C13" s="191"/>
      <c r="D13" s="191"/>
      <c r="E13" s="192"/>
      <c r="F13" s="5"/>
      <c r="G13" s="190" t="s">
        <v>301</v>
      </c>
      <c r="H13" s="191"/>
      <c r="I13" s="191"/>
      <c r="J13" s="192"/>
      <c r="K13" s="5"/>
      <c r="L13" s="190" t="s">
        <v>301</v>
      </c>
      <c r="M13" s="191"/>
      <c r="N13" s="191"/>
      <c r="O13" s="192"/>
      <c r="P13" s="5"/>
      <c r="Q13" s="190" t="s">
        <v>301</v>
      </c>
      <c r="R13" s="191"/>
      <c r="S13" s="191"/>
      <c r="T13" s="192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5.75" customHeight="1">
      <c r="A14" s="5"/>
      <c r="B14" s="193"/>
      <c r="C14" s="194" t="s">
        <v>302</v>
      </c>
      <c r="D14" s="194" t="s">
        <v>296</v>
      </c>
      <c r="E14" s="195" t="s">
        <v>303</v>
      </c>
      <c r="F14" s="5"/>
      <c r="G14" s="193"/>
      <c r="H14" s="194" t="s">
        <v>304</v>
      </c>
      <c r="I14" s="194" t="s">
        <v>296</v>
      </c>
      <c r="J14" s="195" t="s">
        <v>303</v>
      </c>
      <c r="K14" s="5"/>
      <c r="L14" s="193"/>
      <c r="M14" s="194" t="s">
        <v>304</v>
      </c>
      <c r="N14" s="194" t="s">
        <v>296</v>
      </c>
      <c r="O14" s="195" t="s">
        <v>303</v>
      </c>
      <c r="P14" s="5"/>
      <c r="Q14" s="193"/>
      <c r="R14" s="194" t="s">
        <v>304</v>
      </c>
      <c r="S14" s="194" t="s">
        <v>296</v>
      </c>
      <c r="T14" s="195" t="s">
        <v>303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5.75" customHeight="1">
      <c r="A15" s="66"/>
      <c r="B15" s="196" t="s">
        <v>305</v>
      </c>
      <c r="C15" s="197">
        <v>0.0</v>
      </c>
      <c r="D15" s="209">
        <f t="shared" ref="D15:D19" si="1">$E$8*E15</f>
        <v>350000</v>
      </c>
      <c r="E15" s="210">
        <v>0.35</v>
      </c>
      <c r="F15" s="66"/>
      <c r="G15" s="196" t="s">
        <v>305</v>
      </c>
      <c r="H15" s="197">
        <v>0.0</v>
      </c>
      <c r="I15" s="209">
        <f t="shared" ref="I15:I19" si="2">D15</f>
        <v>350000</v>
      </c>
      <c r="J15" s="211">
        <f t="shared" ref="J15:J23" si="3">I15/$J$11</f>
        <v>0.175</v>
      </c>
      <c r="K15" s="66"/>
      <c r="L15" s="196" t="s">
        <v>305</v>
      </c>
      <c r="M15" s="197">
        <v>0.0</v>
      </c>
      <c r="N15" s="209">
        <f t="shared" ref="N15:N23" si="4">IF(M15&gt;0,I15+(M15/$N$9),I15)</f>
        <v>350000</v>
      </c>
      <c r="O15" s="211">
        <f t="shared" ref="O15:O27" si="5">N15/$O$11</f>
        <v>0.1198630137</v>
      </c>
      <c r="P15" s="66"/>
      <c r="Q15" s="196" t="s">
        <v>305</v>
      </c>
      <c r="R15" s="197">
        <v>0.0</v>
      </c>
      <c r="S15" s="209">
        <f t="shared" ref="S15:S27" si="6">IF(R15&gt;0,N15+(R15/$S$9),N15)</f>
        <v>350000</v>
      </c>
      <c r="T15" s="211">
        <f t="shared" ref="T15:T29" si="7">S15/$T$11</f>
        <v>0.09988584475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</row>
    <row r="16" ht="15.75" customHeight="1">
      <c r="A16" s="66"/>
      <c r="B16" s="196" t="s">
        <v>306</v>
      </c>
      <c r="C16" s="197">
        <v>0.0</v>
      </c>
      <c r="D16" s="209">
        <f t="shared" si="1"/>
        <v>350000</v>
      </c>
      <c r="E16" s="210">
        <v>0.35</v>
      </c>
      <c r="F16" s="66"/>
      <c r="G16" s="196" t="s">
        <v>306</v>
      </c>
      <c r="H16" s="197">
        <v>0.0</v>
      </c>
      <c r="I16" s="209">
        <f t="shared" si="2"/>
        <v>350000</v>
      </c>
      <c r="J16" s="211">
        <f t="shared" si="3"/>
        <v>0.175</v>
      </c>
      <c r="K16" s="66"/>
      <c r="L16" s="196" t="s">
        <v>306</v>
      </c>
      <c r="M16" s="197">
        <v>0.0</v>
      </c>
      <c r="N16" s="209">
        <f t="shared" si="4"/>
        <v>350000</v>
      </c>
      <c r="O16" s="211">
        <f t="shared" si="5"/>
        <v>0.1198630137</v>
      </c>
      <c r="P16" s="66"/>
      <c r="Q16" s="196" t="s">
        <v>306</v>
      </c>
      <c r="R16" s="197">
        <v>0.0</v>
      </c>
      <c r="S16" s="209">
        <f t="shared" si="6"/>
        <v>350000</v>
      </c>
      <c r="T16" s="211">
        <f t="shared" si="7"/>
        <v>0.09988584475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</row>
    <row r="17" ht="15.75" customHeight="1">
      <c r="A17" s="66"/>
      <c r="B17" s="196" t="s">
        <v>307</v>
      </c>
      <c r="C17" s="197">
        <v>0.0</v>
      </c>
      <c r="D17" s="209">
        <f t="shared" si="1"/>
        <v>240000</v>
      </c>
      <c r="E17" s="210">
        <v>0.24</v>
      </c>
      <c r="F17" s="66"/>
      <c r="G17" s="196" t="s">
        <v>307</v>
      </c>
      <c r="H17" s="197">
        <v>0.0</v>
      </c>
      <c r="I17" s="209">
        <f t="shared" si="2"/>
        <v>240000</v>
      </c>
      <c r="J17" s="211">
        <f t="shared" si="3"/>
        <v>0.12</v>
      </c>
      <c r="K17" s="66"/>
      <c r="L17" s="196" t="s">
        <v>307</v>
      </c>
      <c r="M17" s="197">
        <v>0.0</v>
      </c>
      <c r="N17" s="209">
        <f t="shared" si="4"/>
        <v>240000</v>
      </c>
      <c r="O17" s="211">
        <f t="shared" si="5"/>
        <v>0.08219178082</v>
      </c>
      <c r="P17" s="66"/>
      <c r="Q17" s="196" t="s">
        <v>307</v>
      </c>
      <c r="R17" s="197">
        <v>0.0</v>
      </c>
      <c r="S17" s="209">
        <f t="shared" si="6"/>
        <v>240000</v>
      </c>
      <c r="T17" s="211">
        <f t="shared" si="7"/>
        <v>0.06849315068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</row>
    <row r="18" ht="15.75" customHeight="1">
      <c r="A18" s="66"/>
      <c r="B18" s="196" t="s">
        <v>308</v>
      </c>
      <c r="C18" s="197">
        <v>0.0</v>
      </c>
      <c r="D18" s="209">
        <f t="shared" si="1"/>
        <v>50000</v>
      </c>
      <c r="E18" s="210">
        <v>0.05</v>
      </c>
      <c r="F18" s="66"/>
      <c r="G18" s="196" t="s">
        <v>308</v>
      </c>
      <c r="H18" s="197">
        <v>0.0</v>
      </c>
      <c r="I18" s="209">
        <f t="shared" si="2"/>
        <v>50000</v>
      </c>
      <c r="J18" s="211">
        <f t="shared" si="3"/>
        <v>0.025</v>
      </c>
      <c r="K18" s="66"/>
      <c r="L18" s="196" t="s">
        <v>308</v>
      </c>
      <c r="M18" s="197">
        <v>0.0</v>
      </c>
      <c r="N18" s="209">
        <f t="shared" si="4"/>
        <v>50000</v>
      </c>
      <c r="O18" s="211">
        <f t="shared" si="5"/>
        <v>0.01712328767</v>
      </c>
      <c r="P18" s="66"/>
      <c r="Q18" s="196" t="s">
        <v>308</v>
      </c>
      <c r="R18" s="197">
        <v>0.0</v>
      </c>
      <c r="S18" s="209">
        <f t="shared" si="6"/>
        <v>50000</v>
      </c>
      <c r="T18" s="211">
        <f t="shared" si="7"/>
        <v>0.01426940639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</row>
    <row r="19" ht="15.75" customHeight="1">
      <c r="A19" s="66"/>
      <c r="B19" s="196" t="s">
        <v>309</v>
      </c>
      <c r="C19" s="197">
        <v>0.0</v>
      </c>
      <c r="D19" s="209">
        <f t="shared" si="1"/>
        <v>10000</v>
      </c>
      <c r="E19" s="210">
        <v>0.01</v>
      </c>
      <c r="F19" s="66"/>
      <c r="G19" s="196" t="s">
        <v>309</v>
      </c>
      <c r="H19" s="197">
        <v>0.0</v>
      </c>
      <c r="I19" s="209">
        <f t="shared" si="2"/>
        <v>10000</v>
      </c>
      <c r="J19" s="211">
        <f t="shared" si="3"/>
        <v>0.005</v>
      </c>
      <c r="K19" s="66"/>
      <c r="L19" s="196" t="s">
        <v>309</v>
      </c>
      <c r="M19" s="197">
        <v>0.0</v>
      </c>
      <c r="N19" s="209">
        <f t="shared" si="4"/>
        <v>10000</v>
      </c>
      <c r="O19" s="211">
        <f t="shared" si="5"/>
        <v>0.003424657534</v>
      </c>
      <c r="P19" s="66"/>
      <c r="Q19" s="196" t="s">
        <v>309</v>
      </c>
      <c r="R19" s="197">
        <v>0.0</v>
      </c>
      <c r="S19" s="209">
        <f t="shared" si="6"/>
        <v>10000</v>
      </c>
      <c r="T19" s="211">
        <f t="shared" si="7"/>
        <v>0.002853881279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</row>
    <row r="20" ht="15.75" customHeight="1">
      <c r="A20" s="66"/>
      <c r="B20" s="212"/>
      <c r="C20" s="213"/>
      <c r="D20" s="214"/>
      <c r="E20" s="215"/>
      <c r="F20" s="66"/>
      <c r="G20" s="196" t="s">
        <v>310</v>
      </c>
      <c r="H20" s="197">
        <v>500000.0</v>
      </c>
      <c r="I20" s="216">
        <f t="shared" ref="I20:I23" si="8">H20/$I$9</f>
        <v>500000</v>
      </c>
      <c r="J20" s="211">
        <f t="shared" si="3"/>
        <v>0.25</v>
      </c>
      <c r="K20" s="66"/>
      <c r="L20" s="196" t="s">
        <v>310</v>
      </c>
      <c r="M20" s="197">
        <v>100000.0</v>
      </c>
      <c r="N20" s="209">
        <f t="shared" si="4"/>
        <v>540000</v>
      </c>
      <c r="O20" s="211">
        <f t="shared" si="5"/>
        <v>0.1849315068</v>
      </c>
      <c r="P20" s="66"/>
      <c r="Q20" s="196" t="s">
        <v>310</v>
      </c>
      <c r="R20" s="197">
        <v>0.0</v>
      </c>
      <c r="S20" s="209">
        <f t="shared" si="6"/>
        <v>540000</v>
      </c>
      <c r="T20" s="211">
        <f t="shared" si="7"/>
        <v>0.154109589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</row>
    <row r="21" ht="15.75" customHeight="1">
      <c r="A21" s="66"/>
      <c r="B21" s="66"/>
      <c r="C21" s="197"/>
      <c r="D21" s="216"/>
      <c r="E21" s="217"/>
      <c r="F21" s="66"/>
      <c r="G21" s="196" t="s">
        <v>311</v>
      </c>
      <c r="H21" s="197">
        <v>300000.0</v>
      </c>
      <c r="I21" s="216">
        <f t="shared" si="8"/>
        <v>300000</v>
      </c>
      <c r="J21" s="211">
        <f t="shared" si="3"/>
        <v>0.15</v>
      </c>
      <c r="K21" s="66"/>
      <c r="L21" s="196" t="s">
        <v>311</v>
      </c>
      <c r="M21" s="197">
        <v>0.0</v>
      </c>
      <c r="N21" s="209">
        <f t="shared" si="4"/>
        <v>300000</v>
      </c>
      <c r="O21" s="211">
        <f t="shared" si="5"/>
        <v>0.102739726</v>
      </c>
      <c r="P21" s="66"/>
      <c r="Q21" s="196" t="s">
        <v>311</v>
      </c>
      <c r="R21" s="197">
        <v>500000.0</v>
      </c>
      <c r="S21" s="209">
        <f t="shared" si="6"/>
        <v>446000</v>
      </c>
      <c r="T21" s="211">
        <f t="shared" si="7"/>
        <v>0.127283105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</row>
    <row r="22" ht="15.75" customHeight="1">
      <c r="A22" s="66"/>
      <c r="B22" s="66"/>
      <c r="C22" s="197"/>
      <c r="D22" s="216"/>
      <c r="E22" s="217"/>
      <c r="F22" s="66"/>
      <c r="G22" s="196" t="s">
        <v>312</v>
      </c>
      <c r="H22" s="197">
        <v>100000.0</v>
      </c>
      <c r="I22" s="216">
        <f t="shared" si="8"/>
        <v>100000</v>
      </c>
      <c r="J22" s="211">
        <f t="shared" si="3"/>
        <v>0.05</v>
      </c>
      <c r="K22" s="66"/>
      <c r="L22" s="196" t="s">
        <v>312</v>
      </c>
      <c r="M22" s="197">
        <v>200000.0</v>
      </c>
      <c r="N22" s="209">
        <f t="shared" si="4"/>
        <v>180000</v>
      </c>
      <c r="O22" s="211">
        <f t="shared" si="5"/>
        <v>0.06164383562</v>
      </c>
      <c r="P22" s="66"/>
      <c r="Q22" s="196" t="s">
        <v>312</v>
      </c>
      <c r="R22" s="197">
        <v>0.0</v>
      </c>
      <c r="S22" s="209">
        <f t="shared" si="6"/>
        <v>180000</v>
      </c>
      <c r="T22" s="211">
        <f t="shared" si="7"/>
        <v>0.05136986301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</row>
    <row r="23" ht="15.75" customHeight="1">
      <c r="A23" s="66"/>
      <c r="B23" s="66"/>
      <c r="C23" s="66"/>
      <c r="D23" s="66"/>
      <c r="E23" s="66"/>
      <c r="F23" s="66"/>
      <c r="G23" s="196" t="s">
        <v>313</v>
      </c>
      <c r="H23" s="197">
        <v>100000.0</v>
      </c>
      <c r="I23" s="216">
        <f t="shared" si="8"/>
        <v>100000</v>
      </c>
      <c r="J23" s="211">
        <f t="shared" si="3"/>
        <v>0.05</v>
      </c>
      <c r="K23" s="66"/>
      <c r="L23" s="196" t="s">
        <v>313</v>
      </c>
      <c r="M23" s="197">
        <v>0.0</v>
      </c>
      <c r="N23" s="209">
        <f t="shared" si="4"/>
        <v>100000</v>
      </c>
      <c r="O23" s="211">
        <f t="shared" si="5"/>
        <v>0.03424657534</v>
      </c>
      <c r="P23" s="66"/>
      <c r="Q23" s="196" t="s">
        <v>313</v>
      </c>
      <c r="R23" s="197">
        <v>0.0</v>
      </c>
      <c r="S23" s="209">
        <f t="shared" si="6"/>
        <v>100000</v>
      </c>
      <c r="T23" s="211">
        <f t="shared" si="7"/>
        <v>0.02853881279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</row>
    <row r="24" ht="15.75" customHeight="1">
      <c r="A24" s="66"/>
      <c r="B24" s="66"/>
      <c r="C24" s="66"/>
      <c r="D24" s="66"/>
      <c r="E24" s="66"/>
      <c r="F24" s="66"/>
      <c r="G24" s="212"/>
      <c r="H24" s="213"/>
      <c r="I24" s="218">
        <f>SUM(I15:I23)</f>
        <v>2000000</v>
      </c>
      <c r="J24" s="219"/>
      <c r="K24" s="66"/>
      <c r="L24" s="196" t="s">
        <v>314</v>
      </c>
      <c r="M24" s="197">
        <v>600000.0</v>
      </c>
      <c r="N24" s="209">
        <f t="shared" ref="N24:N27" si="9">M24/$N$9</f>
        <v>240000</v>
      </c>
      <c r="O24" s="211">
        <f t="shared" si="5"/>
        <v>0.08219178082</v>
      </c>
      <c r="P24" s="66"/>
      <c r="Q24" s="196" t="s">
        <v>314</v>
      </c>
      <c r="R24" s="197">
        <v>0.0</v>
      </c>
      <c r="S24" s="209">
        <f t="shared" si="6"/>
        <v>240000</v>
      </c>
      <c r="T24" s="211">
        <f t="shared" si="7"/>
        <v>0.06849315068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196" t="s">
        <v>315</v>
      </c>
      <c r="M25" s="197">
        <v>500000.0</v>
      </c>
      <c r="N25" s="209">
        <f t="shared" si="9"/>
        <v>200000</v>
      </c>
      <c r="O25" s="211">
        <f t="shared" si="5"/>
        <v>0.06849315068</v>
      </c>
      <c r="P25" s="66"/>
      <c r="Q25" s="196" t="s">
        <v>315</v>
      </c>
      <c r="R25" s="197">
        <v>0.0</v>
      </c>
      <c r="S25" s="209">
        <f t="shared" si="6"/>
        <v>200000</v>
      </c>
      <c r="T25" s="211">
        <f t="shared" si="7"/>
        <v>0.05707762557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196" t="s">
        <v>316</v>
      </c>
      <c r="M26" s="197">
        <v>300000.0</v>
      </c>
      <c r="N26" s="209">
        <f t="shared" si="9"/>
        <v>120000</v>
      </c>
      <c r="O26" s="211">
        <f t="shared" si="5"/>
        <v>0.04109589041</v>
      </c>
      <c r="P26" s="66"/>
      <c r="Q26" s="196" t="s">
        <v>316</v>
      </c>
      <c r="R26" s="197">
        <v>0.0</v>
      </c>
      <c r="S26" s="209">
        <f t="shared" si="6"/>
        <v>120000</v>
      </c>
      <c r="T26" s="211">
        <f t="shared" si="7"/>
        <v>0.03424657534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196" t="s">
        <v>317</v>
      </c>
      <c r="M27" s="197">
        <v>600000.0</v>
      </c>
      <c r="N27" s="209">
        <f t="shared" si="9"/>
        <v>240000</v>
      </c>
      <c r="O27" s="211">
        <f t="shared" si="5"/>
        <v>0.08219178082</v>
      </c>
      <c r="P27" s="66"/>
      <c r="Q27" s="196" t="s">
        <v>317</v>
      </c>
      <c r="R27" s="197">
        <v>0.0</v>
      </c>
      <c r="S27" s="209">
        <f t="shared" si="6"/>
        <v>240000</v>
      </c>
      <c r="T27" s="211">
        <f t="shared" si="7"/>
        <v>0.06849315068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212"/>
      <c r="M28" s="220"/>
      <c r="N28" s="218">
        <f>SUM(N15:N27)</f>
        <v>2920000</v>
      </c>
      <c r="O28" s="219"/>
      <c r="P28" s="66"/>
      <c r="Q28" s="196" t="s">
        <v>318</v>
      </c>
      <c r="R28" s="197">
        <v>1000000.0</v>
      </c>
      <c r="S28" s="209">
        <f t="shared" ref="S28:S29" si="10">R28/$S$9</f>
        <v>292000</v>
      </c>
      <c r="T28" s="211">
        <f t="shared" si="7"/>
        <v>0.08333333333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196" t="s">
        <v>319</v>
      </c>
      <c r="R29" s="197">
        <v>500000.0</v>
      </c>
      <c r="S29" s="209">
        <f t="shared" si="10"/>
        <v>146000</v>
      </c>
      <c r="T29" s="211">
        <f t="shared" si="7"/>
        <v>0.04166666667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212"/>
      <c r="R30" s="220"/>
      <c r="S30" s="218">
        <f>SUM(S15:S29)</f>
        <v>3504000</v>
      </c>
      <c r="T30" s="219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934007625086798" footer="0.0" header="0.0" left="0.7" right="0.7" top="0.75"/>
  <pageSetup fitToHeight="0"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4.38"/>
    <col customWidth="1" min="3" max="6" width="12.63"/>
  </cols>
  <sheetData>
    <row r="1" ht="25.5" customHeight="1">
      <c r="A1" s="177"/>
      <c r="B1" s="151" t="str">
        <f>Settings!B4</f>
        <v>Healthy4U</v>
      </c>
      <c r="C1" s="178"/>
      <c r="D1" s="179"/>
      <c r="E1" s="179"/>
      <c r="F1" s="178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8"/>
      <c r="W1" s="178"/>
      <c r="X1" s="178"/>
      <c r="Y1" s="178"/>
      <c r="Z1" s="178"/>
      <c r="AA1" s="178"/>
      <c r="AB1" s="178"/>
      <c r="AC1" s="178"/>
      <c r="AD1" s="178"/>
      <c r="AE1" s="179"/>
      <c r="AF1" s="178"/>
    </row>
    <row r="2" ht="15.75" customHeight="1"/>
    <row r="3" ht="15.75" customHeight="1">
      <c r="B3" s="221"/>
      <c r="C3" s="222">
        <f>'For Pitchdeck'!C2</f>
        <v>2023</v>
      </c>
      <c r="D3" s="223"/>
      <c r="E3" s="222">
        <f>'For Pitchdeck'!D2</f>
        <v>2024</v>
      </c>
      <c r="F3" s="223"/>
      <c r="G3" s="222">
        <f>'For Pitchdeck'!E2</f>
        <v>2025</v>
      </c>
      <c r="H3" s="223"/>
      <c r="I3" s="222">
        <f>'For Pitchdeck'!F2</f>
        <v>2026</v>
      </c>
      <c r="J3" s="223"/>
      <c r="K3" s="222">
        <f>'For Pitchdeck'!G2</f>
        <v>2027</v>
      </c>
      <c r="L3" s="223"/>
    </row>
    <row r="4" ht="15.75" customHeight="1">
      <c r="A4" s="224">
        <v>1.0</v>
      </c>
      <c r="B4" s="225" t="s">
        <v>320</v>
      </c>
      <c r="C4" s="226">
        <f>'For Pitchdeck'!C8</f>
        <v>-9535.376786</v>
      </c>
      <c r="D4" s="223"/>
      <c r="E4" s="226">
        <f>'For Pitchdeck'!D8</f>
        <v>91762.1132</v>
      </c>
      <c r="F4" s="223"/>
      <c r="G4" s="226">
        <f>'For Pitchdeck'!E8</f>
        <v>208098.4527</v>
      </c>
      <c r="H4" s="223"/>
      <c r="I4" s="226">
        <f>'For Pitchdeck'!F8</f>
        <v>159822.0174</v>
      </c>
      <c r="J4" s="223"/>
      <c r="K4" s="226">
        <f>'For Pitchdeck'!G8</f>
        <v>176469.277</v>
      </c>
      <c r="L4" s="223"/>
    </row>
    <row r="5" ht="15.75" customHeight="1">
      <c r="C5" s="227"/>
      <c r="D5" s="227"/>
      <c r="E5" s="227"/>
    </row>
    <row r="6" ht="15.75" customHeight="1">
      <c r="B6" s="228"/>
      <c r="C6" s="229">
        <f>C3</f>
        <v>2023</v>
      </c>
      <c r="D6" s="230"/>
      <c r="E6" s="229">
        <f>E3</f>
        <v>2024</v>
      </c>
      <c r="F6" s="230"/>
      <c r="G6" s="229">
        <f>G3</f>
        <v>2025</v>
      </c>
      <c r="H6" s="230"/>
      <c r="I6" s="229">
        <f>I3</f>
        <v>2026</v>
      </c>
      <c r="J6" s="230"/>
      <c r="K6" s="229">
        <f>K3</f>
        <v>2027</v>
      </c>
      <c r="L6" s="231"/>
    </row>
    <row r="7" ht="15.75" customHeight="1">
      <c r="A7" s="232"/>
      <c r="B7" s="233"/>
      <c r="C7" s="234" t="s">
        <v>321</v>
      </c>
      <c r="D7" s="234" t="s">
        <v>322</v>
      </c>
      <c r="E7" s="234" t="s">
        <v>321</v>
      </c>
      <c r="F7" s="234" t="s">
        <v>322</v>
      </c>
      <c r="G7" s="234" t="s">
        <v>321</v>
      </c>
      <c r="H7" s="234" t="s">
        <v>322</v>
      </c>
      <c r="I7" s="234" t="s">
        <v>321</v>
      </c>
      <c r="J7" s="234" t="s">
        <v>322</v>
      </c>
      <c r="K7" s="234" t="s">
        <v>321</v>
      </c>
      <c r="L7" s="235" t="s">
        <v>322</v>
      </c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</row>
    <row r="8" ht="15.75" customHeight="1">
      <c r="B8" s="236" t="str">
        <f>'Cap Table'!Q15</f>
        <v>Founder 1</v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>0.35</v>
      </c>
      <c r="D8" s="238">
        <f t="shared" ref="D8:D22" si="1">if(and($C$4&gt;0,$A$4&gt;0),$C$4*C8,if(and($C$4&gt;0,$A$4&lt;0),($C$4+$A$4)*C8,0))</f>
        <v>0</v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>0.175</v>
      </c>
      <c r="F8" s="5">
        <f t="shared" ref="F8:F22" si="2">if(and($E$4&gt;0,$C$4&gt;0),$E$4*E8,if(and($E$4&gt;0,$C$4&lt;0),($E$4+$C$4)*E8,0))</f>
        <v>14389.67887</v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>0.1198630137</v>
      </c>
      <c r="H8" s="134">
        <f t="shared" ref="H8:H22" si="3">if(and($G$4&gt;0,$E$4&gt;0),$G$4*G8,if(and($G$4&gt;0,$E$4&lt;0),($G$4+$E$4)*G8,0))</f>
        <v>24943.30768</v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>0.09988584475</v>
      </c>
      <c r="J8" s="134">
        <f t="shared" ref="J8:J22" si="4">if(and($I$4&gt;0,$G$4&gt;0),$I$4*I8,if(and($I$4&gt;0,$G$4&lt;0),($I$4+$G$4)*I8,0))</f>
        <v>15963.95721</v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>0.09988584475</v>
      </c>
      <c r="L8" s="239">
        <f t="shared" ref="L8:L22" si="5">if(and($K$4&gt;0,$I$4&gt;0),$K$4*K8,if(and($K$4&gt;0,$I$4&lt;0),($K$4+$I$4)*K8,0))</f>
        <v>17626.7828</v>
      </c>
    </row>
    <row r="9" ht="15.75" customHeight="1">
      <c r="B9" s="236" t="str">
        <f>'Cap Table'!Q16</f>
        <v>Founder 2</v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>0.35</v>
      </c>
      <c r="D9" s="238">
        <f t="shared" si="1"/>
        <v>0</v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>0.175</v>
      </c>
      <c r="F9" s="5">
        <f t="shared" si="2"/>
        <v>14389.67887</v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>0.1198630137</v>
      </c>
      <c r="H9" s="134">
        <f t="shared" si="3"/>
        <v>24943.30768</v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>0.09988584475</v>
      </c>
      <c r="J9" s="134">
        <f t="shared" si="4"/>
        <v>15963.95721</v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>0.09988584475</v>
      </c>
      <c r="L9" s="239">
        <f t="shared" si="5"/>
        <v>17626.7828</v>
      </c>
    </row>
    <row r="10" ht="15.75" customHeight="1">
      <c r="B10" s="236" t="str">
        <f>'Cap Table'!Q17</f>
        <v>Founder 3</v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>0.24</v>
      </c>
      <c r="D10" s="238">
        <f t="shared" si="1"/>
        <v>0</v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>0.12</v>
      </c>
      <c r="F10" s="5">
        <f t="shared" si="2"/>
        <v>9867.20837</v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>0.08219178082</v>
      </c>
      <c r="H10" s="134">
        <f t="shared" si="3"/>
        <v>17103.98241</v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>0.06849315068</v>
      </c>
      <c r="J10" s="134">
        <f t="shared" si="4"/>
        <v>10946.71352</v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>0.06849315068</v>
      </c>
      <c r="L10" s="239">
        <f t="shared" si="5"/>
        <v>12086.93678</v>
      </c>
    </row>
    <row r="11" ht="15.75" customHeight="1">
      <c r="B11" s="236" t="str">
        <f>'Cap Table'!Q18</f>
        <v>Key Employees</v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>0.05</v>
      </c>
      <c r="D11" s="238">
        <f t="shared" si="1"/>
        <v>0</v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>0.025</v>
      </c>
      <c r="F11" s="5">
        <f t="shared" si="2"/>
        <v>2055.66841</v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>0.01712328767</v>
      </c>
      <c r="H11" s="134">
        <f t="shared" si="3"/>
        <v>3563.329669</v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>0.01426940639</v>
      </c>
      <c r="J11" s="134">
        <f t="shared" si="4"/>
        <v>2280.565316</v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>0.01426940639</v>
      </c>
      <c r="L11" s="239">
        <f t="shared" si="5"/>
        <v>2518.111829</v>
      </c>
    </row>
    <row r="12" ht="15.75" customHeight="1">
      <c r="B12" s="236" t="str">
        <f>'Cap Table'!Q19</f>
        <v>Advisors</v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>0.01</v>
      </c>
      <c r="D12" s="238">
        <f t="shared" si="1"/>
        <v>0</v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>0.005</v>
      </c>
      <c r="F12" s="5">
        <f t="shared" si="2"/>
        <v>411.1336821</v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>0.003424657534</v>
      </c>
      <c r="H12" s="134">
        <f t="shared" si="3"/>
        <v>712.6659337</v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>0.002853881279</v>
      </c>
      <c r="J12" s="134">
        <f t="shared" si="4"/>
        <v>456.1130632</v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>0.002853881279</v>
      </c>
      <c r="L12" s="239">
        <f t="shared" si="5"/>
        <v>503.6223658</v>
      </c>
    </row>
    <row r="13" ht="15.75" customHeight="1">
      <c r="B13" s="236" t="str">
        <f>'Cap Table'!Q20</f>
        <v>Investor 1</v>
      </c>
      <c r="C13" s="237" t="str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 t="shared" si="1"/>
        <v>0</v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>0.25</v>
      </c>
      <c r="F13" s="5">
        <f t="shared" si="2"/>
        <v>20556.6841</v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>0.1849315068</v>
      </c>
      <c r="H13" s="134">
        <f t="shared" si="3"/>
        <v>38483.96042</v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>0.154109589</v>
      </c>
      <c r="J13" s="134">
        <f t="shared" si="4"/>
        <v>24630.10541</v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>0.154109589</v>
      </c>
      <c r="L13" s="239">
        <f t="shared" si="5"/>
        <v>27195.60775</v>
      </c>
    </row>
    <row r="14" ht="15.75" customHeight="1">
      <c r="B14" s="236" t="str">
        <f>'Cap Table'!Q21</f>
        <v>Investor 2</v>
      </c>
      <c r="C14" s="237" t="str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 t="shared" si="1"/>
        <v>0</v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>0.15</v>
      </c>
      <c r="F14" s="5">
        <f t="shared" si="2"/>
        <v>12334.01046</v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>0.102739726</v>
      </c>
      <c r="H14" s="134">
        <f t="shared" si="3"/>
        <v>21379.97801</v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>0.127283105</v>
      </c>
      <c r="J14" s="134">
        <f t="shared" si="4"/>
        <v>20342.64262</v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>0.127283105</v>
      </c>
      <c r="L14" s="239">
        <f t="shared" si="5"/>
        <v>22461.55751</v>
      </c>
    </row>
    <row r="15" ht="15.75" customHeight="1">
      <c r="B15" s="236" t="str">
        <f>'Cap Table'!Q22</f>
        <v>Investor 3</v>
      </c>
      <c r="C15" s="237" t="str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 t="shared" si="1"/>
        <v>0</v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>0.05</v>
      </c>
      <c r="F15" s="5">
        <f t="shared" si="2"/>
        <v>4111.336821</v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>0.06164383562</v>
      </c>
      <c r="H15" s="134">
        <f t="shared" si="3"/>
        <v>12827.98681</v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>0.05136986301</v>
      </c>
      <c r="J15" s="134">
        <f t="shared" si="4"/>
        <v>8210.035138</v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>0.05136986301</v>
      </c>
      <c r="L15" s="239">
        <f t="shared" si="5"/>
        <v>9065.202584</v>
      </c>
    </row>
    <row r="16" ht="15.75" customHeight="1">
      <c r="B16" s="236" t="str">
        <f>'Cap Table'!Q23</f>
        <v>Investor 4</v>
      </c>
      <c r="C16" s="237" t="str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 t="shared" si="1"/>
        <v>0</v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>0.05</v>
      </c>
      <c r="F16" s="5">
        <f t="shared" si="2"/>
        <v>4111.336821</v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>0.03424657534</v>
      </c>
      <c r="H16" s="134">
        <f t="shared" si="3"/>
        <v>7126.659337</v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>0.02853881279</v>
      </c>
      <c r="J16" s="134">
        <f t="shared" si="4"/>
        <v>4561.130632</v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>0.02853881279</v>
      </c>
      <c r="L16" s="239">
        <f t="shared" si="5"/>
        <v>5036.223658</v>
      </c>
    </row>
    <row r="17" ht="15.75" customHeight="1">
      <c r="B17" s="236" t="str">
        <f>'Cap Table'!Q24</f>
        <v>Investor 5</v>
      </c>
      <c r="C17" s="237" t="str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 t="shared" si="1"/>
        <v>0</v>
      </c>
      <c r="E17" s="237" t="str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 t="shared" si="2"/>
        <v>0</v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>0.08219178082</v>
      </c>
      <c r="H17" s="134">
        <f t="shared" si="3"/>
        <v>17103.98241</v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>0.06849315068</v>
      </c>
      <c r="J17" s="134">
        <f t="shared" si="4"/>
        <v>10946.71352</v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>0.06849315068</v>
      </c>
      <c r="L17" s="239">
        <f t="shared" si="5"/>
        <v>12086.93678</v>
      </c>
    </row>
    <row r="18" ht="15.75" customHeight="1">
      <c r="B18" s="236" t="str">
        <f>'Cap Table'!Q25</f>
        <v>Investor 6</v>
      </c>
      <c r="C18" s="237" t="str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 t="shared" si="1"/>
        <v>0</v>
      </c>
      <c r="E18" s="237" t="str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 t="shared" si="2"/>
        <v>0</v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>0.06849315068</v>
      </c>
      <c r="H18" s="134">
        <f t="shared" si="3"/>
        <v>14253.31867</v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>0.05707762557</v>
      </c>
      <c r="J18" s="134">
        <f t="shared" si="4"/>
        <v>9122.261265</v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>0.05707762557</v>
      </c>
      <c r="L18" s="239">
        <f t="shared" si="5"/>
        <v>10072.44732</v>
      </c>
    </row>
    <row r="19" ht="15.75" customHeight="1">
      <c r="B19" s="236" t="str">
        <f>'Cap Table'!Q26</f>
        <v>Investor 7</v>
      </c>
      <c r="C19" s="237" t="str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 t="shared" si="1"/>
        <v>0</v>
      </c>
      <c r="E19" s="237" t="str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 t="shared" si="2"/>
        <v>0</v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>0.04109589041</v>
      </c>
      <c r="H19" s="134">
        <f t="shared" si="3"/>
        <v>8551.991205</v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>0.03424657534</v>
      </c>
      <c r="J19" s="134">
        <f t="shared" si="4"/>
        <v>5473.356759</v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>0.03424657534</v>
      </c>
      <c r="L19" s="239">
        <f t="shared" si="5"/>
        <v>6043.468389</v>
      </c>
    </row>
    <row r="20" ht="15.75" customHeight="1">
      <c r="B20" s="236" t="str">
        <f>'Cap Table'!Q27</f>
        <v>Investor 8</v>
      </c>
      <c r="C20" s="237" t="str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 t="shared" si="1"/>
        <v>0</v>
      </c>
      <c r="E20" s="237" t="str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 t="shared" si="2"/>
        <v>0</v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>0.08219178082</v>
      </c>
      <c r="H20" s="134">
        <f t="shared" si="3"/>
        <v>17103.98241</v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>0.06849315068</v>
      </c>
      <c r="J20" s="134">
        <f t="shared" si="4"/>
        <v>10946.71352</v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>0.06849315068</v>
      </c>
      <c r="L20" s="239">
        <f t="shared" si="5"/>
        <v>12086.93678</v>
      </c>
    </row>
    <row r="21" ht="15.75" customHeight="1">
      <c r="B21" s="236" t="str">
        <f>'Cap Table'!Q28</f>
        <v>Investor 9</v>
      </c>
      <c r="C21" s="237" t="str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 t="shared" si="1"/>
        <v>0</v>
      </c>
      <c r="E21" s="237" t="str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 t="shared" si="2"/>
        <v>0</v>
      </c>
      <c r="G21" s="237" t="str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 t="shared" si="3"/>
        <v>0</v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>0.08333333333</v>
      </c>
      <c r="J21" s="134">
        <f t="shared" si="4"/>
        <v>13318.50145</v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>0.08333333333</v>
      </c>
      <c r="L21" s="239">
        <f t="shared" si="5"/>
        <v>14705.77308</v>
      </c>
    </row>
    <row r="22" ht="15.75" customHeight="1">
      <c r="B22" s="240" t="str">
        <f>'Cap Table'!Q29</f>
        <v>Investor 10</v>
      </c>
      <c r="C22" s="241" t="str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 t="shared" si="1"/>
        <v>0</v>
      </c>
      <c r="E22" s="241" t="str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 t="shared" si="2"/>
        <v>0</v>
      </c>
      <c r="G22" s="241" t="str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 t="shared" si="3"/>
        <v>0</v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>0.04166666667</v>
      </c>
      <c r="J22" s="243">
        <f t="shared" si="4"/>
        <v>6659.250723</v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>0.04166666667</v>
      </c>
      <c r="L22" s="244">
        <f t="shared" si="5"/>
        <v>7352.88654</v>
      </c>
    </row>
    <row r="23" ht="15.75" customHeight="1">
      <c r="B23" s="5" t="str">
        <f>'Cap Table'!Q30</f>
        <v/>
      </c>
      <c r="E23" s="237" t="str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H4"/>
    <mergeCell ref="I4:J4"/>
    <mergeCell ref="C4:D4"/>
    <mergeCell ref="C6:D6"/>
    <mergeCell ref="E6:F6"/>
    <mergeCell ref="G6:H6"/>
    <mergeCell ref="I6:J6"/>
    <mergeCell ref="K6:L6"/>
    <mergeCell ref="C3:D3"/>
    <mergeCell ref="E3:F3"/>
    <mergeCell ref="G3:H3"/>
    <mergeCell ref="I3:J3"/>
    <mergeCell ref="K3:L3"/>
    <mergeCell ref="E4:F4"/>
    <mergeCell ref="K4:L4"/>
  </mergeCells>
  <printOptions horizontalCentered="1"/>
  <pageMargins bottom="0.5934007625086798" footer="0.0" header="0.0" left="0.7" right="0.7" top="0.75"/>
  <pageSetup fitToHeight="0" paperSize="9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6.13"/>
    <col customWidth="1" min="3" max="3" width="24.5"/>
    <col customWidth="1" min="4" max="4" width="17.88"/>
    <col customWidth="1" min="5" max="5" width="16.38"/>
    <col customWidth="1" min="6" max="6" width="12.63"/>
  </cols>
  <sheetData>
    <row r="1" ht="25.5" customHeight="1">
      <c r="A1" s="177"/>
      <c r="B1" s="151" t="str">
        <f>Settings!B4</f>
        <v>Healthy4U</v>
      </c>
      <c r="C1" s="178"/>
      <c r="D1" s="179"/>
      <c r="E1" s="179"/>
      <c r="F1" s="178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8"/>
      <c r="W1" s="178"/>
      <c r="X1" s="178"/>
      <c r="Y1" s="178"/>
      <c r="Z1" s="178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/>
      <c r="B3" s="245" t="s">
        <v>323</v>
      </c>
      <c r="C3" s="246" t="s">
        <v>324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245" t="s">
        <v>325</v>
      </c>
      <c r="C5" s="247">
        <v>4.0E7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245" t="s">
        <v>326</v>
      </c>
      <c r="C7" s="248">
        <v>2027.0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249" t="s">
        <v>327</v>
      </c>
      <c r="C9" s="249" t="s">
        <v>321</v>
      </c>
      <c r="D9" s="249" t="s">
        <v>328</v>
      </c>
      <c r="E9" s="249" t="s">
        <v>329</v>
      </c>
      <c r="F9" s="249" t="s">
        <v>330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250" t="str">
        <f>Dividends!B8</f>
        <v>Founder 1</v>
      </c>
      <c r="C10" s="34">
        <f>'Cap Table'!T15</f>
        <v>0.09988584475</v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>0</v>
      </c>
      <c r="E10" s="56">
        <f t="shared" ref="E10:E24" si="1">$C$5*C10</f>
        <v>3995433.79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50" t="str">
        <f>Dividends!B9</f>
        <v>Founder 2</v>
      </c>
      <c r="C11" s="34">
        <f>'Cap Table'!T16</f>
        <v>0.09988584475</v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>0</v>
      </c>
      <c r="E11" s="56">
        <f t="shared" si="1"/>
        <v>3995433.79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50" t="str">
        <f>Dividends!B10</f>
        <v>Founder 3</v>
      </c>
      <c r="C12" s="34">
        <f>'Cap Table'!T17</f>
        <v>0.06849315068</v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>0</v>
      </c>
      <c r="E12" s="56">
        <f t="shared" si="1"/>
        <v>2739726.027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50" t="str">
        <f>Dividends!B11</f>
        <v>Key Employees</v>
      </c>
      <c r="C13" s="34">
        <f>'Cap Table'!T18</f>
        <v>0.01426940639</v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>0</v>
      </c>
      <c r="E13" s="56">
        <f t="shared" si="1"/>
        <v>570776.2557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50" t="str">
        <f>Dividends!B12</f>
        <v>Advisors</v>
      </c>
      <c r="C14" s="34">
        <f>'Cap Table'!T19</f>
        <v>0.002853881279</v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>0</v>
      </c>
      <c r="E14" s="56">
        <f t="shared" si="1"/>
        <v>114155.2511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50" t="str">
        <f>Dividends!B13</f>
        <v>Investor 1</v>
      </c>
      <c r="C15" s="34">
        <f>'Cap Table'!T20</f>
        <v>0.154109589</v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>600000</v>
      </c>
      <c r="E15" s="56">
        <f t="shared" si="1"/>
        <v>6164383.562</v>
      </c>
      <c r="F15" s="172">
        <f t="shared" ref="F15:F24" si="2">(E15-D15)/D15</f>
        <v>9.273972603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50" t="str">
        <f>Dividends!B14</f>
        <v>Investor 2</v>
      </c>
      <c r="C16" s="34">
        <f>'Cap Table'!T21</f>
        <v>0.127283105</v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>800000</v>
      </c>
      <c r="E16" s="56">
        <f t="shared" si="1"/>
        <v>5091324.201</v>
      </c>
      <c r="F16" s="172">
        <f t="shared" si="2"/>
        <v>5.364155251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50" t="str">
        <f>Dividends!B15</f>
        <v>Investor 3</v>
      </c>
      <c r="C17" s="34">
        <f>'Cap Table'!T22</f>
        <v>0.05136986301</v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>300000</v>
      </c>
      <c r="E17" s="56">
        <f t="shared" si="1"/>
        <v>2054794.521</v>
      </c>
      <c r="F17" s="172">
        <f t="shared" si="2"/>
        <v>5.849315068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50" t="str">
        <f>Dividends!B16</f>
        <v>Investor 4</v>
      </c>
      <c r="C18" s="34">
        <f>'Cap Table'!T23</f>
        <v>0.02853881279</v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>100000</v>
      </c>
      <c r="E18" s="56">
        <f t="shared" si="1"/>
        <v>1141552.511</v>
      </c>
      <c r="F18" s="172">
        <f t="shared" si="2"/>
        <v>10.41552511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50" t="str">
        <f>Dividends!B17</f>
        <v>Investor 5</v>
      </c>
      <c r="C19" s="34">
        <f>'Cap Table'!T24</f>
        <v>0.06849315068</v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>600000</v>
      </c>
      <c r="E19" s="56">
        <f t="shared" si="1"/>
        <v>2739726.027</v>
      </c>
      <c r="F19" s="172">
        <f t="shared" si="2"/>
        <v>3.566210046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50" t="str">
        <f>Dividends!B18</f>
        <v>Investor 6</v>
      </c>
      <c r="C20" s="34">
        <f>'Cap Table'!T25</f>
        <v>0.05707762557</v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>500000</v>
      </c>
      <c r="E20" s="56">
        <f t="shared" si="1"/>
        <v>2283105.023</v>
      </c>
      <c r="F20" s="172">
        <f t="shared" si="2"/>
        <v>3.566210046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50" t="str">
        <f>Dividends!B19</f>
        <v>Investor 7</v>
      </c>
      <c r="C21" s="34">
        <f>'Cap Table'!T26</f>
        <v>0.03424657534</v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>300000</v>
      </c>
      <c r="E21" s="56">
        <f t="shared" si="1"/>
        <v>1369863.014</v>
      </c>
      <c r="F21" s="172">
        <f t="shared" si="2"/>
        <v>3.566210046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50" t="str">
        <f>Dividends!B20</f>
        <v>Investor 8</v>
      </c>
      <c r="C22" s="34">
        <f>'Cap Table'!T27</f>
        <v>0.06849315068</v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>600000</v>
      </c>
      <c r="E22" s="56">
        <f t="shared" si="1"/>
        <v>2739726.027</v>
      </c>
      <c r="F22" s="172">
        <f t="shared" si="2"/>
        <v>3.566210046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50" t="str">
        <f>Dividends!B21</f>
        <v>Investor 9</v>
      </c>
      <c r="C23" s="34">
        <f>'Cap Table'!T28</f>
        <v>0.08333333333</v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>1000000</v>
      </c>
      <c r="E23" s="56">
        <f t="shared" si="1"/>
        <v>3333333.333</v>
      </c>
      <c r="F23" s="172">
        <f t="shared" si="2"/>
        <v>2.333333333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50" t="str">
        <f>Dividends!B22</f>
        <v>Investor 10</v>
      </c>
      <c r="C24" s="34">
        <f>'Cap Table'!T29</f>
        <v>0.04166666667</v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>500000</v>
      </c>
      <c r="E24" s="56">
        <f t="shared" si="1"/>
        <v>1666666.667</v>
      </c>
      <c r="F24" s="172">
        <f t="shared" si="2"/>
        <v>2.333333333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tr">
        <f>Dividends!B23</f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934007625086798" footer="0.0" header="0.0" left="0.7" right="0.7" top="0.75"/>
  <pageSetup fitToHeight="0" paperSize="9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EE5"/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  <col customWidth="1" min="2" max="6" width="12.63"/>
  </cols>
  <sheetData>
    <row r="1" ht="29.25" customHeight="1">
      <c r="A1" s="119" t="str">
        <f>Settings!B4</f>
        <v>Healthy4U</v>
      </c>
      <c r="B1" s="125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</row>
    <row r="2" ht="29.25" customHeight="1">
      <c r="A2" s="123" t="s">
        <v>204</v>
      </c>
      <c r="B2" s="125">
        <f>EDATE(C2,-1)</f>
        <v>45108</v>
      </c>
      <c r="C2" s="126">
        <f>Projections!$B$4</f>
        <v>45139</v>
      </c>
      <c r="D2" s="126">
        <f t="shared" ref="D2:CV2" si="1">EDATE(C2,1)</f>
        <v>45170</v>
      </c>
      <c r="E2" s="126">
        <f t="shared" si="1"/>
        <v>45200</v>
      </c>
      <c r="F2" s="126">
        <f t="shared" si="1"/>
        <v>45231</v>
      </c>
      <c r="G2" s="126">
        <f t="shared" si="1"/>
        <v>45261</v>
      </c>
      <c r="H2" s="126">
        <f t="shared" si="1"/>
        <v>45292</v>
      </c>
      <c r="I2" s="126">
        <f t="shared" si="1"/>
        <v>45323</v>
      </c>
      <c r="J2" s="126">
        <f t="shared" si="1"/>
        <v>45352</v>
      </c>
      <c r="K2" s="126">
        <f t="shared" si="1"/>
        <v>45383</v>
      </c>
      <c r="L2" s="126">
        <f t="shared" si="1"/>
        <v>45413</v>
      </c>
      <c r="M2" s="126">
        <f t="shared" si="1"/>
        <v>45444</v>
      </c>
      <c r="N2" s="126">
        <f t="shared" si="1"/>
        <v>45474</v>
      </c>
      <c r="O2" s="126">
        <f t="shared" si="1"/>
        <v>45505</v>
      </c>
      <c r="P2" s="126">
        <f t="shared" si="1"/>
        <v>45536</v>
      </c>
      <c r="Q2" s="126">
        <f t="shared" si="1"/>
        <v>45566</v>
      </c>
      <c r="R2" s="126">
        <f t="shared" si="1"/>
        <v>45597</v>
      </c>
      <c r="S2" s="126">
        <f t="shared" si="1"/>
        <v>45627</v>
      </c>
      <c r="T2" s="126">
        <f t="shared" si="1"/>
        <v>45658</v>
      </c>
      <c r="U2" s="126">
        <f t="shared" si="1"/>
        <v>45689</v>
      </c>
      <c r="V2" s="126">
        <f t="shared" si="1"/>
        <v>45717</v>
      </c>
      <c r="W2" s="126">
        <f t="shared" si="1"/>
        <v>45748</v>
      </c>
      <c r="X2" s="126">
        <f t="shared" si="1"/>
        <v>45778</v>
      </c>
      <c r="Y2" s="126">
        <f t="shared" si="1"/>
        <v>45809</v>
      </c>
      <c r="Z2" s="126">
        <f t="shared" si="1"/>
        <v>45839</v>
      </c>
      <c r="AA2" s="126">
        <f t="shared" si="1"/>
        <v>45870</v>
      </c>
      <c r="AB2" s="126">
        <f t="shared" si="1"/>
        <v>45901</v>
      </c>
      <c r="AC2" s="126">
        <f t="shared" si="1"/>
        <v>45931</v>
      </c>
      <c r="AD2" s="126">
        <f t="shared" si="1"/>
        <v>45962</v>
      </c>
      <c r="AE2" s="126">
        <f t="shared" si="1"/>
        <v>45992</v>
      </c>
      <c r="AF2" s="126">
        <f t="shared" si="1"/>
        <v>46023</v>
      </c>
      <c r="AG2" s="126">
        <f t="shared" si="1"/>
        <v>46054</v>
      </c>
      <c r="AH2" s="126">
        <f t="shared" si="1"/>
        <v>46082</v>
      </c>
      <c r="AI2" s="126">
        <f t="shared" si="1"/>
        <v>46113</v>
      </c>
      <c r="AJ2" s="126">
        <f t="shared" si="1"/>
        <v>46143</v>
      </c>
      <c r="AK2" s="126">
        <f t="shared" si="1"/>
        <v>46174</v>
      </c>
      <c r="AL2" s="126">
        <f t="shared" si="1"/>
        <v>46204</v>
      </c>
      <c r="AM2" s="126">
        <f t="shared" si="1"/>
        <v>46235</v>
      </c>
      <c r="AN2" s="126">
        <f t="shared" si="1"/>
        <v>46266</v>
      </c>
      <c r="AO2" s="126">
        <f t="shared" si="1"/>
        <v>46296</v>
      </c>
      <c r="AP2" s="126">
        <f t="shared" si="1"/>
        <v>46327</v>
      </c>
      <c r="AQ2" s="126">
        <f t="shared" si="1"/>
        <v>46357</v>
      </c>
      <c r="AR2" s="126">
        <f t="shared" si="1"/>
        <v>46388</v>
      </c>
      <c r="AS2" s="126">
        <f t="shared" si="1"/>
        <v>46419</v>
      </c>
      <c r="AT2" s="126">
        <f t="shared" si="1"/>
        <v>46447</v>
      </c>
      <c r="AU2" s="126">
        <f t="shared" si="1"/>
        <v>46478</v>
      </c>
      <c r="AV2" s="126">
        <f t="shared" si="1"/>
        <v>46508</v>
      </c>
      <c r="AW2" s="126">
        <f t="shared" si="1"/>
        <v>46539</v>
      </c>
      <c r="AX2" s="126">
        <f t="shared" si="1"/>
        <v>46569</v>
      </c>
      <c r="AY2" s="126">
        <f t="shared" si="1"/>
        <v>46600</v>
      </c>
      <c r="AZ2" s="126">
        <f t="shared" si="1"/>
        <v>46631</v>
      </c>
      <c r="BA2" s="126">
        <f t="shared" si="1"/>
        <v>46661</v>
      </c>
      <c r="BB2" s="126">
        <f t="shared" si="1"/>
        <v>46692</v>
      </c>
      <c r="BC2" s="126">
        <f t="shared" si="1"/>
        <v>46722</v>
      </c>
      <c r="BD2" s="126">
        <f t="shared" si="1"/>
        <v>46753</v>
      </c>
      <c r="BE2" s="126">
        <f t="shared" si="1"/>
        <v>46784</v>
      </c>
      <c r="BF2" s="126">
        <f t="shared" si="1"/>
        <v>46813</v>
      </c>
      <c r="BG2" s="126">
        <f t="shared" si="1"/>
        <v>46844</v>
      </c>
      <c r="BH2" s="126">
        <f t="shared" si="1"/>
        <v>46874</v>
      </c>
      <c r="BI2" s="126">
        <f t="shared" si="1"/>
        <v>46905</v>
      </c>
      <c r="BJ2" s="126">
        <f t="shared" si="1"/>
        <v>46935</v>
      </c>
      <c r="BK2" s="126">
        <f t="shared" si="1"/>
        <v>46966</v>
      </c>
      <c r="BL2" s="126">
        <f t="shared" si="1"/>
        <v>46997</v>
      </c>
      <c r="BM2" s="126">
        <f t="shared" si="1"/>
        <v>47027</v>
      </c>
      <c r="BN2" s="126">
        <f t="shared" si="1"/>
        <v>47058</v>
      </c>
      <c r="BO2" s="126">
        <f t="shared" si="1"/>
        <v>47088</v>
      </c>
      <c r="BP2" s="126">
        <f t="shared" si="1"/>
        <v>47119</v>
      </c>
      <c r="BQ2" s="126">
        <f t="shared" si="1"/>
        <v>47150</v>
      </c>
      <c r="BR2" s="126">
        <f t="shared" si="1"/>
        <v>47178</v>
      </c>
      <c r="BS2" s="126">
        <f t="shared" si="1"/>
        <v>47209</v>
      </c>
      <c r="BT2" s="126">
        <f t="shared" si="1"/>
        <v>47239</v>
      </c>
      <c r="BU2" s="126">
        <f t="shared" si="1"/>
        <v>47270</v>
      </c>
      <c r="BV2" s="126">
        <f t="shared" si="1"/>
        <v>47300</v>
      </c>
      <c r="BW2" s="126">
        <f t="shared" si="1"/>
        <v>47331</v>
      </c>
      <c r="BX2" s="126">
        <f t="shared" si="1"/>
        <v>47362</v>
      </c>
      <c r="BY2" s="126">
        <f t="shared" si="1"/>
        <v>47392</v>
      </c>
      <c r="BZ2" s="126">
        <f t="shared" si="1"/>
        <v>47423</v>
      </c>
      <c r="CA2" s="126">
        <f t="shared" si="1"/>
        <v>47453</v>
      </c>
      <c r="CB2" s="126">
        <f t="shared" si="1"/>
        <v>47484</v>
      </c>
      <c r="CC2" s="126">
        <f t="shared" si="1"/>
        <v>47515</v>
      </c>
      <c r="CD2" s="126">
        <f t="shared" si="1"/>
        <v>47543</v>
      </c>
      <c r="CE2" s="126">
        <f t="shared" si="1"/>
        <v>47574</v>
      </c>
      <c r="CF2" s="126">
        <f t="shared" si="1"/>
        <v>47604</v>
      </c>
      <c r="CG2" s="126">
        <f t="shared" si="1"/>
        <v>47635</v>
      </c>
      <c r="CH2" s="126">
        <f t="shared" si="1"/>
        <v>47665</v>
      </c>
      <c r="CI2" s="126">
        <f t="shared" si="1"/>
        <v>47696</v>
      </c>
      <c r="CJ2" s="126">
        <f t="shared" si="1"/>
        <v>47727</v>
      </c>
      <c r="CK2" s="126">
        <f t="shared" si="1"/>
        <v>47757</v>
      </c>
      <c r="CL2" s="126">
        <f t="shared" si="1"/>
        <v>47788</v>
      </c>
      <c r="CM2" s="126">
        <f t="shared" si="1"/>
        <v>47818</v>
      </c>
      <c r="CN2" s="126">
        <f t="shared" si="1"/>
        <v>47849</v>
      </c>
      <c r="CO2" s="126">
        <f t="shared" si="1"/>
        <v>47880</v>
      </c>
      <c r="CP2" s="126">
        <f t="shared" si="1"/>
        <v>47908</v>
      </c>
      <c r="CQ2" s="126">
        <f t="shared" si="1"/>
        <v>47939</v>
      </c>
      <c r="CR2" s="126">
        <f t="shared" si="1"/>
        <v>47969</v>
      </c>
      <c r="CS2" s="126">
        <f t="shared" si="1"/>
        <v>48000</v>
      </c>
      <c r="CT2" s="126">
        <f t="shared" si="1"/>
        <v>48030</v>
      </c>
      <c r="CU2" s="126">
        <f t="shared" si="1"/>
        <v>48061</v>
      </c>
      <c r="CV2" s="126">
        <f t="shared" si="1"/>
        <v>48092</v>
      </c>
    </row>
    <row r="3" ht="15.75" customHeight="1"/>
    <row r="4" ht="15.75" customHeight="1">
      <c r="A4" s="130" t="s">
        <v>331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</row>
    <row r="5" ht="15.75" customHeight="1">
      <c r="A5" s="134" t="s">
        <v>229</v>
      </c>
      <c r="B5" s="134">
        <f>SUMIF('Monthly forecast'!$B:$B,$A$5,'Monthly forecast'!D:D)</f>
        <v>0</v>
      </c>
      <c r="C5" s="134">
        <f>SUMIF('Monthly forecast'!$B:$B,$A$5,'Monthly forecast'!E:E)</f>
        <v>0</v>
      </c>
      <c r="D5" s="134">
        <f>SUMIF('Monthly forecast'!$B:$B,$A$5,'Monthly forecast'!F:F)</f>
        <v>0</v>
      </c>
      <c r="E5" s="134">
        <f>SUMIF('Monthly forecast'!$B:$B,$A$5,'Monthly forecast'!G:G)</f>
        <v>0</v>
      </c>
      <c r="F5" s="134">
        <f>SUMIF('Monthly forecast'!$B:$B,$A$5,'Monthly forecast'!H:H)</f>
        <v>0</v>
      </c>
      <c r="G5" s="134">
        <f>SUMIF('Monthly forecast'!$B:$B,$A$5,'Monthly forecast'!I:I)</f>
        <v>0</v>
      </c>
      <c r="H5" s="134">
        <f>SUMIF('Monthly forecast'!$B:$B,$A$5,'Monthly forecast'!J:J)</f>
        <v>0</v>
      </c>
      <c r="I5" s="134">
        <f>SUMIF('Monthly forecast'!$B:$B,$A$5,'Monthly forecast'!K:K)</f>
        <v>0</v>
      </c>
      <c r="J5" s="134">
        <f>SUMIF('Monthly forecast'!$B:$B,$A$5,'Monthly forecast'!L:L)</f>
        <v>0</v>
      </c>
      <c r="K5" s="134">
        <f>SUMIF('Monthly forecast'!$B:$B,$A$5,'Monthly forecast'!M:M)</f>
        <v>0</v>
      </c>
      <c r="L5" s="134">
        <f>SUMIF('Monthly forecast'!$B:$B,$A$5,'Monthly forecast'!N:N)</f>
        <v>0</v>
      </c>
      <c r="M5" s="134">
        <f>SUMIF('Monthly forecast'!$B:$B,$A$5,'Monthly forecast'!O:O)</f>
        <v>0</v>
      </c>
      <c r="N5" s="134">
        <f>SUMIF('Monthly forecast'!$B:$B,$A$5,'Monthly forecast'!P:P)</f>
        <v>0</v>
      </c>
      <c r="O5" s="134">
        <f>SUMIF('Monthly forecast'!$B:$B,$A$5,'Monthly forecast'!Q:Q)</f>
        <v>0</v>
      </c>
      <c r="P5" s="134">
        <f>SUMIF('Monthly forecast'!$B:$B,$A$5,'Monthly forecast'!R:R)</f>
        <v>0</v>
      </c>
      <c r="Q5" s="134">
        <f>SUMIF('Monthly forecast'!$B:$B,$A$5,'Monthly forecast'!S:S)</f>
        <v>0</v>
      </c>
      <c r="R5" s="134">
        <f>SUMIF('Monthly forecast'!$B:$B,$A$5,'Monthly forecast'!T:T)</f>
        <v>0</v>
      </c>
      <c r="S5" s="134">
        <f>SUMIF('Monthly forecast'!$B:$B,$A$5,'Monthly forecast'!U:U)</f>
        <v>0</v>
      </c>
      <c r="T5" s="134">
        <f>SUMIF('Monthly forecast'!$B:$B,$A$5,'Monthly forecast'!V:V)</f>
        <v>0</v>
      </c>
      <c r="U5" s="134">
        <f>SUMIF('Monthly forecast'!$B:$B,$A$5,'Monthly forecast'!W:W)</f>
        <v>0</v>
      </c>
      <c r="V5" s="134">
        <f>SUMIF('Monthly forecast'!$B:$B,$A$5,'Monthly forecast'!X:X)</f>
        <v>0</v>
      </c>
      <c r="W5" s="134">
        <f>SUMIF('Monthly forecast'!$B:$B,$A$5,'Monthly forecast'!Y:Y)</f>
        <v>0</v>
      </c>
      <c r="X5" s="134">
        <f>SUMIF('Monthly forecast'!$B:$B,$A$5,'Monthly forecast'!Z:Z)</f>
        <v>0</v>
      </c>
      <c r="Y5" s="134">
        <f>SUMIF('Monthly forecast'!$B:$B,$A$5,'Monthly forecast'!AA:AA)</f>
        <v>0</v>
      </c>
      <c r="Z5" s="134">
        <f>SUMIF('Monthly forecast'!$B:$B,$A$5,'Monthly forecast'!AB:AB)</f>
        <v>0</v>
      </c>
      <c r="AA5" s="134">
        <f>SUMIF('Monthly forecast'!$B:$B,$A$5,'Monthly forecast'!AC:AC)</f>
        <v>0</v>
      </c>
      <c r="AB5" s="134">
        <f>SUMIF('Monthly forecast'!$B:$B,$A$5,'Monthly forecast'!AD:AD)</f>
        <v>0</v>
      </c>
      <c r="AC5" s="134">
        <f>SUMIF('Monthly forecast'!$B:$B,$A$5,'Monthly forecast'!AE:AE)</f>
        <v>0</v>
      </c>
      <c r="AD5" s="134">
        <f>SUMIF('Monthly forecast'!$B:$B,$A$5,'Monthly forecast'!AF:AF)</f>
        <v>0</v>
      </c>
      <c r="AE5" s="134">
        <f>SUMIF('Monthly forecast'!$B:$B,$A$5,'Monthly forecast'!AG:AG)</f>
        <v>0</v>
      </c>
      <c r="AF5" s="134">
        <f>SUMIF('Monthly forecast'!$B:$B,$A$5,'Monthly forecast'!AH:AH)</f>
        <v>0</v>
      </c>
      <c r="AG5" s="134">
        <f>SUMIF('Monthly forecast'!$B:$B,$A$5,'Monthly forecast'!AI:AI)</f>
        <v>0</v>
      </c>
      <c r="AH5" s="134">
        <f>SUMIF('Monthly forecast'!$B:$B,$A$5,'Monthly forecast'!AJ:AJ)</f>
        <v>0</v>
      </c>
      <c r="AI5" s="134">
        <f>SUMIF('Monthly forecast'!$B:$B,$A$5,'Monthly forecast'!AK:AK)</f>
        <v>0</v>
      </c>
      <c r="AJ5" s="134">
        <f>SUMIF('Monthly forecast'!$B:$B,$A$5,'Monthly forecast'!AL:AL)</f>
        <v>0</v>
      </c>
      <c r="AK5" s="134">
        <f>SUMIF('Monthly forecast'!$B:$B,$A$5,'Monthly forecast'!AM:AM)</f>
        <v>0</v>
      </c>
      <c r="AL5" s="134">
        <f>SUMIF('Monthly forecast'!$B:$B,$A$5,'Monthly forecast'!AN:AN)</f>
        <v>0</v>
      </c>
      <c r="AM5" s="134">
        <f>SUMIF('Monthly forecast'!$B:$B,$A$5,'Monthly forecast'!AO:AO)</f>
        <v>0</v>
      </c>
      <c r="AN5" s="134">
        <f>SUMIF('Monthly forecast'!$B:$B,$A$5,'Monthly forecast'!AP:AP)</f>
        <v>21538.46154</v>
      </c>
      <c r="AO5" s="134">
        <f>SUMIF('Monthly forecast'!$B:$B,$A$5,'Monthly forecast'!AQ:AQ)</f>
        <v>21538.46154</v>
      </c>
      <c r="AP5" s="134">
        <f>SUMIF('Monthly forecast'!$B:$B,$A$5,'Monthly forecast'!AR:AR)</f>
        <v>21538.46154</v>
      </c>
      <c r="AQ5" s="134">
        <f>SUMIF('Monthly forecast'!$B:$B,$A$5,'Monthly forecast'!AS:AS)</f>
        <v>21538.46154</v>
      </c>
      <c r="AR5" s="134">
        <f>SUMIF('Monthly forecast'!$B:$B,$A$5,'Monthly forecast'!AT:AT)</f>
        <v>21538.46154</v>
      </c>
      <c r="AS5" s="134">
        <f>SUMIF('Monthly forecast'!$B:$B,$A$5,'Monthly forecast'!AU:AU)</f>
        <v>21538.46154</v>
      </c>
      <c r="AT5" s="134">
        <f>SUMIF('Monthly forecast'!$B:$B,$A$5,'Monthly forecast'!AV:AV)</f>
        <v>21538.46154</v>
      </c>
      <c r="AU5" s="134">
        <f>SUMIF('Monthly forecast'!$B:$B,$A$5,'Monthly forecast'!AW:AW)</f>
        <v>21538.46154</v>
      </c>
      <c r="AV5" s="134">
        <f>SUMIF('Monthly forecast'!$B:$B,$A$5,'Monthly forecast'!AX:AX)</f>
        <v>21538.46154</v>
      </c>
      <c r="AW5" s="134">
        <f>SUMIF('Monthly forecast'!$B:$B,$A$5,'Monthly forecast'!AY:AY)</f>
        <v>21538.46154</v>
      </c>
      <c r="AX5" s="134">
        <f>SUMIF('Monthly forecast'!$B:$B,$A$5,'Monthly forecast'!AZ:AZ)</f>
        <v>21538.46154</v>
      </c>
      <c r="AY5" s="134">
        <f>SUMIF('Monthly forecast'!$B:$B,$A$5,'Monthly forecast'!BA:BA)</f>
        <v>21538.46154</v>
      </c>
      <c r="AZ5" s="134">
        <f>SUMIF('Monthly forecast'!$B:$B,$A$5,'Monthly forecast'!BB:BB)</f>
        <v>21784.61538</v>
      </c>
      <c r="BA5" s="134">
        <f>SUMIF('Monthly forecast'!$B:$B,$A$5,'Monthly forecast'!BC:BC)</f>
        <v>21784.61538</v>
      </c>
      <c r="BB5" s="134">
        <f>SUMIF('Monthly forecast'!$B:$B,$A$5,'Monthly forecast'!BD:BD)</f>
        <v>21784.61538</v>
      </c>
      <c r="BC5" s="134">
        <f>SUMIF('Monthly forecast'!$B:$B,$A$5,'Monthly forecast'!BE:BE)</f>
        <v>21784.61538</v>
      </c>
      <c r="BD5" s="134">
        <f>SUMIF('Monthly forecast'!$B:$B,$A$5,'Monthly forecast'!BF:BF)</f>
        <v>21784.61538</v>
      </c>
      <c r="BE5" s="134">
        <f>SUMIF('Monthly forecast'!$B:$B,$A$5,'Monthly forecast'!BG:BG)</f>
        <v>21784.61538</v>
      </c>
      <c r="BF5" s="134">
        <f>SUMIF('Monthly forecast'!$B:$B,$A$5,'Monthly forecast'!BH:BH)</f>
        <v>21784.61538</v>
      </c>
      <c r="BG5" s="134">
        <f>SUMIF('Monthly forecast'!$B:$B,$A$5,'Monthly forecast'!BI:BI)</f>
        <v>21784.61538</v>
      </c>
      <c r="BH5" s="134">
        <f>SUMIF('Monthly forecast'!$B:$B,$A$5,'Monthly forecast'!BJ:BJ)</f>
        <v>21784.61538</v>
      </c>
      <c r="BI5" s="134">
        <f>SUMIF('Monthly forecast'!$B:$B,$A$5,'Monthly forecast'!BK:BK)</f>
        <v>21784.61538</v>
      </c>
      <c r="BJ5" s="134">
        <f>SUMIF('Monthly forecast'!$B:$B,$A$5,'Monthly forecast'!BL:BL)</f>
        <v>21784.61538</v>
      </c>
      <c r="BK5" s="134">
        <f>SUMIF('Monthly forecast'!$B:$B,$A$5,'Monthly forecast'!BM:BM)</f>
        <v>21784.61538</v>
      </c>
      <c r="BL5" s="134">
        <f>SUMIF('Monthly forecast'!$B:$B,$A$5,'Monthly forecast'!BN:BN)</f>
        <v>22040.61538</v>
      </c>
      <c r="BM5" s="134">
        <f>SUMIF('Monthly forecast'!$B:$B,$A$5,'Monthly forecast'!BO:BO)</f>
        <v>22040.61538</v>
      </c>
      <c r="BN5" s="134">
        <f>SUMIF('Monthly forecast'!$B:$B,$A$5,'Monthly forecast'!BP:BP)</f>
        <v>22040.61538</v>
      </c>
      <c r="BO5" s="134">
        <f>SUMIF('Monthly forecast'!$B:$B,$A$5,'Monthly forecast'!BQ:BQ)</f>
        <v>22040.61538</v>
      </c>
      <c r="BP5" s="134">
        <f>SUMIF('Monthly forecast'!$B:$B,$A$5,'Monthly forecast'!BR:BR)</f>
        <v>22040.61538</v>
      </c>
      <c r="BQ5" s="134">
        <f>SUMIF('Monthly forecast'!$B:$B,$A$5,'Monthly forecast'!BS:BS)</f>
        <v>22040.61538</v>
      </c>
      <c r="BR5" s="134">
        <f>SUMIF('Monthly forecast'!$B:$B,$A$5,'Monthly forecast'!BT:BT)</f>
        <v>22040.61538</v>
      </c>
      <c r="BS5" s="134">
        <f>SUMIF('Monthly forecast'!$B:$B,$A$5,'Monthly forecast'!BU:BU)</f>
        <v>22040.61538</v>
      </c>
      <c r="BT5" s="134">
        <f>SUMIF('Monthly forecast'!$B:$B,$A$5,'Monthly forecast'!BV:BV)</f>
        <v>22040.61538</v>
      </c>
      <c r="BU5" s="134">
        <f>SUMIF('Monthly forecast'!$B:$B,$A$5,'Monthly forecast'!BW:BW)</f>
        <v>22040.61538</v>
      </c>
      <c r="BV5" s="134">
        <f>SUMIF('Monthly forecast'!$B:$B,$A$5,'Monthly forecast'!BX:BX)</f>
        <v>22040.61538</v>
      </c>
      <c r="BW5" s="134">
        <f>SUMIF('Monthly forecast'!$B:$B,$A$5,'Monthly forecast'!BY:BY)</f>
        <v>22040.61538</v>
      </c>
      <c r="BX5" s="134">
        <f>SUMIF('Monthly forecast'!$B:$B,$A$5,'Monthly forecast'!BZ:BZ)</f>
        <v>22306.85538</v>
      </c>
      <c r="BY5" s="134">
        <f>SUMIF('Monthly forecast'!$B:$B,$A$5,'Monthly forecast'!CA:CA)</f>
        <v>22306.85538</v>
      </c>
      <c r="BZ5" s="134">
        <f>SUMIF('Monthly forecast'!$B:$B,$A$5,'Monthly forecast'!CB:CB)</f>
        <v>22306.85538</v>
      </c>
      <c r="CA5" s="134">
        <f>SUMIF('Monthly forecast'!$B:$B,$A$5,'Monthly forecast'!CC:CC)</f>
        <v>22306.85538</v>
      </c>
      <c r="CB5" s="134">
        <f>SUMIF('Monthly forecast'!$B:$B,$A$5,'Monthly forecast'!CD:CD)</f>
        <v>22306.85538</v>
      </c>
      <c r="CC5" s="134">
        <f>SUMIF('Monthly forecast'!$B:$B,$A$5,'Monthly forecast'!CE:CE)</f>
        <v>22306.85538</v>
      </c>
      <c r="CD5" s="134">
        <f>SUMIF('Monthly forecast'!$B:$B,$A$5,'Monthly forecast'!CF:CF)</f>
        <v>22306.85538</v>
      </c>
      <c r="CE5" s="134">
        <f>SUMIF('Monthly forecast'!$B:$B,$A$5,'Monthly forecast'!CG:CG)</f>
        <v>22306.85538</v>
      </c>
      <c r="CF5" s="134">
        <f>SUMIF('Monthly forecast'!$B:$B,$A$5,'Monthly forecast'!CH:CH)</f>
        <v>22306.85538</v>
      </c>
      <c r="CG5" s="134">
        <f>SUMIF('Monthly forecast'!$B:$B,$A$5,'Monthly forecast'!CI:CI)</f>
        <v>22306.85538</v>
      </c>
      <c r="CH5" s="134">
        <f>SUMIF('Monthly forecast'!$B:$B,$A$5,'Monthly forecast'!CJ:CJ)</f>
        <v>22306.85538</v>
      </c>
      <c r="CI5" s="134">
        <f>SUMIF('Monthly forecast'!$B:$B,$A$5,'Monthly forecast'!CK:CK)</f>
        <v>22306.85538</v>
      </c>
      <c r="CJ5" s="134">
        <f>SUMIF('Monthly forecast'!$B:$B,$A$5,'Monthly forecast'!CL:CL)</f>
        <v>22583.74498</v>
      </c>
      <c r="CK5" s="134">
        <f>SUMIF('Monthly forecast'!$B:$B,$A$5,'Monthly forecast'!CM:CM)</f>
        <v>22583.74498</v>
      </c>
      <c r="CL5" s="134">
        <f>SUMIF('Monthly forecast'!$B:$B,$A$5,'Monthly forecast'!CN:CN)</f>
        <v>22583.74498</v>
      </c>
      <c r="CM5" s="134">
        <f>SUMIF('Monthly forecast'!$B:$B,$A$5,'Monthly forecast'!CO:CO)</f>
        <v>22583.74498</v>
      </c>
      <c r="CN5" s="134">
        <f>SUMIF('Monthly forecast'!$B:$B,$A$5,'Monthly forecast'!CP:CP)</f>
        <v>22583.74498</v>
      </c>
      <c r="CO5" s="134">
        <f>SUMIF('Monthly forecast'!$B:$B,$A$5,'Monthly forecast'!CQ:CQ)</f>
        <v>22583.74498</v>
      </c>
      <c r="CP5" s="134">
        <f>SUMIF('Monthly forecast'!$B:$B,$A$5,'Monthly forecast'!CR:CR)</f>
        <v>22583.74498</v>
      </c>
      <c r="CQ5" s="134">
        <f>SUMIF('Monthly forecast'!$B:$B,$A$5,'Monthly forecast'!CS:CS)</f>
        <v>22583.74498</v>
      </c>
      <c r="CR5" s="134">
        <f>SUMIF('Monthly forecast'!$B:$B,$A$5,'Monthly forecast'!CT:CT)</f>
        <v>22583.74498</v>
      </c>
      <c r="CS5" s="134">
        <f>SUMIF('Monthly forecast'!$B:$B,$A$5,'Monthly forecast'!CU:CU)</f>
        <v>22583.74498</v>
      </c>
      <c r="CT5" s="134">
        <f>SUMIF('Monthly forecast'!$B:$B,$A$5,'Monthly forecast'!CV:CV)</f>
        <v>22583.74498</v>
      </c>
      <c r="CU5" s="134">
        <f>SUMIF('Monthly forecast'!$B:$B,$A$5,'Monthly forecast'!CW:CW)</f>
        <v>22583.74498</v>
      </c>
      <c r="CV5" s="134">
        <f>SUMIF('Monthly forecast'!$B:$B,$A$5,'Monthly forecast'!CX:CX)</f>
        <v>22871.71017</v>
      </c>
    </row>
    <row r="6" ht="15.75" customHeight="1">
      <c r="A6" s="134" t="s">
        <v>100</v>
      </c>
      <c r="B6" s="134">
        <f>SUMIF('Monthly forecast'!$B:$B,$A$6,'Monthly forecast'!D:D)</f>
        <v>0</v>
      </c>
      <c r="C6" s="134">
        <f>SUMIF('Monthly forecast'!$B:$B,$A$6,'Monthly forecast'!E:E)</f>
        <v>1000</v>
      </c>
      <c r="D6" s="134">
        <f>SUMIF('Monthly forecast'!$B:$B,$A$6,'Monthly forecast'!F:F)</f>
        <v>1000</v>
      </c>
      <c r="E6" s="134">
        <f>SUMIF('Monthly forecast'!$B:$B,$A$6,'Monthly forecast'!G:G)</f>
        <v>1000</v>
      </c>
      <c r="F6" s="134">
        <f>SUMIF('Monthly forecast'!$B:$B,$A$6,'Monthly forecast'!H:H)</f>
        <v>1000</v>
      </c>
      <c r="G6" s="134">
        <f>SUMIF('Monthly forecast'!$B:$B,$A$6,'Monthly forecast'!I:I)</f>
        <v>1000</v>
      </c>
      <c r="H6" s="134">
        <f>SUMIF('Monthly forecast'!$B:$B,$A$6,'Monthly forecast'!J:J)</f>
        <v>1000</v>
      </c>
      <c r="I6" s="134">
        <f>SUMIF('Monthly forecast'!$B:$B,$A$6,'Monthly forecast'!K:K)</f>
        <v>1000</v>
      </c>
      <c r="J6" s="134">
        <f>SUMIF('Monthly forecast'!$B:$B,$A$6,'Monthly forecast'!L:L)</f>
        <v>1000</v>
      </c>
      <c r="K6" s="134">
        <f>SUMIF('Monthly forecast'!$B:$B,$A$6,'Monthly forecast'!M:M)</f>
        <v>1000</v>
      </c>
      <c r="L6" s="134">
        <f>SUMIF('Monthly forecast'!$B:$B,$A$6,'Monthly forecast'!N:N)</f>
        <v>1000</v>
      </c>
      <c r="M6" s="134">
        <f>SUMIF('Monthly forecast'!$B:$B,$A$6,'Monthly forecast'!O:O)</f>
        <v>1000</v>
      </c>
      <c r="N6" s="134">
        <f>SUMIF('Monthly forecast'!$B:$B,$A$6,'Monthly forecast'!P:P)</f>
        <v>1000</v>
      </c>
      <c r="O6" s="134">
        <f>SUMIF('Monthly forecast'!$B:$B,$A$6,'Monthly forecast'!Q:Q)</f>
        <v>1000</v>
      </c>
      <c r="P6" s="134">
        <f>SUMIF('Monthly forecast'!$B:$B,$A$6,'Monthly forecast'!R:R)</f>
        <v>1000</v>
      </c>
      <c r="Q6" s="134">
        <f>SUMIF('Monthly forecast'!$B:$B,$A$6,'Monthly forecast'!S:S)</f>
        <v>1000</v>
      </c>
      <c r="R6" s="134">
        <f>SUMIF('Monthly forecast'!$B:$B,$A$6,'Monthly forecast'!T:T)</f>
        <v>1000</v>
      </c>
      <c r="S6" s="134">
        <f>SUMIF('Monthly forecast'!$B:$B,$A$6,'Monthly forecast'!U:U)</f>
        <v>1000</v>
      </c>
      <c r="T6" s="134">
        <f>SUMIF('Monthly forecast'!$B:$B,$A$6,'Monthly forecast'!V:V)</f>
        <v>1000</v>
      </c>
      <c r="U6" s="134">
        <f>SUMIF('Monthly forecast'!$B:$B,$A$6,'Monthly forecast'!W:W)</f>
        <v>1000</v>
      </c>
      <c r="V6" s="134">
        <f>SUMIF('Monthly forecast'!$B:$B,$A$6,'Monthly forecast'!X:X)</f>
        <v>1000</v>
      </c>
      <c r="W6" s="134">
        <f>SUMIF('Monthly forecast'!$B:$B,$A$6,'Monthly forecast'!Y:Y)</f>
        <v>1000</v>
      </c>
      <c r="X6" s="134">
        <f>SUMIF('Monthly forecast'!$B:$B,$A$6,'Monthly forecast'!Z:Z)</f>
        <v>1000</v>
      </c>
      <c r="Y6" s="134">
        <f>SUMIF('Monthly forecast'!$B:$B,$A$6,'Monthly forecast'!AA:AA)</f>
        <v>1000</v>
      </c>
      <c r="Z6" s="134">
        <f>SUMIF('Monthly forecast'!$B:$B,$A$6,'Monthly forecast'!AB:AB)</f>
        <v>1000</v>
      </c>
      <c r="AA6" s="134">
        <f>SUMIF('Monthly forecast'!$B:$B,$A$6,'Monthly forecast'!AC:AC)</f>
        <v>1000</v>
      </c>
      <c r="AB6" s="134">
        <f>SUMIF('Monthly forecast'!$B:$B,$A$6,'Monthly forecast'!AD:AD)</f>
        <v>1000</v>
      </c>
      <c r="AC6" s="134">
        <f>SUMIF('Monthly forecast'!$B:$B,$A$6,'Monthly forecast'!AE:AE)</f>
        <v>1000</v>
      </c>
      <c r="AD6" s="134">
        <f>SUMIF('Monthly forecast'!$B:$B,$A$6,'Monthly forecast'!AF:AF)</f>
        <v>1000</v>
      </c>
      <c r="AE6" s="134">
        <f>SUMIF('Monthly forecast'!$B:$B,$A$6,'Monthly forecast'!AG:AG)</f>
        <v>1000</v>
      </c>
      <c r="AF6" s="134">
        <f>SUMIF('Monthly forecast'!$B:$B,$A$6,'Monthly forecast'!AH:AH)</f>
        <v>1000</v>
      </c>
      <c r="AG6" s="134">
        <f>SUMIF('Monthly forecast'!$B:$B,$A$6,'Monthly forecast'!AI:AI)</f>
        <v>1000</v>
      </c>
      <c r="AH6" s="134">
        <f>SUMIF('Monthly forecast'!$B:$B,$A$6,'Monthly forecast'!AJ:AJ)</f>
        <v>1000</v>
      </c>
      <c r="AI6" s="134">
        <f>SUMIF('Monthly forecast'!$B:$B,$A$6,'Monthly forecast'!AK:AK)</f>
        <v>1000</v>
      </c>
      <c r="AJ6" s="134">
        <f>SUMIF('Monthly forecast'!$B:$B,$A$6,'Monthly forecast'!AL:AL)</f>
        <v>1000</v>
      </c>
      <c r="AK6" s="134">
        <f>SUMIF('Monthly forecast'!$B:$B,$A$6,'Monthly forecast'!AM:AM)</f>
        <v>1000</v>
      </c>
      <c r="AL6" s="134">
        <f>SUMIF('Monthly forecast'!$B:$B,$A$6,'Monthly forecast'!AN:AN)</f>
        <v>1000</v>
      </c>
      <c r="AM6" s="134">
        <f>SUMIF('Monthly forecast'!$B:$B,$A$6,'Monthly forecast'!AO:AO)</f>
        <v>1000</v>
      </c>
      <c r="AN6" s="134">
        <f>SUMIF('Monthly forecast'!$B:$B,$A$6,'Monthly forecast'!AP:AP)</f>
        <v>8615.384615</v>
      </c>
      <c r="AO6" s="134">
        <f>SUMIF('Monthly forecast'!$B:$B,$A$6,'Monthly forecast'!AQ:AQ)</f>
        <v>8615.384615</v>
      </c>
      <c r="AP6" s="134">
        <f>SUMIF('Monthly forecast'!$B:$B,$A$6,'Monthly forecast'!AR:AR)</f>
        <v>8615.384615</v>
      </c>
      <c r="AQ6" s="134">
        <f>SUMIF('Monthly forecast'!$B:$B,$A$6,'Monthly forecast'!AS:AS)</f>
        <v>8615.384615</v>
      </c>
      <c r="AR6" s="134">
        <f>SUMIF('Monthly forecast'!$B:$B,$A$6,'Monthly forecast'!AT:AT)</f>
        <v>8615.384615</v>
      </c>
      <c r="AS6" s="134">
        <f>SUMIF('Monthly forecast'!$B:$B,$A$6,'Monthly forecast'!AU:AU)</f>
        <v>8615.384615</v>
      </c>
      <c r="AT6" s="134">
        <f>SUMIF('Monthly forecast'!$B:$B,$A$6,'Monthly forecast'!AV:AV)</f>
        <v>8615.384615</v>
      </c>
      <c r="AU6" s="134">
        <f>SUMIF('Monthly forecast'!$B:$B,$A$6,'Monthly forecast'!AW:AW)</f>
        <v>8615.384615</v>
      </c>
      <c r="AV6" s="134">
        <f>SUMIF('Monthly forecast'!$B:$B,$A$6,'Monthly forecast'!AX:AX)</f>
        <v>8615.384615</v>
      </c>
      <c r="AW6" s="134">
        <f>SUMIF('Monthly forecast'!$B:$B,$A$6,'Monthly forecast'!AY:AY)</f>
        <v>8615.384615</v>
      </c>
      <c r="AX6" s="134">
        <f>SUMIF('Monthly forecast'!$B:$B,$A$6,'Monthly forecast'!AZ:AZ)</f>
        <v>8615.384615</v>
      </c>
      <c r="AY6" s="134">
        <f>SUMIF('Monthly forecast'!$B:$B,$A$6,'Monthly forecast'!BA:BA)</f>
        <v>8615.384615</v>
      </c>
      <c r="AZ6" s="134">
        <f>SUMIF('Monthly forecast'!$B:$B,$A$6,'Monthly forecast'!BB:BB)</f>
        <v>8800</v>
      </c>
      <c r="BA6" s="134">
        <f>SUMIF('Monthly forecast'!$B:$B,$A$6,'Monthly forecast'!BC:BC)</f>
        <v>8800</v>
      </c>
      <c r="BB6" s="134">
        <f>SUMIF('Monthly forecast'!$B:$B,$A$6,'Monthly forecast'!BD:BD)</f>
        <v>8800</v>
      </c>
      <c r="BC6" s="134">
        <f>SUMIF('Monthly forecast'!$B:$B,$A$6,'Monthly forecast'!BE:BE)</f>
        <v>8800</v>
      </c>
      <c r="BD6" s="134">
        <f>SUMIF('Monthly forecast'!$B:$B,$A$6,'Monthly forecast'!BF:BF)</f>
        <v>8800</v>
      </c>
      <c r="BE6" s="134">
        <f>SUMIF('Monthly forecast'!$B:$B,$A$6,'Monthly forecast'!BG:BG)</f>
        <v>8800</v>
      </c>
      <c r="BF6" s="134">
        <f>SUMIF('Monthly forecast'!$B:$B,$A$6,'Monthly forecast'!BH:BH)</f>
        <v>8800</v>
      </c>
      <c r="BG6" s="134">
        <f>SUMIF('Monthly forecast'!$B:$B,$A$6,'Monthly forecast'!BI:BI)</f>
        <v>8800</v>
      </c>
      <c r="BH6" s="134">
        <f>SUMIF('Monthly forecast'!$B:$B,$A$6,'Monthly forecast'!BJ:BJ)</f>
        <v>8800</v>
      </c>
      <c r="BI6" s="134">
        <f>SUMIF('Monthly forecast'!$B:$B,$A$6,'Monthly forecast'!BK:BK)</f>
        <v>8800</v>
      </c>
      <c r="BJ6" s="134">
        <f>SUMIF('Monthly forecast'!$B:$B,$A$6,'Monthly forecast'!BL:BL)</f>
        <v>8800</v>
      </c>
      <c r="BK6" s="134">
        <f>SUMIF('Monthly forecast'!$B:$B,$A$6,'Monthly forecast'!BM:BM)</f>
        <v>8800</v>
      </c>
      <c r="BL6" s="134">
        <f>SUMIF('Monthly forecast'!$B:$B,$A$6,'Monthly forecast'!BN:BN)</f>
        <v>8992</v>
      </c>
      <c r="BM6" s="134">
        <f>SUMIF('Monthly forecast'!$B:$B,$A$6,'Monthly forecast'!BO:BO)</f>
        <v>8992</v>
      </c>
      <c r="BN6" s="134">
        <f>SUMIF('Monthly forecast'!$B:$B,$A$6,'Monthly forecast'!BP:BP)</f>
        <v>8992</v>
      </c>
      <c r="BO6" s="134">
        <f>SUMIF('Monthly forecast'!$B:$B,$A$6,'Monthly forecast'!BQ:BQ)</f>
        <v>8992</v>
      </c>
      <c r="BP6" s="134">
        <f>SUMIF('Monthly forecast'!$B:$B,$A$6,'Monthly forecast'!BR:BR)</f>
        <v>8992</v>
      </c>
      <c r="BQ6" s="134">
        <f>SUMIF('Monthly forecast'!$B:$B,$A$6,'Monthly forecast'!BS:BS)</f>
        <v>8992</v>
      </c>
      <c r="BR6" s="134">
        <f>SUMIF('Monthly forecast'!$B:$B,$A$6,'Monthly forecast'!BT:BT)</f>
        <v>8992</v>
      </c>
      <c r="BS6" s="134">
        <f>SUMIF('Monthly forecast'!$B:$B,$A$6,'Monthly forecast'!BU:BU)</f>
        <v>8992</v>
      </c>
      <c r="BT6" s="134">
        <f>SUMIF('Monthly forecast'!$B:$B,$A$6,'Monthly forecast'!BV:BV)</f>
        <v>8992</v>
      </c>
      <c r="BU6" s="134">
        <f>SUMIF('Monthly forecast'!$B:$B,$A$6,'Monthly forecast'!BW:BW)</f>
        <v>8992</v>
      </c>
      <c r="BV6" s="134">
        <f>SUMIF('Monthly forecast'!$B:$B,$A$6,'Monthly forecast'!BX:BX)</f>
        <v>8992</v>
      </c>
      <c r="BW6" s="134">
        <f>SUMIF('Monthly forecast'!$B:$B,$A$6,'Monthly forecast'!BY:BY)</f>
        <v>8992</v>
      </c>
      <c r="BX6" s="134">
        <f>SUMIF('Monthly forecast'!$B:$B,$A$6,'Monthly forecast'!BZ:BZ)</f>
        <v>9191.68</v>
      </c>
      <c r="BY6" s="134">
        <f>SUMIF('Monthly forecast'!$B:$B,$A$6,'Monthly forecast'!CA:CA)</f>
        <v>9191.68</v>
      </c>
      <c r="BZ6" s="134">
        <f>SUMIF('Monthly forecast'!$B:$B,$A$6,'Monthly forecast'!CB:CB)</f>
        <v>9191.68</v>
      </c>
      <c r="CA6" s="134">
        <f>SUMIF('Monthly forecast'!$B:$B,$A$6,'Monthly forecast'!CC:CC)</f>
        <v>9191.68</v>
      </c>
      <c r="CB6" s="134">
        <f>SUMIF('Monthly forecast'!$B:$B,$A$6,'Monthly forecast'!CD:CD)</f>
        <v>9191.68</v>
      </c>
      <c r="CC6" s="134">
        <f>SUMIF('Monthly forecast'!$B:$B,$A$6,'Monthly forecast'!CE:CE)</f>
        <v>9191.68</v>
      </c>
      <c r="CD6" s="134">
        <f>SUMIF('Monthly forecast'!$B:$B,$A$6,'Monthly forecast'!CF:CF)</f>
        <v>9191.68</v>
      </c>
      <c r="CE6" s="134">
        <f>SUMIF('Monthly forecast'!$B:$B,$A$6,'Monthly forecast'!CG:CG)</f>
        <v>9191.68</v>
      </c>
      <c r="CF6" s="134">
        <f>SUMIF('Monthly forecast'!$B:$B,$A$6,'Monthly forecast'!CH:CH)</f>
        <v>9191.68</v>
      </c>
      <c r="CG6" s="134">
        <f>SUMIF('Monthly forecast'!$B:$B,$A$6,'Monthly forecast'!CI:CI)</f>
        <v>9191.68</v>
      </c>
      <c r="CH6" s="134">
        <f>SUMIF('Monthly forecast'!$B:$B,$A$6,'Monthly forecast'!CJ:CJ)</f>
        <v>9191.68</v>
      </c>
      <c r="CI6" s="134">
        <f>SUMIF('Monthly forecast'!$B:$B,$A$6,'Monthly forecast'!CK:CK)</f>
        <v>9191.68</v>
      </c>
      <c r="CJ6" s="134">
        <f>SUMIF('Monthly forecast'!$B:$B,$A$6,'Monthly forecast'!CL:CL)</f>
        <v>9399.3472</v>
      </c>
      <c r="CK6" s="134">
        <f>SUMIF('Monthly forecast'!$B:$B,$A$6,'Monthly forecast'!CM:CM)</f>
        <v>9399.3472</v>
      </c>
      <c r="CL6" s="134">
        <f>SUMIF('Monthly forecast'!$B:$B,$A$6,'Monthly forecast'!CN:CN)</f>
        <v>9399.3472</v>
      </c>
      <c r="CM6" s="134">
        <f>SUMIF('Monthly forecast'!$B:$B,$A$6,'Monthly forecast'!CO:CO)</f>
        <v>9399.3472</v>
      </c>
      <c r="CN6" s="134">
        <f>SUMIF('Monthly forecast'!$B:$B,$A$6,'Monthly forecast'!CP:CP)</f>
        <v>9399.3472</v>
      </c>
      <c r="CO6" s="134">
        <f>SUMIF('Monthly forecast'!$B:$B,$A$6,'Monthly forecast'!CQ:CQ)</f>
        <v>9399.3472</v>
      </c>
      <c r="CP6" s="134">
        <f>SUMIF('Monthly forecast'!$B:$B,$A$6,'Monthly forecast'!CR:CR)</f>
        <v>9399.3472</v>
      </c>
      <c r="CQ6" s="134">
        <f>SUMIF('Monthly forecast'!$B:$B,$A$6,'Monthly forecast'!CS:CS)</f>
        <v>9399.3472</v>
      </c>
      <c r="CR6" s="134">
        <f>SUMIF('Monthly forecast'!$B:$B,$A$6,'Monthly forecast'!CT:CT)</f>
        <v>9399.3472</v>
      </c>
      <c r="CS6" s="134">
        <f>SUMIF('Monthly forecast'!$B:$B,$A$6,'Monthly forecast'!CU:CU)</f>
        <v>9399.3472</v>
      </c>
      <c r="CT6" s="134">
        <f>SUMIF('Monthly forecast'!$B:$B,$A$6,'Monthly forecast'!CV:CV)</f>
        <v>9399.3472</v>
      </c>
      <c r="CU6" s="134">
        <f>SUMIF('Monthly forecast'!$B:$B,$A$6,'Monthly forecast'!CW:CW)</f>
        <v>9399.3472</v>
      </c>
      <c r="CV6" s="134">
        <f>SUMIF('Monthly forecast'!$B:$B,$A$6,'Monthly forecast'!CX:CX)</f>
        <v>9615.321088</v>
      </c>
    </row>
    <row r="7" ht="15.75" customHeight="1">
      <c r="A7" s="134" t="s">
        <v>231</v>
      </c>
      <c r="B7" s="134">
        <f>SUMIF('Monthly forecast'!$B:$B,$A$7,'Monthly forecast'!D:D)</f>
        <v>0</v>
      </c>
      <c r="C7" s="134">
        <f>SUMIF('Monthly forecast'!$B:$B,$A$7,'Monthly forecast'!E:E)</f>
        <v>3000</v>
      </c>
      <c r="D7" s="134">
        <f>SUMIF('Monthly forecast'!$B:$B,$A$7,'Monthly forecast'!F:F)</f>
        <v>3000</v>
      </c>
      <c r="E7" s="134">
        <f>SUMIF('Monthly forecast'!$B:$B,$A$7,'Monthly forecast'!G:G)</f>
        <v>3000</v>
      </c>
      <c r="F7" s="134">
        <f>SUMIF('Monthly forecast'!$B:$B,$A$7,'Monthly forecast'!H:H)</f>
        <v>3000</v>
      </c>
      <c r="G7" s="134">
        <f>SUMIF('Monthly forecast'!$B:$B,$A$7,'Monthly forecast'!I:I)</f>
        <v>3000</v>
      </c>
      <c r="H7" s="134">
        <f>SUMIF('Monthly forecast'!$B:$B,$A$7,'Monthly forecast'!J:J)</f>
        <v>3000</v>
      </c>
      <c r="I7" s="134">
        <f>SUMIF('Monthly forecast'!$B:$B,$A$7,'Monthly forecast'!K:K)</f>
        <v>3000</v>
      </c>
      <c r="J7" s="134">
        <f>SUMIF('Monthly forecast'!$B:$B,$A$7,'Monthly forecast'!L:L)</f>
        <v>3000</v>
      </c>
      <c r="K7" s="134">
        <f>SUMIF('Monthly forecast'!$B:$B,$A$7,'Monthly forecast'!M:M)</f>
        <v>3000</v>
      </c>
      <c r="L7" s="134">
        <f>SUMIF('Monthly forecast'!$B:$B,$A$7,'Monthly forecast'!N:N)</f>
        <v>3000</v>
      </c>
      <c r="M7" s="134">
        <f>SUMIF('Monthly forecast'!$B:$B,$A$7,'Monthly forecast'!O:O)</f>
        <v>3000</v>
      </c>
      <c r="N7" s="134">
        <f>SUMIF('Monthly forecast'!$B:$B,$A$7,'Monthly forecast'!P:P)</f>
        <v>3000</v>
      </c>
      <c r="O7" s="134">
        <f>SUMIF('Monthly forecast'!$B:$B,$A$7,'Monthly forecast'!Q:Q)</f>
        <v>3000</v>
      </c>
      <c r="P7" s="134">
        <f>SUMIF('Monthly forecast'!$B:$B,$A$7,'Monthly forecast'!R:R)</f>
        <v>3000</v>
      </c>
      <c r="Q7" s="134">
        <f>SUMIF('Monthly forecast'!$B:$B,$A$7,'Monthly forecast'!S:S)</f>
        <v>3000</v>
      </c>
      <c r="R7" s="134">
        <f>SUMIF('Monthly forecast'!$B:$B,$A$7,'Monthly forecast'!T:T)</f>
        <v>3000</v>
      </c>
      <c r="S7" s="134">
        <f>SUMIF('Monthly forecast'!$B:$B,$A$7,'Monthly forecast'!U:U)</f>
        <v>3000</v>
      </c>
      <c r="T7" s="134">
        <f>SUMIF('Monthly forecast'!$B:$B,$A$7,'Monthly forecast'!V:V)</f>
        <v>3000</v>
      </c>
      <c r="U7" s="134">
        <f>SUMIF('Monthly forecast'!$B:$B,$A$7,'Monthly forecast'!W:W)</f>
        <v>3000</v>
      </c>
      <c r="V7" s="134">
        <f>SUMIF('Monthly forecast'!$B:$B,$A$7,'Monthly forecast'!X:X)</f>
        <v>3000</v>
      </c>
      <c r="W7" s="134">
        <f>SUMIF('Monthly forecast'!$B:$B,$A$7,'Monthly forecast'!Y:Y)</f>
        <v>3000</v>
      </c>
      <c r="X7" s="134">
        <f>SUMIF('Monthly forecast'!$B:$B,$A$7,'Monthly forecast'!Z:Z)</f>
        <v>3000</v>
      </c>
      <c r="Y7" s="134">
        <f>SUMIF('Monthly forecast'!$B:$B,$A$7,'Monthly forecast'!AA:AA)</f>
        <v>3000</v>
      </c>
      <c r="Z7" s="134">
        <f>SUMIF('Monthly forecast'!$B:$B,$A$7,'Monthly forecast'!AB:AB)</f>
        <v>3000</v>
      </c>
      <c r="AA7" s="134">
        <f>SUMIF('Monthly forecast'!$B:$B,$A$7,'Monthly forecast'!AC:AC)</f>
        <v>3000</v>
      </c>
      <c r="AB7" s="134">
        <f>SUMIF('Monthly forecast'!$B:$B,$A$7,'Monthly forecast'!AD:AD)</f>
        <v>10692.30769</v>
      </c>
      <c r="AC7" s="134">
        <f>SUMIF('Monthly forecast'!$B:$B,$A$7,'Monthly forecast'!AE:AE)</f>
        <v>10692.30769</v>
      </c>
      <c r="AD7" s="134">
        <f>SUMIF('Monthly forecast'!$B:$B,$A$7,'Monthly forecast'!AF:AF)</f>
        <v>10692.30769</v>
      </c>
      <c r="AE7" s="134">
        <f>SUMIF('Monthly forecast'!$B:$B,$A$7,'Monthly forecast'!AG:AG)</f>
        <v>10692.30769</v>
      </c>
      <c r="AF7" s="134">
        <f>SUMIF('Monthly forecast'!$B:$B,$A$7,'Monthly forecast'!AH:AH)</f>
        <v>10692.30769</v>
      </c>
      <c r="AG7" s="134">
        <f>SUMIF('Monthly forecast'!$B:$B,$A$7,'Monthly forecast'!AI:AI)</f>
        <v>10692.30769</v>
      </c>
      <c r="AH7" s="134">
        <f>SUMIF('Monthly forecast'!$B:$B,$A$7,'Monthly forecast'!AJ:AJ)</f>
        <v>10692.30769</v>
      </c>
      <c r="AI7" s="134">
        <f>SUMIF('Monthly forecast'!$B:$B,$A$7,'Monthly forecast'!AK:AK)</f>
        <v>10692.30769</v>
      </c>
      <c r="AJ7" s="134">
        <f>SUMIF('Monthly forecast'!$B:$B,$A$7,'Monthly forecast'!AL:AL)</f>
        <v>10692.30769</v>
      </c>
      <c r="AK7" s="134">
        <f>SUMIF('Monthly forecast'!$B:$B,$A$7,'Monthly forecast'!AM:AM)</f>
        <v>10692.30769</v>
      </c>
      <c r="AL7" s="134">
        <f>SUMIF('Monthly forecast'!$B:$B,$A$7,'Monthly forecast'!AN:AN)</f>
        <v>10692.30769</v>
      </c>
      <c r="AM7" s="134">
        <f>SUMIF('Monthly forecast'!$B:$B,$A$7,'Monthly forecast'!AO:AO)</f>
        <v>10692.30769</v>
      </c>
      <c r="AN7" s="134">
        <f>SUMIF('Monthly forecast'!$B:$B,$A$7,'Monthly forecast'!AP:AP)</f>
        <v>10846.15385</v>
      </c>
      <c r="AO7" s="134">
        <f>SUMIF('Monthly forecast'!$B:$B,$A$7,'Monthly forecast'!AQ:AQ)</f>
        <v>10846.15385</v>
      </c>
      <c r="AP7" s="134">
        <f>SUMIF('Monthly forecast'!$B:$B,$A$7,'Monthly forecast'!AR:AR)</f>
        <v>10846.15385</v>
      </c>
      <c r="AQ7" s="134">
        <f>SUMIF('Monthly forecast'!$B:$B,$A$7,'Monthly forecast'!AS:AS)</f>
        <v>10846.15385</v>
      </c>
      <c r="AR7" s="134">
        <f>SUMIF('Monthly forecast'!$B:$B,$A$7,'Monthly forecast'!AT:AT)</f>
        <v>10846.15385</v>
      </c>
      <c r="AS7" s="134">
        <f>SUMIF('Monthly forecast'!$B:$B,$A$7,'Monthly forecast'!AU:AU)</f>
        <v>10846.15385</v>
      </c>
      <c r="AT7" s="134">
        <f>SUMIF('Monthly forecast'!$B:$B,$A$7,'Monthly forecast'!AV:AV)</f>
        <v>10846.15385</v>
      </c>
      <c r="AU7" s="134">
        <f>SUMIF('Monthly forecast'!$B:$B,$A$7,'Monthly forecast'!AW:AW)</f>
        <v>10846.15385</v>
      </c>
      <c r="AV7" s="134">
        <f>SUMIF('Monthly forecast'!$B:$B,$A$7,'Monthly forecast'!AX:AX)</f>
        <v>10846.15385</v>
      </c>
      <c r="AW7" s="134">
        <f>SUMIF('Monthly forecast'!$B:$B,$A$7,'Monthly forecast'!AY:AY)</f>
        <v>10846.15385</v>
      </c>
      <c r="AX7" s="134">
        <f>SUMIF('Monthly forecast'!$B:$B,$A$7,'Monthly forecast'!AZ:AZ)</f>
        <v>10846.15385</v>
      </c>
      <c r="AY7" s="134">
        <f>SUMIF('Monthly forecast'!$B:$B,$A$7,'Monthly forecast'!BA:BA)</f>
        <v>10846.15385</v>
      </c>
      <c r="AZ7" s="134">
        <f>SUMIF('Monthly forecast'!$B:$B,$A$7,'Monthly forecast'!BB:BB)</f>
        <v>11003.07692</v>
      </c>
      <c r="BA7" s="134">
        <f>SUMIF('Monthly forecast'!$B:$B,$A$7,'Monthly forecast'!BC:BC)</f>
        <v>11003.07692</v>
      </c>
      <c r="BB7" s="134">
        <f>SUMIF('Monthly forecast'!$B:$B,$A$7,'Monthly forecast'!BD:BD)</f>
        <v>11003.07692</v>
      </c>
      <c r="BC7" s="134">
        <f>SUMIF('Monthly forecast'!$B:$B,$A$7,'Monthly forecast'!BE:BE)</f>
        <v>11003.07692</v>
      </c>
      <c r="BD7" s="134">
        <f>SUMIF('Monthly forecast'!$B:$B,$A$7,'Monthly forecast'!BF:BF)</f>
        <v>11003.07692</v>
      </c>
      <c r="BE7" s="134">
        <f>SUMIF('Monthly forecast'!$B:$B,$A$7,'Monthly forecast'!BG:BG)</f>
        <v>11003.07692</v>
      </c>
      <c r="BF7" s="134">
        <f>SUMIF('Monthly forecast'!$B:$B,$A$7,'Monthly forecast'!BH:BH)</f>
        <v>11003.07692</v>
      </c>
      <c r="BG7" s="134">
        <f>SUMIF('Monthly forecast'!$B:$B,$A$7,'Monthly forecast'!BI:BI)</f>
        <v>11003.07692</v>
      </c>
      <c r="BH7" s="134">
        <f>SUMIF('Monthly forecast'!$B:$B,$A$7,'Monthly forecast'!BJ:BJ)</f>
        <v>11003.07692</v>
      </c>
      <c r="BI7" s="134">
        <f>SUMIF('Monthly forecast'!$B:$B,$A$7,'Monthly forecast'!BK:BK)</f>
        <v>11003.07692</v>
      </c>
      <c r="BJ7" s="134">
        <f>SUMIF('Monthly forecast'!$B:$B,$A$7,'Monthly forecast'!BL:BL)</f>
        <v>11003.07692</v>
      </c>
      <c r="BK7" s="134">
        <f>SUMIF('Monthly forecast'!$B:$B,$A$7,'Monthly forecast'!BM:BM)</f>
        <v>11003.07692</v>
      </c>
      <c r="BL7" s="134">
        <f>SUMIF('Monthly forecast'!$B:$B,$A$7,'Monthly forecast'!BN:BN)</f>
        <v>11163.13846</v>
      </c>
      <c r="BM7" s="134">
        <f>SUMIF('Monthly forecast'!$B:$B,$A$7,'Monthly forecast'!BO:BO)</f>
        <v>11163.13846</v>
      </c>
      <c r="BN7" s="134">
        <f>SUMIF('Monthly forecast'!$B:$B,$A$7,'Monthly forecast'!BP:BP)</f>
        <v>11163.13846</v>
      </c>
      <c r="BO7" s="134">
        <f>SUMIF('Monthly forecast'!$B:$B,$A$7,'Monthly forecast'!BQ:BQ)</f>
        <v>11163.13846</v>
      </c>
      <c r="BP7" s="134">
        <f>SUMIF('Monthly forecast'!$B:$B,$A$7,'Monthly forecast'!BR:BR)</f>
        <v>11163.13846</v>
      </c>
      <c r="BQ7" s="134">
        <f>SUMIF('Monthly forecast'!$B:$B,$A$7,'Monthly forecast'!BS:BS)</f>
        <v>11163.13846</v>
      </c>
      <c r="BR7" s="134">
        <f>SUMIF('Monthly forecast'!$B:$B,$A$7,'Monthly forecast'!BT:BT)</f>
        <v>11163.13846</v>
      </c>
      <c r="BS7" s="134">
        <f>SUMIF('Monthly forecast'!$B:$B,$A$7,'Monthly forecast'!BU:BU)</f>
        <v>11163.13846</v>
      </c>
      <c r="BT7" s="134">
        <f>SUMIF('Monthly forecast'!$B:$B,$A$7,'Monthly forecast'!BV:BV)</f>
        <v>11163.13846</v>
      </c>
      <c r="BU7" s="134">
        <f>SUMIF('Monthly forecast'!$B:$B,$A$7,'Monthly forecast'!BW:BW)</f>
        <v>11163.13846</v>
      </c>
      <c r="BV7" s="134">
        <f>SUMIF('Monthly forecast'!$B:$B,$A$7,'Monthly forecast'!BX:BX)</f>
        <v>11163.13846</v>
      </c>
      <c r="BW7" s="134">
        <f>SUMIF('Monthly forecast'!$B:$B,$A$7,'Monthly forecast'!BY:BY)</f>
        <v>11163.13846</v>
      </c>
      <c r="BX7" s="134">
        <f>SUMIF('Monthly forecast'!$B:$B,$A$7,'Monthly forecast'!BZ:BZ)</f>
        <v>11326.40123</v>
      </c>
      <c r="BY7" s="134">
        <f>SUMIF('Monthly forecast'!$B:$B,$A$7,'Monthly forecast'!CA:CA)</f>
        <v>11326.40123</v>
      </c>
      <c r="BZ7" s="134">
        <f>SUMIF('Monthly forecast'!$B:$B,$A$7,'Monthly forecast'!CB:CB)</f>
        <v>11326.40123</v>
      </c>
      <c r="CA7" s="134">
        <f>SUMIF('Monthly forecast'!$B:$B,$A$7,'Monthly forecast'!CC:CC)</f>
        <v>11326.40123</v>
      </c>
      <c r="CB7" s="134">
        <f>SUMIF('Monthly forecast'!$B:$B,$A$7,'Monthly forecast'!CD:CD)</f>
        <v>11326.40123</v>
      </c>
      <c r="CC7" s="134">
        <f>SUMIF('Monthly forecast'!$B:$B,$A$7,'Monthly forecast'!CE:CE)</f>
        <v>11326.40123</v>
      </c>
      <c r="CD7" s="134">
        <f>SUMIF('Monthly forecast'!$B:$B,$A$7,'Monthly forecast'!CF:CF)</f>
        <v>11326.40123</v>
      </c>
      <c r="CE7" s="134">
        <f>SUMIF('Monthly forecast'!$B:$B,$A$7,'Monthly forecast'!CG:CG)</f>
        <v>11326.40123</v>
      </c>
      <c r="CF7" s="134">
        <f>SUMIF('Monthly forecast'!$B:$B,$A$7,'Monthly forecast'!CH:CH)</f>
        <v>11326.40123</v>
      </c>
      <c r="CG7" s="134">
        <f>SUMIF('Monthly forecast'!$B:$B,$A$7,'Monthly forecast'!CI:CI)</f>
        <v>11326.40123</v>
      </c>
      <c r="CH7" s="134">
        <f>SUMIF('Monthly forecast'!$B:$B,$A$7,'Monthly forecast'!CJ:CJ)</f>
        <v>11326.40123</v>
      </c>
      <c r="CI7" s="134">
        <f>SUMIF('Monthly forecast'!$B:$B,$A$7,'Monthly forecast'!CK:CK)</f>
        <v>11326.40123</v>
      </c>
      <c r="CJ7" s="134">
        <f>SUMIF('Monthly forecast'!$B:$B,$A$7,'Monthly forecast'!CL:CL)</f>
        <v>11492.92926</v>
      </c>
      <c r="CK7" s="134">
        <f>SUMIF('Monthly forecast'!$B:$B,$A$7,'Monthly forecast'!CM:CM)</f>
        <v>11492.92926</v>
      </c>
      <c r="CL7" s="134">
        <f>SUMIF('Monthly forecast'!$B:$B,$A$7,'Monthly forecast'!CN:CN)</f>
        <v>11492.92926</v>
      </c>
      <c r="CM7" s="134">
        <f>SUMIF('Monthly forecast'!$B:$B,$A$7,'Monthly forecast'!CO:CO)</f>
        <v>11492.92926</v>
      </c>
      <c r="CN7" s="134">
        <f>SUMIF('Monthly forecast'!$B:$B,$A$7,'Monthly forecast'!CP:CP)</f>
        <v>11492.92926</v>
      </c>
      <c r="CO7" s="134">
        <f>SUMIF('Monthly forecast'!$B:$B,$A$7,'Monthly forecast'!CQ:CQ)</f>
        <v>11492.92926</v>
      </c>
      <c r="CP7" s="134">
        <f>SUMIF('Monthly forecast'!$B:$B,$A$7,'Monthly forecast'!CR:CR)</f>
        <v>11492.92926</v>
      </c>
      <c r="CQ7" s="134">
        <f>SUMIF('Monthly forecast'!$B:$B,$A$7,'Monthly forecast'!CS:CS)</f>
        <v>11492.92926</v>
      </c>
      <c r="CR7" s="134">
        <f>SUMIF('Monthly forecast'!$B:$B,$A$7,'Monthly forecast'!CT:CT)</f>
        <v>11492.92926</v>
      </c>
      <c r="CS7" s="134">
        <f>SUMIF('Monthly forecast'!$B:$B,$A$7,'Monthly forecast'!CU:CU)</f>
        <v>11492.92926</v>
      </c>
      <c r="CT7" s="134">
        <f>SUMIF('Monthly forecast'!$B:$B,$A$7,'Monthly forecast'!CV:CV)</f>
        <v>11492.92926</v>
      </c>
      <c r="CU7" s="134">
        <f>SUMIF('Monthly forecast'!$B:$B,$A$7,'Monthly forecast'!CW:CW)</f>
        <v>11492.92926</v>
      </c>
      <c r="CV7" s="134">
        <f>SUMIF('Monthly forecast'!$B:$B,$A$7,'Monthly forecast'!CX:CX)</f>
        <v>11662.78784</v>
      </c>
    </row>
    <row r="8" ht="15.75" customHeight="1">
      <c r="A8" s="252" t="s">
        <v>233</v>
      </c>
      <c r="B8" s="134">
        <f>SUMIF('Monthly forecast'!$B:$B,$A$8,'Monthly forecast'!D:D)</f>
        <v>0</v>
      </c>
      <c r="C8" s="134">
        <f>SUMIF('Monthly forecast'!$B:$B,$A$8,'Monthly forecast'!E:E)</f>
        <v>12000</v>
      </c>
      <c r="D8" s="134">
        <f>SUMIF('Monthly forecast'!$B:$B,$A$8,'Monthly forecast'!F:F)</f>
        <v>0</v>
      </c>
      <c r="E8" s="134">
        <f>SUMIF('Monthly forecast'!$B:$B,$A$8,'Monthly forecast'!G:G)</f>
        <v>0</v>
      </c>
      <c r="F8" s="134">
        <f>SUMIF('Monthly forecast'!$B:$B,$A$8,'Monthly forecast'!H:H)</f>
        <v>0</v>
      </c>
      <c r="G8" s="134">
        <f>SUMIF('Monthly forecast'!$B:$B,$A$8,'Monthly forecast'!I:I)</f>
        <v>0</v>
      </c>
      <c r="H8" s="134">
        <f>SUMIF('Monthly forecast'!$B:$B,$A$8,'Monthly forecast'!J:J)</f>
        <v>0</v>
      </c>
      <c r="I8" s="134">
        <f>SUMIF('Monthly forecast'!$B:$B,$A$8,'Monthly forecast'!K:K)</f>
        <v>0</v>
      </c>
      <c r="J8" s="134">
        <f>SUMIF('Monthly forecast'!$B:$B,$A$8,'Monthly forecast'!L:L)</f>
        <v>0</v>
      </c>
      <c r="K8" s="134">
        <f>SUMIF('Monthly forecast'!$B:$B,$A$8,'Monthly forecast'!M:M)</f>
        <v>0</v>
      </c>
      <c r="L8" s="134">
        <f>SUMIF('Monthly forecast'!$B:$B,$A$8,'Monthly forecast'!N:N)</f>
        <v>0</v>
      </c>
      <c r="M8" s="134">
        <f>SUMIF('Monthly forecast'!$B:$B,$A$8,'Monthly forecast'!O:O)</f>
        <v>0</v>
      </c>
      <c r="N8" s="134">
        <f>SUMIF('Monthly forecast'!$B:$B,$A$8,'Monthly forecast'!P:P)</f>
        <v>0</v>
      </c>
      <c r="O8" s="134">
        <f>SUMIF('Monthly forecast'!$B:$B,$A$8,'Monthly forecast'!Q:Q)</f>
        <v>0</v>
      </c>
      <c r="P8" s="134">
        <f>SUMIF('Monthly forecast'!$B:$B,$A$8,'Monthly forecast'!R:R)</f>
        <v>0</v>
      </c>
      <c r="Q8" s="134">
        <f>SUMIF('Monthly forecast'!$B:$B,$A$8,'Monthly forecast'!S:S)</f>
        <v>0</v>
      </c>
      <c r="R8" s="134">
        <f>SUMIF('Monthly forecast'!$B:$B,$A$8,'Monthly forecast'!T:T)</f>
        <v>0</v>
      </c>
      <c r="S8" s="134">
        <f>SUMIF('Monthly forecast'!$B:$B,$A$8,'Monthly forecast'!U:U)</f>
        <v>0</v>
      </c>
      <c r="T8" s="134">
        <f>SUMIF('Monthly forecast'!$B:$B,$A$8,'Monthly forecast'!V:V)</f>
        <v>0</v>
      </c>
      <c r="U8" s="134">
        <f>SUMIF('Monthly forecast'!$B:$B,$A$8,'Monthly forecast'!W:W)</f>
        <v>0</v>
      </c>
      <c r="V8" s="134">
        <f>SUMIF('Monthly forecast'!$B:$B,$A$8,'Monthly forecast'!X:X)</f>
        <v>0</v>
      </c>
      <c r="W8" s="134">
        <f>SUMIF('Monthly forecast'!$B:$B,$A$8,'Monthly forecast'!Y:Y)</f>
        <v>0</v>
      </c>
      <c r="X8" s="134">
        <f>SUMIF('Monthly forecast'!$B:$B,$A$8,'Monthly forecast'!Z:Z)</f>
        <v>0</v>
      </c>
      <c r="Y8" s="134">
        <f>SUMIF('Monthly forecast'!$B:$B,$A$8,'Monthly forecast'!AA:AA)</f>
        <v>0</v>
      </c>
      <c r="Z8" s="134">
        <f>SUMIF('Monthly forecast'!$B:$B,$A$8,'Monthly forecast'!AB:AB)</f>
        <v>0</v>
      </c>
      <c r="AA8" s="134">
        <f>SUMIF('Monthly forecast'!$B:$B,$A$8,'Monthly forecast'!AC:AC)</f>
        <v>0</v>
      </c>
      <c r="AB8" s="134">
        <f>SUMIF('Monthly forecast'!$B:$B,$A$8,'Monthly forecast'!AD:AD)</f>
        <v>2000</v>
      </c>
      <c r="AC8" s="134">
        <f>SUMIF('Monthly forecast'!$B:$B,$A$8,'Monthly forecast'!AE:AE)</f>
        <v>0</v>
      </c>
      <c r="AD8" s="134">
        <f>SUMIF('Monthly forecast'!$B:$B,$A$8,'Monthly forecast'!AF:AF)</f>
        <v>0</v>
      </c>
      <c r="AE8" s="134">
        <f>SUMIF('Monthly forecast'!$B:$B,$A$8,'Monthly forecast'!AG:AG)</f>
        <v>0</v>
      </c>
      <c r="AF8" s="134">
        <f>SUMIF('Monthly forecast'!$B:$B,$A$8,'Monthly forecast'!AH:AH)</f>
        <v>0</v>
      </c>
      <c r="AG8" s="134">
        <f>SUMIF('Monthly forecast'!$B:$B,$A$8,'Monthly forecast'!AI:AI)</f>
        <v>0</v>
      </c>
      <c r="AH8" s="134">
        <f>SUMIF('Monthly forecast'!$B:$B,$A$8,'Monthly forecast'!AJ:AJ)</f>
        <v>0</v>
      </c>
      <c r="AI8" s="134">
        <f>SUMIF('Monthly forecast'!$B:$B,$A$8,'Monthly forecast'!AK:AK)</f>
        <v>0</v>
      </c>
      <c r="AJ8" s="134">
        <f>SUMIF('Monthly forecast'!$B:$B,$A$8,'Monthly forecast'!AL:AL)</f>
        <v>2000</v>
      </c>
      <c r="AK8" s="134">
        <f>SUMIF('Monthly forecast'!$B:$B,$A$8,'Monthly forecast'!AM:AM)</f>
        <v>0</v>
      </c>
      <c r="AL8" s="134">
        <f>SUMIF('Monthly forecast'!$B:$B,$A$8,'Monthly forecast'!AN:AN)</f>
        <v>0</v>
      </c>
      <c r="AM8" s="134">
        <f>SUMIF('Monthly forecast'!$B:$B,$A$8,'Monthly forecast'!AO:AO)</f>
        <v>2000</v>
      </c>
      <c r="AN8" s="134">
        <f>SUMIF('Monthly forecast'!$B:$B,$A$8,'Monthly forecast'!AP:AP)</f>
        <v>10000</v>
      </c>
      <c r="AO8" s="134">
        <f>SUMIF('Monthly forecast'!$B:$B,$A$8,'Monthly forecast'!AQ:AQ)</f>
        <v>0</v>
      </c>
      <c r="AP8" s="134">
        <f>SUMIF('Monthly forecast'!$B:$B,$A$8,'Monthly forecast'!AR:AR)</f>
        <v>0</v>
      </c>
      <c r="AQ8" s="134">
        <f>SUMIF('Monthly forecast'!$B:$B,$A$8,'Monthly forecast'!AS:AS)</f>
        <v>0</v>
      </c>
      <c r="AR8" s="134">
        <f>SUMIF('Monthly forecast'!$B:$B,$A$8,'Monthly forecast'!AT:AT)</f>
        <v>0</v>
      </c>
      <c r="AS8" s="134">
        <f>SUMIF('Monthly forecast'!$B:$B,$A$8,'Monthly forecast'!AU:AU)</f>
        <v>0</v>
      </c>
      <c r="AT8" s="134">
        <f>SUMIF('Monthly forecast'!$B:$B,$A$8,'Monthly forecast'!AV:AV)</f>
        <v>0</v>
      </c>
      <c r="AU8" s="134">
        <f>SUMIF('Monthly forecast'!$B:$B,$A$8,'Monthly forecast'!AW:AW)</f>
        <v>0</v>
      </c>
      <c r="AV8" s="134">
        <f>SUMIF('Monthly forecast'!$B:$B,$A$8,'Monthly forecast'!AX:AX)</f>
        <v>0</v>
      </c>
      <c r="AW8" s="134">
        <f>SUMIF('Monthly forecast'!$B:$B,$A$8,'Monthly forecast'!AY:AY)</f>
        <v>0</v>
      </c>
      <c r="AX8" s="134">
        <f>SUMIF('Monthly forecast'!$B:$B,$A$8,'Monthly forecast'!AZ:AZ)</f>
        <v>0</v>
      </c>
      <c r="AY8" s="134">
        <f>SUMIF('Monthly forecast'!$B:$B,$A$8,'Monthly forecast'!BA:BA)</f>
        <v>0</v>
      </c>
      <c r="AZ8" s="134">
        <f>SUMIF('Monthly forecast'!$B:$B,$A$8,'Monthly forecast'!BB:BB)</f>
        <v>0</v>
      </c>
      <c r="BA8" s="134">
        <f>SUMIF('Monthly forecast'!$B:$B,$A$8,'Monthly forecast'!BC:BC)</f>
        <v>0</v>
      </c>
      <c r="BB8" s="134">
        <f>SUMIF('Monthly forecast'!$B:$B,$A$8,'Monthly forecast'!BD:BD)</f>
        <v>0</v>
      </c>
      <c r="BC8" s="134">
        <f>SUMIF('Monthly forecast'!$B:$B,$A$8,'Monthly forecast'!BE:BE)</f>
        <v>0</v>
      </c>
      <c r="BD8" s="134">
        <f>SUMIF('Monthly forecast'!$B:$B,$A$8,'Monthly forecast'!BF:BF)</f>
        <v>0</v>
      </c>
      <c r="BE8" s="134">
        <f>SUMIF('Monthly forecast'!$B:$B,$A$8,'Monthly forecast'!BG:BG)</f>
        <v>0</v>
      </c>
      <c r="BF8" s="134">
        <f>SUMIF('Monthly forecast'!$B:$B,$A$8,'Monthly forecast'!BH:BH)</f>
        <v>0</v>
      </c>
      <c r="BG8" s="134">
        <f>SUMIF('Monthly forecast'!$B:$B,$A$8,'Monthly forecast'!BI:BI)</f>
        <v>0</v>
      </c>
      <c r="BH8" s="134">
        <f>SUMIF('Monthly forecast'!$B:$B,$A$8,'Monthly forecast'!BJ:BJ)</f>
        <v>0</v>
      </c>
      <c r="BI8" s="134">
        <f>SUMIF('Monthly forecast'!$B:$B,$A$8,'Monthly forecast'!BK:BK)</f>
        <v>0</v>
      </c>
      <c r="BJ8" s="134">
        <f>SUMIF('Monthly forecast'!$B:$B,$A$8,'Monthly forecast'!BL:BL)</f>
        <v>0</v>
      </c>
      <c r="BK8" s="134">
        <f>SUMIF('Monthly forecast'!$B:$B,$A$8,'Monthly forecast'!BM:BM)</f>
        <v>0</v>
      </c>
      <c r="BL8" s="134">
        <f>SUMIF('Monthly forecast'!$B:$B,$A$8,'Monthly forecast'!BN:BN)</f>
        <v>0</v>
      </c>
      <c r="BM8" s="134">
        <f>SUMIF('Monthly forecast'!$B:$B,$A$8,'Monthly forecast'!BO:BO)</f>
        <v>0</v>
      </c>
      <c r="BN8" s="134">
        <f>SUMIF('Monthly forecast'!$B:$B,$A$8,'Monthly forecast'!BP:BP)</f>
        <v>0</v>
      </c>
      <c r="BO8" s="134">
        <f>SUMIF('Monthly forecast'!$B:$B,$A$8,'Monthly forecast'!BQ:BQ)</f>
        <v>0</v>
      </c>
      <c r="BP8" s="134">
        <f>SUMIF('Monthly forecast'!$B:$B,$A$8,'Monthly forecast'!BR:BR)</f>
        <v>0</v>
      </c>
      <c r="BQ8" s="134">
        <f>SUMIF('Monthly forecast'!$B:$B,$A$8,'Monthly forecast'!BS:BS)</f>
        <v>0</v>
      </c>
      <c r="BR8" s="134">
        <f>SUMIF('Monthly forecast'!$B:$B,$A$8,'Monthly forecast'!BT:BT)</f>
        <v>0</v>
      </c>
      <c r="BS8" s="134">
        <f>SUMIF('Monthly forecast'!$B:$B,$A$8,'Monthly forecast'!BU:BU)</f>
        <v>0</v>
      </c>
      <c r="BT8" s="134">
        <f>SUMIF('Monthly forecast'!$B:$B,$A$8,'Monthly forecast'!BV:BV)</f>
        <v>0</v>
      </c>
      <c r="BU8" s="134">
        <f>SUMIF('Monthly forecast'!$B:$B,$A$8,'Monthly forecast'!BW:BW)</f>
        <v>0</v>
      </c>
      <c r="BV8" s="134">
        <f>SUMIF('Monthly forecast'!$B:$B,$A$8,'Monthly forecast'!BX:BX)</f>
        <v>0</v>
      </c>
      <c r="BW8" s="134">
        <f>SUMIF('Monthly forecast'!$B:$B,$A$8,'Monthly forecast'!BY:BY)</f>
        <v>0</v>
      </c>
      <c r="BX8" s="134">
        <f>SUMIF('Monthly forecast'!$B:$B,$A$8,'Monthly forecast'!BZ:BZ)</f>
        <v>0</v>
      </c>
      <c r="BY8" s="134">
        <f>SUMIF('Monthly forecast'!$B:$B,$A$8,'Monthly forecast'!CA:CA)</f>
        <v>0</v>
      </c>
      <c r="BZ8" s="134">
        <f>SUMIF('Monthly forecast'!$B:$B,$A$8,'Monthly forecast'!CB:CB)</f>
        <v>0</v>
      </c>
      <c r="CA8" s="134">
        <f>SUMIF('Monthly forecast'!$B:$B,$A$8,'Monthly forecast'!CC:CC)</f>
        <v>0</v>
      </c>
      <c r="CB8" s="134">
        <f>SUMIF('Monthly forecast'!$B:$B,$A$8,'Monthly forecast'!CD:CD)</f>
        <v>0</v>
      </c>
      <c r="CC8" s="134">
        <f>SUMIF('Monthly forecast'!$B:$B,$A$8,'Monthly forecast'!CE:CE)</f>
        <v>0</v>
      </c>
      <c r="CD8" s="134">
        <f>SUMIF('Monthly forecast'!$B:$B,$A$8,'Monthly forecast'!CF:CF)</f>
        <v>0</v>
      </c>
      <c r="CE8" s="134">
        <f>SUMIF('Monthly forecast'!$B:$B,$A$8,'Monthly forecast'!CG:CG)</f>
        <v>0</v>
      </c>
      <c r="CF8" s="134">
        <f>SUMIF('Monthly forecast'!$B:$B,$A$8,'Monthly forecast'!CH:CH)</f>
        <v>0</v>
      </c>
      <c r="CG8" s="134">
        <f>SUMIF('Monthly forecast'!$B:$B,$A$8,'Monthly forecast'!CI:CI)</f>
        <v>0</v>
      </c>
      <c r="CH8" s="134">
        <f>SUMIF('Monthly forecast'!$B:$B,$A$8,'Monthly forecast'!CJ:CJ)</f>
        <v>0</v>
      </c>
      <c r="CI8" s="134">
        <f>SUMIF('Monthly forecast'!$B:$B,$A$8,'Monthly forecast'!CK:CK)</f>
        <v>0</v>
      </c>
      <c r="CJ8" s="134">
        <f>SUMIF('Monthly forecast'!$B:$B,$A$8,'Monthly forecast'!CL:CL)</f>
        <v>0</v>
      </c>
      <c r="CK8" s="134">
        <f>SUMIF('Monthly forecast'!$B:$B,$A$8,'Monthly forecast'!CM:CM)</f>
        <v>0</v>
      </c>
      <c r="CL8" s="134">
        <f>SUMIF('Monthly forecast'!$B:$B,$A$8,'Monthly forecast'!CN:CN)</f>
        <v>0</v>
      </c>
      <c r="CM8" s="134">
        <f>SUMIF('Monthly forecast'!$B:$B,$A$8,'Monthly forecast'!CO:CO)</f>
        <v>0</v>
      </c>
      <c r="CN8" s="134">
        <f>SUMIF('Monthly forecast'!$B:$B,$A$8,'Monthly forecast'!CP:CP)</f>
        <v>0</v>
      </c>
      <c r="CO8" s="134">
        <f>SUMIF('Monthly forecast'!$B:$B,$A$8,'Monthly forecast'!CQ:CQ)</f>
        <v>0</v>
      </c>
      <c r="CP8" s="134">
        <f>SUMIF('Monthly forecast'!$B:$B,$A$8,'Monthly forecast'!CR:CR)</f>
        <v>0</v>
      </c>
      <c r="CQ8" s="134">
        <f>SUMIF('Monthly forecast'!$B:$B,$A$8,'Monthly forecast'!CS:CS)</f>
        <v>0</v>
      </c>
      <c r="CR8" s="134">
        <f>SUMIF('Monthly forecast'!$B:$B,$A$8,'Monthly forecast'!CT:CT)</f>
        <v>0</v>
      </c>
      <c r="CS8" s="134">
        <f>SUMIF('Monthly forecast'!$B:$B,$A$8,'Monthly forecast'!CU:CU)</f>
        <v>0</v>
      </c>
      <c r="CT8" s="134">
        <f>SUMIF('Monthly forecast'!$B:$B,$A$8,'Monthly forecast'!CV:CV)</f>
        <v>0</v>
      </c>
      <c r="CU8" s="134">
        <f>SUMIF('Monthly forecast'!$B:$B,$A$8,'Monthly forecast'!CW:CW)</f>
        <v>0</v>
      </c>
      <c r="CV8" s="134">
        <f>SUMIF('Monthly forecast'!$B:$B,$A$8,'Monthly forecast'!CX:CX)</f>
        <v>0</v>
      </c>
    </row>
    <row r="9" ht="15.75" customHeight="1"/>
    <row r="10" ht="15.75" customHeight="1"/>
    <row r="11" ht="15.75" customHeight="1">
      <c r="A11" s="131" t="s">
        <v>332</v>
      </c>
    </row>
    <row r="12" ht="15.75" customHeight="1"/>
    <row r="13" ht="15.75" customHeight="1">
      <c r="A13" s="5" t="s">
        <v>229</v>
      </c>
      <c r="B13" s="134">
        <f t="shared" ref="B13:B16" si="2">SUM(C5:P5)</f>
        <v>0</v>
      </c>
    </row>
    <row r="14" ht="15.75" customHeight="1">
      <c r="A14" s="5" t="s">
        <v>100</v>
      </c>
      <c r="B14" s="134">
        <f t="shared" si="2"/>
        <v>14000</v>
      </c>
    </row>
    <row r="15" ht="15.75" customHeight="1">
      <c r="A15" s="5" t="s">
        <v>231</v>
      </c>
      <c r="B15" s="134">
        <f t="shared" si="2"/>
        <v>42000</v>
      </c>
    </row>
    <row r="16" ht="15.75" customHeight="1">
      <c r="A16" s="253" t="s">
        <v>233</v>
      </c>
      <c r="B16" s="134">
        <f t="shared" si="2"/>
        <v>12000</v>
      </c>
    </row>
    <row r="17" ht="15.75" customHeight="1"/>
    <row r="18" ht="15.75" customHeight="1"/>
    <row r="19" ht="15.75" customHeight="1"/>
    <row r="20" ht="15.75" customHeight="1"/>
    <row r="21" ht="29.25" customHeight="1">
      <c r="A21" s="123" t="s">
        <v>204</v>
      </c>
      <c r="B21" s="125">
        <f>EDATE(C21,-1)</f>
        <v>45108</v>
      </c>
      <c r="C21" s="126">
        <f>Projections!$B$4</f>
        <v>45139</v>
      </c>
      <c r="D21" s="126">
        <f t="shared" ref="D21:CV21" si="3">EDATE(C21,1)</f>
        <v>45170</v>
      </c>
      <c r="E21" s="126">
        <f t="shared" si="3"/>
        <v>45200</v>
      </c>
      <c r="F21" s="126">
        <f t="shared" si="3"/>
        <v>45231</v>
      </c>
      <c r="G21" s="126">
        <f t="shared" si="3"/>
        <v>45261</v>
      </c>
      <c r="H21" s="126">
        <f t="shared" si="3"/>
        <v>45292</v>
      </c>
      <c r="I21" s="126">
        <f t="shared" si="3"/>
        <v>45323</v>
      </c>
      <c r="J21" s="126">
        <f t="shared" si="3"/>
        <v>45352</v>
      </c>
      <c r="K21" s="126">
        <f t="shared" si="3"/>
        <v>45383</v>
      </c>
      <c r="L21" s="126">
        <f t="shared" si="3"/>
        <v>45413</v>
      </c>
      <c r="M21" s="126">
        <f t="shared" si="3"/>
        <v>45444</v>
      </c>
      <c r="N21" s="126">
        <f t="shared" si="3"/>
        <v>45474</v>
      </c>
      <c r="O21" s="126">
        <f t="shared" si="3"/>
        <v>45505</v>
      </c>
      <c r="P21" s="126">
        <f t="shared" si="3"/>
        <v>45536</v>
      </c>
      <c r="Q21" s="126">
        <f t="shared" si="3"/>
        <v>45566</v>
      </c>
      <c r="R21" s="126">
        <f t="shared" si="3"/>
        <v>45597</v>
      </c>
      <c r="S21" s="126">
        <f t="shared" si="3"/>
        <v>45627</v>
      </c>
      <c r="T21" s="126">
        <f t="shared" si="3"/>
        <v>45658</v>
      </c>
      <c r="U21" s="126">
        <f t="shared" si="3"/>
        <v>45689</v>
      </c>
      <c r="V21" s="126">
        <f t="shared" si="3"/>
        <v>45717</v>
      </c>
      <c r="W21" s="126">
        <f t="shared" si="3"/>
        <v>45748</v>
      </c>
      <c r="X21" s="126">
        <f t="shared" si="3"/>
        <v>45778</v>
      </c>
      <c r="Y21" s="126">
        <f t="shared" si="3"/>
        <v>45809</v>
      </c>
      <c r="Z21" s="126">
        <f t="shared" si="3"/>
        <v>45839</v>
      </c>
      <c r="AA21" s="126">
        <f t="shared" si="3"/>
        <v>45870</v>
      </c>
      <c r="AB21" s="126">
        <f t="shared" si="3"/>
        <v>45901</v>
      </c>
      <c r="AC21" s="126">
        <f t="shared" si="3"/>
        <v>45931</v>
      </c>
      <c r="AD21" s="126">
        <f t="shared" si="3"/>
        <v>45962</v>
      </c>
      <c r="AE21" s="126">
        <f t="shared" si="3"/>
        <v>45992</v>
      </c>
      <c r="AF21" s="126">
        <f t="shared" si="3"/>
        <v>46023</v>
      </c>
      <c r="AG21" s="126">
        <f t="shared" si="3"/>
        <v>46054</v>
      </c>
      <c r="AH21" s="126">
        <f t="shared" si="3"/>
        <v>46082</v>
      </c>
      <c r="AI21" s="126">
        <f t="shared" si="3"/>
        <v>46113</v>
      </c>
      <c r="AJ21" s="126">
        <f t="shared" si="3"/>
        <v>46143</v>
      </c>
      <c r="AK21" s="126">
        <f t="shared" si="3"/>
        <v>46174</v>
      </c>
      <c r="AL21" s="126">
        <f t="shared" si="3"/>
        <v>46204</v>
      </c>
      <c r="AM21" s="126">
        <f t="shared" si="3"/>
        <v>46235</v>
      </c>
      <c r="AN21" s="126">
        <f t="shared" si="3"/>
        <v>46266</v>
      </c>
      <c r="AO21" s="126">
        <f t="shared" si="3"/>
        <v>46296</v>
      </c>
      <c r="AP21" s="126">
        <f t="shared" si="3"/>
        <v>46327</v>
      </c>
      <c r="AQ21" s="126">
        <f t="shared" si="3"/>
        <v>46357</v>
      </c>
      <c r="AR21" s="126">
        <f t="shared" si="3"/>
        <v>46388</v>
      </c>
      <c r="AS21" s="126">
        <f t="shared" si="3"/>
        <v>46419</v>
      </c>
      <c r="AT21" s="126">
        <f t="shared" si="3"/>
        <v>46447</v>
      </c>
      <c r="AU21" s="126">
        <f t="shared" si="3"/>
        <v>46478</v>
      </c>
      <c r="AV21" s="126">
        <f t="shared" si="3"/>
        <v>46508</v>
      </c>
      <c r="AW21" s="126">
        <f t="shared" si="3"/>
        <v>46539</v>
      </c>
      <c r="AX21" s="126">
        <f t="shared" si="3"/>
        <v>46569</v>
      </c>
      <c r="AY21" s="126">
        <f t="shared" si="3"/>
        <v>46600</v>
      </c>
      <c r="AZ21" s="126">
        <f t="shared" si="3"/>
        <v>46631</v>
      </c>
      <c r="BA21" s="126">
        <f t="shared" si="3"/>
        <v>46661</v>
      </c>
      <c r="BB21" s="126">
        <f t="shared" si="3"/>
        <v>46692</v>
      </c>
      <c r="BC21" s="126">
        <f t="shared" si="3"/>
        <v>46722</v>
      </c>
      <c r="BD21" s="126">
        <f t="shared" si="3"/>
        <v>46753</v>
      </c>
      <c r="BE21" s="126">
        <f t="shared" si="3"/>
        <v>46784</v>
      </c>
      <c r="BF21" s="126">
        <f t="shared" si="3"/>
        <v>46813</v>
      </c>
      <c r="BG21" s="126">
        <f t="shared" si="3"/>
        <v>46844</v>
      </c>
      <c r="BH21" s="126">
        <f t="shared" si="3"/>
        <v>46874</v>
      </c>
      <c r="BI21" s="126">
        <f t="shared" si="3"/>
        <v>46905</v>
      </c>
      <c r="BJ21" s="126">
        <f t="shared" si="3"/>
        <v>46935</v>
      </c>
      <c r="BK21" s="126">
        <f t="shared" si="3"/>
        <v>46966</v>
      </c>
      <c r="BL21" s="126">
        <f t="shared" si="3"/>
        <v>46997</v>
      </c>
      <c r="BM21" s="126">
        <f t="shared" si="3"/>
        <v>47027</v>
      </c>
      <c r="BN21" s="126">
        <f t="shared" si="3"/>
        <v>47058</v>
      </c>
      <c r="BO21" s="126">
        <f t="shared" si="3"/>
        <v>47088</v>
      </c>
      <c r="BP21" s="126">
        <f t="shared" si="3"/>
        <v>47119</v>
      </c>
      <c r="BQ21" s="126">
        <f t="shared" si="3"/>
        <v>47150</v>
      </c>
      <c r="BR21" s="126">
        <f t="shared" si="3"/>
        <v>47178</v>
      </c>
      <c r="BS21" s="126">
        <f t="shared" si="3"/>
        <v>47209</v>
      </c>
      <c r="BT21" s="126">
        <f t="shared" si="3"/>
        <v>47239</v>
      </c>
      <c r="BU21" s="126">
        <f t="shared" si="3"/>
        <v>47270</v>
      </c>
      <c r="BV21" s="126">
        <f t="shared" si="3"/>
        <v>47300</v>
      </c>
      <c r="BW21" s="126">
        <f t="shared" si="3"/>
        <v>47331</v>
      </c>
      <c r="BX21" s="126">
        <f t="shared" si="3"/>
        <v>47362</v>
      </c>
      <c r="BY21" s="126">
        <f t="shared" si="3"/>
        <v>47392</v>
      </c>
      <c r="BZ21" s="126">
        <f t="shared" si="3"/>
        <v>47423</v>
      </c>
      <c r="CA21" s="126">
        <f t="shared" si="3"/>
        <v>47453</v>
      </c>
      <c r="CB21" s="126">
        <f t="shared" si="3"/>
        <v>47484</v>
      </c>
      <c r="CC21" s="126">
        <f t="shared" si="3"/>
        <v>47515</v>
      </c>
      <c r="CD21" s="126">
        <f t="shared" si="3"/>
        <v>47543</v>
      </c>
      <c r="CE21" s="126">
        <f t="shared" si="3"/>
        <v>47574</v>
      </c>
      <c r="CF21" s="126">
        <f t="shared" si="3"/>
        <v>47604</v>
      </c>
      <c r="CG21" s="126">
        <f t="shared" si="3"/>
        <v>47635</v>
      </c>
      <c r="CH21" s="126">
        <f t="shared" si="3"/>
        <v>47665</v>
      </c>
      <c r="CI21" s="126">
        <f t="shared" si="3"/>
        <v>47696</v>
      </c>
      <c r="CJ21" s="126">
        <f t="shared" si="3"/>
        <v>47727</v>
      </c>
      <c r="CK21" s="126">
        <f t="shared" si="3"/>
        <v>47757</v>
      </c>
      <c r="CL21" s="126">
        <f t="shared" si="3"/>
        <v>47788</v>
      </c>
      <c r="CM21" s="126">
        <f t="shared" si="3"/>
        <v>47818</v>
      </c>
      <c r="CN21" s="126">
        <f t="shared" si="3"/>
        <v>47849</v>
      </c>
      <c r="CO21" s="126">
        <f t="shared" si="3"/>
        <v>47880</v>
      </c>
      <c r="CP21" s="126">
        <f t="shared" si="3"/>
        <v>47908</v>
      </c>
      <c r="CQ21" s="126">
        <f t="shared" si="3"/>
        <v>47939</v>
      </c>
      <c r="CR21" s="126">
        <f t="shared" si="3"/>
        <v>47969</v>
      </c>
      <c r="CS21" s="126">
        <f t="shared" si="3"/>
        <v>48000</v>
      </c>
      <c r="CT21" s="126">
        <f t="shared" si="3"/>
        <v>48030</v>
      </c>
      <c r="CU21" s="126">
        <f t="shared" si="3"/>
        <v>48061</v>
      </c>
      <c r="CV21" s="126">
        <f t="shared" si="3"/>
        <v>48092</v>
      </c>
    </row>
    <row r="22" ht="15.75" customHeight="1">
      <c r="A22" s="134" t="s">
        <v>333</v>
      </c>
      <c r="B22" s="134"/>
      <c r="C22" s="134">
        <f>'Monthly forecast'!E45</f>
        <v>2204.5</v>
      </c>
      <c r="D22" s="134">
        <f>'Monthly forecast'!F45</f>
        <v>4179.415789</v>
      </c>
      <c r="E22" s="134">
        <f>'Monthly forecast'!G45</f>
        <v>5964.331292</v>
      </c>
      <c r="F22" s="134">
        <f>'Monthly forecast'!H45</f>
        <v>7793.152675</v>
      </c>
      <c r="G22" s="134">
        <f>'Monthly forecast'!I45</f>
        <v>9464.973259</v>
      </c>
      <c r="H22" s="134">
        <f>'Monthly forecast'!J45</f>
        <v>11009.30935</v>
      </c>
      <c r="I22" s="134">
        <f>'Monthly forecast'!K45</f>
        <v>12651.55139</v>
      </c>
      <c r="J22" s="134">
        <f>'Monthly forecast'!L45</f>
        <v>14183.59822</v>
      </c>
      <c r="K22" s="134">
        <f>'Monthly forecast'!M45</f>
        <v>15625.24166</v>
      </c>
      <c r="L22" s="134">
        <f>'Monthly forecast'!N45</f>
        <v>17161.44773</v>
      </c>
      <c r="M22" s="134">
        <f>'Monthly forecast'!O45</f>
        <v>18583.57251</v>
      </c>
      <c r="N22" s="134">
        <f>'Monthly forecast'!P45</f>
        <v>19914.54567</v>
      </c>
      <c r="O22" s="134">
        <f>'Monthly forecast'!Q45</f>
        <v>21374.14831</v>
      </c>
      <c r="P22" s="134">
        <f>'Monthly forecast'!R45</f>
        <v>22749.49978</v>
      </c>
      <c r="Q22" s="134">
        <f>'Monthly forecast'!S45</f>
        <v>24059.97221</v>
      </c>
      <c r="R22" s="134">
        <f>'Monthly forecast'!T45</f>
        <v>25522.36865</v>
      </c>
      <c r="S22" s="134">
        <f>'Monthly forecast'!U45</f>
        <v>26921.32523</v>
      </c>
      <c r="T22" s="134">
        <f>'Monthly forecast'!V45</f>
        <v>28274.15392</v>
      </c>
      <c r="U22" s="134">
        <f>'Monthly forecast'!W45</f>
        <v>29795.95969</v>
      </c>
      <c r="V22" s="134">
        <f>'Monthly forecast'!X45</f>
        <v>31269.99103</v>
      </c>
      <c r="W22" s="134">
        <f>'Monthly forecast'!Y45</f>
        <v>32712.43893</v>
      </c>
      <c r="X22" s="134">
        <f>'Monthly forecast'!Z45</f>
        <v>34337.51698</v>
      </c>
      <c r="Y22" s="134">
        <f>'Monthly forecast'!AA45</f>
        <v>35927.78051</v>
      </c>
      <c r="Z22" s="134">
        <f>'Monthly forecast'!AB45</f>
        <v>37498.89907</v>
      </c>
      <c r="AA22" s="134">
        <f>'Monthly forecast'!AC45</f>
        <v>39264.71412</v>
      </c>
      <c r="AB22" s="134">
        <f>'Monthly forecast'!AD45</f>
        <v>41007.53942</v>
      </c>
      <c r="AC22" s="134">
        <f>'Monthly forecast'!AE45</f>
        <v>42742.91754</v>
      </c>
      <c r="AD22" s="134">
        <f>'Monthly forecast'!AF45</f>
        <v>44684.66439</v>
      </c>
      <c r="AE22" s="134">
        <f>'Monthly forecast'!AG45</f>
        <v>46615.15844</v>
      </c>
      <c r="AF22" s="134">
        <f>'Monthly forecast'!AH45</f>
        <v>48550.08807</v>
      </c>
      <c r="AG22" s="134">
        <f>'Monthly forecast'!AI45</f>
        <v>50503.48842</v>
      </c>
      <c r="AH22" s="134">
        <f>'Monthly forecast'!AJ45</f>
        <v>52488.0244</v>
      </c>
      <c r="AI22" s="134">
        <f>'Monthly forecast'!AK45</f>
        <v>54515.23294</v>
      </c>
      <c r="AJ22" s="134">
        <f>'Monthly forecast'!AL45</f>
        <v>56595.73081</v>
      </c>
      <c r="AK22" s="134">
        <f>'Monthly forecast'!AM45</f>
        <v>58739.39314</v>
      </c>
      <c r="AL22" s="134">
        <f>'Monthly forecast'!AN45</f>
        <v>60955.50722</v>
      </c>
      <c r="AM22" s="134">
        <f>'Monthly forecast'!AO45</f>
        <v>63252.90534</v>
      </c>
      <c r="AN22" s="134">
        <f>'Monthly forecast'!AP45</f>
        <v>65640.07996</v>
      </c>
      <c r="AO22" s="134">
        <f>'Monthly forecast'!AQ45</f>
        <v>68125.2839</v>
      </c>
      <c r="AP22" s="134">
        <f>'Monthly forecast'!AR45</f>
        <v>70716.61804</v>
      </c>
      <c r="AQ22" s="134">
        <f>'Monthly forecast'!AS45</f>
        <v>73422.10841</v>
      </c>
      <c r="AR22" s="134">
        <f>'Monthly forecast'!AT45</f>
        <v>76249.77437</v>
      </c>
      <c r="AS22" s="134">
        <f>'Monthly forecast'!AU45</f>
        <v>79207.68954</v>
      </c>
      <c r="AT22" s="134">
        <f>'Monthly forecast'!AV45</f>
        <v>82304.03651</v>
      </c>
      <c r="AU22" s="134">
        <f>'Monthly forecast'!AW45</f>
        <v>85547.15645</v>
      </c>
      <c r="AV22" s="134">
        <f>'Monthly forecast'!AX45</f>
        <v>88945.59468</v>
      </c>
      <c r="AW22" s="134">
        <f>'Monthly forecast'!AY45</f>
        <v>92508.14275</v>
      </c>
      <c r="AX22" s="134">
        <f>'Monthly forecast'!AZ45</f>
        <v>96243.87798</v>
      </c>
      <c r="AY22" s="134">
        <f>'Monthly forecast'!BA45</f>
        <v>100162.2007</v>
      </c>
      <c r="AZ22" s="134">
        <f>'Monthly forecast'!BB45</f>
        <v>104272.8703</v>
      </c>
      <c r="BA22" s="134">
        <f>'Monthly forecast'!BC45</f>
        <v>108586.0395</v>
      </c>
      <c r="BB22" s="134">
        <f>'Monthly forecast'!BD45</f>
        <v>113112.2882</v>
      </c>
      <c r="BC22" s="134">
        <f>'Monthly forecast'!BE45</f>
        <v>117862.6574</v>
      </c>
      <c r="BD22" s="134">
        <f>'Monthly forecast'!BF45</f>
        <v>122848.6818</v>
      </c>
      <c r="BE22" s="134">
        <f>'Monthly forecast'!BG45</f>
        <v>128082.4237</v>
      </c>
      <c r="BF22" s="134">
        <f>'Monthly forecast'!BH45</f>
        <v>133576.5065</v>
      </c>
      <c r="BG22" s="134">
        <f>'Monthly forecast'!BI45</f>
        <v>139344.1492</v>
      </c>
      <c r="BH22" s="134">
        <f>'Monthly forecast'!BJ45</f>
        <v>145399.2015</v>
      </c>
      <c r="BI22" s="134">
        <f>'Monthly forecast'!BK45</f>
        <v>151756.1796</v>
      </c>
      <c r="BJ22" s="134">
        <f>'Monthly forecast'!BL45</f>
        <v>158430.3039</v>
      </c>
      <c r="BK22" s="134">
        <f>'Monthly forecast'!BM45</f>
        <v>165437.5372</v>
      </c>
      <c r="BL22" s="134">
        <f>'Monthly forecast'!BN45</f>
        <v>172794.6244</v>
      </c>
      <c r="BM22" s="134">
        <f>'Monthly forecast'!BO45</f>
        <v>180519.1344</v>
      </c>
      <c r="BN22" s="134">
        <f>'Monthly forecast'!BP45</f>
        <v>188629.5031</v>
      </c>
      <c r="BO22" s="134">
        <f>'Monthly forecast'!BQ45</f>
        <v>197145.0784</v>
      </c>
      <c r="BP22" s="134">
        <f>'Monthly forecast'!BR45</f>
        <v>206086.1675</v>
      </c>
      <c r="BQ22" s="134">
        <f>'Monthly forecast'!BS45</f>
        <v>215474.0858</v>
      </c>
      <c r="BR22" s="134">
        <f>'Monthly forecast'!BT45</f>
        <v>225331.2084</v>
      </c>
      <c r="BS22" s="134">
        <f>'Monthly forecast'!BU45</f>
        <v>235681.0245</v>
      </c>
      <c r="BT22" s="134">
        <f>'Monthly forecast'!BV45</f>
        <v>246548.193</v>
      </c>
      <c r="BU22" s="134">
        <f>'Monthly forecast'!BW45</f>
        <v>257958.6024</v>
      </c>
      <c r="BV22" s="134">
        <f>'Monthly forecast'!BX45</f>
        <v>269939.4322</v>
      </c>
      <c r="BW22" s="134">
        <f>'Monthly forecast'!BY45</f>
        <v>282519.2186</v>
      </c>
      <c r="BX22" s="134">
        <f>'Monthly forecast'!BZ45</f>
        <v>295727.9221</v>
      </c>
      <c r="BY22" s="134">
        <f>'Monthly forecast'!CA45</f>
        <v>309596.9994</v>
      </c>
      <c r="BZ22" s="134">
        <f>'Monthly forecast'!CB45</f>
        <v>324159.4784</v>
      </c>
      <c r="CA22" s="134">
        <f>'Monthly forecast'!CC45</f>
        <v>339450.037</v>
      </c>
      <c r="CB22" s="134">
        <f>'Monthly forecast'!CD45</f>
        <v>355505.0858</v>
      </c>
      <c r="CC22" s="134">
        <f>'Monthly forecast'!CE45</f>
        <v>372362.855</v>
      </c>
      <c r="CD22" s="134">
        <f>'Monthly forecast'!CF45</f>
        <v>390063.4854</v>
      </c>
      <c r="CE22" s="134">
        <f>'Monthly forecast'!CG45</f>
        <v>408649.1242</v>
      </c>
      <c r="CF22" s="134">
        <f>'Monthly forecast'!CH45</f>
        <v>428164.0252</v>
      </c>
      <c r="CG22" s="134">
        <f>'Monthly forecast'!CI45</f>
        <v>448654.6546</v>
      </c>
      <c r="CH22" s="134">
        <f>'Monthly forecast'!CJ45</f>
        <v>470169.8012</v>
      </c>
      <c r="CI22" s="134">
        <f>'Monthly forecast'!CK45</f>
        <v>492760.6931</v>
      </c>
      <c r="CJ22" s="134">
        <f>'Monthly forecast'!CL45</f>
        <v>516481.1193</v>
      </c>
      <c r="CK22" s="134">
        <f>'Monthly forecast'!CM45</f>
        <v>541387.5581</v>
      </c>
      <c r="CL22" s="134">
        <f>'Monthly forecast'!CN45</f>
        <v>567539.3114</v>
      </c>
      <c r="CM22" s="134">
        <f>'Monthly forecast'!CO45</f>
        <v>594998.646</v>
      </c>
      <c r="CN22" s="134">
        <f>'Monthly forecast'!CP45</f>
        <v>623830.9421</v>
      </c>
      <c r="CO22" s="134">
        <f>'Monthly forecast'!CQ45</f>
        <v>654104.8483</v>
      </c>
      <c r="CP22" s="134">
        <f>'Monthly forecast'!CR45</f>
        <v>685892.446</v>
      </c>
      <c r="CQ22" s="134">
        <f>'Monthly forecast'!CS45</f>
        <v>719269.4203</v>
      </c>
      <c r="CR22" s="134">
        <f>'Monthly forecast'!CT45</f>
        <v>754315.2405</v>
      </c>
      <c r="CS22" s="134">
        <f>'Monthly forecast'!CU45</f>
        <v>791113.3494</v>
      </c>
      <c r="CT22" s="134">
        <f>'Monthly forecast'!CV45</f>
        <v>825199.347</v>
      </c>
      <c r="CU22" s="134">
        <f>'Monthly forecast'!CW45</f>
        <v>854172.4449</v>
      </c>
      <c r="CV22" s="134">
        <f>'Monthly forecast'!CX45</f>
        <v>878799.5782</v>
      </c>
    </row>
    <row r="23" ht="15.75" customHeight="1">
      <c r="A23" s="134" t="s">
        <v>161</v>
      </c>
      <c r="B23" s="134" t="str">
        <f>'Monthly forecast'!D47</f>
        <v/>
      </c>
      <c r="C23" s="134">
        <f>-'Monthly forecast'!E47</f>
        <v>-66.135</v>
      </c>
      <c r="D23" s="134">
        <f>-'Monthly forecast'!F47</f>
        <v>-125.3824737</v>
      </c>
      <c r="E23" s="134">
        <f>-'Monthly forecast'!G47</f>
        <v>-178.9299387</v>
      </c>
      <c r="F23" s="134">
        <f>-'Monthly forecast'!H47</f>
        <v>-233.7945803</v>
      </c>
      <c r="G23" s="134">
        <f>-'Monthly forecast'!I47</f>
        <v>-283.9491978</v>
      </c>
      <c r="H23" s="134">
        <f>-'Monthly forecast'!J47</f>
        <v>-330.2792804</v>
      </c>
      <c r="I23" s="134">
        <f>-'Monthly forecast'!K47</f>
        <v>-379.5465417</v>
      </c>
      <c r="J23" s="134">
        <f>-'Monthly forecast'!L47</f>
        <v>-425.5079467</v>
      </c>
      <c r="K23" s="134">
        <f>-'Monthly forecast'!M47</f>
        <v>-468.7572497</v>
      </c>
      <c r="L23" s="134">
        <f>-'Monthly forecast'!N47</f>
        <v>-514.8434319</v>
      </c>
      <c r="M23" s="134">
        <f>-'Monthly forecast'!O47</f>
        <v>-557.5071753</v>
      </c>
      <c r="N23" s="134">
        <f>-'Monthly forecast'!P47</f>
        <v>-597.4363702</v>
      </c>
      <c r="O23" s="134">
        <f>-'Monthly forecast'!Q47</f>
        <v>-641.2244493</v>
      </c>
      <c r="P23" s="134">
        <f>-'Monthly forecast'!R47</f>
        <v>-682.4849933</v>
      </c>
      <c r="Q23" s="134">
        <f>-'Monthly forecast'!S47</f>
        <v>-721.7991663</v>
      </c>
      <c r="R23" s="134">
        <f>-'Monthly forecast'!T47</f>
        <v>-765.6710594</v>
      </c>
      <c r="S23" s="134">
        <f>-'Monthly forecast'!U47</f>
        <v>-807.639757</v>
      </c>
      <c r="T23" s="134">
        <f>-'Monthly forecast'!V47</f>
        <v>-848.2246177</v>
      </c>
      <c r="U23" s="134">
        <f>-'Monthly forecast'!W47</f>
        <v>-893.8787906</v>
      </c>
      <c r="V23" s="134">
        <f>-'Monthly forecast'!X47</f>
        <v>-938.0997308</v>
      </c>
      <c r="W23" s="134">
        <f>-'Monthly forecast'!Y47</f>
        <v>-981.3731679</v>
      </c>
      <c r="X23" s="134">
        <f>-'Monthly forecast'!Z47</f>
        <v>-1030.125509</v>
      </c>
      <c r="Y23" s="134">
        <f>-'Monthly forecast'!AA47</f>
        <v>-1077.833415</v>
      </c>
      <c r="Z23" s="134">
        <f>-'Monthly forecast'!AB47</f>
        <v>-1124.966972</v>
      </c>
      <c r="AA23" s="134">
        <f>-'Monthly forecast'!AC47</f>
        <v>-1177.941424</v>
      </c>
      <c r="AB23" s="134">
        <f>-'Monthly forecast'!AD47</f>
        <v>-1230.226182</v>
      </c>
      <c r="AC23" s="134">
        <f>-'Monthly forecast'!AE47</f>
        <v>-1282.287526</v>
      </c>
      <c r="AD23" s="134">
        <f>-'Monthly forecast'!AF47</f>
        <v>-1340.539932</v>
      </c>
      <c r="AE23" s="134">
        <f>-'Monthly forecast'!AG47</f>
        <v>-1398.454753</v>
      </c>
      <c r="AF23" s="134">
        <f>-'Monthly forecast'!AH47</f>
        <v>-1456.502642</v>
      </c>
      <c r="AG23" s="134">
        <f>-'Monthly forecast'!AI47</f>
        <v>-1515.104653</v>
      </c>
      <c r="AH23" s="134">
        <f>-'Monthly forecast'!AJ47</f>
        <v>-1574.640732</v>
      </c>
      <c r="AI23" s="134">
        <f>-'Monthly forecast'!AK47</f>
        <v>-1635.456988</v>
      </c>
      <c r="AJ23" s="134">
        <f>-'Monthly forecast'!AL47</f>
        <v>-1697.871924</v>
      </c>
      <c r="AK23" s="134">
        <f>-'Monthly forecast'!AM47</f>
        <v>-1762.181794</v>
      </c>
      <c r="AL23" s="134">
        <f>-'Monthly forecast'!AN47</f>
        <v>-1828.665217</v>
      </c>
      <c r="AM23" s="134">
        <f>-'Monthly forecast'!AO47</f>
        <v>-1897.58716</v>
      </c>
      <c r="AN23" s="134">
        <f>-'Monthly forecast'!AP47</f>
        <v>-1969.202399</v>
      </c>
      <c r="AO23" s="134">
        <f>-'Monthly forecast'!AQ47</f>
        <v>-2043.758517</v>
      </c>
      <c r="AP23" s="134">
        <f>-'Monthly forecast'!AR47</f>
        <v>-2121.498541</v>
      </c>
      <c r="AQ23" s="134">
        <f>-'Monthly forecast'!AS47</f>
        <v>-2202.663252</v>
      </c>
      <c r="AR23" s="134">
        <f>-'Monthly forecast'!AT47</f>
        <v>-2287.493231</v>
      </c>
      <c r="AS23" s="134">
        <f>-'Monthly forecast'!AU47</f>
        <v>-2376.230686</v>
      </c>
      <c r="AT23" s="134">
        <f>-'Monthly forecast'!AV47</f>
        <v>-2469.121095</v>
      </c>
      <c r="AU23" s="134">
        <f>-'Monthly forecast'!AW47</f>
        <v>-2566.414694</v>
      </c>
      <c r="AV23" s="134">
        <f>-'Monthly forecast'!AX47</f>
        <v>-2668.36784</v>
      </c>
      <c r="AW23" s="134">
        <f>-'Monthly forecast'!AY47</f>
        <v>-2775.244282</v>
      </c>
      <c r="AX23" s="134">
        <f>-'Monthly forecast'!AZ47</f>
        <v>-2887.316339</v>
      </c>
      <c r="AY23" s="134">
        <f>-'Monthly forecast'!BA47</f>
        <v>-3004.866022</v>
      </c>
      <c r="AZ23" s="134">
        <f>-'Monthly forecast'!BB47</f>
        <v>-3128.18611</v>
      </c>
      <c r="BA23" s="134">
        <f>-'Monthly forecast'!BC47</f>
        <v>-3257.581184</v>
      </c>
      <c r="BB23" s="134">
        <f>-'Monthly forecast'!BD47</f>
        <v>-3393.368646</v>
      </c>
      <c r="BC23" s="134">
        <f>-'Monthly forecast'!BE47</f>
        <v>-3535.879721</v>
      </c>
      <c r="BD23" s="134">
        <f>-'Monthly forecast'!BF47</f>
        <v>-3685.460453</v>
      </c>
      <c r="BE23" s="134">
        <f>-'Monthly forecast'!BG47</f>
        <v>-3842.47271</v>
      </c>
      <c r="BF23" s="134">
        <f>-'Monthly forecast'!BH47</f>
        <v>-4007.295195</v>
      </c>
      <c r="BG23" s="134">
        <f>-'Monthly forecast'!BI47</f>
        <v>-4180.324477</v>
      </c>
      <c r="BH23" s="134">
        <f>-'Monthly forecast'!BJ47</f>
        <v>-4361.976044</v>
      </c>
      <c r="BI23" s="134">
        <f>-'Monthly forecast'!BK47</f>
        <v>-4552.685388</v>
      </c>
      <c r="BJ23" s="134">
        <f>-'Monthly forecast'!BL47</f>
        <v>-4752.909118</v>
      </c>
      <c r="BK23" s="134">
        <f>-'Monthly forecast'!BM47</f>
        <v>-4963.126116</v>
      </c>
      <c r="BL23" s="134">
        <f>-'Monthly forecast'!BN47</f>
        <v>-5183.838732</v>
      </c>
      <c r="BM23" s="134">
        <f>-'Monthly forecast'!BO47</f>
        <v>-5415.574032</v>
      </c>
      <c r="BN23" s="134">
        <f>-'Monthly forecast'!BP47</f>
        <v>-5658.885093</v>
      </c>
      <c r="BO23" s="134">
        <f>-'Monthly forecast'!BQ47</f>
        <v>-5914.352353</v>
      </c>
      <c r="BP23" s="134">
        <f>-'Monthly forecast'!BR47</f>
        <v>-6182.585025</v>
      </c>
      <c r="BQ23" s="134">
        <f>-'Monthly forecast'!BS47</f>
        <v>-6464.222573</v>
      </c>
      <c r="BR23" s="134">
        <f>-'Monthly forecast'!BT47</f>
        <v>-6759.936253</v>
      </c>
      <c r="BS23" s="134">
        <f>-'Monthly forecast'!BU47</f>
        <v>-7070.430735</v>
      </c>
      <c r="BT23" s="134">
        <f>-'Monthly forecast'!BV47</f>
        <v>-7396.445791</v>
      </c>
      <c r="BU23" s="134">
        <f>-'Monthly forecast'!BW47</f>
        <v>-7738.758071</v>
      </c>
      <c r="BV23" s="134">
        <f>-'Monthly forecast'!BX47</f>
        <v>-8098.182967</v>
      </c>
      <c r="BW23" s="134">
        <f>-'Monthly forecast'!BY47</f>
        <v>-8475.576559</v>
      </c>
      <c r="BX23" s="134">
        <f>-'Monthly forecast'!BZ47</f>
        <v>-8871.837664</v>
      </c>
      <c r="BY23" s="134">
        <f>-'Monthly forecast'!CA47</f>
        <v>-9287.909982</v>
      </c>
      <c r="BZ23" s="134">
        <f>-'Monthly forecast'!CB47</f>
        <v>-9724.784352</v>
      </c>
      <c r="CA23" s="134">
        <f>-'Monthly forecast'!CC47</f>
        <v>-10183.50111</v>
      </c>
      <c r="CB23" s="134">
        <f>-'Monthly forecast'!CD47</f>
        <v>-10665.15257</v>
      </c>
      <c r="CC23" s="134">
        <f>-'Monthly forecast'!CE47</f>
        <v>-11170.88565</v>
      </c>
      <c r="CD23" s="134">
        <f>-'Monthly forecast'!CF47</f>
        <v>-11701.90456</v>
      </c>
      <c r="CE23" s="134">
        <f>-'Monthly forecast'!CG47</f>
        <v>-12259.47373</v>
      </c>
      <c r="CF23" s="134">
        <f>-'Monthly forecast'!CH47</f>
        <v>-12844.92076</v>
      </c>
      <c r="CG23" s="134">
        <f>-'Monthly forecast'!CI47</f>
        <v>-13459.63964</v>
      </c>
      <c r="CH23" s="134">
        <f>-'Monthly forecast'!CJ47</f>
        <v>-14105.09404</v>
      </c>
      <c r="CI23" s="134">
        <f>-'Monthly forecast'!CK47</f>
        <v>-14782.82079</v>
      </c>
      <c r="CJ23" s="134">
        <f>-'Monthly forecast'!CL47</f>
        <v>-15494.43358</v>
      </c>
      <c r="CK23" s="134">
        <f>-'Monthly forecast'!CM47</f>
        <v>-16241.62674</v>
      </c>
      <c r="CL23" s="134">
        <f>-'Monthly forecast'!CN47</f>
        <v>-17026.17934</v>
      </c>
      <c r="CM23" s="134">
        <f>-'Monthly forecast'!CO47</f>
        <v>-17849.95938</v>
      </c>
      <c r="CN23" s="134">
        <f>-'Monthly forecast'!CP47</f>
        <v>-18714.92826</v>
      </c>
      <c r="CO23" s="134">
        <f>-'Monthly forecast'!CQ47</f>
        <v>-19623.14545</v>
      </c>
      <c r="CP23" s="134">
        <f>-'Monthly forecast'!CR47</f>
        <v>-20576.77338</v>
      </c>
      <c r="CQ23" s="134">
        <f>-'Monthly forecast'!CS47</f>
        <v>-21578.08261</v>
      </c>
      <c r="CR23" s="134">
        <f>-'Monthly forecast'!CT47</f>
        <v>-22629.45722</v>
      </c>
      <c r="CS23" s="134">
        <f>-'Monthly forecast'!CU47</f>
        <v>-23733.40048</v>
      </c>
      <c r="CT23" s="134">
        <f>-'Monthly forecast'!CV47</f>
        <v>-24755.98041</v>
      </c>
      <c r="CU23" s="134">
        <f>-'Monthly forecast'!CW47</f>
        <v>-25625.17335</v>
      </c>
      <c r="CV23" s="134">
        <f>-'Monthly forecast'!CX47</f>
        <v>-26363.98735</v>
      </c>
    </row>
    <row r="24" ht="15.75" customHeight="1">
      <c r="A24" s="134" t="s">
        <v>164</v>
      </c>
      <c r="B24" s="134" t="str">
        <f>'Monthly forecast'!D53</f>
        <v/>
      </c>
      <c r="C24" s="134">
        <f>-'Monthly forecast'!E53</f>
        <v>-7076.923077</v>
      </c>
      <c r="D24" s="134">
        <f>-'Monthly forecast'!F53</f>
        <v>-7076.923077</v>
      </c>
      <c r="E24" s="134">
        <f>-'Monthly forecast'!G53</f>
        <v>-7076.923077</v>
      </c>
      <c r="F24" s="134">
        <f>-'Monthly forecast'!H53</f>
        <v>-7076.923077</v>
      </c>
      <c r="G24" s="134">
        <f>-'Monthly forecast'!I53</f>
        <v>-7076.923077</v>
      </c>
      <c r="H24" s="134">
        <f>-'Monthly forecast'!J53</f>
        <v>-7076.923077</v>
      </c>
      <c r="I24" s="134">
        <f>-'Monthly forecast'!K53</f>
        <v>-7076.923077</v>
      </c>
      <c r="J24" s="134">
        <f>-'Monthly forecast'!L53</f>
        <v>-7076.923077</v>
      </c>
      <c r="K24" s="134">
        <f>-'Monthly forecast'!M53</f>
        <v>-7076.923077</v>
      </c>
      <c r="L24" s="134">
        <f>-'Monthly forecast'!N53</f>
        <v>-8615.384615</v>
      </c>
      <c r="M24" s="134">
        <f>-'Monthly forecast'!O53</f>
        <v>-8615.384615</v>
      </c>
      <c r="N24" s="134">
        <f>-'Monthly forecast'!P53</f>
        <v>-8615.384615</v>
      </c>
      <c r="O24" s="134">
        <f>-'Monthly forecast'!Q53</f>
        <v>-8707.692308</v>
      </c>
      <c r="P24" s="134">
        <f>-'Monthly forecast'!R53</f>
        <v>-8707.692308</v>
      </c>
      <c r="Q24" s="134">
        <f>-'Monthly forecast'!S53</f>
        <v>-8707.692308</v>
      </c>
      <c r="R24" s="134">
        <f>-'Monthly forecast'!T53</f>
        <v>-8707.692308</v>
      </c>
      <c r="S24" s="134">
        <f>-'Monthly forecast'!U53</f>
        <v>-8707.692308</v>
      </c>
      <c r="T24" s="134">
        <f>-'Monthly forecast'!V53</f>
        <v>-8707.692308</v>
      </c>
      <c r="U24" s="134">
        <f>-'Monthly forecast'!W53</f>
        <v>-8707.692308</v>
      </c>
      <c r="V24" s="134">
        <f>-'Monthly forecast'!X53</f>
        <v>-10276.92308</v>
      </c>
      <c r="W24" s="134">
        <f>-'Monthly forecast'!Y53</f>
        <v>-10276.92308</v>
      </c>
      <c r="X24" s="134">
        <f>-'Monthly forecast'!Z53</f>
        <v>-10276.92308</v>
      </c>
      <c r="Y24" s="134">
        <f>-'Monthly forecast'!AA53</f>
        <v>-10276.92308</v>
      </c>
      <c r="Z24" s="134">
        <f>-'Monthly forecast'!AB53</f>
        <v>-10276.92308</v>
      </c>
      <c r="AA24" s="134">
        <f>-'Monthly forecast'!AC53</f>
        <v>-10402.46154</v>
      </c>
      <c r="AB24" s="134">
        <f>-'Monthly forecast'!AD53</f>
        <v>-18094.76923</v>
      </c>
      <c r="AC24" s="134">
        <f>-'Monthly forecast'!AE53</f>
        <v>-19695.38462</v>
      </c>
      <c r="AD24" s="134">
        <f>-'Monthly forecast'!AF53</f>
        <v>-19695.38462</v>
      </c>
      <c r="AE24" s="134">
        <f>-'Monthly forecast'!AG53</f>
        <v>-19695.38462</v>
      </c>
      <c r="AF24" s="134">
        <f>-'Monthly forecast'!AH53</f>
        <v>-19695.38462</v>
      </c>
      <c r="AG24" s="134">
        <f>-'Monthly forecast'!AI53</f>
        <v>-19695.38462</v>
      </c>
      <c r="AH24" s="134">
        <f>-'Monthly forecast'!AJ53</f>
        <v>-21296</v>
      </c>
      <c r="AI24" s="134">
        <f>-'Monthly forecast'!AK53</f>
        <v>-21296</v>
      </c>
      <c r="AJ24" s="134">
        <f>-'Monthly forecast'!AL53</f>
        <v>-33603.69231</v>
      </c>
      <c r="AK24" s="134">
        <f>-'Monthly forecast'!AM53</f>
        <v>-33603.69231</v>
      </c>
      <c r="AL24" s="134">
        <f>-'Monthly forecast'!AN53</f>
        <v>-35204.30769</v>
      </c>
      <c r="AM24" s="134">
        <f>-'Monthly forecast'!AO53</f>
        <v>-35428.39385</v>
      </c>
      <c r="AN24" s="134">
        <f>-'Monthly forecast'!AP53</f>
        <v>-66274.54769</v>
      </c>
      <c r="AO24" s="134">
        <f>-'Monthly forecast'!AQ53</f>
        <v>-66274.54769</v>
      </c>
      <c r="AP24" s="134">
        <f>-'Monthly forecast'!AR53</f>
        <v>-67907.17538</v>
      </c>
      <c r="AQ24" s="134">
        <f>-'Monthly forecast'!AS53</f>
        <v>-67907.17538</v>
      </c>
      <c r="AR24" s="134">
        <f>-'Monthly forecast'!AT53</f>
        <v>-67907.17538</v>
      </c>
      <c r="AS24" s="134">
        <f>-'Monthly forecast'!AU53</f>
        <v>-69539.80308</v>
      </c>
      <c r="AT24" s="134">
        <f>-'Monthly forecast'!AV53</f>
        <v>-69539.80308</v>
      </c>
      <c r="AU24" s="134">
        <f>-'Monthly forecast'!AW53</f>
        <v>-71172.43077</v>
      </c>
      <c r="AV24" s="134">
        <f>-'Monthly forecast'!AX53</f>
        <v>-71172.43077</v>
      </c>
      <c r="AW24" s="134">
        <f>-'Monthly forecast'!AY53</f>
        <v>-71172.43077</v>
      </c>
      <c r="AX24" s="134">
        <f>-'Monthly forecast'!AZ53</f>
        <v>-72805.05846</v>
      </c>
      <c r="AY24" s="134">
        <f>-'Monthly forecast'!BA53</f>
        <v>-73164.23655</v>
      </c>
      <c r="AZ24" s="134">
        <f>-'Monthly forecast'!BB53</f>
        <v>-75417.20911</v>
      </c>
      <c r="BA24" s="134">
        <f>-'Monthly forecast'!BC53</f>
        <v>-75417.20911</v>
      </c>
      <c r="BB24" s="134">
        <f>-'Monthly forecast'!BD53</f>
        <v>-77082.48935</v>
      </c>
      <c r="BC24" s="134">
        <f>-'Monthly forecast'!BE53</f>
        <v>-78747.7696</v>
      </c>
      <c r="BD24" s="134">
        <f>-'Monthly forecast'!BF53</f>
        <v>-78747.7696</v>
      </c>
      <c r="BE24" s="134">
        <f>-'Monthly forecast'!BG53</f>
        <v>-80413.04985</v>
      </c>
      <c r="BF24" s="134">
        <f>-'Monthly forecast'!BH53</f>
        <v>-82078.33009</v>
      </c>
      <c r="BG24" s="134">
        <f>-'Monthly forecast'!BI53</f>
        <v>-82078.33009</v>
      </c>
      <c r="BH24" s="134">
        <f>-'Monthly forecast'!BJ53</f>
        <v>-83743.61034</v>
      </c>
      <c r="BI24" s="134">
        <f>-'Monthly forecast'!BK53</f>
        <v>-85408.89058</v>
      </c>
      <c r="BJ24" s="134">
        <f>-'Monthly forecast'!BL53</f>
        <v>-87074.17083</v>
      </c>
      <c r="BK24" s="134">
        <f>-'Monthly forecast'!BM53</f>
        <v>-89405.56318</v>
      </c>
      <c r="BL24" s="134">
        <f>-'Monthly forecast'!BN53</f>
        <v>-91712.21056</v>
      </c>
      <c r="BM24" s="134">
        <f>-'Monthly forecast'!BO53</f>
        <v>-93410.79642</v>
      </c>
      <c r="BN24" s="134">
        <f>-'Monthly forecast'!BP53</f>
        <v>-95109.38227</v>
      </c>
      <c r="BO24" s="134">
        <f>-'Monthly forecast'!BQ53</f>
        <v>-96807.96812</v>
      </c>
      <c r="BP24" s="134">
        <f>-'Monthly forecast'!BR53</f>
        <v>-98506.55397</v>
      </c>
      <c r="BQ24" s="134">
        <f>-'Monthly forecast'!BS53</f>
        <v>-100205.1398</v>
      </c>
      <c r="BR24" s="134">
        <f>-'Monthly forecast'!BT53</f>
        <v>-101903.7257</v>
      </c>
      <c r="BS24" s="134">
        <f>-'Monthly forecast'!BU53</f>
        <v>-105300.8974</v>
      </c>
      <c r="BT24" s="134">
        <f>-'Monthly forecast'!BV53</f>
        <v>-106999.4832</v>
      </c>
      <c r="BU24" s="134">
        <f>-'Monthly forecast'!BW53</f>
        <v>-108698.0691</v>
      </c>
      <c r="BV24" s="134">
        <f>-'Monthly forecast'!BX53</f>
        <v>-112095.2408</v>
      </c>
      <c r="BW24" s="134">
        <f>-'Monthly forecast'!BY53</f>
        <v>-116681.4226</v>
      </c>
      <c r="BX24" s="134">
        <f>-'Monthly forecast'!BZ53</f>
        <v>-119043.1629</v>
      </c>
      <c r="BY24" s="134">
        <f>-'Monthly forecast'!CA53</f>
        <v>-122508.278</v>
      </c>
      <c r="BZ24" s="134">
        <f>-'Monthly forecast'!CB53</f>
        <v>-125973.3932</v>
      </c>
      <c r="CA24" s="134">
        <f>-'Monthly forecast'!CC53</f>
        <v>-129438.5083</v>
      </c>
      <c r="CB24" s="134">
        <f>-'Monthly forecast'!CD53</f>
        <v>-132903.6235</v>
      </c>
      <c r="CC24" s="134">
        <f>-'Monthly forecast'!CE53</f>
        <v>-136368.7386</v>
      </c>
      <c r="CD24" s="134">
        <f>-'Monthly forecast'!CF53</f>
        <v>-139833.8537</v>
      </c>
      <c r="CE24" s="134">
        <f>-'Monthly forecast'!CG53</f>
        <v>-145031.5264</v>
      </c>
      <c r="CF24" s="134">
        <f>-'Monthly forecast'!CH53</f>
        <v>-148496.6416</v>
      </c>
      <c r="CG24" s="134">
        <f>-'Monthly forecast'!CI53</f>
        <v>-153694.3143</v>
      </c>
      <c r="CH24" s="134">
        <f>-'Monthly forecast'!CJ53</f>
        <v>-157159.4294</v>
      </c>
      <c r="CI24" s="134">
        <f>-'Monthly forecast'!CK53</f>
        <v>-164470.8223</v>
      </c>
      <c r="CJ24" s="134">
        <f>-'Monthly forecast'!CL53</f>
        <v>-170423.5333</v>
      </c>
      <c r="CK24" s="134">
        <f>-'Monthly forecast'!CM53</f>
        <v>-175725.1595</v>
      </c>
      <c r="CL24" s="134">
        <f>-'Monthly forecast'!CN53</f>
        <v>-182793.9944</v>
      </c>
      <c r="CM24" s="134">
        <f>-'Monthly forecast'!CO53</f>
        <v>-188095.6205</v>
      </c>
      <c r="CN24" s="134">
        <f>-'Monthly forecast'!CP53</f>
        <v>-195164.4554</v>
      </c>
      <c r="CO24" s="134">
        <f>-'Monthly forecast'!CQ53</f>
        <v>-202233.2903</v>
      </c>
      <c r="CP24" s="134">
        <f>-'Monthly forecast'!CR53</f>
        <v>-209302.1252</v>
      </c>
      <c r="CQ24" s="134">
        <f>-'Monthly forecast'!CS53</f>
        <v>-216370.96</v>
      </c>
      <c r="CR24" s="134">
        <f>-'Monthly forecast'!CT53</f>
        <v>-223439.7949</v>
      </c>
      <c r="CS24" s="134">
        <f>-'Monthly forecast'!CU53</f>
        <v>-232275.8385</v>
      </c>
      <c r="CT24" s="134">
        <f>-'Monthly forecast'!CV53</f>
        <v>-235810.256</v>
      </c>
      <c r="CU24" s="134">
        <f>-'Monthly forecast'!CW53</f>
        <v>-239380.0176</v>
      </c>
      <c r="CV24" s="134">
        <f>-'Monthly forecast'!CX53</f>
        <v>-240053.8152</v>
      </c>
    </row>
    <row r="25" ht="15.75" customHeight="1">
      <c r="A25" s="134" t="s">
        <v>189</v>
      </c>
      <c r="B25" s="134" t="str">
        <f>'Monthly forecast'!D160</f>
        <v/>
      </c>
      <c r="C25" s="134">
        <f>-'Monthly forecast'!E160</f>
        <v>-12000</v>
      </c>
      <c r="D25" s="134">
        <f>-'Monthly forecast'!F160</f>
        <v>0</v>
      </c>
      <c r="E25" s="134">
        <f>-'Monthly forecast'!G160</f>
        <v>0</v>
      </c>
      <c r="F25" s="134">
        <f>-'Monthly forecast'!H160</f>
        <v>0</v>
      </c>
      <c r="G25" s="134">
        <f>-'Monthly forecast'!I160</f>
        <v>0</v>
      </c>
      <c r="H25" s="134">
        <f>-'Monthly forecast'!J160</f>
        <v>0</v>
      </c>
      <c r="I25" s="134">
        <f>-'Monthly forecast'!K160</f>
        <v>0</v>
      </c>
      <c r="J25" s="134">
        <f>-'Monthly forecast'!L160</f>
        <v>0</v>
      </c>
      <c r="K25" s="134">
        <f>-'Monthly forecast'!M160</f>
        <v>0</v>
      </c>
      <c r="L25" s="134">
        <f>-'Monthly forecast'!N160</f>
        <v>0</v>
      </c>
      <c r="M25" s="134">
        <f>-'Monthly forecast'!O160</f>
        <v>0</v>
      </c>
      <c r="N25" s="134">
        <f>-'Monthly forecast'!P160</f>
        <v>0</v>
      </c>
      <c r="O25" s="134">
        <f>-'Monthly forecast'!Q160</f>
        <v>0</v>
      </c>
      <c r="P25" s="134">
        <f>-'Monthly forecast'!R160</f>
        <v>0</v>
      </c>
      <c r="Q25" s="134">
        <f>-'Monthly forecast'!S160</f>
        <v>0</v>
      </c>
      <c r="R25" s="134">
        <f>-'Monthly forecast'!T160</f>
        <v>0</v>
      </c>
      <c r="S25" s="134">
        <f>-'Monthly forecast'!U160</f>
        <v>0</v>
      </c>
      <c r="T25" s="134">
        <f>-'Monthly forecast'!V160</f>
        <v>0</v>
      </c>
      <c r="U25" s="134">
        <f>-'Monthly forecast'!W160</f>
        <v>0</v>
      </c>
      <c r="V25" s="134">
        <f>-'Monthly forecast'!X160</f>
        <v>0</v>
      </c>
      <c r="W25" s="134">
        <f>-'Monthly forecast'!Y160</f>
        <v>0</v>
      </c>
      <c r="X25" s="134">
        <f>-'Monthly forecast'!Z160</f>
        <v>0</v>
      </c>
      <c r="Y25" s="134">
        <f>-'Monthly forecast'!AA160</f>
        <v>0</v>
      </c>
      <c r="Z25" s="134">
        <f>-'Monthly forecast'!AB160</f>
        <v>0</v>
      </c>
      <c r="AA25" s="134">
        <f>-'Monthly forecast'!AC160</f>
        <v>0</v>
      </c>
      <c r="AB25" s="134">
        <f>-'Monthly forecast'!AD160</f>
        <v>-2000</v>
      </c>
      <c r="AC25" s="134">
        <f>-'Monthly forecast'!AE160</f>
        <v>0</v>
      </c>
      <c r="AD25" s="134">
        <f>-'Monthly forecast'!AF160</f>
        <v>0</v>
      </c>
      <c r="AE25" s="134">
        <f>-'Monthly forecast'!AG160</f>
        <v>0</v>
      </c>
      <c r="AF25" s="134">
        <f>-'Monthly forecast'!AH160</f>
        <v>0</v>
      </c>
      <c r="AG25" s="134">
        <f>-'Monthly forecast'!AI160</f>
        <v>0</v>
      </c>
      <c r="AH25" s="134">
        <f>-'Monthly forecast'!AJ160</f>
        <v>0</v>
      </c>
      <c r="AI25" s="134">
        <f>-'Monthly forecast'!AK160</f>
        <v>0</v>
      </c>
      <c r="AJ25" s="134">
        <f>-'Monthly forecast'!AL160</f>
        <v>-2000</v>
      </c>
      <c r="AK25" s="134">
        <f>-'Monthly forecast'!AM160</f>
        <v>0</v>
      </c>
      <c r="AL25" s="134">
        <f>-'Monthly forecast'!AN160</f>
        <v>0</v>
      </c>
      <c r="AM25" s="134">
        <f>-'Monthly forecast'!AO160</f>
        <v>-2000</v>
      </c>
      <c r="AN25" s="134">
        <f>-'Monthly forecast'!AP160</f>
        <v>-10000</v>
      </c>
      <c r="AO25" s="134">
        <f>-'Monthly forecast'!AQ160</f>
        <v>0</v>
      </c>
      <c r="AP25" s="134">
        <f>-'Monthly forecast'!AR160</f>
        <v>0</v>
      </c>
      <c r="AQ25" s="134">
        <f>-'Monthly forecast'!AS160</f>
        <v>0</v>
      </c>
      <c r="AR25" s="134">
        <f>-'Monthly forecast'!AT160</f>
        <v>0</v>
      </c>
      <c r="AS25" s="134">
        <f>-'Monthly forecast'!AU160</f>
        <v>0</v>
      </c>
      <c r="AT25" s="134">
        <f>-'Monthly forecast'!AV160</f>
        <v>0</v>
      </c>
      <c r="AU25" s="134">
        <f>-'Monthly forecast'!AW160</f>
        <v>0</v>
      </c>
      <c r="AV25" s="134">
        <f>-'Monthly forecast'!AX160</f>
        <v>0</v>
      </c>
      <c r="AW25" s="134">
        <f>-'Monthly forecast'!AY160</f>
        <v>0</v>
      </c>
      <c r="AX25" s="134">
        <f>-'Monthly forecast'!AZ160</f>
        <v>0</v>
      </c>
      <c r="AY25" s="134">
        <f>-'Monthly forecast'!BA160</f>
        <v>0</v>
      </c>
      <c r="AZ25" s="134">
        <f>-'Monthly forecast'!BB160</f>
        <v>0</v>
      </c>
      <c r="BA25" s="134">
        <f>-'Monthly forecast'!BC160</f>
        <v>0</v>
      </c>
      <c r="BB25" s="134">
        <f>-'Monthly forecast'!BD160</f>
        <v>0</v>
      </c>
      <c r="BC25" s="134">
        <f>-'Monthly forecast'!BE160</f>
        <v>0</v>
      </c>
      <c r="BD25" s="134">
        <f>-'Monthly forecast'!BF160</f>
        <v>0</v>
      </c>
      <c r="BE25" s="134">
        <f>-'Monthly forecast'!BG160</f>
        <v>0</v>
      </c>
      <c r="BF25" s="134">
        <f>-'Monthly forecast'!BH160</f>
        <v>0</v>
      </c>
      <c r="BG25" s="134">
        <f>-'Monthly forecast'!BI160</f>
        <v>0</v>
      </c>
      <c r="BH25" s="134">
        <f>-'Monthly forecast'!BJ160</f>
        <v>0</v>
      </c>
      <c r="BI25" s="134">
        <f>-'Monthly forecast'!BK160</f>
        <v>0</v>
      </c>
      <c r="BJ25" s="134">
        <f>-'Monthly forecast'!BL160</f>
        <v>0</v>
      </c>
      <c r="BK25" s="134">
        <f>-'Monthly forecast'!BM160</f>
        <v>0</v>
      </c>
      <c r="BL25" s="134">
        <f>-'Monthly forecast'!BN160</f>
        <v>0</v>
      </c>
      <c r="BM25" s="134">
        <f>-'Monthly forecast'!BO160</f>
        <v>0</v>
      </c>
      <c r="BN25" s="134">
        <f>-'Monthly forecast'!BP160</f>
        <v>0</v>
      </c>
      <c r="BO25" s="134">
        <f>-'Monthly forecast'!BQ160</f>
        <v>0</v>
      </c>
      <c r="BP25" s="134">
        <f>-'Monthly forecast'!BR160</f>
        <v>0</v>
      </c>
      <c r="BQ25" s="134">
        <f>-'Monthly forecast'!BS160</f>
        <v>0</v>
      </c>
      <c r="BR25" s="134">
        <f>-'Monthly forecast'!BT160</f>
        <v>0</v>
      </c>
      <c r="BS25" s="134">
        <f>-'Monthly forecast'!BU160</f>
        <v>0</v>
      </c>
      <c r="BT25" s="134">
        <f>-'Monthly forecast'!BV160</f>
        <v>0</v>
      </c>
      <c r="BU25" s="134">
        <f>-'Monthly forecast'!BW160</f>
        <v>0</v>
      </c>
      <c r="BV25" s="134">
        <f>-'Monthly forecast'!BX160</f>
        <v>0</v>
      </c>
      <c r="BW25" s="134">
        <f>-'Monthly forecast'!BY160</f>
        <v>0</v>
      </c>
      <c r="BX25" s="134">
        <f>-'Monthly forecast'!BZ160</f>
        <v>0</v>
      </c>
      <c r="BY25" s="134">
        <f>-'Monthly forecast'!CA160</f>
        <v>0</v>
      </c>
      <c r="BZ25" s="134">
        <f>-'Monthly forecast'!CB160</f>
        <v>0</v>
      </c>
      <c r="CA25" s="134">
        <f>-'Monthly forecast'!CC160</f>
        <v>0</v>
      </c>
      <c r="CB25" s="134">
        <f>-'Monthly forecast'!CD160</f>
        <v>0</v>
      </c>
      <c r="CC25" s="134">
        <f>-'Monthly forecast'!CE160</f>
        <v>0</v>
      </c>
      <c r="CD25" s="134">
        <f>-'Monthly forecast'!CF160</f>
        <v>0</v>
      </c>
      <c r="CE25" s="134">
        <f>-'Monthly forecast'!CG160</f>
        <v>0</v>
      </c>
      <c r="CF25" s="134">
        <f>-'Monthly forecast'!CH160</f>
        <v>0</v>
      </c>
      <c r="CG25" s="134">
        <f>-'Monthly forecast'!CI160</f>
        <v>0</v>
      </c>
      <c r="CH25" s="134">
        <f>-'Monthly forecast'!CJ160</f>
        <v>0</v>
      </c>
      <c r="CI25" s="134">
        <f>-'Monthly forecast'!CK160</f>
        <v>0</v>
      </c>
      <c r="CJ25" s="134">
        <f>-'Monthly forecast'!CL160</f>
        <v>0</v>
      </c>
      <c r="CK25" s="134">
        <f>-'Monthly forecast'!CM160</f>
        <v>0</v>
      </c>
      <c r="CL25" s="134">
        <f>-'Monthly forecast'!CN160</f>
        <v>0</v>
      </c>
      <c r="CM25" s="134">
        <f>-'Monthly forecast'!CO160</f>
        <v>0</v>
      </c>
      <c r="CN25" s="134">
        <f>-'Monthly forecast'!CP160</f>
        <v>0</v>
      </c>
      <c r="CO25" s="134">
        <f>-'Monthly forecast'!CQ160</f>
        <v>0</v>
      </c>
      <c r="CP25" s="134">
        <f>-'Monthly forecast'!CR160</f>
        <v>0</v>
      </c>
      <c r="CQ25" s="134">
        <f>-'Monthly forecast'!CS160</f>
        <v>0</v>
      </c>
      <c r="CR25" s="134">
        <f>-'Monthly forecast'!CT160</f>
        <v>0</v>
      </c>
      <c r="CS25" s="134">
        <f>-'Monthly forecast'!CU160</f>
        <v>0</v>
      </c>
      <c r="CT25" s="134">
        <f>-'Monthly forecast'!CV160</f>
        <v>0</v>
      </c>
      <c r="CU25" s="134">
        <f>-'Monthly forecast'!CW160</f>
        <v>0</v>
      </c>
      <c r="CV25" s="134">
        <f>-'Monthly forecast'!CX160</f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29.25" customHeight="1">
      <c r="A47" s="123" t="s">
        <v>204</v>
      </c>
      <c r="B47" s="125">
        <f>EDATE(C47,-1)</f>
        <v>45108</v>
      </c>
      <c r="C47" s="126">
        <f>Projections!$B$4</f>
        <v>45139</v>
      </c>
      <c r="D47" s="126">
        <f t="shared" ref="D47:CV47" si="4">EDATE(C47,1)</f>
        <v>45170</v>
      </c>
      <c r="E47" s="126">
        <f t="shared" si="4"/>
        <v>45200</v>
      </c>
      <c r="F47" s="126">
        <f t="shared" si="4"/>
        <v>45231</v>
      </c>
      <c r="G47" s="126">
        <f t="shared" si="4"/>
        <v>45261</v>
      </c>
      <c r="H47" s="126">
        <f t="shared" si="4"/>
        <v>45292</v>
      </c>
      <c r="I47" s="126">
        <f t="shared" si="4"/>
        <v>45323</v>
      </c>
      <c r="J47" s="126">
        <f t="shared" si="4"/>
        <v>45352</v>
      </c>
      <c r="K47" s="126">
        <f t="shared" si="4"/>
        <v>45383</v>
      </c>
      <c r="L47" s="126">
        <f t="shared" si="4"/>
        <v>45413</v>
      </c>
      <c r="M47" s="126">
        <f t="shared" si="4"/>
        <v>45444</v>
      </c>
      <c r="N47" s="126">
        <f t="shared" si="4"/>
        <v>45474</v>
      </c>
      <c r="O47" s="126">
        <f t="shared" si="4"/>
        <v>45505</v>
      </c>
      <c r="P47" s="126">
        <f t="shared" si="4"/>
        <v>45536</v>
      </c>
      <c r="Q47" s="126">
        <f t="shared" si="4"/>
        <v>45566</v>
      </c>
      <c r="R47" s="126">
        <f t="shared" si="4"/>
        <v>45597</v>
      </c>
      <c r="S47" s="126">
        <f t="shared" si="4"/>
        <v>45627</v>
      </c>
      <c r="T47" s="126">
        <f t="shared" si="4"/>
        <v>45658</v>
      </c>
      <c r="U47" s="126">
        <f t="shared" si="4"/>
        <v>45689</v>
      </c>
      <c r="V47" s="126">
        <f t="shared" si="4"/>
        <v>45717</v>
      </c>
      <c r="W47" s="126">
        <f t="shared" si="4"/>
        <v>45748</v>
      </c>
      <c r="X47" s="126">
        <f t="shared" si="4"/>
        <v>45778</v>
      </c>
      <c r="Y47" s="126">
        <f t="shared" si="4"/>
        <v>45809</v>
      </c>
      <c r="Z47" s="126">
        <f t="shared" si="4"/>
        <v>45839</v>
      </c>
      <c r="AA47" s="126">
        <f t="shared" si="4"/>
        <v>45870</v>
      </c>
      <c r="AB47" s="126">
        <f t="shared" si="4"/>
        <v>45901</v>
      </c>
      <c r="AC47" s="126">
        <f t="shared" si="4"/>
        <v>45931</v>
      </c>
      <c r="AD47" s="126">
        <f t="shared" si="4"/>
        <v>45962</v>
      </c>
      <c r="AE47" s="126">
        <f t="shared" si="4"/>
        <v>45992</v>
      </c>
      <c r="AF47" s="126">
        <f t="shared" si="4"/>
        <v>46023</v>
      </c>
      <c r="AG47" s="126">
        <f t="shared" si="4"/>
        <v>46054</v>
      </c>
      <c r="AH47" s="126">
        <f t="shared" si="4"/>
        <v>46082</v>
      </c>
      <c r="AI47" s="126">
        <f t="shared" si="4"/>
        <v>46113</v>
      </c>
      <c r="AJ47" s="126">
        <f t="shared" si="4"/>
        <v>46143</v>
      </c>
      <c r="AK47" s="126">
        <f t="shared" si="4"/>
        <v>46174</v>
      </c>
      <c r="AL47" s="126">
        <f t="shared" si="4"/>
        <v>46204</v>
      </c>
      <c r="AM47" s="126">
        <f t="shared" si="4"/>
        <v>46235</v>
      </c>
      <c r="AN47" s="126">
        <f t="shared" si="4"/>
        <v>46266</v>
      </c>
      <c r="AO47" s="126">
        <f t="shared" si="4"/>
        <v>46296</v>
      </c>
      <c r="AP47" s="126">
        <f t="shared" si="4"/>
        <v>46327</v>
      </c>
      <c r="AQ47" s="126">
        <f t="shared" si="4"/>
        <v>46357</v>
      </c>
      <c r="AR47" s="126">
        <f t="shared" si="4"/>
        <v>46388</v>
      </c>
      <c r="AS47" s="126">
        <f t="shared" si="4"/>
        <v>46419</v>
      </c>
      <c r="AT47" s="126">
        <f t="shared" si="4"/>
        <v>46447</v>
      </c>
      <c r="AU47" s="126">
        <f t="shared" si="4"/>
        <v>46478</v>
      </c>
      <c r="AV47" s="126">
        <f t="shared" si="4"/>
        <v>46508</v>
      </c>
      <c r="AW47" s="126">
        <f t="shared" si="4"/>
        <v>46539</v>
      </c>
      <c r="AX47" s="126">
        <f t="shared" si="4"/>
        <v>46569</v>
      </c>
      <c r="AY47" s="126">
        <f t="shared" si="4"/>
        <v>46600</v>
      </c>
      <c r="AZ47" s="126">
        <f t="shared" si="4"/>
        <v>46631</v>
      </c>
      <c r="BA47" s="126">
        <f t="shared" si="4"/>
        <v>46661</v>
      </c>
      <c r="BB47" s="126">
        <f t="shared" si="4"/>
        <v>46692</v>
      </c>
      <c r="BC47" s="126">
        <f t="shared" si="4"/>
        <v>46722</v>
      </c>
      <c r="BD47" s="126">
        <f t="shared" si="4"/>
        <v>46753</v>
      </c>
      <c r="BE47" s="126">
        <f t="shared" si="4"/>
        <v>46784</v>
      </c>
      <c r="BF47" s="126">
        <f t="shared" si="4"/>
        <v>46813</v>
      </c>
      <c r="BG47" s="126">
        <f t="shared" si="4"/>
        <v>46844</v>
      </c>
      <c r="BH47" s="126">
        <f t="shared" si="4"/>
        <v>46874</v>
      </c>
      <c r="BI47" s="126">
        <f t="shared" si="4"/>
        <v>46905</v>
      </c>
      <c r="BJ47" s="126">
        <f t="shared" si="4"/>
        <v>46935</v>
      </c>
      <c r="BK47" s="126">
        <f t="shared" si="4"/>
        <v>46966</v>
      </c>
      <c r="BL47" s="126">
        <f t="shared" si="4"/>
        <v>46997</v>
      </c>
      <c r="BM47" s="126">
        <f t="shared" si="4"/>
        <v>47027</v>
      </c>
      <c r="BN47" s="126">
        <f t="shared" si="4"/>
        <v>47058</v>
      </c>
      <c r="BO47" s="126">
        <f t="shared" si="4"/>
        <v>47088</v>
      </c>
      <c r="BP47" s="126">
        <f t="shared" si="4"/>
        <v>47119</v>
      </c>
      <c r="BQ47" s="126">
        <f t="shared" si="4"/>
        <v>47150</v>
      </c>
      <c r="BR47" s="126">
        <f t="shared" si="4"/>
        <v>47178</v>
      </c>
      <c r="BS47" s="126">
        <f t="shared" si="4"/>
        <v>47209</v>
      </c>
      <c r="BT47" s="126">
        <f t="shared" si="4"/>
        <v>47239</v>
      </c>
      <c r="BU47" s="126">
        <f t="shared" si="4"/>
        <v>47270</v>
      </c>
      <c r="BV47" s="126">
        <f t="shared" si="4"/>
        <v>47300</v>
      </c>
      <c r="BW47" s="126">
        <f t="shared" si="4"/>
        <v>47331</v>
      </c>
      <c r="BX47" s="126">
        <f t="shared" si="4"/>
        <v>47362</v>
      </c>
      <c r="BY47" s="126">
        <f t="shared" si="4"/>
        <v>47392</v>
      </c>
      <c r="BZ47" s="126">
        <f t="shared" si="4"/>
        <v>47423</v>
      </c>
      <c r="CA47" s="126">
        <f t="shared" si="4"/>
        <v>47453</v>
      </c>
      <c r="CB47" s="126">
        <f t="shared" si="4"/>
        <v>47484</v>
      </c>
      <c r="CC47" s="126">
        <f t="shared" si="4"/>
        <v>47515</v>
      </c>
      <c r="CD47" s="126">
        <f t="shared" si="4"/>
        <v>47543</v>
      </c>
      <c r="CE47" s="126">
        <f t="shared" si="4"/>
        <v>47574</v>
      </c>
      <c r="CF47" s="126">
        <f t="shared" si="4"/>
        <v>47604</v>
      </c>
      <c r="CG47" s="126">
        <f t="shared" si="4"/>
        <v>47635</v>
      </c>
      <c r="CH47" s="126">
        <f t="shared" si="4"/>
        <v>47665</v>
      </c>
      <c r="CI47" s="126">
        <f t="shared" si="4"/>
        <v>47696</v>
      </c>
      <c r="CJ47" s="126">
        <f t="shared" si="4"/>
        <v>47727</v>
      </c>
      <c r="CK47" s="126">
        <f t="shared" si="4"/>
        <v>47757</v>
      </c>
      <c r="CL47" s="126">
        <f t="shared" si="4"/>
        <v>47788</v>
      </c>
      <c r="CM47" s="126">
        <f t="shared" si="4"/>
        <v>47818</v>
      </c>
      <c r="CN47" s="126">
        <f t="shared" si="4"/>
        <v>47849</v>
      </c>
      <c r="CO47" s="126">
        <f t="shared" si="4"/>
        <v>47880</v>
      </c>
      <c r="CP47" s="126">
        <f t="shared" si="4"/>
        <v>47908</v>
      </c>
      <c r="CQ47" s="126">
        <f t="shared" si="4"/>
        <v>47939</v>
      </c>
      <c r="CR47" s="126">
        <f t="shared" si="4"/>
        <v>47969</v>
      </c>
      <c r="CS47" s="126">
        <f t="shared" si="4"/>
        <v>48000</v>
      </c>
      <c r="CT47" s="126">
        <f t="shared" si="4"/>
        <v>48030</v>
      </c>
      <c r="CU47" s="126">
        <f t="shared" si="4"/>
        <v>48061</v>
      </c>
      <c r="CV47" s="126">
        <f t="shared" si="4"/>
        <v>48092</v>
      </c>
    </row>
    <row r="48" ht="15.75" customHeight="1">
      <c r="A48" s="148" t="s">
        <v>263</v>
      </c>
      <c r="B48" s="134">
        <f>'P&amp;L | Cash Flow | Balance'!C28</f>
        <v>0</v>
      </c>
      <c r="C48" s="134">
        <f>'P&amp;L | Cash Flow | Balance'!D28</f>
        <v>-5438.558077</v>
      </c>
      <c r="D48" s="134">
        <f>'P&amp;L | Cash Flow | Balance'!E28</f>
        <v>-3522.889761</v>
      </c>
      <c r="E48" s="134">
        <f>'P&amp;L | Cash Flow | Balance'!F28</f>
        <v>-1791.521724</v>
      </c>
      <c r="F48" s="134">
        <f>'P&amp;L | Cash Flow | Balance'!G28</f>
        <v>-17.56498187</v>
      </c>
      <c r="G48" s="134">
        <f>'P&amp;L | Cash Flow | Balance'!H28</f>
        <v>1235.157758</v>
      </c>
      <c r="H48" s="134">
        <f>'P&amp;L | Cash Flow | Balance'!I28</f>
        <v>2388.622381</v>
      </c>
      <c r="I48" s="134">
        <f>'P&amp;L | Cash Flow | Balance'!J28</f>
        <v>3615.212963</v>
      </c>
      <c r="J48" s="134">
        <f>'P&amp;L | Cash Flow | Balance'!K28</f>
        <v>4759.498744</v>
      </c>
      <c r="K48" s="134">
        <f>'P&amp;L | Cash Flow | Balance'!L28</f>
        <v>5836.262223</v>
      </c>
      <c r="L48" s="134">
        <f>'P&amp;L | Cash Flow | Balance'!M28</f>
        <v>5799.039156</v>
      </c>
      <c r="M48" s="134">
        <f>'P&amp;L | Cash Flow | Balance'!N28</f>
        <v>6861.224155</v>
      </c>
      <c r="N48" s="134">
        <f>'P&amp;L | Cash Flow | Balance'!O28</f>
        <v>7855.328008</v>
      </c>
      <c r="O48" s="134">
        <f>'P&amp;L | Cash Flow | Balance'!P28</f>
        <v>8874.428296</v>
      </c>
      <c r="P48" s="134">
        <f>'P&amp;L | Cash Flow | Balance'!Q28</f>
        <v>9901.678307</v>
      </c>
      <c r="Q48" s="134">
        <f>'P&amp;L | Cash Flow | Balance'!R28</f>
        <v>10880.47017</v>
      </c>
      <c r="R48" s="134">
        <f>'P&amp;L | Cash Flow | Balance'!S28</f>
        <v>11972.73407</v>
      </c>
      <c r="S48" s="134">
        <f>'P&amp;L | Cash Flow | Balance'!T28</f>
        <v>13017.61474</v>
      </c>
      <c r="T48" s="134">
        <f>'P&amp;L | Cash Flow | Balance'!U28</f>
        <v>14028.04249</v>
      </c>
      <c r="U48" s="134">
        <f>'P&amp;L | Cash Flow | Balance'!V28</f>
        <v>15164.67921</v>
      </c>
      <c r="V48" s="134">
        <f>'P&amp;L | Cash Flow | Balance'!W28</f>
        <v>15057.32553</v>
      </c>
      <c r="W48" s="134">
        <f>'P&amp;L | Cash Flow | Balance'!X28</f>
        <v>16134.68987</v>
      </c>
      <c r="X48" s="134">
        <f>'P&amp;L | Cash Flow | Balance'!Y28</f>
        <v>17348.46066</v>
      </c>
      <c r="Y48" s="134">
        <f>'P&amp;L | Cash Flow | Balance'!Z28</f>
        <v>18536.22849</v>
      </c>
      <c r="Z48" s="134">
        <f>'P&amp;L | Cash Flow | Balance'!AA28</f>
        <v>19709.69694</v>
      </c>
      <c r="AA48" s="134">
        <f>'P&amp;L | Cash Flow | Balance'!AB28</f>
        <v>21316.91959</v>
      </c>
      <c r="AB48" s="134">
        <f>'P&amp;L | Cash Flow | Balance'!AC28</f>
        <v>16567.22555</v>
      </c>
      <c r="AC48" s="134">
        <f>'P&amp;L | Cash Flow | Balance'!AD28</f>
        <v>16630.90562</v>
      </c>
      <c r="AD48" s="134">
        <f>'P&amp;L | Cash Flow | Balance'!AE28</f>
        <v>18081.19634</v>
      </c>
      <c r="AE48" s="134">
        <f>'P&amp;L | Cash Flow | Balance'!AF28</f>
        <v>19523.08235</v>
      </c>
      <c r="AF48" s="134">
        <f>'P&amp;L | Cash Flow | Balance'!AG28</f>
        <v>20968.28129</v>
      </c>
      <c r="AG48" s="134">
        <f>'P&amp;L | Cash Flow | Balance'!AH28</f>
        <v>22427.27601</v>
      </c>
      <c r="AH48" s="134">
        <f>'P&amp;L | Cash Flow | Balance'!AI28</f>
        <v>22677.05209</v>
      </c>
      <c r="AI48" s="134">
        <f>'P&amp;L | Cash Flow | Balance'!AJ28</f>
        <v>24191.17415</v>
      </c>
      <c r="AJ48" s="134">
        <f>'P&amp;L | Cash Flow | Balance'!AK28</f>
        <v>16204.00827</v>
      </c>
      <c r="AK48" s="134">
        <f>'P&amp;L | Cash Flow | Balance'!AL28</f>
        <v>17805.10966</v>
      </c>
      <c r="AL48" s="134">
        <f>'P&amp;L | Cash Flow | Balance'!AM28</f>
        <v>18227.85142</v>
      </c>
      <c r="AM48" s="134">
        <f>'P&amp;L | Cash Flow | Balance'!AN28</f>
        <v>19707.06507</v>
      </c>
      <c r="AN48" s="134">
        <f>'P&amp;L | Cash Flow | Balance'!AO28</f>
        <v>-3353.670134</v>
      </c>
      <c r="AO48" s="134">
        <f>'P&amp;L | Cash Flow | Balance'!AP28</f>
        <v>-943.0223113</v>
      </c>
      <c r="AP48" s="134">
        <f>'P&amp;L | Cash Flow | Balance'!AQ28</f>
        <v>-62.05588109</v>
      </c>
      <c r="AQ48" s="134">
        <f>'P&amp;L | Cash Flow | Balance'!AR28</f>
        <v>1972.947723</v>
      </c>
      <c r="AR48" s="134">
        <f>'P&amp;L | Cash Flow | Balance'!AS28</f>
        <v>4084.931429</v>
      </c>
      <c r="AS48" s="134">
        <f>'P&amp;L | Cash Flow | Balance'!AT28</f>
        <v>5037.074952</v>
      </c>
      <c r="AT48" s="134">
        <f>'P&amp;L | Cash Flow | Balance'!AU28</f>
        <v>7349.736502</v>
      </c>
      <c r="AU48" s="134">
        <f>'P&amp;L | Cash Flow | Balance'!AV28</f>
        <v>8514.899464</v>
      </c>
      <c r="AV48" s="134">
        <f>'P&amp;L | Cash Flow | Balance'!AW28</f>
        <v>11053.19297</v>
      </c>
      <c r="AW48" s="134">
        <f>'P&amp;L | Cash Flow | Balance'!AX28</f>
        <v>13714.06013</v>
      </c>
      <c r="AX48" s="134">
        <f>'P&amp;L | Cash Flow | Balance'!AY28</f>
        <v>15247.15744</v>
      </c>
      <c r="AY48" s="134">
        <f>'P&amp;L | Cash Flow | Balance'!AZ28</f>
        <v>17897.18559</v>
      </c>
      <c r="AZ48" s="134">
        <f>'P&amp;L | Cash Flow | Balance'!BA28</f>
        <v>19360.98917</v>
      </c>
      <c r="BA48" s="134">
        <f>'P&amp;L | Cash Flow | Balance'!BB28</f>
        <v>22582.49519</v>
      </c>
      <c r="BB48" s="134">
        <f>'P&amp;L | Cash Flow | Balance'!BC28</f>
        <v>24680.88459</v>
      </c>
      <c r="BC48" s="134">
        <f>'P&amp;L | Cash Flow | Balance'!BD28</f>
        <v>26946.66953</v>
      </c>
      <c r="BD48" s="134">
        <f>'P&amp;L | Cash Flow | Balance'!BE28</f>
        <v>30670.73116</v>
      </c>
      <c r="BE48" s="134">
        <f>'P&amp;L | Cash Flow | Balance'!BF28</f>
        <v>33297.5472</v>
      </c>
      <c r="BF48" s="134">
        <f>'P&amp;L | Cash Flow | Balance'!BG28</f>
        <v>36118.81187</v>
      </c>
      <c r="BG48" s="134">
        <f>'P&amp;L | Cash Flow | Balance'!BH28</f>
        <v>40426.66421</v>
      </c>
      <c r="BH48" s="134">
        <f>'P&amp;L | Cash Flow | Balance'!BI28</f>
        <v>43731.08361</v>
      </c>
      <c r="BI48" s="134">
        <f>'P&amp;L | Cash Flow | Balance'!BJ28</f>
        <v>47196.8448</v>
      </c>
      <c r="BJ48" s="134">
        <f>'P&amp;L | Cash Flow | Balance'!BK28</f>
        <v>50899.48247</v>
      </c>
      <c r="BK48" s="134">
        <f>'P&amp;L | Cash Flow | Balance'!BL28</f>
        <v>54402.17955</v>
      </c>
      <c r="BL48" s="134">
        <f>'P&amp;L | Cash Flow | Balance'!BM28</f>
        <v>58441.90283</v>
      </c>
      <c r="BM48" s="134">
        <f>'P&amp;L | Cash Flow | Balance'!BN28</f>
        <v>62903.42825</v>
      </c>
      <c r="BN48" s="134">
        <f>'P&amp;L | Cash Flow | Balance'!BO28</f>
        <v>67653.15152</v>
      </c>
      <c r="BO48" s="134">
        <f>'P&amp;L | Cash Flow | Balance'!BP28</f>
        <v>72705.52363</v>
      </c>
      <c r="BP48" s="134">
        <f>'P&amp;L | Cash Flow | Balance'!BQ28</f>
        <v>78075.71196</v>
      </c>
      <c r="BQ48" s="134">
        <f>'P&amp;L | Cash Flow | Balance'!BR28</f>
        <v>83779.637</v>
      </c>
      <c r="BR48" s="134">
        <f>'P&amp;L | Cash Flow | Balance'!BS28</f>
        <v>89834.01082</v>
      </c>
      <c r="BS48" s="134">
        <f>'P&amp;L | Cash Flow | Balance'!BT28</f>
        <v>94948.46623</v>
      </c>
      <c r="BT48" s="134">
        <f>'P&amp;L | Cash Flow | Balance'!BU28</f>
        <v>101757.2433</v>
      </c>
      <c r="BU48" s="134">
        <f>'P&amp;L | Cash Flow | Balance'!BV28</f>
        <v>108971.7669</v>
      </c>
      <c r="BV48" s="134">
        <f>'P&amp;L | Cash Flow | Balance'!BW28</f>
        <v>115304.4265</v>
      </c>
      <c r="BW48" s="134">
        <f>'P&amp;L | Cash Flow | Balance'!BX28</f>
        <v>121168.909</v>
      </c>
      <c r="BX48" s="134">
        <f>'P&amp;L | Cash Flow | Balance'!BY28</f>
        <v>129215.9496</v>
      </c>
      <c r="BY48" s="134">
        <f>'P&amp;L | Cash Flow | Balance'!BZ28</f>
        <v>136906.6248</v>
      </c>
      <c r="BZ48" s="134">
        <f>'P&amp;L | Cash Flow | Balance'!CA28</f>
        <v>145115.2017</v>
      </c>
      <c r="CA48" s="134">
        <f>'P&amp;L | Cash Flow | Balance'!CB28</f>
        <v>153867.5812</v>
      </c>
      <c r="CB48" s="134">
        <f>'P&amp;L | Cash Flow | Balance'!CC28</f>
        <v>163190.9585</v>
      </c>
      <c r="CC48" s="134">
        <f>'P&amp;L | Cash Flow | Balance'!CD28</f>
        <v>173113.8877</v>
      </c>
      <c r="CD48" s="134">
        <f>'P&amp;L | Cash Flow | Balance'!CE28</f>
        <v>183666.3499</v>
      </c>
      <c r="CE48" s="134">
        <f>'P&amp;L | Cash Flow | Balance'!CF28</f>
        <v>193545.7555</v>
      </c>
      <c r="CF48" s="134">
        <f>'P&amp;L | Cash Flow | Balance'!CG28</f>
        <v>205453.2964</v>
      </c>
      <c r="CG48" s="134">
        <f>'P&amp;L | Cash Flow | Balance'!CH28</f>
        <v>216755.5395</v>
      </c>
      <c r="CH48" s="134">
        <f>'P&amp;L | Cash Flow | Balance'!CI28</f>
        <v>230157.0639</v>
      </c>
      <c r="CI48" s="134">
        <f>'P&amp;L | Cash Flow | Balance'!CJ28</f>
        <v>241400.4285</v>
      </c>
      <c r="CJ48" s="134">
        <f>'P&amp;L | Cash Flow | Balance'!CK28</f>
        <v>254533.6274</v>
      </c>
      <c r="CK48" s="134">
        <f>'P&amp;L | Cash Flow | Balance'!CL28</f>
        <v>269053.9943</v>
      </c>
      <c r="CL48" s="134">
        <f>'P&amp;L | Cash Flow | Balance'!CM28</f>
        <v>283143.736</v>
      </c>
      <c r="CM48" s="134">
        <f>'P&amp;L | Cash Flow | Balance'!CN28</f>
        <v>299570.8609</v>
      </c>
      <c r="CN48" s="134">
        <f>'P&amp;L | Cash Flow | Balance'!CO28</f>
        <v>315662.7</v>
      </c>
      <c r="CO48" s="134">
        <f>'P&amp;L | Cash Flow | Balance'!CP28</f>
        <v>332831.2777</v>
      </c>
      <c r="CP48" s="134">
        <f>'P&amp;L | Cash Flow | Balance'!CQ28</f>
        <v>351130.4316</v>
      </c>
      <c r="CQ48" s="134">
        <f>'P&amp;L | Cash Flow | Balance'!CR28</f>
        <v>370616.6908</v>
      </c>
      <c r="CR48" s="134">
        <f>'P&amp;L | Cash Flow | Balance'!CS28</f>
        <v>391349.4111</v>
      </c>
      <c r="CS48" s="134">
        <f>'P&amp;L | Cash Flow | Balance'!CT28</f>
        <v>412030.165</v>
      </c>
      <c r="CT48" s="134">
        <f>'P&amp;L | Cash Flow | Balance'!CU28</f>
        <v>434767.4952</v>
      </c>
      <c r="CU48" s="134">
        <f>'P&amp;L | Cash Flow | Balance'!CV28</f>
        <v>453658.7856</v>
      </c>
      <c r="CV48" s="134">
        <f>'P&amp;L | Cash Flow | Balance'!CW28</f>
        <v>471533.9672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29.25" customHeight="1">
      <c r="A70" s="123" t="s">
        <v>204</v>
      </c>
      <c r="B70" s="125">
        <f>EDATE(C70,-1)</f>
        <v>45108</v>
      </c>
      <c r="C70" s="126">
        <f>Projections!$B$4</f>
        <v>45139</v>
      </c>
      <c r="D70" s="126">
        <f t="shared" ref="D70:CV70" si="5">EDATE(C70,1)</f>
        <v>45170</v>
      </c>
      <c r="E70" s="126">
        <f t="shared" si="5"/>
        <v>45200</v>
      </c>
      <c r="F70" s="126">
        <f t="shared" si="5"/>
        <v>45231</v>
      </c>
      <c r="G70" s="126">
        <f t="shared" si="5"/>
        <v>45261</v>
      </c>
      <c r="H70" s="126">
        <f t="shared" si="5"/>
        <v>45292</v>
      </c>
      <c r="I70" s="126">
        <f t="shared" si="5"/>
        <v>45323</v>
      </c>
      <c r="J70" s="126">
        <f t="shared" si="5"/>
        <v>45352</v>
      </c>
      <c r="K70" s="126">
        <f t="shared" si="5"/>
        <v>45383</v>
      </c>
      <c r="L70" s="126">
        <f t="shared" si="5"/>
        <v>45413</v>
      </c>
      <c r="M70" s="126">
        <f t="shared" si="5"/>
        <v>45444</v>
      </c>
      <c r="N70" s="126">
        <f t="shared" si="5"/>
        <v>45474</v>
      </c>
      <c r="O70" s="126">
        <f t="shared" si="5"/>
        <v>45505</v>
      </c>
      <c r="P70" s="126">
        <f t="shared" si="5"/>
        <v>45536</v>
      </c>
      <c r="Q70" s="126">
        <f t="shared" si="5"/>
        <v>45566</v>
      </c>
      <c r="R70" s="126">
        <f t="shared" si="5"/>
        <v>45597</v>
      </c>
      <c r="S70" s="126">
        <f t="shared" si="5"/>
        <v>45627</v>
      </c>
      <c r="T70" s="126">
        <f t="shared" si="5"/>
        <v>45658</v>
      </c>
      <c r="U70" s="126">
        <f t="shared" si="5"/>
        <v>45689</v>
      </c>
      <c r="V70" s="126">
        <f t="shared" si="5"/>
        <v>45717</v>
      </c>
      <c r="W70" s="126">
        <f t="shared" si="5"/>
        <v>45748</v>
      </c>
      <c r="X70" s="126">
        <f t="shared" si="5"/>
        <v>45778</v>
      </c>
      <c r="Y70" s="126">
        <f t="shared" si="5"/>
        <v>45809</v>
      </c>
      <c r="Z70" s="126">
        <f t="shared" si="5"/>
        <v>45839</v>
      </c>
      <c r="AA70" s="126">
        <f t="shared" si="5"/>
        <v>45870</v>
      </c>
      <c r="AB70" s="126">
        <f t="shared" si="5"/>
        <v>45901</v>
      </c>
      <c r="AC70" s="126">
        <f t="shared" si="5"/>
        <v>45931</v>
      </c>
      <c r="AD70" s="126">
        <f t="shared" si="5"/>
        <v>45962</v>
      </c>
      <c r="AE70" s="126">
        <f t="shared" si="5"/>
        <v>45992</v>
      </c>
      <c r="AF70" s="126">
        <f t="shared" si="5"/>
        <v>46023</v>
      </c>
      <c r="AG70" s="126">
        <f t="shared" si="5"/>
        <v>46054</v>
      </c>
      <c r="AH70" s="126">
        <f t="shared" si="5"/>
        <v>46082</v>
      </c>
      <c r="AI70" s="126">
        <f t="shared" si="5"/>
        <v>46113</v>
      </c>
      <c r="AJ70" s="126">
        <f t="shared" si="5"/>
        <v>46143</v>
      </c>
      <c r="AK70" s="126">
        <f t="shared" si="5"/>
        <v>46174</v>
      </c>
      <c r="AL70" s="126">
        <f t="shared" si="5"/>
        <v>46204</v>
      </c>
      <c r="AM70" s="126">
        <f t="shared" si="5"/>
        <v>46235</v>
      </c>
      <c r="AN70" s="126">
        <f t="shared" si="5"/>
        <v>46266</v>
      </c>
      <c r="AO70" s="126">
        <f t="shared" si="5"/>
        <v>46296</v>
      </c>
      <c r="AP70" s="126">
        <f t="shared" si="5"/>
        <v>46327</v>
      </c>
      <c r="AQ70" s="126">
        <f t="shared" si="5"/>
        <v>46357</v>
      </c>
      <c r="AR70" s="126">
        <f t="shared" si="5"/>
        <v>46388</v>
      </c>
      <c r="AS70" s="126">
        <f t="shared" si="5"/>
        <v>46419</v>
      </c>
      <c r="AT70" s="126">
        <f t="shared" si="5"/>
        <v>46447</v>
      </c>
      <c r="AU70" s="126">
        <f t="shared" si="5"/>
        <v>46478</v>
      </c>
      <c r="AV70" s="126">
        <f t="shared" si="5"/>
        <v>46508</v>
      </c>
      <c r="AW70" s="126">
        <f t="shared" si="5"/>
        <v>46539</v>
      </c>
      <c r="AX70" s="126">
        <f t="shared" si="5"/>
        <v>46569</v>
      </c>
      <c r="AY70" s="126">
        <f t="shared" si="5"/>
        <v>46600</v>
      </c>
      <c r="AZ70" s="126">
        <f t="shared" si="5"/>
        <v>46631</v>
      </c>
      <c r="BA70" s="126">
        <f t="shared" si="5"/>
        <v>46661</v>
      </c>
      <c r="BB70" s="126">
        <f t="shared" si="5"/>
        <v>46692</v>
      </c>
      <c r="BC70" s="126">
        <f t="shared" si="5"/>
        <v>46722</v>
      </c>
      <c r="BD70" s="126">
        <f t="shared" si="5"/>
        <v>46753</v>
      </c>
      <c r="BE70" s="126">
        <f t="shared" si="5"/>
        <v>46784</v>
      </c>
      <c r="BF70" s="126">
        <f t="shared" si="5"/>
        <v>46813</v>
      </c>
      <c r="BG70" s="126">
        <f t="shared" si="5"/>
        <v>46844</v>
      </c>
      <c r="BH70" s="126">
        <f t="shared" si="5"/>
        <v>46874</v>
      </c>
      <c r="BI70" s="126">
        <f t="shared" si="5"/>
        <v>46905</v>
      </c>
      <c r="BJ70" s="126">
        <f t="shared" si="5"/>
        <v>46935</v>
      </c>
      <c r="BK70" s="126">
        <f t="shared" si="5"/>
        <v>46966</v>
      </c>
      <c r="BL70" s="126">
        <f t="shared" si="5"/>
        <v>46997</v>
      </c>
      <c r="BM70" s="126">
        <f t="shared" si="5"/>
        <v>47027</v>
      </c>
      <c r="BN70" s="126">
        <f t="shared" si="5"/>
        <v>47058</v>
      </c>
      <c r="BO70" s="126">
        <f t="shared" si="5"/>
        <v>47088</v>
      </c>
      <c r="BP70" s="126">
        <f t="shared" si="5"/>
        <v>47119</v>
      </c>
      <c r="BQ70" s="126">
        <f t="shared" si="5"/>
        <v>47150</v>
      </c>
      <c r="BR70" s="126">
        <f t="shared" si="5"/>
        <v>47178</v>
      </c>
      <c r="BS70" s="126">
        <f t="shared" si="5"/>
        <v>47209</v>
      </c>
      <c r="BT70" s="126">
        <f t="shared" si="5"/>
        <v>47239</v>
      </c>
      <c r="BU70" s="126">
        <f t="shared" si="5"/>
        <v>47270</v>
      </c>
      <c r="BV70" s="126">
        <f t="shared" si="5"/>
        <v>47300</v>
      </c>
      <c r="BW70" s="126">
        <f t="shared" si="5"/>
        <v>47331</v>
      </c>
      <c r="BX70" s="126">
        <f t="shared" si="5"/>
        <v>47362</v>
      </c>
      <c r="BY70" s="126">
        <f t="shared" si="5"/>
        <v>47392</v>
      </c>
      <c r="BZ70" s="126">
        <f t="shared" si="5"/>
        <v>47423</v>
      </c>
      <c r="CA70" s="126">
        <f t="shared" si="5"/>
        <v>47453</v>
      </c>
      <c r="CB70" s="126">
        <f t="shared" si="5"/>
        <v>47484</v>
      </c>
      <c r="CC70" s="126">
        <f t="shared" si="5"/>
        <v>47515</v>
      </c>
      <c r="CD70" s="126">
        <f t="shared" si="5"/>
        <v>47543</v>
      </c>
      <c r="CE70" s="126">
        <f t="shared" si="5"/>
        <v>47574</v>
      </c>
      <c r="CF70" s="126">
        <f t="shared" si="5"/>
        <v>47604</v>
      </c>
      <c r="CG70" s="126">
        <f t="shared" si="5"/>
        <v>47635</v>
      </c>
      <c r="CH70" s="126">
        <f t="shared" si="5"/>
        <v>47665</v>
      </c>
      <c r="CI70" s="126">
        <f t="shared" si="5"/>
        <v>47696</v>
      </c>
      <c r="CJ70" s="126">
        <f t="shared" si="5"/>
        <v>47727</v>
      </c>
      <c r="CK70" s="126">
        <f t="shared" si="5"/>
        <v>47757</v>
      </c>
      <c r="CL70" s="126">
        <f t="shared" si="5"/>
        <v>47788</v>
      </c>
      <c r="CM70" s="126">
        <f t="shared" si="5"/>
        <v>47818</v>
      </c>
      <c r="CN70" s="126">
        <f t="shared" si="5"/>
        <v>47849</v>
      </c>
      <c r="CO70" s="126">
        <f t="shared" si="5"/>
        <v>47880</v>
      </c>
      <c r="CP70" s="126">
        <f t="shared" si="5"/>
        <v>47908</v>
      </c>
      <c r="CQ70" s="126">
        <f t="shared" si="5"/>
        <v>47939</v>
      </c>
      <c r="CR70" s="126">
        <f t="shared" si="5"/>
        <v>47969</v>
      </c>
      <c r="CS70" s="126">
        <f t="shared" si="5"/>
        <v>48000</v>
      </c>
      <c r="CT70" s="126">
        <f t="shared" si="5"/>
        <v>48030</v>
      </c>
      <c r="CU70" s="126">
        <f t="shared" si="5"/>
        <v>48061</v>
      </c>
      <c r="CV70" s="126">
        <f t="shared" si="5"/>
        <v>48092</v>
      </c>
    </row>
    <row r="71" ht="15.75" customHeight="1">
      <c r="A71" s="1" t="s">
        <v>206</v>
      </c>
      <c r="B71" s="135" t="str">
        <f>'Monthly forecast'!D12</f>
        <v/>
      </c>
      <c r="C71" s="135">
        <f>'Monthly forecast'!E12</f>
        <v>1336.333333</v>
      </c>
      <c r="D71" s="135">
        <f>'Monthly forecast'!F12</f>
        <v>1403.727193</v>
      </c>
      <c r="E71" s="135">
        <f>'Monthly forecast'!G12</f>
        <v>1474.551914</v>
      </c>
      <c r="F71" s="135">
        <f>'Monthly forecast'!H12</f>
        <v>1548.980718</v>
      </c>
      <c r="G71" s="135">
        <f>'Monthly forecast'!I12</f>
        <v>1627.195656</v>
      </c>
      <c r="H71" s="135">
        <f>'Monthly forecast'!J12</f>
        <v>1709.38805</v>
      </c>
      <c r="I71" s="135">
        <f>'Monthly forecast'!K12</f>
        <v>1795.758964</v>
      </c>
      <c r="J71" s="135">
        <f>'Monthly forecast'!L12</f>
        <v>1886.519695</v>
      </c>
      <c r="K71" s="135">
        <f>'Monthly forecast'!M12</f>
        <v>1979.455444</v>
      </c>
      <c r="L71" s="135">
        <f>'Monthly forecast'!N12</f>
        <v>2053.328216</v>
      </c>
      <c r="M71" s="135">
        <f>'Monthly forecast'!O12</f>
        <v>2130.894627</v>
      </c>
      <c r="N71" s="135">
        <f>'Monthly forecast'!P12</f>
        <v>2212.339358</v>
      </c>
      <c r="O71" s="135">
        <f>'Monthly forecast'!Q12</f>
        <v>2297.856326</v>
      </c>
      <c r="P71" s="135">
        <f>'Monthly forecast'!R12</f>
        <v>2387.649142</v>
      </c>
      <c r="Q71" s="135">
        <f>'Monthly forecast'!S12</f>
        <v>2481.931599</v>
      </c>
      <c r="R71" s="135">
        <f>'Monthly forecast'!T12</f>
        <v>2580.928179</v>
      </c>
      <c r="S71" s="135">
        <f>'Monthly forecast'!U12</f>
        <v>2684.874588</v>
      </c>
      <c r="T71" s="135">
        <f>'Monthly forecast'!V12</f>
        <v>2794.018318</v>
      </c>
      <c r="U71" s="135">
        <f>'Monthly forecast'!W12</f>
        <v>2908.619234</v>
      </c>
      <c r="V71" s="135">
        <f>'Monthly forecast'!X12</f>
        <v>3028.950195</v>
      </c>
      <c r="W71" s="135">
        <f>'Monthly forecast'!Y12</f>
        <v>3155.297705</v>
      </c>
      <c r="X71" s="135">
        <f>'Monthly forecast'!Z12</f>
        <v>3287.96259</v>
      </c>
      <c r="Y71" s="135">
        <f>'Monthly forecast'!AA12</f>
        <v>3427.26072</v>
      </c>
      <c r="Z71" s="135">
        <f>'Monthly forecast'!AB12</f>
        <v>3573.523756</v>
      </c>
      <c r="AA71" s="135">
        <f>'Monthly forecast'!AC12</f>
        <v>3727.099944</v>
      </c>
      <c r="AB71" s="135">
        <f>'Monthly forecast'!AD12</f>
        <v>3888.354941</v>
      </c>
      <c r="AC71" s="135">
        <f>'Monthly forecast'!AE12</f>
        <v>4057.672688</v>
      </c>
      <c r="AD71" s="135">
        <f>'Monthly forecast'!AF12</f>
        <v>4235.456322</v>
      </c>
      <c r="AE71" s="135">
        <f>'Monthly forecast'!AG12</f>
        <v>4422.129138</v>
      </c>
      <c r="AF71" s="135">
        <f>'Monthly forecast'!AH12</f>
        <v>4618.135595</v>
      </c>
      <c r="AG71" s="135">
        <f>'Monthly forecast'!AI12</f>
        <v>4823.942375</v>
      </c>
      <c r="AH71" s="135">
        <f>'Monthly forecast'!AJ12</f>
        <v>5040.039494</v>
      </c>
      <c r="AI71" s="135">
        <f>'Monthly forecast'!AK12</f>
        <v>5266.941469</v>
      </c>
      <c r="AJ71" s="135">
        <f>'Monthly forecast'!AL12</f>
        <v>5505.188542</v>
      </c>
      <c r="AK71" s="135">
        <f>'Monthly forecast'!AM12</f>
        <v>5755.347969</v>
      </c>
      <c r="AL71" s="135">
        <f>'Monthly forecast'!AN12</f>
        <v>6018.015368</v>
      </c>
      <c r="AM71" s="135">
        <f>'Monthly forecast'!AO12</f>
        <v>6293.816136</v>
      </c>
      <c r="AN71" s="135">
        <f>'Monthly forecast'!AP12</f>
        <v>6583.406943</v>
      </c>
      <c r="AO71" s="135">
        <f>'Monthly forecast'!AQ12</f>
        <v>6887.47729</v>
      </c>
      <c r="AP71" s="135">
        <f>'Monthly forecast'!AR12</f>
        <v>7206.751154</v>
      </c>
      <c r="AQ71" s="135">
        <f>'Monthly forecast'!AS12</f>
        <v>7541.988712</v>
      </c>
      <c r="AR71" s="135">
        <f>'Monthly forecast'!AT12</f>
        <v>7893.988148</v>
      </c>
      <c r="AS71" s="135">
        <f>'Monthly forecast'!AU12</f>
        <v>8263.587555</v>
      </c>
      <c r="AT71" s="135">
        <f>'Monthly forecast'!AV12</f>
        <v>8651.666933</v>
      </c>
      <c r="AU71" s="135">
        <f>'Monthly forecast'!AW12</f>
        <v>9059.15028</v>
      </c>
      <c r="AV71" s="135">
        <f>'Monthly forecast'!AX12</f>
        <v>9487.007793</v>
      </c>
      <c r="AW71" s="135">
        <f>'Monthly forecast'!AY12</f>
        <v>9936.258183</v>
      </c>
      <c r="AX71" s="135">
        <f>'Monthly forecast'!AZ12</f>
        <v>10407.97109</v>
      </c>
      <c r="AY71" s="135">
        <f>'Monthly forecast'!BA12</f>
        <v>10903.26965</v>
      </c>
      <c r="AZ71" s="135">
        <f>'Monthly forecast'!BB12</f>
        <v>11423.33313</v>
      </c>
      <c r="BA71" s="135">
        <f>'Monthly forecast'!BC12</f>
        <v>11969.39979</v>
      </c>
      <c r="BB71" s="135">
        <f>'Monthly forecast'!BD12</f>
        <v>12542.76978</v>
      </c>
      <c r="BC71" s="135">
        <f>'Monthly forecast'!BE12</f>
        <v>13144.80826</v>
      </c>
      <c r="BD71" s="135">
        <f>'Monthly forecast'!BF12</f>
        <v>13776.94868</v>
      </c>
      <c r="BE71" s="135">
        <f>'Monthly forecast'!BG12</f>
        <v>14440.69611</v>
      </c>
      <c r="BF71" s="135">
        <f>'Monthly forecast'!BH12</f>
        <v>15137.63092</v>
      </c>
      <c r="BG71" s="135">
        <f>'Monthly forecast'!BI12</f>
        <v>15869.41246</v>
      </c>
      <c r="BH71" s="135">
        <f>'Monthly forecast'!BJ12</f>
        <v>16637.78309</v>
      </c>
      <c r="BI71" s="135">
        <f>'Monthly forecast'!BK12</f>
        <v>17444.57224</v>
      </c>
      <c r="BJ71" s="135">
        <f>'Monthly forecast'!BL12</f>
        <v>18291.70085</v>
      </c>
      <c r="BK71" s="135">
        <f>'Monthly forecast'!BM12</f>
        <v>19181.18589</v>
      </c>
      <c r="BL71" s="135">
        <f>'Monthly forecast'!BN12</f>
        <v>20115.14519</v>
      </c>
      <c r="BM71" s="135">
        <f>'Monthly forecast'!BO12</f>
        <v>21095.80245</v>
      </c>
      <c r="BN71" s="135">
        <f>'Monthly forecast'!BP12</f>
        <v>22125.49257</v>
      </c>
      <c r="BO71" s="135">
        <f>'Monthly forecast'!BQ12</f>
        <v>23206.6672</v>
      </c>
      <c r="BP71" s="135">
        <f>'Monthly forecast'!BR12</f>
        <v>24341.90056</v>
      </c>
      <c r="BQ71" s="135">
        <f>'Monthly forecast'!BS12</f>
        <v>25533.89559</v>
      </c>
      <c r="BR71" s="135">
        <f>'Monthly forecast'!BT12</f>
        <v>26785.49037</v>
      </c>
      <c r="BS71" s="135">
        <f>'Monthly forecast'!BU12</f>
        <v>28099.66488</v>
      </c>
      <c r="BT71" s="135">
        <f>'Monthly forecast'!BV12</f>
        <v>29479.54813</v>
      </c>
      <c r="BU71" s="135">
        <f>'Monthly forecast'!BW12</f>
        <v>30928.42554</v>
      </c>
      <c r="BV71" s="135">
        <f>'Monthly forecast'!BX12</f>
        <v>32449.74681</v>
      </c>
      <c r="BW71" s="135">
        <f>'Monthly forecast'!BY12</f>
        <v>34047.13415</v>
      </c>
      <c r="BX71" s="135">
        <f>'Monthly forecast'!BZ12</f>
        <v>35724.39086</v>
      </c>
      <c r="BY71" s="135">
        <f>'Monthly forecast'!CA12</f>
        <v>37485.5104</v>
      </c>
      <c r="BZ71" s="135">
        <f>'Monthly forecast'!CB12</f>
        <v>39334.68592</v>
      </c>
      <c r="CA71" s="135">
        <f>'Monthly forecast'!CC12</f>
        <v>41276.32022</v>
      </c>
      <c r="CB71" s="135">
        <f>'Monthly forecast'!CD12</f>
        <v>43315.03623</v>
      </c>
      <c r="CC71" s="135">
        <f>'Monthly forecast'!CE12</f>
        <v>45455.68804</v>
      </c>
      <c r="CD71" s="135">
        <f>'Monthly forecast'!CF12</f>
        <v>47703.37244</v>
      </c>
      <c r="CE71" s="135">
        <f>'Monthly forecast'!CG12</f>
        <v>50063.44107</v>
      </c>
      <c r="CF71" s="135">
        <f>'Monthly forecast'!CH12</f>
        <v>52541.51312</v>
      </c>
      <c r="CG71" s="135">
        <f>'Monthly forecast'!CI12</f>
        <v>55143.48878</v>
      </c>
      <c r="CH71" s="135">
        <f>'Monthly forecast'!CJ12</f>
        <v>57875.56322</v>
      </c>
      <c r="CI71" s="135">
        <f>'Monthly forecast'!CK12</f>
        <v>60744.24138</v>
      </c>
      <c r="CJ71" s="135">
        <f>'Monthly forecast'!CL12</f>
        <v>63756.35344</v>
      </c>
      <c r="CK71" s="135">
        <f>'Monthly forecast'!CM12</f>
        <v>66919.07112</v>
      </c>
      <c r="CL71" s="135">
        <f>'Monthly forecast'!CN12</f>
        <v>70239.92467</v>
      </c>
      <c r="CM71" s="135">
        <f>'Monthly forecast'!CO12</f>
        <v>73726.82091</v>
      </c>
      <c r="CN71" s="135">
        <f>'Monthly forecast'!CP12</f>
        <v>77388.06195</v>
      </c>
      <c r="CO71" s="135">
        <f>'Monthly forecast'!CQ12</f>
        <v>81232.36505</v>
      </c>
      <c r="CP71" s="135">
        <f>'Monthly forecast'!CR12</f>
        <v>85268.8833</v>
      </c>
      <c r="CQ71" s="135">
        <f>'Monthly forecast'!CS12</f>
        <v>89507.22747</v>
      </c>
      <c r="CR71" s="135">
        <f>'Monthly forecast'!CT12</f>
        <v>93957.48884</v>
      </c>
      <c r="CS71" s="135">
        <f>'Monthly forecast'!CU12</f>
        <v>98630.26328</v>
      </c>
      <c r="CT71" s="135">
        <f>'Monthly forecast'!CV12</f>
        <v>100502</v>
      </c>
      <c r="CU71" s="135">
        <f>'Monthly forecast'!CW12</f>
        <v>100502</v>
      </c>
      <c r="CV71" s="135">
        <f>'Monthly forecast'!CX12</f>
        <v>100502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29.25" customHeight="1">
      <c r="A94" s="123" t="s">
        <v>204</v>
      </c>
      <c r="B94" s="125">
        <f>EDATE(C94,-1)</f>
        <v>45108</v>
      </c>
      <c r="C94" s="126">
        <f>Projections!$B$4</f>
        <v>45139</v>
      </c>
      <c r="D94" s="126">
        <f t="shared" ref="D94:CV94" si="6">EDATE(C94,1)</f>
        <v>45170</v>
      </c>
      <c r="E94" s="126">
        <f t="shared" si="6"/>
        <v>45200</v>
      </c>
      <c r="F94" s="126">
        <f t="shared" si="6"/>
        <v>45231</v>
      </c>
      <c r="G94" s="126">
        <f t="shared" si="6"/>
        <v>45261</v>
      </c>
      <c r="H94" s="126">
        <f t="shared" si="6"/>
        <v>45292</v>
      </c>
      <c r="I94" s="126">
        <f t="shared" si="6"/>
        <v>45323</v>
      </c>
      <c r="J94" s="126">
        <f t="shared" si="6"/>
        <v>45352</v>
      </c>
      <c r="K94" s="126">
        <f t="shared" si="6"/>
        <v>45383</v>
      </c>
      <c r="L94" s="126">
        <f t="shared" si="6"/>
        <v>45413</v>
      </c>
      <c r="M94" s="126">
        <f t="shared" si="6"/>
        <v>45444</v>
      </c>
      <c r="N94" s="126">
        <f t="shared" si="6"/>
        <v>45474</v>
      </c>
      <c r="O94" s="126">
        <f t="shared" si="6"/>
        <v>45505</v>
      </c>
      <c r="P94" s="126">
        <f t="shared" si="6"/>
        <v>45536</v>
      </c>
      <c r="Q94" s="126">
        <f t="shared" si="6"/>
        <v>45566</v>
      </c>
      <c r="R94" s="126">
        <f t="shared" si="6"/>
        <v>45597</v>
      </c>
      <c r="S94" s="126">
        <f t="shared" si="6"/>
        <v>45627</v>
      </c>
      <c r="T94" s="126">
        <f t="shared" si="6"/>
        <v>45658</v>
      </c>
      <c r="U94" s="126">
        <f t="shared" si="6"/>
        <v>45689</v>
      </c>
      <c r="V94" s="126">
        <f t="shared" si="6"/>
        <v>45717</v>
      </c>
      <c r="W94" s="126">
        <f t="shared" si="6"/>
        <v>45748</v>
      </c>
      <c r="X94" s="126">
        <f t="shared" si="6"/>
        <v>45778</v>
      </c>
      <c r="Y94" s="126">
        <f t="shared" si="6"/>
        <v>45809</v>
      </c>
      <c r="Z94" s="126">
        <f t="shared" si="6"/>
        <v>45839</v>
      </c>
      <c r="AA94" s="126">
        <f t="shared" si="6"/>
        <v>45870</v>
      </c>
      <c r="AB94" s="126">
        <f t="shared" si="6"/>
        <v>45901</v>
      </c>
      <c r="AC94" s="126">
        <f t="shared" si="6"/>
        <v>45931</v>
      </c>
      <c r="AD94" s="126">
        <f t="shared" si="6"/>
        <v>45962</v>
      </c>
      <c r="AE94" s="126">
        <f t="shared" si="6"/>
        <v>45992</v>
      </c>
      <c r="AF94" s="126">
        <f t="shared" si="6"/>
        <v>46023</v>
      </c>
      <c r="AG94" s="126">
        <f t="shared" si="6"/>
        <v>46054</v>
      </c>
      <c r="AH94" s="126">
        <f t="shared" si="6"/>
        <v>46082</v>
      </c>
      <c r="AI94" s="126">
        <f t="shared" si="6"/>
        <v>46113</v>
      </c>
      <c r="AJ94" s="126">
        <f t="shared" si="6"/>
        <v>46143</v>
      </c>
      <c r="AK94" s="126">
        <f t="shared" si="6"/>
        <v>46174</v>
      </c>
      <c r="AL94" s="126">
        <f t="shared" si="6"/>
        <v>46204</v>
      </c>
      <c r="AM94" s="126">
        <f t="shared" si="6"/>
        <v>46235</v>
      </c>
      <c r="AN94" s="126">
        <f t="shared" si="6"/>
        <v>46266</v>
      </c>
      <c r="AO94" s="126">
        <f t="shared" si="6"/>
        <v>46296</v>
      </c>
      <c r="AP94" s="126">
        <f t="shared" si="6"/>
        <v>46327</v>
      </c>
      <c r="AQ94" s="126">
        <f t="shared" si="6"/>
        <v>46357</v>
      </c>
      <c r="AR94" s="126">
        <f t="shared" si="6"/>
        <v>46388</v>
      </c>
      <c r="AS94" s="126">
        <f t="shared" si="6"/>
        <v>46419</v>
      </c>
      <c r="AT94" s="126">
        <f t="shared" si="6"/>
        <v>46447</v>
      </c>
      <c r="AU94" s="126">
        <f t="shared" si="6"/>
        <v>46478</v>
      </c>
      <c r="AV94" s="126">
        <f t="shared" si="6"/>
        <v>46508</v>
      </c>
      <c r="AW94" s="126">
        <f t="shared" si="6"/>
        <v>46539</v>
      </c>
      <c r="AX94" s="126">
        <f t="shared" si="6"/>
        <v>46569</v>
      </c>
      <c r="AY94" s="126">
        <f t="shared" si="6"/>
        <v>46600</v>
      </c>
      <c r="AZ94" s="126">
        <f t="shared" si="6"/>
        <v>46631</v>
      </c>
      <c r="BA94" s="126">
        <f t="shared" si="6"/>
        <v>46661</v>
      </c>
      <c r="BB94" s="126">
        <f t="shared" si="6"/>
        <v>46692</v>
      </c>
      <c r="BC94" s="126">
        <f t="shared" si="6"/>
        <v>46722</v>
      </c>
      <c r="BD94" s="126">
        <f t="shared" si="6"/>
        <v>46753</v>
      </c>
      <c r="BE94" s="126">
        <f t="shared" si="6"/>
        <v>46784</v>
      </c>
      <c r="BF94" s="126">
        <f t="shared" si="6"/>
        <v>46813</v>
      </c>
      <c r="BG94" s="126">
        <f t="shared" si="6"/>
        <v>46844</v>
      </c>
      <c r="BH94" s="126">
        <f t="shared" si="6"/>
        <v>46874</v>
      </c>
      <c r="BI94" s="126">
        <f t="shared" si="6"/>
        <v>46905</v>
      </c>
      <c r="BJ94" s="126">
        <f t="shared" si="6"/>
        <v>46935</v>
      </c>
      <c r="BK94" s="126">
        <f t="shared" si="6"/>
        <v>46966</v>
      </c>
      <c r="BL94" s="126">
        <f t="shared" si="6"/>
        <v>46997</v>
      </c>
      <c r="BM94" s="126">
        <f t="shared" si="6"/>
        <v>47027</v>
      </c>
      <c r="BN94" s="126">
        <f t="shared" si="6"/>
        <v>47058</v>
      </c>
      <c r="BO94" s="126">
        <f t="shared" si="6"/>
        <v>47088</v>
      </c>
      <c r="BP94" s="126">
        <f t="shared" si="6"/>
        <v>47119</v>
      </c>
      <c r="BQ94" s="126">
        <f t="shared" si="6"/>
        <v>47150</v>
      </c>
      <c r="BR94" s="126">
        <f t="shared" si="6"/>
        <v>47178</v>
      </c>
      <c r="BS94" s="126">
        <f t="shared" si="6"/>
        <v>47209</v>
      </c>
      <c r="BT94" s="126">
        <f t="shared" si="6"/>
        <v>47239</v>
      </c>
      <c r="BU94" s="126">
        <f t="shared" si="6"/>
        <v>47270</v>
      </c>
      <c r="BV94" s="126">
        <f t="shared" si="6"/>
        <v>47300</v>
      </c>
      <c r="BW94" s="126">
        <f t="shared" si="6"/>
        <v>47331</v>
      </c>
      <c r="BX94" s="126">
        <f t="shared" si="6"/>
        <v>47362</v>
      </c>
      <c r="BY94" s="126">
        <f t="shared" si="6"/>
        <v>47392</v>
      </c>
      <c r="BZ94" s="126">
        <f t="shared" si="6"/>
        <v>47423</v>
      </c>
      <c r="CA94" s="126">
        <f t="shared" si="6"/>
        <v>47453</v>
      </c>
      <c r="CB94" s="126">
        <f t="shared" si="6"/>
        <v>47484</v>
      </c>
      <c r="CC94" s="126">
        <f t="shared" si="6"/>
        <v>47515</v>
      </c>
      <c r="CD94" s="126">
        <f t="shared" si="6"/>
        <v>47543</v>
      </c>
      <c r="CE94" s="126">
        <f t="shared" si="6"/>
        <v>47574</v>
      </c>
      <c r="CF94" s="126">
        <f t="shared" si="6"/>
        <v>47604</v>
      </c>
      <c r="CG94" s="126">
        <f t="shared" si="6"/>
        <v>47635</v>
      </c>
      <c r="CH94" s="126">
        <f t="shared" si="6"/>
        <v>47665</v>
      </c>
      <c r="CI94" s="126">
        <f t="shared" si="6"/>
        <v>47696</v>
      </c>
      <c r="CJ94" s="126">
        <f t="shared" si="6"/>
        <v>47727</v>
      </c>
      <c r="CK94" s="126">
        <f t="shared" si="6"/>
        <v>47757</v>
      </c>
      <c r="CL94" s="126">
        <f t="shared" si="6"/>
        <v>47788</v>
      </c>
      <c r="CM94" s="126">
        <f t="shared" si="6"/>
        <v>47818</v>
      </c>
      <c r="CN94" s="126">
        <f t="shared" si="6"/>
        <v>47849</v>
      </c>
      <c r="CO94" s="126">
        <f t="shared" si="6"/>
        <v>47880</v>
      </c>
      <c r="CP94" s="126">
        <f t="shared" si="6"/>
        <v>47908</v>
      </c>
      <c r="CQ94" s="126">
        <f t="shared" si="6"/>
        <v>47939</v>
      </c>
      <c r="CR94" s="126">
        <f t="shared" si="6"/>
        <v>47969</v>
      </c>
      <c r="CS94" s="126">
        <f t="shared" si="6"/>
        <v>48000</v>
      </c>
      <c r="CT94" s="126">
        <f t="shared" si="6"/>
        <v>48030</v>
      </c>
      <c r="CU94" s="126">
        <f t="shared" si="6"/>
        <v>48061</v>
      </c>
      <c r="CV94" s="126">
        <f t="shared" si="6"/>
        <v>48092</v>
      </c>
    </row>
    <row r="95" ht="15.75" customHeight="1">
      <c r="A95" s="61" t="str">
        <f>Projections!$A$33</f>
        <v>REVENUE STREAM 1: SELF-SERVICE</v>
      </c>
      <c r="B95" s="135" t="str">
        <f>'Monthly forecast'!D20</f>
        <v/>
      </c>
      <c r="C95" s="135">
        <f>'Monthly forecast'!E20</f>
        <v>6.681666667</v>
      </c>
      <c r="D95" s="135">
        <f>'Monthly forecast'!F20</f>
        <v>12.69805263</v>
      </c>
      <c r="E95" s="135">
        <f>'Monthly forecast'!G20</f>
        <v>18.16610431</v>
      </c>
      <c r="F95" s="135">
        <f>'Monthly forecast'!H20</f>
        <v>23.18609225</v>
      </c>
      <c r="G95" s="135">
        <f>'Monthly forecast'!I20</f>
        <v>27.8441567</v>
      </c>
      <c r="H95" s="135">
        <f>'Monthly forecast'!J20</f>
        <v>32.21447344</v>
      </c>
      <c r="I95" s="135">
        <f>'Monthly forecast'!K20</f>
        <v>36.36109724</v>
      </c>
      <c r="J95" s="135">
        <f>'Monthly forecast'!L20</f>
        <v>40.33953113</v>
      </c>
      <c r="K95" s="135">
        <f>'Monthly forecast'!M20</f>
        <v>44.18587868</v>
      </c>
      <c r="L95" s="135">
        <f>'Monthly forecast'!N20</f>
        <v>47.82463796</v>
      </c>
      <c r="M95" s="135">
        <f>'Monthly forecast'!O20</f>
        <v>51.3054154</v>
      </c>
      <c r="N95" s="135">
        <f>'Monthly forecast'!P20</f>
        <v>54.67129988</v>
      </c>
      <c r="O95" s="135">
        <f>'Monthly forecast'!Q20</f>
        <v>57.95988653</v>
      </c>
      <c r="P95" s="135">
        <f>'Monthly forecast'!R20</f>
        <v>61.20414926</v>
      </c>
      <c r="Q95" s="135">
        <f>'Monthly forecast'!S20</f>
        <v>64.43318487</v>
      </c>
      <c r="R95" s="135">
        <f>'Monthly forecast'!T20</f>
        <v>67.67284804</v>
      </c>
      <c r="S95" s="135">
        <f>'Monthly forecast'!U20</f>
        <v>70.94629377</v>
      </c>
      <c r="T95" s="135">
        <f>'Monthly forecast'!V20</f>
        <v>74.2744413</v>
      </c>
      <c r="U95" s="135">
        <f>'Monthly forecast'!W20</f>
        <v>77.67637127</v>
      </c>
      <c r="V95" s="135">
        <f>'Monthly forecast'!X20</f>
        <v>81.16966656</v>
      </c>
      <c r="W95" s="135">
        <f>'Monthly forecast'!Y20</f>
        <v>84.7707051</v>
      </c>
      <c r="X95" s="135">
        <f>'Monthly forecast'!Z20</f>
        <v>88.49491229</v>
      </c>
      <c r="Y95" s="135">
        <f>'Monthly forecast'!AA20</f>
        <v>92.35697904</v>
      </c>
      <c r="Z95" s="135">
        <f>'Monthly forecast'!AB20</f>
        <v>96.37105097</v>
      </c>
      <c r="AA95" s="135">
        <f>'Monthly forecast'!AC20</f>
        <v>100.550893</v>
      </c>
      <c r="AB95" s="135">
        <f>'Monthly forecast'!AD20</f>
        <v>104.9100338</v>
      </c>
      <c r="AC95" s="135">
        <f>'Monthly forecast'!AE20</f>
        <v>109.4618922</v>
      </c>
      <c r="AD95" s="135">
        <f>'Monthly forecast'!AF20</f>
        <v>114.2198899</v>
      </c>
      <c r="AE95" s="135">
        <f>'Monthly forecast'!AG20</f>
        <v>119.1975521</v>
      </c>
      <c r="AF95" s="135">
        <f>'Monthly forecast'!AH20</f>
        <v>124.4085973</v>
      </c>
      <c r="AG95" s="135">
        <f>'Monthly forecast'!AI20</f>
        <v>129.8670196</v>
      </c>
      <c r="AH95" s="135">
        <f>'Monthly forecast'!AJ20</f>
        <v>135.5871641</v>
      </c>
      <c r="AI95" s="135">
        <f>'Monthly forecast'!AK20</f>
        <v>141.5837968</v>
      </c>
      <c r="AJ95" s="135">
        <f>'Monthly forecast'!AL20</f>
        <v>147.87217</v>
      </c>
      <c r="AK95" s="135">
        <f>'Monthly forecast'!AM20</f>
        <v>154.4680844</v>
      </c>
      <c r="AL95" s="135">
        <f>'Monthly forecast'!AN20</f>
        <v>161.3879485</v>
      </c>
      <c r="AM95" s="135">
        <f>'Monthly forecast'!AO20</f>
        <v>168.6488369</v>
      </c>
      <c r="AN95" s="135">
        <f>'Monthly forecast'!AP20</f>
        <v>176.2685461</v>
      </c>
      <c r="AO95" s="135">
        <f>'Monthly forecast'!AQ20</f>
        <v>184.2656507</v>
      </c>
      <c r="AP95" s="135">
        <f>'Monthly forecast'!AR20</f>
        <v>192.6595588</v>
      </c>
      <c r="AQ95" s="135">
        <f>'Monthly forecast'!AS20</f>
        <v>201.4705686</v>
      </c>
      <c r="AR95" s="135">
        <f>'Monthly forecast'!AT20</f>
        <v>210.719924</v>
      </c>
      <c r="AS95" s="135">
        <f>'Monthly forecast'!AU20</f>
        <v>220.4298732</v>
      </c>
      <c r="AT95" s="135">
        <f>'Monthly forecast'!AV20</f>
        <v>230.6237269</v>
      </c>
      <c r="AU95" s="135">
        <f>'Monthly forecast'!AW20</f>
        <v>241.3259192</v>
      </c>
      <c r="AV95" s="135">
        <f>'Monthly forecast'!AX20</f>
        <v>252.5620703</v>
      </c>
      <c r="AW95" s="135">
        <f>'Monthly forecast'!AY20</f>
        <v>264.3590507</v>
      </c>
      <c r="AX95" s="135">
        <f>'Monthly forecast'!AZ20</f>
        <v>276.7450485</v>
      </c>
      <c r="AY95" s="135">
        <f>'Monthly forecast'!BA20</f>
        <v>289.7496395</v>
      </c>
      <c r="AZ95" s="135">
        <f>'Monthly forecast'!BB20</f>
        <v>303.4038592</v>
      </c>
      <c r="BA95" s="135">
        <f>'Monthly forecast'!BC20</f>
        <v>317.7402793</v>
      </c>
      <c r="BB95" s="135">
        <f>'Monthly forecast'!BD20</f>
        <v>332.7930863</v>
      </c>
      <c r="BC95" s="135">
        <f>'Monthly forecast'!BE20</f>
        <v>348.5981646</v>
      </c>
      <c r="BD95" s="135">
        <f>'Monthly forecast'!BF20</f>
        <v>365.1931833</v>
      </c>
      <c r="BE95" s="135">
        <f>'Monthly forecast'!BG20</f>
        <v>382.6176864</v>
      </c>
      <c r="BF95" s="135">
        <f>'Monthly forecast'!BH20</f>
        <v>400.913188</v>
      </c>
      <c r="BG95" s="135">
        <f>'Monthly forecast'!BI20</f>
        <v>420.1232721</v>
      </c>
      <c r="BH95" s="135">
        <f>'Monthly forecast'!BJ20</f>
        <v>440.2936967</v>
      </c>
      <c r="BI95" s="135">
        <f>'Monthly forecast'!BK20</f>
        <v>461.4725034</v>
      </c>
      <c r="BJ95" s="135">
        <f>'Monthly forecast'!BL20</f>
        <v>483.7101322</v>
      </c>
      <c r="BK95" s="135">
        <f>'Monthly forecast'!BM20</f>
        <v>507.0595418</v>
      </c>
      <c r="BL95" s="135">
        <f>'Monthly forecast'!BN20</f>
        <v>531.5763365</v>
      </c>
      <c r="BM95" s="135">
        <f>'Monthly forecast'!BO20</f>
        <v>557.3188982</v>
      </c>
      <c r="BN95" s="135">
        <f>'Monthly forecast'!BP20</f>
        <v>584.3485264</v>
      </c>
      <c r="BO95" s="135">
        <f>'Monthly forecast'!BQ20</f>
        <v>612.7295834</v>
      </c>
      <c r="BP95" s="135">
        <f>'Monthly forecast'!BR20</f>
        <v>642.5296487</v>
      </c>
      <c r="BQ95" s="135">
        <f>'Monthly forecast'!BS20</f>
        <v>673.8196793</v>
      </c>
      <c r="BR95" s="135">
        <f>'Monthly forecast'!BT20</f>
        <v>706.6741793</v>
      </c>
      <c r="BS95" s="135">
        <f>'Monthly forecast'!BU20</f>
        <v>741.1713768</v>
      </c>
      <c r="BT95" s="135">
        <f>'Monthly forecast'!BV20</f>
        <v>777.3934109</v>
      </c>
      <c r="BU95" s="135">
        <f>'Monthly forecast'!BW20</f>
        <v>815.426527</v>
      </c>
      <c r="BV95" s="135">
        <f>'Monthly forecast'!BX20</f>
        <v>855.361282</v>
      </c>
      <c r="BW95" s="135">
        <f>'Monthly forecast'!BY20</f>
        <v>897.2927604</v>
      </c>
      <c r="BX95" s="135">
        <f>'Monthly forecast'!BZ20</f>
        <v>941.3208007</v>
      </c>
      <c r="BY95" s="135">
        <f>'Monthly forecast'!CA20</f>
        <v>987.5502326</v>
      </c>
      <c r="BZ95" s="135">
        <f>'Monthly forecast'!CB20</f>
        <v>1036.091127</v>
      </c>
      <c r="CA95" s="135">
        <f>'Monthly forecast'!CC20</f>
        <v>1087.059059</v>
      </c>
      <c r="CB95" s="135">
        <f>'Monthly forecast'!CD20</f>
        <v>1140.575382</v>
      </c>
      <c r="CC95" s="135">
        <f>'Monthly forecast'!CE20</f>
        <v>1196.767515</v>
      </c>
      <c r="CD95" s="135">
        <f>'Monthly forecast'!CF20</f>
        <v>1255.76925</v>
      </c>
      <c r="CE95" s="135">
        <f>'Monthly forecast'!CG20</f>
        <v>1317.721067</v>
      </c>
      <c r="CF95" s="135">
        <f>'Monthly forecast'!CH20</f>
        <v>1382.770473</v>
      </c>
      <c r="CG95" s="135">
        <f>'Monthly forecast'!CI20</f>
        <v>1451.072346</v>
      </c>
      <c r="CH95" s="135">
        <f>'Monthly forecast'!CJ20</f>
        <v>1522.78931</v>
      </c>
      <c r="CI95" s="135">
        <f>'Monthly forecast'!CK20</f>
        <v>1598.09212</v>
      </c>
      <c r="CJ95" s="135">
        <f>'Monthly forecast'!CL20</f>
        <v>1677.16007</v>
      </c>
      <c r="CK95" s="135">
        <f>'Monthly forecast'!CM20</f>
        <v>1760.181415</v>
      </c>
      <c r="CL95" s="135">
        <f>'Monthly forecast'!CN20</f>
        <v>1847.353826</v>
      </c>
      <c r="CM95" s="135">
        <f>'Monthly forecast'!CO20</f>
        <v>1938.884857</v>
      </c>
      <c r="CN95" s="135">
        <f>'Monthly forecast'!CP20</f>
        <v>2034.992438</v>
      </c>
      <c r="CO95" s="135">
        <f>'Monthly forecast'!CQ20</f>
        <v>2135.905397</v>
      </c>
      <c r="CP95" s="135">
        <f>'Monthly forecast'!CR20</f>
        <v>2241.864004</v>
      </c>
      <c r="CQ95" s="135">
        <f>'Monthly forecast'!CS20</f>
        <v>2353.120541</v>
      </c>
      <c r="CR95" s="135">
        <f>'Monthly forecast'!CT20</f>
        <v>2469.939904</v>
      </c>
      <c r="CS95" s="135">
        <f>'Monthly forecast'!CU20</f>
        <v>2592.600235</v>
      </c>
      <c r="CT95" s="135">
        <f>'Monthly forecast'!CV20</f>
        <v>2706.2202</v>
      </c>
      <c r="CU95" s="135">
        <f>'Monthly forecast'!CW20</f>
        <v>2802.79717</v>
      </c>
      <c r="CV95" s="135">
        <f>'Monthly forecast'!CX20</f>
        <v>2884.887594</v>
      </c>
    </row>
    <row r="96" ht="15.75" customHeight="1">
      <c r="A96" s="254" t="str">
        <f>Projections!$A$39</f>
        <v>REVENUE STREAM 2: INBOUND SALES</v>
      </c>
      <c r="B96" s="5" t="str">
        <f>'Monthly forecast'!D31</f>
        <v/>
      </c>
      <c r="C96" s="140">
        <f>'Monthly forecast'!E31</f>
        <v>13.36333333</v>
      </c>
      <c r="D96" s="140">
        <f>'Monthly forecast'!F31</f>
        <v>25.39610526</v>
      </c>
      <c r="E96" s="140">
        <f>'Monthly forecast'!G31</f>
        <v>36.33220861</v>
      </c>
      <c r="F96" s="140">
        <f>'Monthly forecast'!H31</f>
        <v>46.3721845</v>
      </c>
      <c r="G96" s="140">
        <f>'Monthly forecast'!I31</f>
        <v>55.68831339</v>
      </c>
      <c r="H96" s="140">
        <f>'Monthly forecast'!J31</f>
        <v>64.42894689</v>
      </c>
      <c r="I96" s="140">
        <f>'Monthly forecast'!K31</f>
        <v>72.72219449</v>
      </c>
      <c r="J96" s="140">
        <f>'Monthly forecast'!L31</f>
        <v>80.67906226</v>
      </c>
      <c r="K96" s="140">
        <f>'Monthly forecast'!M31</f>
        <v>88.37175736</v>
      </c>
      <c r="L96" s="140">
        <f>'Monthly forecast'!N31</f>
        <v>95.64927592</v>
      </c>
      <c r="M96" s="140">
        <f>'Monthly forecast'!O31</f>
        <v>102.6108308</v>
      </c>
      <c r="N96" s="140">
        <f>'Monthly forecast'!P31</f>
        <v>109.3425998</v>
      </c>
      <c r="O96" s="140">
        <f>'Monthly forecast'!Q31</f>
        <v>115.9197731</v>
      </c>
      <c r="P96" s="140">
        <f>'Monthly forecast'!R31</f>
        <v>122.4082985</v>
      </c>
      <c r="Q96" s="140">
        <f>'Monthly forecast'!S31</f>
        <v>128.8663697</v>
      </c>
      <c r="R96" s="140">
        <f>'Monthly forecast'!T31</f>
        <v>135.3456961</v>
      </c>
      <c r="S96" s="140">
        <f>'Monthly forecast'!U31</f>
        <v>141.8925875</v>
      </c>
      <c r="T96" s="140">
        <f>'Monthly forecast'!V31</f>
        <v>148.5488826</v>
      </c>
      <c r="U96" s="140">
        <f>'Monthly forecast'!W31</f>
        <v>155.3527425</v>
      </c>
      <c r="V96" s="140">
        <f>'Monthly forecast'!X31</f>
        <v>162.3393331</v>
      </c>
      <c r="W96" s="140">
        <f>'Monthly forecast'!Y31</f>
        <v>169.5414102</v>
      </c>
      <c r="X96" s="140">
        <f>'Monthly forecast'!Z31</f>
        <v>176.9898246</v>
      </c>
      <c r="Y96" s="140">
        <f>'Monthly forecast'!AA31</f>
        <v>184.7139581</v>
      </c>
      <c r="Z96" s="140">
        <f>'Monthly forecast'!AB31</f>
        <v>192.7421019</v>
      </c>
      <c r="AA96" s="140">
        <f>'Monthly forecast'!AC31</f>
        <v>201.1017861</v>
      </c>
      <c r="AB96" s="140">
        <f>'Monthly forecast'!AD31</f>
        <v>209.8200676</v>
      </c>
      <c r="AC96" s="140">
        <f>'Monthly forecast'!AE31</f>
        <v>218.9237843</v>
      </c>
      <c r="AD96" s="140">
        <f>'Monthly forecast'!AF31</f>
        <v>228.4397799</v>
      </c>
      <c r="AE96" s="140">
        <f>'Monthly forecast'!AG31</f>
        <v>238.3951043</v>
      </c>
      <c r="AF96" s="140">
        <f>'Monthly forecast'!AH31</f>
        <v>248.8171946</v>
      </c>
      <c r="AG96" s="140">
        <f>'Monthly forecast'!AI31</f>
        <v>259.7340392</v>
      </c>
      <c r="AH96" s="140">
        <f>'Monthly forecast'!AJ31</f>
        <v>271.1743282</v>
      </c>
      <c r="AI96" s="140">
        <f>'Monthly forecast'!AK31</f>
        <v>283.1675937</v>
      </c>
      <c r="AJ96" s="140">
        <f>'Monthly forecast'!AL31</f>
        <v>295.74434</v>
      </c>
      <c r="AK96" s="140">
        <f>'Monthly forecast'!AM31</f>
        <v>308.9361687</v>
      </c>
      <c r="AL96" s="140">
        <f>'Monthly forecast'!AN31</f>
        <v>322.7758971</v>
      </c>
      <c r="AM96" s="140">
        <f>'Monthly forecast'!AO31</f>
        <v>337.2976739</v>
      </c>
      <c r="AN96" s="140">
        <f>'Monthly forecast'!AP31</f>
        <v>352.5370922</v>
      </c>
      <c r="AO96" s="140">
        <f>'Monthly forecast'!AQ31</f>
        <v>368.5313013</v>
      </c>
      <c r="AP96" s="140">
        <f>'Monthly forecast'!AR31</f>
        <v>385.3191176</v>
      </c>
      <c r="AQ96" s="140">
        <f>'Monthly forecast'!AS31</f>
        <v>402.9411371</v>
      </c>
      <c r="AR96" s="140">
        <f>'Monthly forecast'!AT31</f>
        <v>421.439848</v>
      </c>
      <c r="AS96" s="140">
        <f>'Monthly forecast'!AU31</f>
        <v>440.8597464</v>
      </c>
      <c r="AT96" s="140">
        <f>'Monthly forecast'!AV31</f>
        <v>461.2474538</v>
      </c>
      <c r="AU96" s="140">
        <f>'Monthly forecast'!AW31</f>
        <v>482.6518385</v>
      </c>
      <c r="AV96" s="140">
        <f>'Monthly forecast'!AX31</f>
        <v>505.1241406</v>
      </c>
      <c r="AW96" s="140">
        <f>'Monthly forecast'!AY31</f>
        <v>528.7181014</v>
      </c>
      <c r="AX96" s="140">
        <f>'Monthly forecast'!AZ31</f>
        <v>553.4900971</v>
      </c>
      <c r="AY96" s="140">
        <f>'Monthly forecast'!BA31</f>
        <v>579.499279</v>
      </c>
      <c r="AZ96" s="140">
        <f>'Monthly forecast'!BB31</f>
        <v>606.8077184</v>
      </c>
      <c r="BA96" s="140">
        <f>'Monthly forecast'!BC31</f>
        <v>635.4805585</v>
      </c>
      <c r="BB96" s="140">
        <f>'Monthly forecast'!BD31</f>
        <v>665.5861725</v>
      </c>
      <c r="BC96" s="140">
        <f>'Monthly forecast'!BE31</f>
        <v>697.1963293</v>
      </c>
      <c r="BD96" s="140">
        <f>'Monthly forecast'!BF31</f>
        <v>730.3863666</v>
      </c>
      <c r="BE96" s="140">
        <f>'Monthly forecast'!BG31</f>
        <v>765.2353728</v>
      </c>
      <c r="BF96" s="140">
        <f>'Monthly forecast'!BH31</f>
        <v>801.826376</v>
      </c>
      <c r="BG96" s="140">
        <f>'Monthly forecast'!BI31</f>
        <v>840.2465442</v>
      </c>
      <c r="BH96" s="140">
        <f>'Monthly forecast'!BJ31</f>
        <v>880.5873934</v>
      </c>
      <c r="BI96" s="140">
        <f>'Monthly forecast'!BK31</f>
        <v>922.9450068</v>
      </c>
      <c r="BJ96" s="140">
        <f>'Monthly forecast'!BL31</f>
        <v>967.4202643</v>
      </c>
      <c r="BK96" s="140">
        <f>'Monthly forecast'!BM31</f>
        <v>1014.119084</v>
      </c>
      <c r="BL96" s="140">
        <f>'Monthly forecast'!BN31</f>
        <v>1063.152673</v>
      </c>
      <c r="BM96" s="140">
        <f>'Monthly forecast'!BO31</f>
        <v>1114.637796</v>
      </c>
      <c r="BN96" s="140">
        <f>'Monthly forecast'!BP31</f>
        <v>1168.697053</v>
      </c>
      <c r="BO96" s="140">
        <f>'Monthly forecast'!BQ31</f>
        <v>1225.459167</v>
      </c>
      <c r="BP96" s="140">
        <f>'Monthly forecast'!BR31</f>
        <v>1285.059297</v>
      </c>
      <c r="BQ96" s="140">
        <f>'Monthly forecast'!BS31</f>
        <v>1347.639359</v>
      </c>
      <c r="BR96" s="140">
        <f>'Monthly forecast'!BT31</f>
        <v>1413.348359</v>
      </c>
      <c r="BS96" s="140">
        <f>'Monthly forecast'!BU31</f>
        <v>1482.342754</v>
      </c>
      <c r="BT96" s="140">
        <f>'Monthly forecast'!BV31</f>
        <v>1554.786822</v>
      </c>
      <c r="BU96" s="140">
        <f>'Monthly forecast'!BW31</f>
        <v>1630.853054</v>
      </c>
      <c r="BV96" s="140">
        <f>'Monthly forecast'!BX31</f>
        <v>1710.722564</v>
      </c>
      <c r="BW96" s="140">
        <f>'Monthly forecast'!BY31</f>
        <v>1794.585521</v>
      </c>
      <c r="BX96" s="140">
        <f>'Monthly forecast'!BZ31</f>
        <v>1882.641601</v>
      </c>
      <c r="BY96" s="140">
        <f>'Monthly forecast'!CA31</f>
        <v>1975.100465</v>
      </c>
      <c r="BZ96" s="140">
        <f>'Monthly forecast'!CB31</f>
        <v>2072.182255</v>
      </c>
      <c r="CA96" s="140">
        <f>'Monthly forecast'!CC31</f>
        <v>2174.118119</v>
      </c>
      <c r="CB96" s="140">
        <f>'Monthly forecast'!CD31</f>
        <v>2281.150763</v>
      </c>
      <c r="CC96" s="140">
        <f>'Monthly forecast'!CE31</f>
        <v>2393.535029</v>
      </c>
      <c r="CD96" s="140">
        <f>'Monthly forecast'!CF31</f>
        <v>2511.538499</v>
      </c>
      <c r="CE96" s="140">
        <f>'Monthly forecast'!CG31</f>
        <v>2635.442135</v>
      </c>
      <c r="CF96" s="140">
        <f>'Monthly forecast'!CH31</f>
        <v>2765.540946</v>
      </c>
      <c r="CG96" s="140">
        <f>'Monthly forecast'!CI31</f>
        <v>2902.144692</v>
      </c>
      <c r="CH96" s="140">
        <f>'Monthly forecast'!CJ31</f>
        <v>3045.57862</v>
      </c>
      <c r="CI96" s="140">
        <f>'Monthly forecast'!CK31</f>
        <v>3196.184241</v>
      </c>
      <c r="CJ96" s="140">
        <f>'Monthly forecast'!CL31</f>
        <v>3354.320139</v>
      </c>
      <c r="CK96" s="140">
        <f>'Monthly forecast'!CM31</f>
        <v>3520.36283</v>
      </c>
      <c r="CL96" s="140">
        <f>'Monthly forecast'!CN31</f>
        <v>3694.707652</v>
      </c>
      <c r="CM96" s="140">
        <f>'Monthly forecast'!CO31</f>
        <v>3877.769713</v>
      </c>
      <c r="CN96" s="140">
        <f>'Monthly forecast'!CP31</f>
        <v>4069.984876</v>
      </c>
      <c r="CO96" s="140">
        <f>'Monthly forecast'!CQ31</f>
        <v>4271.810795</v>
      </c>
      <c r="CP96" s="140">
        <f>'Monthly forecast'!CR31</f>
        <v>4483.728009</v>
      </c>
      <c r="CQ96" s="140">
        <f>'Monthly forecast'!CS31</f>
        <v>4706.241082</v>
      </c>
      <c r="CR96" s="140">
        <f>'Monthly forecast'!CT31</f>
        <v>4939.879808</v>
      </c>
      <c r="CS96" s="140">
        <f>'Monthly forecast'!CU31</f>
        <v>5185.20047</v>
      </c>
      <c r="CT96" s="140">
        <f>'Monthly forecast'!CV31</f>
        <v>5412.440399</v>
      </c>
      <c r="CU96" s="140">
        <f>'Monthly forecast'!CW31</f>
        <v>5605.594339</v>
      </c>
      <c r="CV96" s="140">
        <f>'Monthly forecast'!CX31</f>
        <v>5769.775188</v>
      </c>
    </row>
    <row r="97" ht="15.75" customHeight="1">
      <c r="A97" s="254" t="str">
        <f>Projections!$A$53</f>
        <v>REVENUE STREAM 3: OUTBOUND SALES</v>
      </c>
      <c r="B97" s="5" t="str">
        <f>'Monthly forecast'!D40</f>
        <v/>
      </c>
      <c r="C97" s="140">
        <f>'Monthly forecast'!E40</f>
        <v>2</v>
      </c>
      <c r="D97" s="140">
        <f>'Monthly forecast'!F40</f>
        <v>3.7</v>
      </c>
      <c r="E97" s="140">
        <f>'Monthly forecast'!G40</f>
        <v>5.145</v>
      </c>
      <c r="F97" s="140">
        <f>'Monthly forecast'!H40</f>
        <v>8.37325</v>
      </c>
      <c r="G97" s="140">
        <f>'Monthly forecast'!I40</f>
        <v>11.1172625</v>
      </c>
      <c r="H97" s="140">
        <f>'Monthly forecast'!J40</f>
        <v>13.44967313</v>
      </c>
      <c r="I97" s="140">
        <f>'Monthly forecast'!K40</f>
        <v>17.43222216</v>
      </c>
      <c r="J97" s="140">
        <f>'Monthly forecast'!L40</f>
        <v>20.81738883</v>
      </c>
      <c r="K97" s="140">
        <f>'Monthly forecast'!M40</f>
        <v>23.69478051</v>
      </c>
      <c r="L97" s="140">
        <f>'Monthly forecast'!N40</f>
        <v>28.14056343</v>
      </c>
      <c r="M97" s="140">
        <f>'Monthly forecast'!O40</f>
        <v>31.91947892</v>
      </c>
      <c r="N97" s="140">
        <f>'Monthly forecast'!P40</f>
        <v>35.13155708</v>
      </c>
      <c r="O97" s="140">
        <f>'Monthly forecast'!Q40</f>
        <v>39.86182352</v>
      </c>
      <c r="P97" s="140">
        <f>'Monthly forecast'!R40</f>
        <v>43.88254999</v>
      </c>
      <c r="Q97" s="140">
        <f>'Monthly forecast'!S40</f>
        <v>47.30016749</v>
      </c>
      <c r="R97" s="140">
        <f>'Monthly forecast'!T40</f>
        <v>52.20514237</v>
      </c>
      <c r="S97" s="140">
        <f>'Monthly forecast'!U40</f>
        <v>56.37437101</v>
      </c>
      <c r="T97" s="140">
        <f>'Monthly forecast'!V40</f>
        <v>59.91821536</v>
      </c>
      <c r="U97" s="140">
        <f>'Monthly forecast'!W40</f>
        <v>64.93048306</v>
      </c>
      <c r="V97" s="140">
        <f>'Monthly forecast'!X40</f>
        <v>69.1909106</v>
      </c>
      <c r="W97" s="140">
        <f>'Monthly forecast'!Y40</f>
        <v>72.81227401</v>
      </c>
      <c r="X97" s="140">
        <f>'Monthly forecast'!Z40</f>
        <v>77.89043291</v>
      </c>
      <c r="Y97" s="140">
        <f>'Monthly forecast'!AA40</f>
        <v>82.20686797</v>
      </c>
      <c r="Z97" s="140">
        <f>'Monthly forecast'!AB40</f>
        <v>85.87583778</v>
      </c>
      <c r="AA97" s="140">
        <f>'Monthly forecast'!AC40</f>
        <v>90.99446211</v>
      </c>
      <c r="AB97" s="140">
        <f>'Monthly forecast'!AD40</f>
        <v>95.34529279</v>
      </c>
      <c r="AC97" s="140">
        <f>'Monthly forecast'!AE40</f>
        <v>99.04349887</v>
      </c>
      <c r="AD97" s="140">
        <f>'Monthly forecast'!AF40</f>
        <v>104.186974</v>
      </c>
      <c r="AE97" s="140">
        <f>'Monthly forecast'!AG40</f>
        <v>108.5589279</v>
      </c>
      <c r="AF97" s="140">
        <f>'Monthly forecast'!AH40</f>
        <v>112.2750887</v>
      </c>
      <c r="AG97" s="140">
        <f>'Monthly forecast'!AI40</f>
        <v>115.4338254</v>
      </c>
      <c r="AH97" s="140">
        <f>'Monthly forecast'!AJ40</f>
        <v>118.1187516</v>
      </c>
      <c r="AI97" s="140">
        <f>'Monthly forecast'!AK40</f>
        <v>120.4009389</v>
      </c>
      <c r="AJ97" s="140">
        <f>'Monthly forecast'!AL40</f>
        <v>122.340798</v>
      </c>
      <c r="AK97" s="140">
        <f>'Monthly forecast'!AM40</f>
        <v>123.9896783</v>
      </c>
      <c r="AL97" s="140">
        <f>'Monthly forecast'!AN40</f>
        <v>125.3912266</v>
      </c>
      <c r="AM97" s="140">
        <f>'Monthly forecast'!AO40</f>
        <v>126.5825426</v>
      </c>
      <c r="AN97" s="140">
        <f>'Monthly forecast'!AP40</f>
        <v>127.5951612</v>
      </c>
      <c r="AO97" s="140">
        <f>'Monthly forecast'!AQ40</f>
        <v>128.455887</v>
      </c>
      <c r="AP97" s="140">
        <f>'Monthly forecast'!AR40</f>
        <v>129.187504</v>
      </c>
      <c r="AQ97" s="140">
        <f>'Monthly forecast'!AS40</f>
        <v>129.8093784</v>
      </c>
      <c r="AR97" s="140">
        <f>'Monthly forecast'!AT40</f>
        <v>130.3379716</v>
      </c>
      <c r="AS97" s="140">
        <f>'Monthly forecast'!AU40</f>
        <v>130.7872759</v>
      </c>
      <c r="AT97" s="140">
        <f>'Monthly forecast'!AV40</f>
        <v>131.1691845</v>
      </c>
      <c r="AU97" s="140">
        <f>'Monthly forecast'!AW40</f>
        <v>131.4938068</v>
      </c>
      <c r="AV97" s="140">
        <f>'Monthly forecast'!AX40</f>
        <v>131.7697358</v>
      </c>
      <c r="AW97" s="140">
        <f>'Monthly forecast'!AY40</f>
        <v>132.0042754</v>
      </c>
      <c r="AX97" s="140">
        <f>'Monthly forecast'!AZ40</f>
        <v>132.2036341</v>
      </c>
      <c r="AY97" s="140">
        <f>'Monthly forecast'!BA40</f>
        <v>132.373089</v>
      </c>
      <c r="AZ97" s="140">
        <f>'Monthly forecast'!BB40</f>
        <v>132.5171256</v>
      </c>
      <c r="BA97" s="140">
        <f>'Monthly forecast'!BC40</f>
        <v>132.6395568</v>
      </c>
      <c r="BB97" s="140">
        <f>'Monthly forecast'!BD40</f>
        <v>132.7436233</v>
      </c>
      <c r="BC97" s="140">
        <f>'Monthly forecast'!BE40</f>
        <v>132.8320798</v>
      </c>
      <c r="BD97" s="140">
        <f>'Monthly forecast'!BF40</f>
        <v>132.9072678</v>
      </c>
      <c r="BE97" s="140">
        <f>'Monthly forecast'!BG40</f>
        <v>132.9711776</v>
      </c>
      <c r="BF97" s="140">
        <f>'Monthly forecast'!BH40</f>
        <v>133.025501</v>
      </c>
      <c r="BG97" s="140">
        <f>'Monthly forecast'!BI40</f>
        <v>133.0716759</v>
      </c>
      <c r="BH97" s="140">
        <f>'Monthly forecast'!BJ40</f>
        <v>133.1109245</v>
      </c>
      <c r="BI97" s="140">
        <f>'Monthly forecast'!BK40</f>
        <v>133.1442858</v>
      </c>
      <c r="BJ97" s="140">
        <f>'Monthly forecast'!BL40</f>
        <v>133.1726429</v>
      </c>
      <c r="BK97" s="140">
        <f>'Monthly forecast'!BM40</f>
        <v>133.1967465</v>
      </c>
      <c r="BL97" s="140">
        <f>'Monthly forecast'!BN40</f>
        <v>133.2172345</v>
      </c>
      <c r="BM97" s="140">
        <f>'Monthly forecast'!BO40</f>
        <v>133.2346493</v>
      </c>
      <c r="BN97" s="140">
        <f>'Monthly forecast'!BP40</f>
        <v>133.2494519</v>
      </c>
      <c r="BO97" s="140">
        <f>'Monthly forecast'!BQ40</f>
        <v>133.2620341</v>
      </c>
      <c r="BP97" s="140">
        <f>'Monthly forecast'!BR40</f>
        <v>133.272729</v>
      </c>
      <c r="BQ97" s="140">
        <f>'Monthly forecast'!BS40</f>
        <v>133.2818197</v>
      </c>
      <c r="BR97" s="140">
        <f>'Monthly forecast'!BT40</f>
        <v>133.2895467</v>
      </c>
      <c r="BS97" s="140">
        <f>'Monthly forecast'!BU40</f>
        <v>133.2961147</v>
      </c>
      <c r="BT97" s="140">
        <f>'Monthly forecast'!BV40</f>
        <v>133.3016975</v>
      </c>
      <c r="BU97" s="140">
        <f>'Monthly forecast'!BW40</f>
        <v>133.3064429</v>
      </c>
      <c r="BV97" s="140">
        <f>'Monthly forecast'!BX40</f>
        <v>133.3104764</v>
      </c>
      <c r="BW97" s="140">
        <f>'Monthly forecast'!BY40</f>
        <v>133.313905</v>
      </c>
      <c r="BX97" s="140">
        <f>'Monthly forecast'!BZ40</f>
        <v>133.3168192</v>
      </c>
      <c r="BY97" s="140">
        <f>'Monthly forecast'!CA40</f>
        <v>133.3192963</v>
      </c>
      <c r="BZ97" s="140">
        <f>'Monthly forecast'!CB40</f>
        <v>133.3214019</v>
      </c>
      <c r="CA97" s="140">
        <f>'Monthly forecast'!CC40</f>
        <v>133.3231916</v>
      </c>
      <c r="CB97" s="140">
        <f>'Monthly forecast'!CD40</f>
        <v>133.3247129</v>
      </c>
      <c r="CC97" s="140">
        <f>'Monthly forecast'!CE40</f>
        <v>133.3260059</v>
      </c>
      <c r="CD97" s="140">
        <f>'Monthly forecast'!CF40</f>
        <v>133.327105</v>
      </c>
      <c r="CE97" s="140">
        <f>'Monthly forecast'!CG40</f>
        <v>133.3280393</v>
      </c>
      <c r="CF97" s="140">
        <f>'Monthly forecast'!CH40</f>
        <v>133.3288334</v>
      </c>
      <c r="CG97" s="140">
        <f>'Monthly forecast'!CI40</f>
        <v>133.3295084</v>
      </c>
      <c r="CH97" s="140">
        <f>'Monthly forecast'!CJ40</f>
        <v>133.3300821</v>
      </c>
      <c r="CI97" s="140">
        <f>'Monthly forecast'!CK40</f>
        <v>133.3305698</v>
      </c>
      <c r="CJ97" s="140">
        <f>'Monthly forecast'!CL40</f>
        <v>133.3309843</v>
      </c>
      <c r="CK97" s="140">
        <f>'Monthly forecast'!CM40</f>
        <v>133.3313367</v>
      </c>
      <c r="CL97" s="140">
        <f>'Monthly forecast'!CN40</f>
        <v>133.3316362</v>
      </c>
      <c r="CM97" s="140">
        <f>'Monthly forecast'!CO40</f>
        <v>133.3318908</v>
      </c>
      <c r="CN97" s="140">
        <f>'Monthly forecast'!CP40</f>
        <v>133.3321071</v>
      </c>
      <c r="CO97" s="140">
        <f>'Monthly forecast'!CQ40</f>
        <v>133.3322911</v>
      </c>
      <c r="CP97" s="140">
        <f>'Monthly forecast'!CR40</f>
        <v>133.3324474</v>
      </c>
      <c r="CQ97" s="140">
        <f>'Monthly forecast'!CS40</f>
        <v>133.3325803</v>
      </c>
      <c r="CR97" s="140">
        <f>'Monthly forecast'!CT40</f>
        <v>133.3326933</v>
      </c>
      <c r="CS97" s="140">
        <f>'Monthly forecast'!CU40</f>
        <v>133.3327893</v>
      </c>
      <c r="CT97" s="140">
        <f>'Monthly forecast'!CV40</f>
        <v>133.3328709</v>
      </c>
      <c r="CU97" s="140">
        <f>'Monthly forecast'!CW40</f>
        <v>133.3329402</v>
      </c>
      <c r="CV97" s="140">
        <f>'Monthly forecast'!CX40</f>
        <v>133.3329992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29.25" customHeight="1">
      <c r="A119" s="123" t="s">
        <v>204</v>
      </c>
      <c r="B119" s="125">
        <f>EDATE(C119,-1)</f>
        <v>45108</v>
      </c>
      <c r="C119" s="126">
        <f>Projections!$B$4</f>
        <v>45139</v>
      </c>
      <c r="D119" s="126">
        <f t="shared" ref="D119:CV119" si="7">EDATE(C119,1)</f>
        <v>45170</v>
      </c>
      <c r="E119" s="126">
        <f t="shared" si="7"/>
        <v>45200</v>
      </c>
      <c r="F119" s="126">
        <f t="shared" si="7"/>
        <v>45231</v>
      </c>
      <c r="G119" s="126">
        <f t="shared" si="7"/>
        <v>45261</v>
      </c>
      <c r="H119" s="126">
        <f t="shared" si="7"/>
        <v>45292</v>
      </c>
      <c r="I119" s="126">
        <f t="shared" si="7"/>
        <v>45323</v>
      </c>
      <c r="J119" s="126">
        <f t="shared" si="7"/>
        <v>45352</v>
      </c>
      <c r="K119" s="126">
        <f t="shared" si="7"/>
        <v>45383</v>
      </c>
      <c r="L119" s="126">
        <f t="shared" si="7"/>
        <v>45413</v>
      </c>
      <c r="M119" s="126">
        <f t="shared" si="7"/>
        <v>45444</v>
      </c>
      <c r="N119" s="126">
        <f t="shared" si="7"/>
        <v>45474</v>
      </c>
      <c r="O119" s="126">
        <f t="shared" si="7"/>
        <v>45505</v>
      </c>
      <c r="P119" s="126">
        <f t="shared" si="7"/>
        <v>45536</v>
      </c>
      <c r="Q119" s="126">
        <f t="shared" si="7"/>
        <v>45566</v>
      </c>
      <c r="R119" s="126">
        <f t="shared" si="7"/>
        <v>45597</v>
      </c>
      <c r="S119" s="126">
        <f t="shared" si="7"/>
        <v>45627</v>
      </c>
      <c r="T119" s="126">
        <f t="shared" si="7"/>
        <v>45658</v>
      </c>
      <c r="U119" s="126">
        <f t="shared" si="7"/>
        <v>45689</v>
      </c>
      <c r="V119" s="126">
        <f t="shared" si="7"/>
        <v>45717</v>
      </c>
      <c r="W119" s="126">
        <f t="shared" si="7"/>
        <v>45748</v>
      </c>
      <c r="X119" s="126">
        <f t="shared" si="7"/>
        <v>45778</v>
      </c>
      <c r="Y119" s="126">
        <f t="shared" si="7"/>
        <v>45809</v>
      </c>
      <c r="Z119" s="126">
        <f t="shared" si="7"/>
        <v>45839</v>
      </c>
      <c r="AA119" s="126">
        <f t="shared" si="7"/>
        <v>45870</v>
      </c>
      <c r="AB119" s="126">
        <f t="shared" si="7"/>
        <v>45901</v>
      </c>
      <c r="AC119" s="126">
        <f t="shared" si="7"/>
        <v>45931</v>
      </c>
      <c r="AD119" s="126">
        <f t="shared" si="7"/>
        <v>45962</v>
      </c>
      <c r="AE119" s="126">
        <f t="shared" si="7"/>
        <v>45992</v>
      </c>
      <c r="AF119" s="126">
        <f t="shared" si="7"/>
        <v>46023</v>
      </c>
      <c r="AG119" s="126">
        <f t="shared" si="7"/>
        <v>46054</v>
      </c>
      <c r="AH119" s="126">
        <f t="shared" si="7"/>
        <v>46082</v>
      </c>
      <c r="AI119" s="126">
        <f t="shared" si="7"/>
        <v>46113</v>
      </c>
      <c r="AJ119" s="126">
        <f t="shared" si="7"/>
        <v>46143</v>
      </c>
      <c r="AK119" s="126">
        <f t="shared" si="7"/>
        <v>46174</v>
      </c>
      <c r="AL119" s="126">
        <f t="shared" si="7"/>
        <v>46204</v>
      </c>
      <c r="AM119" s="126">
        <f t="shared" si="7"/>
        <v>46235</v>
      </c>
      <c r="AN119" s="126">
        <f t="shared" si="7"/>
        <v>46266</v>
      </c>
      <c r="AO119" s="126">
        <f t="shared" si="7"/>
        <v>46296</v>
      </c>
      <c r="AP119" s="126">
        <f t="shared" si="7"/>
        <v>46327</v>
      </c>
      <c r="AQ119" s="126">
        <f t="shared" si="7"/>
        <v>46357</v>
      </c>
      <c r="AR119" s="126">
        <f t="shared" si="7"/>
        <v>46388</v>
      </c>
      <c r="AS119" s="126">
        <f t="shared" si="7"/>
        <v>46419</v>
      </c>
      <c r="AT119" s="126">
        <f t="shared" si="7"/>
        <v>46447</v>
      </c>
      <c r="AU119" s="126">
        <f t="shared" si="7"/>
        <v>46478</v>
      </c>
      <c r="AV119" s="126">
        <f t="shared" si="7"/>
        <v>46508</v>
      </c>
      <c r="AW119" s="126">
        <f t="shared" si="7"/>
        <v>46539</v>
      </c>
      <c r="AX119" s="126">
        <f t="shared" si="7"/>
        <v>46569</v>
      </c>
      <c r="AY119" s="126">
        <f t="shared" si="7"/>
        <v>46600</v>
      </c>
      <c r="AZ119" s="126">
        <f t="shared" si="7"/>
        <v>46631</v>
      </c>
      <c r="BA119" s="126">
        <f t="shared" si="7"/>
        <v>46661</v>
      </c>
      <c r="BB119" s="126">
        <f t="shared" si="7"/>
        <v>46692</v>
      </c>
      <c r="BC119" s="126">
        <f t="shared" si="7"/>
        <v>46722</v>
      </c>
      <c r="BD119" s="126">
        <f t="shared" si="7"/>
        <v>46753</v>
      </c>
      <c r="BE119" s="126">
        <f t="shared" si="7"/>
        <v>46784</v>
      </c>
      <c r="BF119" s="126">
        <f t="shared" si="7"/>
        <v>46813</v>
      </c>
      <c r="BG119" s="126">
        <f t="shared" si="7"/>
        <v>46844</v>
      </c>
      <c r="BH119" s="126">
        <f t="shared" si="7"/>
        <v>46874</v>
      </c>
      <c r="BI119" s="126">
        <f t="shared" si="7"/>
        <v>46905</v>
      </c>
      <c r="BJ119" s="126">
        <f t="shared" si="7"/>
        <v>46935</v>
      </c>
      <c r="BK119" s="126">
        <f t="shared" si="7"/>
        <v>46966</v>
      </c>
      <c r="BL119" s="126">
        <f t="shared" si="7"/>
        <v>46997</v>
      </c>
      <c r="BM119" s="126">
        <f t="shared" si="7"/>
        <v>47027</v>
      </c>
      <c r="BN119" s="126">
        <f t="shared" si="7"/>
        <v>47058</v>
      </c>
      <c r="BO119" s="126">
        <f t="shared" si="7"/>
        <v>47088</v>
      </c>
      <c r="BP119" s="126">
        <f t="shared" si="7"/>
        <v>47119</v>
      </c>
      <c r="BQ119" s="126">
        <f t="shared" si="7"/>
        <v>47150</v>
      </c>
      <c r="BR119" s="126">
        <f t="shared" si="7"/>
        <v>47178</v>
      </c>
      <c r="BS119" s="126">
        <f t="shared" si="7"/>
        <v>47209</v>
      </c>
      <c r="BT119" s="126">
        <f t="shared" si="7"/>
        <v>47239</v>
      </c>
      <c r="BU119" s="126">
        <f t="shared" si="7"/>
        <v>47270</v>
      </c>
      <c r="BV119" s="126">
        <f t="shared" si="7"/>
        <v>47300</v>
      </c>
      <c r="BW119" s="126">
        <f t="shared" si="7"/>
        <v>47331</v>
      </c>
      <c r="BX119" s="126">
        <f t="shared" si="7"/>
        <v>47362</v>
      </c>
      <c r="BY119" s="126">
        <f t="shared" si="7"/>
        <v>47392</v>
      </c>
      <c r="BZ119" s="126">
        <f t="shared" si="7"/>
        <v>47423</v>
      </c>
      <c r="CA119" s="126">
        <f t="shared" si="7"/>
        <v>47453</v>
      </c>
      <c r="CB119" s="126">
        <f t="shared" si="7"/>
        <v>47484</v>
      </c>
      <c r="CC119" s="126">
        <f t="shared" si="7"/>
        <v>47515</v>
      </c>
      <c r="CD119" s="126">
        <f t="shared" si="7"/>
        <v>47543</v>
      </c>
      <c r="CE119" s="126">
        <f t="shared" si="7"/>
        <v>47574</v>
      </c>
      <c r="CF119" s="126">
        <f t="shared" si="7"/>
        <v>47604</v>
      </c>
      <c r="CG119" s="126">
        <f t="shared" si="7"/>
        <v>47635</v>
      </c>
      <c r="CH119" s="126">
        <f t="shared" si="7"/>
        <v>47665</v>
      </c>
      <c r="CI119" s="126">
        <f t="shared" si="7"/>
        <v>47696</v>
      </c>
      <c r="CJ119" s="126">
        <f t="shared" si="7"/>
        <v>47727</v>
      </c>
      <c r="CK119" s="126">
        <f t="shared" si="7"/>
        <v>47757</v>
      </c>
      <c r="CL119" s="126">
        <f t="shared" si="7"/>
        <v>47788</v>
      </c>
      <c r="CM119" s="126">
        <f t="shared" si="7"/>
        <v>47818</v>
      </c>
      <c r="CN119" s="126">
        <f t="shared" si="7"/>
        <v>47849</v>
      </c>
      <c r="CO119" s="126">
        <f t="shared" si="7"/>
        <v>47880</v>
      </c>
      <c r="CP119" s="126">
        <f t="shared" si="7"/>
        <v>47908</v>
      </c>
      <c r="CQ119" s="126">
        <f t="shared" si="7"/>
        <v>47939</v>
      </c>
      <c r="CR119" s="126">
        <f t="shared" si="7"/>
        <v>47969</v>
      </c>
      <c r="CS119" s="126">
        <f t="shared" si="7"/>
        <v>48000</v>
      </c>
      <c r="CT119" s="126">
        <f t="shared" si="7"/>
        <v>48030</v>
      </c>
      <c r="CU119" s="126">
        <f t="shared" si="7"/>
        <v>48061</v>
      </c>
      <c r="CV119" s="126">
        <f t="shared" si="7"/>
        <v>48092</v>
      </c>
    </row>
    <row r="120" ht="15.75" customHeight="1">
      <c r="A120" s="56" t="str">
        <f>Projections!$A$33</f>
        <v>REVENUE STREAM 1: SELF-SERVICE</v>
      </c>
      <c r="B120" s="134" t="str">
        <f>'P&amp;L | Cash Flow | Balance'!C7</f>
        <v/>
      </c>
      <c r="C120" s="134">
        <f>'P&amp;L | Cash Flow | Balance'!D7</f>
        <v>668.1666667</v>
      </c>
      <c r="D120" s="134">
        <f>'P&amp;L | Cash Flow | Balance'!E7</f>
        <v>1269.805263</v>
      </c>
      <c r="E120" s="134">
        <f>'P&amp;L | Cash Flow | Balance'!F7</f>
        <v>1816.610431</v>
      </c>
      <c r="F120" s="134">
        <f>'P&amp;L | Cash Flow | Balance'!G7</f>
        <v>2318.609225</v>
      </c>
      <c r="G120" s="134">
        <f>'P&amp;L | Cash Flow | Balance'!H7</f>
        <v>2784.41567</v>
      </c>
      <c r="H120" s="134">
        <f>'P&amp;L | Cash Flow | Balance'!I7</f>
        <v>3221.447344</v>
      </c>
      <c r="I120" s="134">
        <f>'P&amp;L | Cash Flow | Balance'!J7</f>
        <v>3636.109724</v>
      </c>
      <c r="J120" s="134">
        <f>'P&amp;L | Cash Flow | Balance'!K7</f>
        <v>4033.953113</v>
      </c>
      <c r="K120" s="134">
        <f>'P&amp;L | Cash Flow | Balance'!L7</f>
        <v>4418.587868</v>
      </c>
      <c r="L120" s="134">
        <f>'P&amp;L | Cash Flow | Balance'!M7</f>
        <v>4782.463796</v>
      </c>
      <c r="M120" s="134">
        <f>'P&amp;L | Cash Flow | Balance'!N7</f>
        <v>5130.54154</v>
      </c>
      <c r="N120" s="134">
        <f>'P&amp;L | Cash Flow | Balance'!O7</f>
        <v>5467.129988</v>
      </c>
      <c r="O120" s="134">
        <f>'P&amp;L | Cash Flow | Balance'!P7</f>
        <v>5795.988653</v>
      </c>
      <c r="P120" s="134">
        <f>'P&amp;L | Cash Flow | Balance'!Q7</f>
        <v>6120.414926</v>
      </c>
      <c r="Q120" s="134">
        <f>'P&amp;L | Cash Flow | Balance'!R7</f>
        <v>6443.318487</v>
      </c>
      <c r="R120" s="134">
        <f>'P&amp;L | Cash Flow | Balance'!S7</f>
        <v>6767.284804</v>
      </c>
      <c r="S120" s="134">
        <f>'P&amp;L | Cash Flow | Balance'!T7</f>
        <v>7094.629377</v>
      </c>
      <c r="T120" s="134">
        <f>'P&amp;L | Cash Flow | Balance'!U7</f>
        <v>7427.44413</v>
      </c>
      <c r="U120" s="134">
        <f>'P&amp;L | Cash Flow | Balance'!V7</f>
        <v>7767.637127</v>
      </c>
      <c r="V120" s="134">
        <f>'P&amp;L | Cash Flow | Balance'!W7</f>
        <v>8116.966656</v>
      </c>
      <c r="W120" s="134">
        <f>'P&amp;L | Cash Flow | Balance'!X7</f>
        <v>8477.07051</v>
      </c>
      <c r="X120" s="134">
        <f>'P&amp;L | Cash Flow | Balance'!Y7</f>
        <v>8849.491229</v>
      </c>
      <c r="Y120" s="134">
        <f>'P&amp;L | Cash Flow | Balance'!Z7</f>
        <v>9235.697904</v>
      </c>
      <c r="Z120" s="134">
        <f>'P&amp;L | Cash Flow | Balance'!AA7</f>
        <v>9637.105097</v>
      </c>
      <c r="AA120" s="134">
        <f>'P&amp;L | Cash Flow | Balance'!AB7</f>
        <v>10055.0893</v>
      </c>
      <c r="AB120" s="134">
        <f>'P&amp;L | Cash Flow | Balance'!AC7</f>
        <v>10491.00338</v>
      </c>
      <c r="AC120" s="134">
        <f>'P&amp;L | Cash Flow | Balance'!AD7</f>
        <v>10946.18922</v>
      </c>
      <c r="AD120" s="134">
        <f>'P&amp;L | Cash Flow | Balance'!AE7</f>
        <v>11421.98899</v>
      </c>
      <c r="AE120" s="134">
        <f>'P&amp;L | Cash Flow | Balance'!AF7</f>
        <v>11919.75521</v>
      </c>
      <c r="AF120" s="134">
        <f>'P&amp;L | Cash Flow | Balance'!AG7</f>
        <v>12440.85973</v>
      </c>
      <c r="AG120" s="134">
        <f>'P&amp;L | Cash Flow | Balance'!AH7</f>
        <v>12986.70196</v>
      </c>
      <c r="AH120" s="134">
        <f>'P&amp;L | Cash Flow | Balance'!AI7</f>
        <v>13558.71641</v>
      </c>
      <c r="AI120" s="134">
        <f>'P&amp;L | Cash Flow | Balance'!AJ7</f>
        <v>14158.37968</v>
      </c>
      <c r="AJ120" s="134">
        <f>'P&amp;L | Cash Flow | Balance'!AK7</f>
        <v>14787.217</v>
      </c>
      <c r="AK120" s="134">
        <f>'P&amp;L | Cash Flow | Balance'!AL7</f>
        <v>15446.80844</v>
      </c>
      <c r="AL120" s="134">
        <f>'P&amp;L | Cash Flow | Balance'!AM7</f>
        <v>16138.79485</v>
      </c>
      <c r="AM120" s="134">
        <f>'P&amp;L | Cash Flow | Balance'!AN7</f>
        <v>16864.88369</v>
      </c>
      <c r="AN120" s="134">
        <f>'P&amp;L | Cash Flow | Balance'!AO7</f>
        <v>17626.85461</v>
      </c>
      <c r="AO120" s="134">
        <f>'P&amp;L | Cash Flow | Balance'!AP7</f>
        <v>18426.56507</v>
      </c>
      <c r="AP120" s="134">
        <f>'P&amp;L | Cash Flow | Balance'!AQ7</f>
        <v>19265.95588</v>
      </c>
      <c r="AQ120" s="134">
        <f>'P&amp;L | Cash Flow | Balance'!AR7</f>
        <v>20147.05686</v>
      </c>
      <c r="AR120" s="134">
        <f>'P&amp;L | Cash Flow | Balance'!AS7</f>
        <v>21071.9924</v>
      </c>
      <c r="AS120" s="134">
        <f>'P&amp;L | Cash Flow | Balance'!AT7</f>
        <v>22042.98732</v>
      </c>
      <c r="AT120" s="134">
        <f>'P&amp;L | Cash Flow | Balance'!AU7</f>
        <v>23062.37269</v>
      </c>
      <c r="AU120" s="134">
        <f>'P&amp;L | Cash Flow | Balance'!AV7</f>
        <v>24132.59192</v>
      </c>
      <c r="AV120" s="134">
        <f>'P&amp;L | Cash Flow | Balance'!AW7</f>
        <v>25256.20703</v>
      </c>
      <c r="AW120" s="134">
        <f>'P&amp;L | Cash Flow | Balance'!AX7</f>
        <v>26435.90507</v>
      </c>
      <c r="AX120" s="134">
        <f>'P&amp;L | Cash Flow | Balance'!AY7</f>
        <v>27674.50485</v>
      </c>
      <c r="AY120" s="134">
        <f>'P&amp;L | Cash Flow | Balance'!AZ7</f>
        <v>28974.96395</v>
      </c>
      <c r="AZ120" s="134">
        <f>'P&amp;L | Cash Flow | Balance'!BA7</f>
        <v>30340.38592</v>
      </c>
      <c r="BA120" s="134">
        <f>'P&amp;L | Cash Flow | Balance'!BB7</f>
        <v>31774.02793</v>
      </c>
      <c r="BB120" s="134">
        <f>'P&amp;L | Cash Flow | Balance'!BC7</f>
        <v>33279.30863</v>
      </c>
      <c r="BC120" s="134">
        <f>'P&amp;L | Cash Flow | Balance'!BD7</f>
        <v>34859.81646</v>
      </c>
      <c r="BD120" s="134">
        <f>'P&amp;L | Cash Flow | Balance'!BE7</f>
        <v>36519.31833</v>
      </c>
      <c r="BE120" s="134">
        <f>'P&amp;L | Cash Flow | Balance'!BF7</f>
        <v>38261.76864</v>
      </c>
      <c r="BF120" s="134">
        <f>'P&amp;L | Cash Flow | Balance'!BG7</f>
        <v>40091.3188</v>
      </c>
      <c r="BG120" s="134">
        <f>'P&amp;L | Cash Flow | Balance'!BH7</f>
        <v>42012.32721</v>
      </c>
      <c r="BH120" s="134">
        <f>'P&amp;L | Cash Flow | Balance'!BI7</f>
        <v>44029.36967</v>
      </c>
      <c r="BI120" s="134">
        <f>'P&amp;L | Cash Flow | Balance'!BJ7</f>
        <v>46147.25034</v>
      </c>
      <c r="BJ120" s="134">
        <f>'P&amp;L | Cash Flow | Balance'!BK7</f>
        <v>48371.01322</v>
      </c>
      <c r="BK120" s="134">
        <f>'P&amp;L | Cash Flow | Balance'!BL7</f>
        <v>50705.95418</v>
      </c>
      <c r="BL120" s="134">
        <f>'P&amp;L | Cash Flow | Balance'!BM7</f>
        <v>53157.63365</v>
      </c>
      <c r="BM120" s="134">
        <f>'P&amp;L | Cash Flow | Balance'!BN7</f>
        <v>55731.88982</v>
      </c>
      <c r="BN120" s="134">
        <f>'P&amp;L | Cash Flow | Balance'!BO7</f>
        <v>58434.85264</v>
      </c>
      <c r="BO120" s="134">
        <f>'P&amp;L | Cash Flow | Balance'!BP7</f>
        <v>61272.95834</v>
      </c>
      <c r="BP120" s="134">
        <f>'P&amp;L | Cash Flow | Balance'!BQ7</f>
        <v>64252.96487</v>
      </c>
      <c r="BQ120" s="134">
        <f>'P&amp;L | Cash Flow | Balance'!BR7</f>
        <v>67381.96793</v>
      </c>
      <c r="BR120" s="134">
        <f>'P&amp;L | Cash Flow | Balance'!BS7</f>
        <v>70667.41793</v>
      </c>
      <c r="BS120" s="134">
        <f>'P&amp;L | Cash Flow | Balance'!BT7</f>
        <v>74117.13768</v>
      </c>
      <c r="BT120" s="134">
        <f>'P&amp;L | Cash Flow | Balance'!BU7</f>
        <v>77739.34109</v>
      </c>
      <c r="BU120" s="134">
        <f>'P&amp;L | Cash Flow | Balance'!BV7</f>
        <v>81542.6527</v>
      </c>
      <c r="BV120" s="134">
        <f>'P&amp;L | Cash Flow | Balance'!BW7</f>
        <v>85536.1282</v>
      </c>
      <c r="BW120" s="134">
        <f>'P&amp;L | Cash Flow | Balance'!BX7</f>
        <v>89729.27604</v>
      </c>
      <c r="BX120" s="134">
        <f>'P&amp;L | Cash Flow | Balance'!BY7</f>
        <v>94132.08007</v>
      </c>
      <c r="BY120" s="134">
        <f>'P&amp;L | Cash Flow | Balance'!BZ7</f>
        <v>98755.02326</v>
      </c>
      <c r="BZ120" s="134">
        <f>'P&amp;L | Cash Flow | Balance'!CA7</f>
        <v>103609.1127</v>
      </c>
      <c r="CA120" s="134">
        <f>'P&amp;L | Cash Flow | Balance'!CB7</f>
        <v>108705.9059</v>
      </c>
      <c r="CB120" s="134">
        <f>'P&amp;L | Cash Flow | Balance'!CC7</f>
        <v>114057.5382</v>
      </c>
      <c r="CC120" s="134">
        <f>'P&amp;L | Cash Flow | Balance'!CD7</f>
        <v>119676.7515</v>
      </c>
      <c r="CD120" s="134">
        <f>'P&amp;L | Cash Flow | Balance'!CE7</f>
        <v>125576.925</v>
      </c>
      <c r="CE120" s="134">
        <f>'P&amp;L | Cash Flow | Balance'!CF7</f>
        <v>131772.1067</v>
      </c>
      <c r="CF120" s="134">
        <f>'P&amp;L | Cash Flow | Balance'!CG7</f>
        <v>138277.0473</v>
      </c>
      <c r="CG120" s="134">
        <f>'P&amp;L | Cash Flow | Balance'!CH7</f>
        <v>145107.2346</v>
      </c>
      <c r="CH120" s="134">
        <f>'P&amp;L | Cash Flow | Balance'!CI7</f>
        <v>152278.931</v>
      </c>
      <c r="CI120" s="134">
        <f>'P&amp;L | Cash Flow | Balance'!CJ7</f>
        <v>159809.212</v>
      </c>
      <c r="CJ120" s="134">
        <f>'P&amp;L | Cash Flow | Balance'!CK7</f>
        <v>167716.007</v>
      </c>
      <c r="CK120" s="134">
        <f>'P&amp;L | Cash Flow | Balance'!CL7</f>
        <v>176018.1415</v>
      </c>
      <c r="CL120" s="134">
        <f>'P&amp;L | Cash Flow | Balance'!CM7</f>
        <v>184735.3826</v>
      </c>
      <c r="CM120" s="134">
        <f>'P&amp;L | Cash Flow | Balance'!CN7</f>
        <v>193888.4857</v>
      </c>
      <c r="CN120" s="134">
        <f>'P&amp;L | Cash Flow | Balance'!CO7</f>
        <v>203499.2438</v>
      </c>
      <c r="CO120" s="134">
        <f>'P&amp;L | Cash Flow | Balance'!CP7</f>
        <v>213590.5397</v>
      </c>
      <c r="CP120" s="134">
        <f>'P&amp;L | Cash Flow | Balance'!CQ7</f>
        <v>224186.4004</v>
      </c>
      <c r="CQ120" s="134">
        <f>'P&amp;L | Cash Flow | Balance'!CR7</f>
        <v>235312.0541</v>
      </c>
      <c r="CR120" s="134">
        <f>'P&amp;L | Cash Flow | Balance'!CS7</f>
        <v>246993.9904</v>
      </c>
      <c r="CS120" s="134">
        <f>'P&amp;L | Cash Flow | Balance'!CT7</f>
        <v>259260.0235</v>
      </c>
      <c r="CT120" s="134">
        <f>'P&amp;L | Cash Flow | Balance'!CU7</f>
        <v>270622.02</v>
      </c>
      <c r="CU120" s="134">
        <f>'P&amp;L | Cash Flow | Balance'!CV7</f>
        <v>280279.717</v>
      </c>
      <c r="CV120" s="134">
        <f>'P&amp;L | Cash Flow | Balance'!CW7</f>
        <v>288488.7594</v>
      </c>
    </row>
    <row r="121" ht="15.75" customHeight="1">
      <c r="A121" s="134" t="str">
        <f>Projections!$A$39</f>
        <v>REVENUE STREAM 2: INBOUND SALES</v>
      </c>
      <c r="B121" s="134" t="str">
        <f>'P&amp;L | Cash Flow | Balance'!C8</f>
        <v/>
      </c>
      <c r="C121" s="134">
        <f>'P&amp;L | Cash Flow | Balance'!D8</f>
        <v>1336.333333</v>
      </c>
      <c r="D121" s="134">
        <f>'P&amp;L | Cash Flow | Balance'!E8</f>
        <v>2539.610526</v>
      </c>
      <c r="E121" s="134">
        <f>'P&amp;L | Cash Flow | Balance'!F8</f>
        <v>3633.220861</v>
      </c>
      <c r="F121" s="134">
        <f>'P&amp;L | Cash Flow | Balance'!G8</f>
        <v>4637.21845</v>
      </c>
      <c r="G121" s="134">
        <f>'P&amp;L | Cash Flow | Balance'!H8</f>
        <v>5568.831339</v>
      </c>
      <c r="H121" s="134">
        <f>'P&amp;L | Cash Flow | Balance'!I8</f>
        <v>6442.894689</v>
      </c>
      <c r="I121" s="134">
        <f>'P&amp;L | Cash Flow | Balance'!J8</f>
        <v>7272.219449</v>
      </c>
      <c r="J121" s="134">
        <f>'P&amp;L | Cash Flow | Balance'!K8</f>
        <v>8067.906226</v>
      </c>
      <c r="K121" s="134">
        <f>'P&amp;L | Cash Flow | Balance'!L8</f>
        <v>8837.175736</v>
      </c>
      <c r="L121" s="134">
        <f>'P&amp;L | Cash Flow | Balance'!M8</f>
        <v>9564.927592</v>
      </c>
      <c r="M121" s="134">
        <f>'P&amp;L | Cash Flow | Balance'!N8</f>
        <v>10261.08308</v>
      </c>
      <c r="N121" s="134">
        <f>'P&amp;L | Cash Flow | Balance'!O8</f>
        <v>10934.25998</v>
      </c>
      <c r="O121" s="134">
        <f>'P&amp;L | Cash Flow | Balance'!P8</f>
        <v>11591.97731</v>
      </c>
      <c r="P121" s="134">
        <f>'P&amp;L | Cash Flow | Balance'!Q8</f>
        <v>12240.82985</v>
      </c>
      <c r="Q121" s="134">
        <f>'P&amp;L | Cash Flow | Balance'!R8</f>
        <v>12886.63697</v>
      </c>
      <c r="R121" s="134">
        <f>'P&amp;L | Cash Flow | Balance'!S8</f>
        <v>13534.56961</v>
      </c>
      <c r="S121" s="134">
        <f>'P&amp;L | Cash Flow | Balance'!T8</f>
        <v>14189.25875</v>
      </c>
      <c r="T121" s="134">
        <f>'P&amp;L | Cash Flow | Balance'!U8</f>
        <v>14854.88826</v>
      </c>
      <c r="U121" s="134">
        <f>'P&amp;L | Cash Flow | Balance'!V8</f>
        <v>15535.27425</v>
      </c>
      <c r="V121" s="134">
        <f>'P&amp;L | Cash Flow | Balance'!W8</f>
        <v>16233.93331</v>
      </c>
      <c r="W121" s="134">
        <f>'P&amp;L | Cash Flow | Balance'!X8</f>
        <v>16954.14102</v>
      </c>
      <c r="X121" s="134">
        <f>'P&amp;L | Cash Flow | Balance'!Y8</f>
        <v>17698.98246</v>
      </c>
      <c r="Y121" s="134">
        <f>'P&amp;L | Cash Flow | Balance'!Z8</f>
        <v>18471.39581</v>
      </c>
      <c r="Z121" s="134">
        <f>'P&amp;L | Cash Flow | Balance'!AA8</f>
        <v>19274.21019</v>
      </c>
      <c r="AA121" s="134">
        <f>'P&amp;L | Cash Flow | Balance'!AB8</f>
        <v>20110.17861</v>
      </c>
      <c r="AB121" s="134">
        <f>'P&amp;L | Cash Flow | Balance'!AC8</f>
        <v>20982.00676</v>
      </c>
      <c r="AC121" s="134">
        <f>'P&amp;L | Cash Flow | Balance'!AD8</f>
        <v>21892.37843</v>
      </c>
      <c r="AD121" s="134">
        <f>'P&amp;L | Cash Flow | Balance'!AE8</f>
        <v>22843.97799</v>
      </c>
      <c r="AE121" s="134">
        <f>'P&amp;L | Cash Flow | Balance'!AF8</f>
        <v>23839.51043</v>
      </c>
      <c r="AF121" s="134">
        <f>'P&amp;L | Cash Flow | Balance'!AG8</f>
        <v>24881.71946</v>
      </c>
      <c r="AG121" s="134">
        <f>'P&amp;L | Cash Flow | Balance'!AH8</f>
        <v>25973.40392</v>
      </c>
      <c r="AH121" s="134">
        <f>'P&amp;L | Cash Flow | Balance'!AI8</f>
        <v>27117.43282</v>
      </c>
      <c r="AI121" s="134">
        <f>'P&amp;L | Cash Flow | Balance'!AJ8</f>
        <v>28316.75937</v>
      </c>
      <c r="AJ121" s="134">
        <f>'P&amp;L | Cash Flow | Balance'!AK8</f>
        <v>29574.434</v>
      </c>
      <c r="AK121" s="134">
        <f>'P&amp;L | Cash Flow | Balance'!AL8</f>
        <v>30893.61687</v>
      </c>
      <c r="AL121" s="134">
        <f>'P&amp;L | Cash Flow | Balance'!AM8</f>
        <v>32277.58971</v>
      </c>
      <c r="AM121" s="134">
        <f>'P&amp;L | Cash Flow | Balance'!AN8</f>
        <v>33729.76739</v>
      </c>
      <c r="AN121" s="134">
        <f>'P&amp;L | Cash Flow | Balance'!AO8</f>
        <v>35253.70922</v>
      </c>
      <c r="AO121" s="134">
        <f>'P&amp;L | Cash Flow | Balance'!AP8</f>
        <v>36853.13013</v>
      </c>
      <c r="AP121" s="134">
        <f>'P&amp;L | Cash Flow | Balance'!AQ8</f>
        <v>38531.91176</v>
      </c>
      <c r="AQ121" s="134">
        <f>'P&amp;L | Cash Flow | Balance'!AR8</f>
        <v>40294.11371</v>
      </c>
      <c r="AR121" s="134">
        <f>'P&amp;L | Cash Flow | Balance'!AS8</f>
        <v>42143.9848</v>
      </c>
      <c r="AS121" s="134">
        <f>'P&amp;L | Cash Flow | Balance'!AT8</f>
        <v>44085.97464</v>
      </c>
      <c r="AT121" s="134">
        <f>'P&amp;L | Cash Flow | Balance'!AU8</f>
        <v>46124.74538</v>
      </c>
      <c r="AU121" s="134">
        <f>'P&amp;L | Cash Flow | Balance'!AV8</f>
        <v>48265.18385</v>
      </c>
      <c r="AV121" s="134">
        <f>'P&amp;L | Cash Flow | Balance'!AW8</f>
        <v>50512.41406</v>
      </c>
      <c r="AW121" s="134">
        <f>'P&amp;L | Cash Flow | Balance'!AX8</f>
        <v>52871.81014</v>
      </c>
      <c r="AX121" s="134">
        <f>'P&amp;L | Cash Flow | Balance'!AY8</f>
        <v>55349.00971</v>
      </c>
      <c r="AY121" s="134">
        <f>'P&amp;L | Cash Flow | Balance'!AZ8</f>
        <v>57949.9279</v>
      </c>
      <c r="AZ121" s="134">
        <f>'P&amp;L | Cash Flow | Balance'!BA8</f>
        <v>60680.77184</v>
      </c>
      <c r="BA121" s="134">
        <f>'P&amp;L | Cash Flow | Balance'!BB8</f>
        <v>63548.05585</v>
      </c>
      <c r="BB121" s="134">
        <f>'P&amp;L | Cash Flow | Balance'!BC8</f>
        <v>66558.61725</v>
      </c>
      <c r="BC121" s="134">
        <f>'P&amp;L | Cash Flow | Balance'!BD8</f>
        <v>69719.63293</v>
      </c>
      <c r="BD121" s="134">
        <f>'P&amp;L | Cash Flow | Balance'!BE8</f>
        <v>73038.63666</v>
      </c>
      <c r="BE121" s="134">
        <f>'P&amp;L | Cash Flow | Balance'!BF8</f>
        <v>76523.53728</v>
      </c>
      <c r="BF121" s="134">
        <f>'P&amp;L | Cash Flow | Balance'!BG8</f>
        <v>80182.6376</v>
      </c>
      <c r="BG121" s="134">
        <f>'P&amp;L | Cash Flow | Balance'!BH8</f>
        <v>84024.65442</v>
      </c>
      <c r="BH121" s="134">
        <f>'P&amp;L | Cash Flow | Balance'!BI8</f>
        <v>88058.73934</v>
      </c>
      <c r="BI121" s="134">
        <f>'P&amp;L | Cash Flow | Balance'!BJ8</f>
        <v>92294.50068</v>
      </c>
      <c r="BJ121" s="134">
        <f>'P&amp;L | Cash Flow | Balance'!BK8</f>
        <v>96742.02643</v>
      </c>
      <c r="BK121" s="134">
        <f>'P&amp;L | Cash Flow | Balance'!BL8</f>
        <v>101411.9084</v>
      </c>
      <c r="BL121" s="134">
        <f>'P&amp;L | Cash Flow | Balance'!BM8</f>
        <v>106315.2673</v>
      </c>
      <c r="BM121" s="134">
        <f>'P&amp;L | Cash Flow | Balance'!BN8</f>
        <v>111463.7796</v>
      </c>
      <c r="BN121" s="134">
        <f>'P&amp;L | Cash Flow | Balance'!BO8</f>
        <v>116869.7053</v>
      </c>
      <c r="BO121" s="134">
        <f>'P&amp;L | Cash Flow | Balance'!BP8</f>
        <v>122545.9167</v>
      </c>
      <c r="BP121" s="134">
        <f>'P&amp;L | Cash Flow | Balance'!BQ8</f>
        <v>128505.9297</v>
      </c>
      <c r="BQ121" s="134">
        <f>'P&amp;L | Cash Flow | Balance'!BR8</f>
        <v>134763.9359</v>
      </c>
      <c r="BR121" s="134">
        <f>'P&amp;L | Cash Flow | Balance'!BS8</f>
        <v>141334.8359</v>
      </c>
      <c r="BS121" s="134">
        <f>'P&amp;L | Cash Flow | Balance'!BT8</f>
        <v>148234.2754</v>
      </c>
      <c r="BT121" s="134">
        <f>'P&amp;L | Cash Flow | Balance'!BU8</f>
        <v>155478.6822</v>
      </c>
      <c r="BU121" s="134">
        <f>'P&amp;L | Cash Flow | Balance'!BV8</f>
        <v>163085.3054</v>
      </c>
      <c r="BV121" s="134">
        <f>'P&amp;L | Cash Flow | Balance'!BW8</f>
        <v>171072.2564</v>
      </c>
      <c r="BW121" s="134">
        <f>'P&amp;L | Cash Flow | Balance'!BX8</f>
        <v>179458.5521</v>
      </c>
      <c r="BX121" s="134">
        <f>'P&amp;L | Cash Flow | Balance'!BY8</f>
        <v>188264.1601</v>
      </c>
      <c r="BY121" s="134">
        <f>'P&amp;L | Cash Flow | Balance'!BZ8</f>
        <v>197510.0465</v>
      </c>
      <c r="BZ121" s="134">
        <f>'P&amp;L | Cash Flow | Balance'!CA8</f>
        <v>207218.2255</v>
      </c>
      <c r="CA121" s="134">
        <f>'P&amp;L | Cash Flow | Balance'!CB8</f>
        <v>217411.8119</v>
      </c>
      <c r="CB121" s="134">
        <f>'P&amp;L | Cash Flow | Balance'!CC8</f>
        <v>228115.0763</v>
      </c>
      <c r="CC121" s="134">
        <f>'P&amp;L | Cash Flow | Balance'!CD8</f>
        <v>239353.5029</v>
      </c>
      <c r="CD121" s="134">
        <f>'P&amp;L | Cash Flow | Balance'!CE8</f>
        <v>251153.8499</v>
      </c>
      <c r="CE121" s="134">
        <f>'P&amp;L | Cash Flow | Balance'!CF8</f>
        <v>263544.2135</v>
      </c>
      <c r="CF121" s="134">
        <f>'P&amp;L | Cash Flow | Balance'!CG8</f>
        <v>276554.0946</v>
      </c>
      <c r="CG121" s="134">
        <f>'P&amp;L | Cash Flow | Balance'!CH8</f>
        <v>290214.4692</v>
      </c>
      <c r="CH121" s="134">
        <f>'P&amp;L | Cash Flow | Balance'!CI8</f>
        <v>304557.862</v>
      </c>
      <c r="CI121" s="134">
        <f>'P&amp;L | Cash Flow | Balance'!CJ8</f>
        <v>319618.4241</v>
      </c>
      <c r="CJ121" s="134">
        <f>'P&amp;L | Cash Flow | Balance'!CK8</f>
        <v>335432.0139</v>
      </c>
      <c r="CK121" s="134">
        <f>'P&amp;L | Cash Flow | Balance'!CL8</f>
        <v>352036.283</v>
      </c>
      <c r="CL121" s="134">
        <f>'P&amp;L | Cash Flow | Balance'!CM8</f>
        <v>369470.7652</v>
      </c>
      <c r="CM121" s="134">
        <f>'P&amp;L | Cash Flow | Balance'!CN8</f>
        <v>387776.9713</v>
      </c>
      <c r="CN121" s="134">
        <f>'P&amp;L | Cash Flow | Balance'!CO8</f>
        <v>406998.4876</v>
      </c>
      <c r="CO121" s="134">
        <f>'P&amp;L | Cash Flow | Balance'!CP8</f>
        <v>427181.0795</v>
      </c>
      <c r="CP121" s="134">
        <f>'P&amp;L | Cash Flow | Balance'!CQ8</f>
        <v>448372.8009</v>
      </c>
      <c r="CQ121" s="134">
        <f>'P&amp;L | Cash Flow | Balance'!CR8</f>
        <v>470624.1082</v>
      </c>
      <c r="CR121" s="134">
        <f>'P&amp;L | Cash Flow | Balance'!CS8</f>
        <v>493987.9808</v>
      </c>
      <c r="CS121" s="134">
        <f>'P&amp;L | Cash Flow | Balance'!CT8</f>
        <v>518520.047</v>
      </c>
      <c r="CT121" s="134">
        <f>'P&amp;L | Cash Flow | Balance'!CU8</f>
        <v>541244.0399</v>
      </c>
      <c r="CU121" s="134">
        <f>'P&amp;L | Cash Flow | Balance'!CV8</f>
        <v>560559.4339</v>
      </c>
      <c r="CV121" s="134">
        <f>'P&amp;L | Cash Flow | Balance'!CW8</f>
        <v>576977.5188</v>
      </c>
    </row>
    <row r="122" ht="15.75" customHeight="1">
      <c r="A122" s="134" t="str">
        <f>Projections!$A$53</f>
        <v>REVENUE STREAM 3: OUTBOUND SALES</v>
      </c>
      <c r="B122" s="134" t="str">
        <f>'P&amp;L | Cash Flow | Balance'!C9</f>
        <v/>
      </c>
      <c r="C122" s="134">
        <f>'P&amp;L | Cash Flow | Balance'!D9</f>
        <v>200</v>
      </c>
      <c r="D122" s="134">
        <f>'P&amp;L | Cash Flow | Balance'!E9</f>
        <v>370</v>
      </c>
      <c r="E122" s="134">
        <f>'P&amp;L | Cash Flow | Balance'!F9</f>
        <v>514.5</v>
      </c>
      <c r="F122" s="134">
        <f>'P&amp;L | Cash Flow | Balance'!G9</f>
        <v>837.325</v>
      </c>
      <c r="G122" s="134">
        <f>'P&amp;L | Cash Flow | Balance'!H9</f>
        <v>1111.72625</v>
      </c>
      <c r="H122" s="134">
        <f>'P&amp;L | Cash Flow | Balance'!I9</f>
        <v>1344.967313</v>
      </c>
      <c r="I122" s="134">
        <f>'P&amp;L | Cash Flow | Balance'!J9</f>
        <v>1743.222216</v>
      </c>
      <c r="J122" s="134">
        <f>'P&amp;L | Cash Flow | Balance'!K9</f>
        <v>2081.738883</v>
      </c>
      <c r="K122" s="134">
        <f>'P&amp;L | Cash Flow | Balance'!L9</f>
        <v>2369.478051</v>
      </c>
      <c r="L122" s="134">
        <f>'P&amp;L | Cash Flow | Balance'!M9</f>
        <v>2814.056343</v>
      </c>
      <c r="M122" s="134">
        <f>'P&amp;L | Cash Flow | Balance'!N9</f>
        <v>3191.947892</v>
      </c>
      <c r="N122" s="134">
        <f>'P&amp;L | Cash Flow | Balance'!O9</f>
        <v>3513.155708</v>
      </c>
      <c r="O122" s="134">
        <f>'P&amp;L | Cash Flow | Balance'!P9</f>
        <v>3986.182352</v>
      </c>
      <c r="P122" s="134">
        <f>'P&amp;L | Cash Flow | Balance'!Q9</f>
        <v>4388.254999</v>
      </c>
      <c r="Q122" s="134">
        <f>'P&amp;L | Cash Flow | Balance'!R9</f>
        <v>4730.016749</v>
      </c>
      <c r="R122" s="134">
        <f>'P&amp;L | Cash Flow | Balance'!S9</f>
        <v>5220.514237</v>
      </c>
      <c r="S122" s="134">
        <f>'P&amp;L | Cash Flow | Balance'!T9</f>
        <v>5637.437101</v>
      </c>
      <c r="T122" s="134">
        <f>'P&amp;L | Cash Flow | Balance'!U9</f>
        <v>5991.821536</v>
      </c>
      <c r="U122" s="134">
        <f>'P&amp;L | Cash Flow | Balance'!V9</f>
        <v>6493.048306</v>
      </c>
      <c r="V122" s="134">
        <f>'P&amp;L | Cash Flow | Balance'!W9</f>
        <v>6919.09106</v>
      </c>
      <c r="W122" s="134">
        <f>'P&amp;L | Cash Flow | Balance'!X9</f>
        <v>7281.227401</v>
      </c>
      <c r="X122" s="134">
        <f>'P&amp;L | Cash Flow | Balance'!Y9</f>
        <v>7789.043291</v>
      </c>
      <c r="Y122" s="134">
        <f>'P&amp;L | Cash Flow | Balance'!Z9</f>
        <v>8220.686797</v>
      </c>
      <c r="Z122" s="134">
        <f>'P&amp;L | Cash Flow | Balance'!AA9</f>
        <v>8587.583778</v>
      </c>
      <c r="AA122" s="134">
        <f>'P&amp;L | Cash Flow | Balance'!AB9</f>
        <v>9099.446211</v>
      </c>
      <c r="AB122" s="134">
        <f>'P&amp;L | Cash Flow | Balance'!AC9</f>
        <v>9534.529279</v>
      </c>
      <c r="AC122" s="134">
        <f>'P&amp;L | Cash Flow | Balance'!AD9</f>
        <v>9904.349887</v>
      </c>
      <c r="AD122" s="134">
        <f>'P&amp;L | Cash Flow | Balance'!AE9</f>
        <v>10418.6974</v>
      </c>
      <c r="AE122" s="134">
        <f>'P&amp;L | Cash Flow | Balance'!AF9</f>
        <v>10855.89279</v>
      </c>
      <c r="AF122" s="134">
        <f>'P&amp;L | Cash Flow | Balance'!AG9</f>
        <v>11227.50887</v>
      </c>
      <c r="AG122" s="134">
        <f>'P&amp;L | Cash Flow | Balance'!AH9</f>
        <v>11543.38254</v>
      </c>
      <c r="AH122" s="134">
        <f>'P&amp;L | Cash Flow | Balance'!AI9</f>
        <v>11811.87516</v>
      </c>
      <c r="AI122" s="134">
        <f>'P&amp;L | Cash Flow | Balance'!AJ9</f>
        <v>12040.09389</v>
      </c>
      <c r="AJ122" s="134">
        <f>'P&amp;L | Cash Flow | Balance'!AK9</f>
        <v>12234.0798</v>
      </c>
      <c r="AK122" s="134">
        <f>'P&amp;L | Cash Flow | Balance'!AL9</f>
        <v>12398.96783</v>
      </c>
      <c r="AL122" s="134">
        <f>'P&amp;L | Cash Flow | Balance'!AM9</f>
        <v>12539.12266</v>
      </c>
      <c r="AM122" s="134">
        <f>'P&amp;L | Cash Flow | Balance'!AN9</f>
        <v>12658.25426</v>
      </c>
      <c r="AN122" s="134">
        <f>'P&amp;L | Cash Flow | Balance'!AO9</f>
        <v>12759.51612</v>
      </c>
      <c r="AO122" s="134">
        <f>'P&amp;L | Cash Flow | Balance'!AP9</f>
        <v>12845.5887</v>
      </c>
      <c r="AP122" s="134">
        <f>'P&amp;L | Cash Flow | Balance'!AQ9</f>
        <v>12918.7504</v>
      </c>
      <c r="AQ122" s="134">
        <f>'P&amp;L | Cash Flow | Balance'!AR9</f>
        <v>12980.93784</v>
      </c>
      <c r="AR122" s="134">
        <f>'P&amp;L | Cash Flow | Balance'!AS9</f>
        <v>13033.79716</v>
      </c>
      <c r="AS122" s="134">
        <f>'P&amp;L | Cash Flow | Balance'!AT9</f>
        <v>13078.72759</v>
      </c>
      <c r="AT122" s="134">
        <f>'P&amp;L | Cash Flow | Balance'!AU9</f>
        <v>13116.91845</v>
      </c>
      <c r="AU122" s="134">
        <f>'P&amp;L | Cash Flow | Balance'!AV9</f>
        <v>13149.38068</v>
      </c>
      <c r="AV122" s="134">
        <f>'P&amp;L | Cash Flow | Balance'!AW9</f>
        <v>13176.97358</v>
      </c>
      <c r="AW122" s="134">
        <f>'P&amp;L | Cash Flow | Balance'!AX9</f>
        <v>13200.42754</v>
      </c>
      <c r="AX122" s="134">
        <f>'P&amp;L | Cash Flow | Balance'!AY9</f>
        <v>13220.36341</v>
      </c>
      <c r="AY122" s="134">
        <f>'P&amp;L | Cash Flow | Balance'!AZ9</f>
        <v>13237.3089</v>
      </c>
      <c r="AZ122" s="134">
        <f>'P&amp;L | Cash Flow | Balance'!BA9</f>
        <v>13251.71256</v>
      </c>
      <c r="BA122" s="134">
        <f>'P&amp;L | Cash Flow | Balance'!BB9</f>
        <v>13263.95568</v>
      </c>
      <c r="BB122" s="134">
        <f>'P&amp;L | Cash Flow | Balance'!BC9</f>
        <v>13274.36233</v>
      </c>
      <c r="BC122" s="134">
        <f>'P&amp;L | Cash Flow | Balance'!BD9</f>
        <v>13283.20798</v>
      </c>
      <c r="BD122" s="134">
        <f>'P&amp;L | Cash Flow | Balance'!BE9</f>
        <v>13290.72678</v>
      </c>
      <c r="BE122" s="134">
        <f>'P&amp;L | Cash Flow | Balance'!BF9</f>
        <v>13297.11776</v>
      </c>
      <c r="BF122" s="134">
        <f>'P&amp;L | Cash Flow | Balance'!BG9</f>
        <v>13302.5501</v>
      </c>
      <c r="BG122" s="134">
        <f>'P&amp;L | Cash Flow | Balance'!BH9</f>
        <v>13307.16759</v>
      </c>
      <c r="BH122" s="134">
        <f>'P&amp;L | Cash Flow | Balance'!BI9</f>
        <v>13311.09245</v>
      </c>
      <c r="BI122" s="134">
        <f>'P&amp;L | Cash Flow | Balance'!BJ9</f>
        <v>13314.42858</v>
      </c>
      <c r="BJ122" s="134">
        <f>'P&amp;L | Cash Flow | Balance'!BK9</f>
        <v>13317.26429</v>
      </c>
      <c r="BK122" s="134">
        <f>'P&amp;L | Cash Flow | Balance'!BL9</f>
        <v>13319.67465</v>
      </c>
      <c r="BL122" s="134">
        <f>'P&amp;L | Cash Flow | Balance'!BM9</f>
        <v>13321.72345</v>
      </c>
      <c r="BM122" s="134">
        <f>'P&amp;L | Cash Flow | Balance'!BN9</f>
        <v>13323.46493</v>
      </c>
      <c r="BN122" s="134">
        <f>'P&amp;L | Cash Flow | Balance'!BO9</f>
        <v>13324.94519</v>
      </c>
      <c r="BO122" s="134">
        <f>'P&amp;L | Cash Flow | Balance'!BP9</f>
        <v>13326.20341</v>
      </c>
      <c r="BP122" s="134">
        <f>'P&amp;L | Cash Flow | Balance'!BQ9</f>
        <v>13327.2729</v>
      </c>
      <c r="BQ122" s="134">
        <f>'P&amp;L | Cash Flow | Balance'!BR9</f>
        <v>13328.18197</v>
      </c>
      <c r="BR122" s="134">
        <f>'P&amp;L | Cash Flow | Balance'!BS9</f>
        <v>13328.95467</v>
      </c>
      <c r="BS122" s="134">
        <f>'P&amp;L | Cash Flow | Balance'!BT9</f>
        <v>13329.61147</v>
      </c>
      <c r="BT122" s="134">
        <f>'P&amp;L | Cash Flow | Balance'!BU9</f>
        <v>13330.16975</v>
      </c>
      <c r="BU122" s="134">
        <f>'P&amp;L | Cash Flow | Balance'!BV9</f>
        <v>13330.64429</v>
      </c>
      <c r="BV122" s="134">
        <f>'P&amp;L | Cash Flow | Balance'!BW9</f>
        <v>13331.04764</v>
      </c>
      <c r="BW122" s="134">
        <f>'P&amp;L | Cash Flow | Balance'!BX9</f>
        <v>13331.3905</v>
      </c>
      <c r="BX122" s="134">
        <f>'P&amp;L | Cash Flow | Balance'!BY9</f>
        <v>13331.68192</v>
      </c>
      <c r="BY122" s="134">
        <f>'P&amp;L | Cash Flow | Balance'!BZ9</f>
        <v>13331.92963</v>
      </c>
      <c r="BZ122" s="134">
        <f>'P&amp;L | Cash Flow | Balance'!CA9</f>
        <v>13332.14019</v>
      </c>
      <c r="CA122" s="134">
        <f>'P&amp;L | Cash Flow | Balance'!CB9</f>
        <v>13332.31916</v>
      </c>
      <c r="CB122" s="134">
        <f>'P&amp;L | Cash Flow | Balance'!CC9</f>
        <v>13332.47129</v>
      </c>
      <c r="CC122" s="134">
        <f>'P&amp;L | Cash Flow | Balance'!CD9</f>
        <v>13332.60059</v>
      </c>
      <c r="CD122" s="134">
        <f>'P&amp;L | Cash Flow | Balance'!CE9</f>
        <v>13332.7105</v>
      </c>
      <c r="CE122" s="134">
        <f>'P&amp;L | Cash Flow | Balance'!CF9</f>
        <v>13332.80393</v>
      </c>
      <c r="CF122" s="134">
        <f>'P&amp;L | Cash Flow | Balance'!CG9</f>
        <v>13332.88334</v>
      </c>
      <c r="CG122" s="134">
        <f>'P&amp;L | Cash Flow | Balance'!CH9</f>
        <v>13332.95084</v>
      </c>
      <c r="CH122" s="134">
        <f>'P&amp;L | Cash Flow | Balance'!CI9</f>
        <v>13333.00821</v>
      </c>
      <c r="CI122" s="134">
        <f>'P&amp;L | Cash Flow | Balance'!CJ9</f>
        <v>13333.05698</v>
      </c>
      <c r="CJ122" s="134">
        <f>'P&amp;L | Cash Flow | Balance'!CK9</f>
        <v>13333.09843</v>
      </c>
      <c r="CK122" s="134">
        <f>'P&amp;L | Cash Flow | Balance'!CL9</f>
        <v>13333.13367</v>
      </c>
      <c r="CL122" s="134">
        <f>'P&amp;L | Cash Flow | Balance'!CM9</f>
        <v>13333.16362</v>
      </c>
      <c r="CM122" s="134">
        <f>'P&amp;L | Cash Flow | Balance'!CN9</f>
        <v>13333.18908</v>
      </c>
      <c r="CN122" s="134">
        <f>'P&amp;L | Cash Flow | Balance'!CO9</f>
        <v>13333.21071</v>
      </c>
      <c r="CO122" s="134">
        <f>'P&amp;L | Cash Flow | Balance'!CP9</f>
        <v>13333.22911</v>
      </c>
      <c r="CP122" s="134">
        <f>'P&amp;L | Cash Flow | Balance'!CQ9</f>
        <v>13333.24474</v>
      </c>
      <c r="CQ122" s="134">
        <f>'P&amp;L | Cash Flow | Balance'!CR9</f>
        <v>13333.25803</v>
      </c>
      <c r="CR122" s="134">
        <f>'P&amp;L | Cash Flow | Balance'!CS9</f>
        <v>13333.26933</v>
      </c>
      <c r="CS122" s="134">
        <f>'P&amp;L | Cash Flow | Balance'!CT9</f>
        <v>13333.27893</v>
      </c>
      <c r="CT122" s="134">
        <f>'P&amp;L | Cash Flow | Balance'!CU9</f>
        <v>13333.28709</v>
      </c>
      <c r="CU122" s="134">
        <f>'P&amp;L | Cash Flow | Balance'!CV9</f>
        <v>13333.29402</v>
      </c>
      <c r="CV122" s="134">
        <f>'P&amp;L | Cash Flow | Balance'!CW9</f>
        <v>13333.29992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