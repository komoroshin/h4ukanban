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scription" sheetId="1" state="visible" r:id="rId1"/>
    <sheet name="Settings" sheetId="2" state="visible" r:id="rId2"/>
    <sheet name="Roadmap" sheetId="3" state="visible" r:id="rId3"/>
    <sheet name="Payroll" sheetId="4" state="visible" r:id="rId4"/>
    <sheet name="Projections" sheetId="5" state="visible" r:id="rId5"/>
    <sheet name="Charts" sheetId="6" state="visible" r:id="rId6"/>
    <sheet name="For Pitchdeck" sheetId="7" state="visible" r:id="rId7"/>
    <sheet name="Monthly forecast" sheetId="8" state="visible" r:id="rId8"/>
    <sheet name="Unit economics" sheetId="9" state="visible" r:id="rId9"/>
    <sheet name="P&amp;L | Cash Flow | Balance" sheetId="10" state="visible" r:id="rId10"/>
    <sheet name="Cap Table" sheetId="11" state="visible" r:id="rId11"/>
    <sheet name="Dividends" sheetId="12" state="visible" r:id="rId12"/>
    <sheet name="Exit Scenarios" sheetId="13" state="visible" r:id="rId13"/>
    <sheet name="Data for cha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39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</fonts>
  <fills count="10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</fills>
  <borders count="51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</borders>
  <cellStyleXfs count="1">
    <xf numFmtId="0" fontId="0" fillId="0" borderId="0"/>
  </cellStyleXfs>
  <cellXfs count="2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3" authorId="0" shapeId="0">
      <text>
        <t>Введите количество сессий на сайте из органики в первый месяц</t>
      </text>
    </comment>
    <comment ref="B14" authorId="0" shapeId="0">
      <text>
        <t>Введите процент, на который будет увеличиваться количество сессий на сайте из органики ежемесячно</t>
      </text>
    </comment>
    <comment ref="B19" authorId="0" shapeId="0">
      <text>
        <t>Введите ежемесячный бюджет на платный прямой маркетинг при старте этого канала продвижения</t>
      </text>
    </comment>
    <comment ref="E19" authorId="0" shapeId="0">
      <text>
        <t>Выберите событие, после которого вы увеличите бюджет</t>
      </text>
    </comment>
    <comment ref="G19" authorId="0" shapeId="0">
      <text>
        <t>Введите сумму дополнительного бюджета</t>
      </text>
    </comment>
    <comment ref="B28" authorId="0" shapeId="0">
      <text>
        <t>Введите ежемесячную цену вашей подписки</t>
      </text>
    </comment>
    <comment ref="B30" authorId="0" shapeId="0">
      <text>
        <t>Введите процент людей в месяц, которые будут отказываться от подписки</t>
      </text>
    </comment>
    <comment ref="B67" authorId="0" shapeId="0">
      <text>
        <t>Введите стоимость обработки платежей (процент от общих сумм поступающих денег)</t>
      </text>
    </comment>
    <comment ref="B68" authorId="0" shapeId="0">
      <text>
        <t>Введите расходы на техническое обеспечение работы вашего продукта на одного активного пользователя (подписчика)</t>
      </text>
    </comment>
    <comment ref="B76" authorId="0" shapeId="0">
      <text>
        <t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ref="B94" authorId="0" shapeId="0">
      <text>
        <t>Введите общую стоимость открытия юридического лица (услуги консультантов, госпошлины и пр)</t>
      </text>
    </comment>
    <comment ref="B117" authorId="0" shapeId="0">
      <text>
        <t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ref="C117" authorId="0" shapeId="0">
      <text>
        <t>Введите срок службы актива (в месяцах) для расчета амортизации</t>
      </text>
    </comment>
    <comment ref="B120" authorId="0" shapeId="0">
      <text>
        <t>Введите стоимость прочих активов: оборудование, техника, мебель и пр.</t>
      </text>
    </comment>
    <comment ref="C120" authorId="0" shapeId="0">
      <text>
        <t>Введите срок службы актива (в месяцах) для расчета амортизации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2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3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4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32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50.13" customWidth="1" style="255" min="1" max="1"/>
    <col width="25.25" customWidth="1" style="255" min="2" max="2"/>
    <col width="20.63" customWidth="1" style="255" min="3" max="3"/>
    <col width="20.88" customWidth="1" style="255" min="4" max="4"/>
    <col width="20.38" customWidth="1" style="255" min="5" max="6"/>
    <col width="11.13" customWidth="1" style="255" min="7" max="7"/>
    <col width="22.5" customWidth="1" style="255" min="8" max="8"/>
    <col width="17.25" customWidth="1" style="255" min="9" max="9"/>
    <col width="12.88" customWidth="1" style="255" min="10" max="10"/>
    <col width="24.63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7">
        <f>Settings!$B$4</f>
        <v/>
      </c>
      <c r="B1" s="42" t="n"/>
      <c r="C1" s="42" t="n"/>
      <c r="D1" s="42" t="n"/>
      <c r="E1" s="42" t="n"/>
      <c r="F1" s="42" t="n"/>
      <c r="G1" s="59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START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59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59" t="inlineStr">
        <is>
          <t>INCORPORATION</t>
        </is>
      </c>
      <c r="B4" s="57">
        <f>Roadmap!C7</f>
        <v/>
      </c>
      <c r="C4" s="42" t="n"/>
      <c r="D4" s="42" t="n"/>
      <c r="E4" s="42" t="n"/>
      <c r="F4" s="42" t="n"/>
      <c r="G4" s="59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59" t="inlineStr">
        <is>
          <t>SEED ROUND MONEY TRANSFER</t>
        </is>
      </c>
      <c r="B5" s="57">
        <f>Roadmap!C8</f>
        <v/>
      </c>
      <c r="C5" s="42" t="n"/>
      <c r="D5" s="42" t="n"/>
      <c r="E5" s="42" t="n"/>
      <c r="F5" s="42" t="n"/>
      <c r="G5" s="59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42" t="n"/>
      <c r="C6" s="42" t="n"/>
      <c r="D6" s="42" t="n"/>
      <c r="E6" s="42" t="n"/>
      <c r="F6" s="42" t="n"/>
      <c r="G6" s="59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23.25" customHeight="1" s="255">
      <c r="A7" s="29" t="inlineStr">
        <is>
          <t>REVENUE</t>
        </is>
      </c>
      <c r="B7" s="30" t="n"/>
      <c r="C7" s="30" t="n"/>
      <c r="D7" s="30" t="n"/>
      <c r="E7" s="30" t="n"/>
      <c r="F7" s="30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5.75" customHeight="1" s="255">
      <c r="A8" s="42" t="n"/>
      <c r="B8" s="42" t="n"/>
      <c r="C8" s="42" t="n"/>
      <c r="D8" s="42" t="n"/>
      <c r="E8" s="42" t="n"/>
      <c r="F8" s="42" t="n"/>
      <c r="G8" s="59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59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62" t="inlineStr">
        <is>
          <t>WEBSITE TRAFFIC</t>
        </is>
      </c>
      <c r="B10" s="63" t="n"/>
      <c r="C10" s="63" t="n"/>
      <c r="D10" s="63" t="n"/>
      <c r="E10" s="63" t="n"/>
      <c r="F10" s="63" t="n"/>
      <c r="G10" s="62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59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59" t="inlineStr">
        <is>
          <t>Organic traffic</t>
        </is>
      </c>
      <c r="B12" s="42" t="n"/>
      <c r="C12" s="49" t="inlineStr">
        <is>
          <t>Start event in the roadmap</t>
        </is>
      </c>
      <c r="D12" s="39" t="inlineStr">
        <is>
          <t>Date</t>
        </is>
      </c>
      <c r="E12" s="42" t="n"/>
      <c r="F12" s="42" t="n"/>
      <c r="G12" s="59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inlineStr">
        <is>
          <t>Traffic first month</t>
        </is>
      </c>
      <c r="B13" s="64" t="n">
        <v>1000</v>
      </c>
      <c r="C13" s="42" t="inlineStr">
        <is>
          <t>Incorporation</t>
        </is>
      </c>
      <c r="D13" s="57">
        <f>IFERROR(VLOOKUP(C13,Roadmap!$A$7:$D$110,3,0),"not set, choose the event")</f>
        <v/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inlineStr">
        <is>
          <t>Monthly increase</t>
        </is>
      </c>
      <c r="B14" s="58" t="n">
        <v>0.05</v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inlineStr">
        <is>
          <t>Maximum traffic</t>
        </is>
      </c>
      <c r="B15" s="64" t="n">
        <v>100000</v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3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59" t="inlineStr">
        <is>
          <t>Paid traffic</t>
        </is>
      </c>
      <c r="B17" s="42" t="n"/>
      <c r="C17" s="42" t="n"/>
      <c r="D17" s="42" t="n"/>
      <c r="E17" s="42" t="n"/>
      <c r="F17" s="42" t="n"/>
      <c r="G17" s="59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9" t="inlineStr">
        <is>
          <t>Budget at start</t>
        </is>
      </c>
      <c r="C18" s="49" t="inlineStr">
        <is>
          <t>Start event in the roadmap</t>
        </is>
      </c>
      <c r="D18" s="49" t="inlineStr">
        <is>
          <t>Date</t>
        </is>
      </c>
      <c r="E18" s="65" t="inlineStr">
        <is>
          <t>Event in the roadmap to increase budget</t>
        </is>
      </c>
      <c r="F18" s="65" t="inlineStr">
        <is>
          <t>Date</t>
        </is>
      </c>
      <c r="G18" s="65" t="inlineStr">
        <is>
          <t>Additional budget</t>
        </is>
      </c>
      <c r="H18" s="65" t="inlineStr">
        <is>
          <t>Event in the roadmap to increase budget</t>
        </is>
      </c>
      <c r="I18" s="65" t="inlineStr">
        <is>
          <t>Date</t>
        </is>
      </c>
      <c r="J18" s="65" t="inlineStr">
        <is>
          <t>Additional budget</t>
        </is>
      </c>
      <c r="K18" s="65" t="inlineStr">
        <is>
          <t>Event in the roadmap to increase budget</t>
        </is>
      </c>
      <c r="L18" s="65" t="inlineStr">
        <is>
          <t>Date</t>
        </is>
      </c>
      <c r="M18" s="65" t="inlineStr">
        <is>
          <t>Additional budget</t>
        </is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5.75" customHeight="1" s="255">
      <c r="A19" s="42" t="inlineStr">
        <is>
          <t>Paid traffic marketing budget per month</t>
        </is>
      </c>
      <c r="B19" s="67" t="n">
        <v>1000</v>
      </c>
      <c r="C19" s="42" t="inlineStr">
        <is>
          <t>Incorporation</t>
        </is>
      </c>
      <c r="D19" s="57">
        <f>IFERROR(VLOOKUP(C19,Roadmap!$A$7:$D$110,3,0),"not set, choose the event")</f>
        <v/>
      </c>
      <c r="E19" s="75" t="inlineStr">
        <is>
          <t>Seed round money transfer</t>
        </is>
      </c>
      <c r="F19" s="69">
        <f>IFERROR(VLOOKUP(E19,Roadmap!$A$7:$D$110,3,0),"not set, choose the event")</f>
        <v/>
      </c>
      <c r="G19" s="67" t="n">
        <v>0</v>
      </c>
      <c r="H19" s="75" t="n"/>
      <c r="I19" s="69">
        <f>IFERROR(VLOOKUP(H19,Roadmap!$A$7:$D$110,3,0),"not set, choose the event")</f>
        <v/>
      </c>
      <c r="J19" s="67" t="n">
        <v>0</v>
      </c>
      <c r="K19" s="75" t="n"/>
      <c r="L19" s="69">
        <f>IFERROR(VLOOKUP(K19,Roadmap!$A$7:$D$110,3,0),"not set, choose the event")</f>
        <v/>
      </c>
      <c r="M19" s="67" t="n">
        <v>0</v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 ht="15.75" customHeight="1" s="255">
      <c r="A20" s="42" t="n"/>
      <c r="B20" s="67" t="n"/>
      <c r="C20" s="42" t="n"/>
      <c r="D20" s="57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inlineStr">
        <is>
          <t>CPC (Cost per click)</t>
        </is>
      </c>
      <c r="B21" s="67" t="n">
        <v>3</v>
      </c>
      <c r="C21" s="42" t="n"/>
      <c r="D21" s="57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inlineStr">
        <is>
          <t>Monthly decrease of Expected CPC</t>
        </is>
      </c>
      <c r="B22" s="70" t="n">
        <v>0.05</v>
      </c>
      <c r="C22" s="42" t="n"/>
      <c r="D22" s="57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inlineStr">
        <is>
          <t>Minimum Expected CPC</t>
        </is>
      </c>
      <c r="B23" s="67" t="n">
        <v>2</v>
      </c>
      <c r="C23" s="42" t="n"/>
      <c r="D23" s="57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71" t="n"/>
      <c r="C24" s="42" t="n"/>
      <c r="D24" s="57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62" t="inlineStr">
        <is>
          <t>BUSINESS MODEL: SUBSCRIPTION</t>
        </is>
      </c>
      <c r="B25" s="71" t="n"/>
      <c r="C25" s="42" t="n"/>
      <c r="D25" s="57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71" t="n"/>
      <c r="C26" s="42" t="n"/>
      <c r="D26" s="57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59" t="inlineStr">
        <is>
          <t>Pricing</t>
        </is>
      </c>
      <c r="B27" s="71" t="n"/>
      <c r="C27" s="49" t="inlineStr">
        <is>
          <t>Start event in the roadmap</t>
        </is>
      </c>
      <c r="D27" s="49" t="inlineStr">
        <is>
          <t>Date</t>
        </is>
      </c>
      <c r="E27" s="42" t="n"/>
      <c r="F27" s="42" t="n"/>
      <c r="G27" s="59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inlineStr">
        <is>
          <t>Monthly subscription</t>
        </is>
      </c>
      <c r="B28" s="67" t="n">
        <v>100</v>
      </c>
      <c r="C28" s="42" t="inlineStr">
        <is>
          <t>Incorporation</t>
        </is>
      </c>
      <c r="D28" s="57">
        <f>IFERROR(VLOOKUP(C28,Roadmap!$A$7:$D$110,3,0),"not set, choose the event")</f>
        <v/>
      </c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59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inlineStr">
        <is>
          <t>Expected monthly churn rate</t>
        </is>
      </c>
      <c r="B30" s="58" t="n">
        <v>0.15</v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59" t="inlineStr">
        <is>
          <t>Expected LTV</t>
        </is>
      </c>
      <c r="B31" s="56">
        <f>iferror(B28/B30,0)</f>
        <v/>
      </c>
      <c r="C31" s="42" t="n"/>
      <c r="D31" s="42" t="n"/>
      <c r="E31" s="42" t="n"/>
      <c r="F31" s="42" t="n"/>
      <c r="G31" s="59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54" t="n"/>
      <c r="C32" s="42" t="n"/>
      <c r="D32" s="57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62" t="inlineStr">
        <is>
          <t>REVENUE STREAM 1: SELF-SERVICE</t>
        </is>
      </c>
      <c r="B33" s="63" t="n"/>
      <c r="C33" s="63" t="n"/>
      <c r="D33" s="63" t="n"/>
      <c r="E33" s="63" t="n"/>
      <c r="F33" s="63" t="n"/>
      <c r="G33" s="62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255">
      <c r="A34" s="42" t="n"/>
      <c r="B34" s="42" t="n"/>
      <c r="C34" s="42" t="n"/>
      <c r="D34" s="42" t="n"/>
      <c r="E34" s="34" t="n"/>
      <c r="F34" s="42" t="n"/>
      <c r="G34" s="59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59" t="inlineStr">
        <is>
          <t>Traffic conversion to subscription</t>
        </is>
      </c>
      <c r="B35" s="42" t="n"/>
      <c r="C35" s="42" t="n"/>
      <c r="D35" s="42" t="n"/>
      <c r="E35" s="42" t="n"/>
      <c r="F35" s="42" t="n"/>
      <c r="G35" s="59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inlineStr">
        <is>
          <t>Conversion to subscription</t>
        </is>
      </c>
      <c r="B36" s="72" t="n">
        <v>0.005</v>
      </c>
      <c r="C36" s="42" t="n"/>
      <c r="D36" s="42" t="n"/>
      <c r="E36" s="42" t="n"/>
      <c r="F36" s="42" t="n"/>
      <c r="G36" s="59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inlineStr">
        <is>
          <t>CAC - paid ads</t>
        </is>
      </c>
      <c r="B37" s="56">
        <f>B19/(B19/B21*B36)</f>
        <v/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62" t="inlineStr">
        <is>
          <t>REVENUE STREAM 2: INBOUND SALES</t>
        </is>
      </c>
      <c r="B39" s="63" t="n"/>
      <c r="C39" s="63" t="n"/>
      <c r="D39" s="63" t="n"/>
      <c r="E39" s="63" t="n"/>
      <c r="F39" s="63" t="n"/>
      <c r="G39" s="62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59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9" t="inlineStr">
        <is>
          <t>Start event in the roadmap</t>
        </is>
      </c>
      <c r="C41" s="49" t="inlineStr">
        <is>
          <t>Date</t>
        </is>
      </c>
      <c r="D41" s="42" t="n"/>
      <c r="E41" s="42" t="n"/>
      <c r="F41" s="42" t="n"/>
      <c r="G41" s="59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59" t="inlineStr">
        <is>
          <t>Expected launch</t>
        </is>
      </c>
      <c r="B42" s="42" t="inlineStr">
        <is>
          <t>Incorporation</t>
        </is>
      </c>
      <c r="C42" s="57">
        <f>IFERROR(VLOOKUP(B42,Roadmap!$A$7:$D$110,3,0),"not set, choose the event")</f>
        <v/>
      </c>
      <c r="D42" s="42" t="n"/>
      <c r="E42" s="42" t="n"/>
      <c r="F42" s="42" t="n"/>
      <c r="G42" s="59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59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59" t="inlineStr">
        <is>
          <t>Traffic conversion to lead</t>
        </is>
      </c>
      <c r="B44" s="42" t="n"/>
      <c r="C44" s="42" t="n"/>
      <c r="D44" s="42" t="n"/>
      <c r="E44" s="42" t="n"/>
      <c r="F44" s="42" t="n"/>
      <c r="G44" s="59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inlineStr">
        <is>
          <t>Conversion to lead</t>
        </is>
      </c>
      <c r="B45" s="72" t="n">
        <v>0.1</v>
      </c>
      <c r="C45" s="42" t="n"/>
      <c r="D45" s="42" t="n"/>
      <c r="E45" s="42" t="n"/>
      <c r="F45" s="42" t="n"/>
      <c r="G45" s="59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inlineStr">
        <is>
          <t>CPL (Cost Per Lead)</t>
        </is>
      </c>
      <c r="B46" s="73">
        <f>B19/(B19/B21*B45)</f>
        <v/>
      </c>
      <c r="C46" s="42" t="n"/>
      <c r="D46" s="42" t="n"/>
      <c r="E46" s="42" t="n"/>
      <c r="F46" s="42" t="n"/>
      <c r="G46" s="59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59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59" t="inlineStr">
        <is>
          <t>Lead to subscription conversion</t>
        </is>
      </c>
      <c r="B48" s="42" t="n"/>
      <c r="C48" s="42" t="n"/>
      <c r="D48" s="42" t="n"/>
      <c r="E48" s="42" t="n"/>
      <c r="F48" s="42" t="n"/>
      <c r="G48" s="59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inlineStr">
        <is>
          <t>Leads per Sales Manager per month</t>
        </is>
      </c>
      <c r="B49" s="43" t="n">
        <v>100</v>
      </c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inlineStr">
        <is>
          <t>Lead to sale conversion</t>
        </is>
      </c>
      <c r="B50" s="72" t="n">
        <v>0.1</v>
      </c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62" t="inlineStr">
        <is>
          <t>REVENUE STREAM 3: OUTBOUND SALES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9" t="inlineStr">
        <is>
          <t>Start event in the roadmap</t>
        </is>
      </c>
      <c r="C55" s="49" t="inlineStr">
        <is>
          <t>Date</t>
        </is>
      </c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22.5" customHeight="1" s="255">
      <c r="A56" s="59" t="inlineStr">
        <is>
          <t>Expected launch</t>
        </is>
      </c>
      <c r="B56" s="42" t="inlineStr">
        <is>
          <t>Incorporation</t>
        </is>
      </c>
      <c r="C56" s="57">
        <f>IFERROR(VLOOKUP(B56,Roadmap!$A$7:$D$110,3,0),"not set, choose the event")</f>
        <v/>
      </c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inlineStr">
        <is>
          <t>Number of outbound sales managers first month</t>
        </is>
      </c>
      <c r="B58" s="43" t="n">
        <v>1</v>
      </c>
      <c r="C58" s="49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inlineStr">
        <is>
          <t>Hiring frequency, months</t>
        </is>
      </c>
      <c r="B59" s="43" t="n">
        <v>3</v>
      </c>
      <c r="C59" s="58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inlineStr">
        <is>
          <t>Max number of outbound sales managers</t>
        </is>
      </c>
      <c r="B60" s="43" t="n">
        <v>10</v>
      </c>
      <c r="C60" s="58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74" t="n"/>
      <c r="C61" s="58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inlineStr">
        <is>
          <t>Deals closed per Sales Manager per month</t>
        </is>
      </c>
      <c r="B62" s="43" t="n">
        <v>2</v>
      </c>
      <c r="C62" s="58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74" t="n"/>
      <c r="C63" s="58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59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3.25" customHeight="1" s="255">
      <c r="A65" s="29" t="inlineStr">
        <is>
          <t>COGS</t>
        </is>
      </c>
      <c r="B65" s="30" t="n"/>
      <c r="C65" s="30" t="n"/>
      <c r="D65" s="30" t="n"/>
      <c r="E65" s="30" t="n"/>
      <c r="F65" s="30" t="n"/>
      <c r="G65" s="29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59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inlineStr">
        <is>
          <t>Payments processing</t>
        </is>
      </c>
      <c r="B67" s="58" t="n">
        <v>0.01</v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inlineStr">
        <is>
          <t>Hosting costs per subscriber per month</t>
        </is>
      </c>
      <c r="B68" s="67" t="n">
        <v>2</v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59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59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23.25" customHeight="1" s="255">
      <c r="A71" s="29" t="inlineStr">
        <is>
          <t>SG&amp;A</t>
        </is>
      </c>
      <c r="B71" s="30" t="n"/>
      <c r="C71" s="30" t="n"/>
      <c r="D71" s="30" t="n"/>
      <c r="E71" s="30" t="n"/>
      <c r="F71" s="30" t="n"/>
      <c r="G71" s="29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59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62" t="inlineStr">
        <is>
          <t>MARKETING</t>
        </is>
      </c>
      <c r="B73" s="63" t="n"/>
      <c r="C73" s="63" t="n"/>
      <c r="D73" s="63" t="n"/>
      <c r="E73" s="63" t="n"/>
      <c r="F73" s="63" t="n"/>
      <c r="G73" s="62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59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59" t="inlineStr">
        <is>
          <t>Brand awareness campaigns</t>
        </is>
      </c>
      <c r="B75" s="42" t="n"/>
      <c r="C75" s="49" t="inlineStr">
        <is>
          <t>Start event in the roadmap</t>
        </is>
      </c>
      <c r="D75" s="49" t="inlineStr">
        <is>
          <t>Date</t>
        </is>
      </c>
      <c r="E75" s="65" t="inlineStr">
        <is>
          <t>Event in the roadmap to increase budget</t>
        </is>
      </c>
      <c r="F75" s="65" t="inlineStr">
        <is>
          <t>Date</t>
        </is>
      </c>
      <c r="G75" s="65" t="inlineStr">
        <is>
          <t>Additional budget</t>
        </is>
      </c>
      <c r="H75" s="65" t="inlineStr">
        <is>
          <t>Event in the roadmap to increase budget</t>
        </is>
      </c>
      <c r="I75" s="65" t="inlineStr">
        <is>
          <t>Date</t>
        </is>
      </c>
      <c r="J75" s="65" t="inlineStr">
        <is>
          <t>Additional budget</t>
        </is>
      </c>
      <c r="K75" s="65" t="inlineStr">
        <is>
          <t>Event in the roadmap to increase budget</t>
        </is>
      </c>
      <c r="L75" s="65" t="inlineStr">
        <is>
          <t>Date</t>
        </is>
      </c>
      <c r="M75" s="65" t="inlineStr">
        <is>
          <t>Additional budget</t>
        </is>
      </c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3" t="inlineStr">
        <is>
          <t>Channel 1</t>
        </is>
      </c>
      <c r="B76" s="67" t="n">
        <v>2000</v>
      </c>
      <c r="C76" s="42" t="inlineStr">
        <is>
          <t>Seed round money transfer</t>
        </is>
      </c>
      <c r="D76" s="57">
        <f>IFERROR(VLOOKUP(C76,Roadmap!$A$7:$D$110,3,0),"not set, choose the event")</f>
        <v/>
      </c>
      <c r="E76" s="75" t="inlineStr">
        <is>
          <t>Seed round money transfer</t>
        </is>
      </c>
      <c r="F76" s="69">
        <f>IFERROR(VLOOKUP(E76,Roadmap!$A$7:$D$110,3,0),"not set, choose the event")</f>
        <v/>
      </c>
      <c r="G76" s="67" t="n">
        <v>1000</v>
      </c>
      <c r="H76" s="75" t="n"/>
      <c r="I76" s="69">
        <f>IFERROR(VLOOKUP(H76,Roadmap!$A$7:$D$110,3,0),"not set, choose the event")</f>
        <v/>
      </c>
      <c r="J76" s="67" t="n">
        <v>0</v>
      </c>
      <c r="K76" s="75" t="n"/>
      <c r="L76" s="69">
        <f>IFERROR(VLOOKUP(K76,Roadmap!$A$7:$D$110,3,0),"not set, choose the event")</f>
        <v/>
      </c>
      <c r="M76" s="67" t="n">
        <v>0</v>
      </c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3" t="inlineStr">
        <is>
          <t>Channel 2</t>
        </is>
      </c>
      <c r="B77" s="67" t="n">
        <v>0</v>
      </c>
      <c r="C77" s="42" t="n"/>
      <c r="D77" s="57">
        <f>IFERROR(VLOOKUP(C77,Roadmap!$A$7:$D$110,3,0),"not set, choose the event")</f>
        <v/>
      </c>
      <c r="E77" s="75" t="inlineStr">
        <is>
          <t>Seed round money transfer</t>
        </is>
      </c>
      <c r="F77" s="69">
        <f>IFERROR(VLOOKUP(E77,Roadmap!$A$7:$D$110,3,0),"not set, choose the event")</f>
        <v/>
      </c>
      <c r="G77" s="67" t="n">
        <v>0</v>
      </c>
      <c r="H77" s="75" t="n"/>
      <c r="I77" s="69">
        <f>IFERROR(VLOOKUP(H77,Roadmap!$A$7:$D$110,3,0),"not set, choose the event")</f>
        <v/>
      </c>
      <c r="J77" s="67" t="n">
        <v>0</v>
      </c>
      <c r="K77" s="75" t="n"/>
      <c r="L77" s="69">
        <f>IFERROR(VLOOKUP(K77,Roadmap!$A$7:$D$110,3,0),"not set, choose the event")</f>
        <v/>
      </c>
      <c r="M77" s="67" t="n">
        <v>0</v>
      </c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3" t="inlineStr">
        <is>
          <t>Channel 3</t>
        </is>
      </c>
      <c r="B78" s="67" t="n">
        <v>0</v>
      </c>
      <c r="C78" s="42" t="n"/>
      <c r="D78" s="57">
        <f>IFERROR(VLOOKUP(C78,Roadmap!$A$7:$D$110,3,0),"not set, choose the event")</f>
        <v/>
      </c>
      <c r="E78" s="75" t="n"/>
      <c r="F78" s="69">
        <f>IFERROR(VLOOKUP(E78,Roadmap!$A$7:$D$110,3,0),"not set, choose the event")</f>
        <v/>
      </c>
      <c r="G78" s="67" t="n">
        <v>0</v>
      </c>
      <c r="H78" s="75" t="n"/>
      <c r="I78" s="69">
        <f>IFERROR(VLOOKUP(H78,Roadmap!$A$7:$D$110,3,0),"not set, choose the event")</f>
        <v/>
      </c>
      <c r="J78" s="67" t="n">
        <v>0</v>
      </c>
      <c r="K78" s="75" t="n"/>
      <c r="L78" s="69">
        <f>IFERROR(VLOOKUP(K78,Roadmap!$A$7:$D$110,3,0),"not set, choose the event")</f>
        <v/>
      </c>
      <c r="M78" s="67" t="n">
        <v>0</v>
      </c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67" t="n"/>
      <c r="C79" s="42" t="n"/>
      <c r="D79" s="42" t="n"/>
      <c r="E79" s="42" t="n"/>
      <c r="F79" s="42" t="n"/>
      <c r="G79" s="59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67" t="n"/>
      <c r="C80" s="42" t="n"/>
      <c r="D80" s="42" t="n"/>
      <c r="E80" s="42" t="n"/>
      <c r="F80" s="42" t="n"/>
      <c r="G80" s="59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59" t="inlineStr">
        <is>
          <t>Other marketing expenses</t>
        </is>
      </c>
      <c r="B81" s="67" t="n"/>
      <c r="C81" s="49" t="inlineStr">
        <is>
          <t>Start event in the roadmap</t>
        </is>
      </c>
      <c r="D81" s="49" t="inlineStr">
        <is>
          <t>Date</t>
        </is>
      </c>
      <c r="E81" s="49" t="n"/>
      <c r="F81" s="42" t="n"/>
      <c r="G81" s="59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3" t="inlineStr">
        <is>
          <t>Expense 1</t>
        </is>
      </c>
      <c r="B82" s="67" t="n">
        <v>0</v>
      </c>
      <c r="C82" s="42" t="n"/>
      <c r="D82" s="57">
        <f>IFERROR(VLOOKUP(C82,Roadmap!$A$7:$D$110,3,0),"not set, choose the event")</f>
        <v/>
      </c>
      <c r="E82" s="58" t="n"/>
      <c r="F82" s="42" t="n"/>
      <c r="G82" s="59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3" t="inlineStr">
        <is>
          <t>Expense 2</t>
        </is>
      </c>
      <c r="B83" s="67" t="n">
        <v>0</v>
      </c>
      <c r="C83" s="42" t="n"/>
      <c r="D83" s="57">
        <f>IFERROR(VLOOKUP(C83,Roadmap!$A$7:$D$110,3,0),"not set, choose the event")</f>
        <v/>
      </c>
      <c r="E83" s="58" t="n"/>
      <c r="F83" s="42" t="n"/>
      <c r="G83" s="59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3" t="inlineStr">
        <is>
          <t>Expense 3</t>
        </is>
      </c>
      <c r="B84" s="67" t="n">
        <v>0</v>
      </c>
      <c r="C84" s="42" t="n"/>
      <c r="D84" s="57">
        <f>IFERROR(VLOOKUP(C84,Roadmap!$A$7:$D$110,3,0),"not set, choose the event")</f>
        <v/>
      </c>
      <c r="E84" s="58" t="n"/>
      <c r="F84" s="42" t="n"/>
      <c r="G84" s="59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3" t="inlineStr">
        <is>
          <t>Expense 4</t>
        </is>
      </c>
      <c r="B85" s="67" t="n">
        <v>0</v>
      </c>
      <c r="C85" s="42" t="n"/>
      <c r="D85" s="57">
        <f>IFERROR(VLOOKUP(C85,Roadmap!$A$7:$D$110,3,0),"not set, choose the event")</f>
        <v/>
      </c>
      <c r="E85" s="58" t="n"/>
      <c r="F85" s="42" t="n"/>
      <c r="G85" s="59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3" t="inlineStr">
        <is>
          <t>Expense 5</t>
        </is>
      </c>
      <c r="B86" s="67" t="n">
        <v>0</v>
      </c>
      <c r="C86" s="42" t="n"/>
      <c r="D86" s="57">
        <f>IFERROR(VLOOKUP(C86,Roadmap!$A$7:$D$110,3,0),"not set, choose the event")</f>
        <v/>
      </c>
      <c r="E86" s="58" t="n"/>
      <c r="F86" s="42" t="n"/>
      <c r="G86" s="59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3" t="inlineStr">
        <is>
          <t>Expense 6</t>
        </is>
      </c>
      <c r="B87" s="67" t="n">
        <v>0</v>
      </c>
      <c r="C87" s="42" t="n"/>
      <c r="D87" s="57">
        <f>IFERROR(VLOOKUP(C87,Roadmap!$A$7:$D$110,3,0),"not set, choose the event")</f>
        <v/>
      </c>
      <c r="E87" s="58" t="n"/>
      <c r="F87" s="42" t="n"/>
      <c r="G87" s="59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3" t="inlineStr">
        <is>
          <t>Expense 7</t>
        </is>
      </c>
      <c r="B88" s="67" t="n">
        <v>0</v>
      </c>
      <c r="C88" s="42" t="n"/>
      <c r="D88" s="57">
        <f>IFERROR(VLOOKUP(C88,Roadmap!$A$7:$D$110,3,0),"not set, choose the event")</f>
        <v/>
      </c>
      <c r="E88" s="58" t="n"/>
      <c r="F88" s="42" t="n"/>
      <c r="G88" s="59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3" t="inlineStr">
        <is>
          <t>Expense 8</t>
        </is>
      </c>
      <c r="B89" s="67" t="n">
        <v>0</v>
      </c>
      <c r="C89" s="42" t="n"/>
      <c r="D89" s="57">
        <f>IFERROR(VLOOKUP(C89,Roadmap!$A$7:$D$110,3,0),"not set, choose the event")</f>
        <v/>
      </c>
      <c r="E89" s="58" t="n"/>
      <c r="F89" s="42" t="n"/>
      <c r="G89" s="59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67" t="n"/>
      <c r="C90" s="42" t="n"/>
      <c r="D90" s="42" t="n"/>
      <c r="E90" s="42" t="n"/>
      <c r="F90" s="42" t="n"/>
      <c r="G90" s="59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67" t="n"/>
      <c r="C91" s="42" t="n"/>
      <c r="D91" s="42" t="n"/>
      <c r="E91" s="42" t="n"/>
      <c r="F91" s="42" t="n"/>
      <c r="G91" s="59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62" t="inlineStr">
        <is>
          <t>ADVISORY SERVICES</t>
        </is>
      </c>
      <c r="B92" s="67" t="n"/>
      <c r="C92" s="63" t="n"/>
      <c r="D92" s="63" t="n"/>
      <c r="E92" s="63" t="n"/>
      <c r="F92" s="63" t="n"/>
      <c r="G92" s="62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255">
      <c r="A93" s="59" t="inlineStr">
        <is>
          <t>Legal</t>
        </is>
      </c>
      <c r="B93" s="67" t="n"/>
      <c r="C93" s="49" t="inlineStr">
        <is>
          <t>Start event in the roadmap</t>
        </is>
      </c>
      <c r="D93" s="49" t="inlineStr">
        <is>
          <t>Date</t>
        </is>
      </c>
      <c r="E93" s="49" t="n"/>
      <c r="F93" s="42" t="n"/>
      <c r="G93" s="59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inlineStr">
        <is>
          <t>Incorporation</t>
        </is>
      </c>
      <c r="B94" s="67" t="n">
        <v>0</v>
      </c>
      <c r="C94" s="42" t="inlineStr">
        <is>
          <t>Incorporation</t>
        </is>
      </c>
      <c r="D94" s="57">
        <f>IFERROR(VLOOKUP(C94,Roadmap!$A$7:$D$110,3,0),"not set, choose the event")</f>
        <v/>
      </c>
      <c r="E94" s="76" t="inlineStr">
        <is>
          <t>one-time</t>
        </is>
      </c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 ht="15.75" customHeight="1" s="255">
      <c r="A95" s="42" t="inlineStr">
        <is>
          <t>Regular legal support</t>
        </is>
      </c>
      <c r="B95" s="67" t="n">
        <v>0</v>
      </c>
      <c r="C95" s="42" t="n"/>
      <c r="D95" s="57">
        <f>IFERROR(VLOOKUP(C95,Roadmap!$A$7:$D$110,3,0),"not set, choose the event")</f>
        <v/>
      </c>
      <c r="E95" s="58" t="n"/>
      <c r="F95" s="42" t="n"/>
      <c r="G95" s="59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67" t="n"/>
      <c r="C96" s="42" t="n"/>
      <c r="D96" s="42" t="n"/>
      <c r="E96" s="42" t="n"/>
      <c r="F96" s="42" t="n"/>
      <c r="G96" s="59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27.75" customHeight="1" s="255">
      <c r="A97" s="59" t="inlineStr">
        <is>
          <t>Accounting&amp;Taxes</t>
        </is>
      </c>
      <c r="B97" s="67" t="n"/>
      <c r="C97" s="49" t="inlineStr">
        <is>
          <t>Start event in the roadmap</t>
        </is>
      </c>
      <c r="D97" s="49" t="inlineStr">
        <is>
          <t>Date</t>
        </is>
      </c>
      <c r="E97" s="49" t="n"/>
      <c r="F97" s="42" t="n"/>
      <c r="G97" s="59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inlineStr">
        <is>
          <t>Bookkeeping</t>
        </is>
      </c>
      <c r="B98" s="67" t="n">
        <v>0</v>
      </c>
      <c r="C98" s="42" t="n"/>
      <c r="D98" s="57">
        <f>IFERROR(VLOOKUP(C98,Roadmap!$A$7:$D$110,3,0),"not set, choose the event")</f>
        <v/>
      </c>
      <c r="E98" s="43" t="n">
        <v>1</v>
      </c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inlineStr">
        <is>
          <t>Tax services</t>
        </is>
      </c>
      <c r="B99" s="67" t="n"/>
      <c r="C99" s="42" t="n"/>
      <c r="D99" s="57">
        <f>IFERROR(VLOOKUP(C99,Roadmap!$A$7:$D$110,3,0),"not set, choose the event")</f>
        <v/>
      </c>
      <c r="E99" s="43" t="n">
        <v>12</v>
      </c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67" t="n"/>
      <c r="C100" s="42" t="n"/>
      <c r="D100" s="42" t="n"/>
      <c r="E100" s="42" t="n"/>
      <c r="F100" s="42" t="n"/>
      <c r="G100" s="59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59" t="inlineStr">
        <is>
          <t>Other advisory services</t>
        </is>
      </c>
      <c r="B101" s="67" t="n"/>
      <c r="C101" s="49" t="inlineStr">
        <is>
          <t>Start event in the roadmap</t>
        </is>
      </c>
      <c r="D101" s="49" t="inlineStr">
        <is>
          <t>Date</t>
        </is>
      </c>
      <c r="E101" s="42" t="n"/>
      <c r="F101" s="42" t="n"/>
      <c r="G101" s="59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3" t="inlineStr">
        <is>
          <t>Expense 1</t>
        </is>
      </c>
      <c r="B102" s="67" t="n">
        <v>0</v>
      </c>
      <c r="C102" s="42" t="n"/>
      <c r="D102" s="57">
        <f>IFERROR(VLOOKUP(C102,Roadmap!$A$7:$D$110,3,0),"not set, choose the event")</f>
        <v/>
      </c>
      <c r="E102" s="42" t="n"/>
      <c r="F102" s="42" t="n"/>
      <c r="G102" s="59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3" t="inlineStr">
        <is>
          <t>Expense 2</t>
        </is>
      </c>
      <c r="B103" s="67" t="n">
        <v>0</v>
      </c>
      <c r="C103" s="42" t="n"/>
      <c r="D103" s="57">
        <f>IFERROR(VLOOKUP(C103,Roadmap!$A$7:$D$110,3,0),"not set, choose the event")</f>
        <v/>
      </c>
      <c r="E103" s="42" t="n"/>
      <c r="F103" s="42" t="n"/>
      <c r="G103" s="59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3" t="inlineStr">
        <is>
          <t>Expense 3</t>
        </is>
      </c>
      <c r="B104" s="67" t="n">
        <v>0</v>
      </c>
      <c r="C104" s="42" t="n"/>
      <c r="D104" s="57">
        <f>IFERROR(VLOOKUP(C104,Roadmap!$A$7:$D$110,3,0),"not set, choose the event")</f>
        <v/>
      </c>
      <c r="E104" s="42" t="n"/>
      <c r="F104" s="42" t="n"/>
      <c r="G104" s="59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67" t="n"/>
      <c r="C105" s="42" t="n"/>
      <c r="D105" s="42" t="n"/>
      <c r="E105" s="42" t="n"/>
      <c r="F105" s="42" t="n"/>
      <c r="G105" s="59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67" t="n"/>
      <c r="C106" s="42" t="n"/>
      <c r="D106" s="42" t="n"/>
      <c r="E106" s="42" t="n"/>
      <c r="F106" s="42" t="n"/>
      <c r="G106" s="59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62" t="inlineStr">
        <is>
          <t>OTHER ADMINISTRATIVE EXPENSES</t>
        </is>
      </c>
      <c r="B107" s="67" t="n"/>
      <c r="C107" s="49" t="inlineStr">
        <is>
          <t>Start event in the roadmap</t>
        </is>
      </c>
      <c r="D107" s="49" t="inlineStr">
        <is>
          <t>Date</t>
        </is>
      </c>
      <c r="E107" s="42" t="n"/>
      <c r="F107" s="42" t="n"/>
      <c r="G107" s="59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3" t="inlineStr">
        <is>
          <t>Office</t>
        </is>
      </c>
      <c r="B108" s="67" t="n">
        <v>3000</v>
      </c>
      <c r="C108" s="42" t="inlineStr">
        <is>
          <t>Incorporation</t>
        </is>
      </c>
      <c r="D108" s="57">
        <f>IFERROR(VLOOKUP(C108,Roadmap!$A$7:$D$110,3,0),"not set, choose the event")</f>
        <v/>
      </c>
      <c r="E108" s="42" t="n"/>
      <c r="F108" s="42" t="n"/>
      <c r="G108" s="59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3" t="inlineStr">
        <is>
          <t>Expense 1</t>
        </is>
      </c>
      <c r="B109" s="67" t="n">
        <v>0</v>
      </c>
      <c r="C109" s="42" t="n"/>
      <c r="D109" s="57">
        <f>IFERROR(VLOOKUP(C109,Roadmap!$A$7:$D$110,3,0),"not set, choose the event")</f>
        <v/>
      </c>
      <c r="E109" s="42" t="n"/>
      <c r="F109" s="42" t="n"/>
      <c r="G109" s="59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3" t="inlineStr">
        <is>
          <t>Expense 2</t>
        </is>
      </c>
      <c r="B110" s="67" t="n">
        <v>0</v>
      </c>
      <c r="C110" s="42" t="n"/>
      <c r="D110" s="57">
        <f>IFERROR(VLOOKUP(C110,Roadmap!$A$7:$D$110,3,0),"not set, choose the event")</f>
        <v/>
      </c>
      <c r="E110" s="42" t="n"/>
      <c r="F110" s="42" t="n"/>
      <c r="G110" s="59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3" t="inlineStr">
        <is>
          <t>Expense 3</t>
        </is>
      </c>
      <c r="B111" s="67" t="n">
        <v>0</v>
      </c>
      <c r="C111" s="42" t="n"/>
      <c r="D111" s="57">
        <f>IFERROR(VLOOKUP(C111,Roadmap!$A$7:$D$110,3,0),"not set, choose the event")</f>
        <v/>
      </c>
      <c r="E111" s="42" t="n"/>
      <c r="F111" s="42" t="n"/>
      <c r="G111" s="59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3" t="inlineStr">
        <is>
          <t>Expense 4</t>
        </is>
      </c>
      <c r="B112" s="67" t="n">
        <v>0</v>
      </c>
      <c r="C112" s="42" t="n"/>
      <c r="D112" s="57">
        <f>IFERROR(VLOOKUP(C112,Roadmap!$A$7:$D$110,3,0),"not set, choose the event")</f>
        <v/>
      </c>
      <c r="E112" s="42" t="n"/>
      <c r="F112" s="42" t="n"/>
      <c r="G112" s="59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23.25" customHeight="1" s="255">
      <c r="A114" s="29" t="inlineStr">
        <is>
          <t>CAPEX</t>
        </is>
      </c>
      <c r="B114" s="30" t="n"/>
      <c r="C114" s="30" t="n"/>
      <c r="D114" s="30" t="n"/>
      <c r="E114" s="30" t="n"/>
      <c r="F114" s="30" t="n"/>
      <c r="G114" s="29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77" t="inlineStr">
        <is>
          <t>The model automatically estimates new computer purchases for new employees</t>
        </is>
      </c>
      <c r="B116" s="59" t="inlineStr">
        <is>
          <t>Price per computer</t>
        </is>
      </c>
      <c r="C116" s="49" t="inlineStr">
        <is>
          <t>Time for assets to depreciate (in monthes)</t>
        </is>
      </c>
      <c r="D116" s="42" t="n"/>
      <c r="E116" s="42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255">
      <c r="A117" s="42" t="n"/>
      <c r="B117" s="67" t="n">
        <v>2000</v>
      </c>
      <c r="C117" s="32" t="n">
        <v>24</v>
      </c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56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78" t="inlineStr">
        <is>
          <t>Price</t>
        </is>
      </c>
      <c r="C119" s="49" t="inlineStr">
        <is>
          <t>Time for assets to depreciate (in monthes)</t>
        </is>
      </c>
      <c r="D119" s="49" t="inlineStr">
        <is>
          <t>Start event in the roadmap</t>
        </is>
      </c>
      <c r="E119" s="49" t="inlineStr">
        <is>
          <t>Date</t>
        </is>
      </c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3" t="inlineStr">
        <is>
          <t>Asset 1</t>
        </is>
      </c>
      <c r="B120" s="67" t="n">
        <v>0</v>
      </c>
      <c r="C120" s="43" t="n">
        <v>0</v>
      </c>
      <c r="D120" s="42" t="n"/>
      <c r="E120" s="57">
        <f>IFERROR(VLOOKUP(D120,Roadmap!$A$7:$D$110,3,0),"not set, choose the event")</f>
        <v/>
      </c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3" t="inlineStr">
        <is>
          <t>Asset 2</t>
        </is>
      </c>
      <c r="B121" s="67" t="n">
        <v>0</v>
      </c>
      <c r="C121" s="43" t="n">
        <v>0</v>
      </c>
      <c r="D121" s="42" t="n"/>
      <c r="E121" s="57">
        <f>IFERROR(VLOOKUP(D121,Roadmap!$A$7:$D$110,3,0),"not set, choose the event")</f>
        <v/>
      </c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3" t="inlineStr">
        <is>
          <t>Asset 3</t>
        </is>
      </c>
      <c r="B122" s="67" t="n">
        <v>0</v>
      </c>
      <c r="C122" s="43" t="n">
        <v>0</v>
      </c>
      <c r="D122" s="42" t="n"/>
      <c r="E122" s="57">
        <f>IFERROR(VLOOKUP(D122,Roadmap!$A$7:$D$110,3,0),"not set, choose the event")</f>
        <v/>
      </c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3" t="inlineStr">
        <is>
          <t>Asset 4</t>
        </is>
      </c>
      <c r="B123" s="67" t="n">
        <v>0</v>
      </c>
      <c r="C123" s="43" t="n">
        <v>0</v>
      </c>
      <c r="D123" s="42" t="n"/>
      <c r="E123" s="57">
        <f>IFERROR(VLOOKUP(D123,Roadmap!$A$7:$D$110,3,0),"not set, choose the event")</f>
        <v/>
      </c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3" t="inlineStr">
        <is>
          <t>Asset 5</t>
        </is>
      </c>
      <c r="B124" s="67" t="n">
        <v>0</v>
      </c>
      <c r="C124" s="43" t="n">
        <v>0</v>
      </c>
      <c r="D124" s="42" t="n"/>
      <c r="E124" s="57">
        <f>IFERROR(VLOOKUP(D124,Roadmap!$A$7:$D$110,3,0),"not set, choose the event")</f>
        <v/>
      </c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30" t="n"/>
      <c r="C6" s="130" t="n"/>
      <c r="D6" s="130" t="n"/>
      <c r="E6" s="130" t="n"/>
      <c r="F6" s="130" t="n"/>
      <c r="G6" s="130" t="n"/>
      <c r="H6" s="130" t="n"/>
      <c r="I6" s="130" t="n"/>
      <c r="J6" s="130" t="n"/>
      <c r="K6" s="130" t="n"/>
      <c r="L6" s="130" t="n"/>
      <c r="M6" s="130" t="n"/>
      <c r="N6" s="130" t="n"/>
      <c r="O6" s="130" t="n"/>
      <c r="P6" s="130" t="n"/>
      <c r="Q6" s="130" t="n"/>
      <c r="R6" s="130" t="n"/>
      <c r="S6" s="130" t="n"/>
      <c r="T6" s="130" t="n"/>
      <c r="U6" s="130" t="n"/>
      <c r="V6" s="130" t="n"/>
      <c r="W6" s="130" t="n"/>
      <c r="X6" s="130" t="n"/>
      <c r="Y6" s="130" t="n"/>
      <c r="Z6" s="130" t="n"/>
      <c r="AA6" s="130" t="n"/>
      <c r="AB6" s="130" t="n"/>
      <c r="AC6" s="130" t="n"/>
      <c r="AD6" s="130" t="n"/>
      <c r="AE6" s="130" t="n"/>
      <c r="AF6" s="130" t="n"/>
      <c r="AG6" s="130" t="n"/>
      <c r="AH6" s="130" t="n"/>
      <c r="AI6" s="130" t="n"/>
      <c r="AJ6" s="130" t="n"/>
      <c r="AK6" s="130" t="n"/>
      <c r="AL6" s="130" t="n"/>
      <c r="AM6" s="130" t="n"/>
      <c r="AN6" s="130" t="n"/>
      <c r="AO6" s="130" t="n"/>
      <c r="AP6" s="130" t="n"/>
      <c r="AQ6" s="130" t="n"/>
      <c r="AR6" s="130" t="n"/>
      <c r="AS6" s="130" t="n"/>
      <c r="AT6" s="130" t="n"/>
      <c r="AU6" s="130" t="n"/>
      <c r="AV6" s="130" t="n"/>
      <c r="AW6" s="130" t="n"/>
      <c r="AX6" s="130" t="n"/>
      <c r="AY6" s="130" t="n"/>
      <c r="AZ6" s="130" t="n"/>
      <c r="BA6" s="130" t="n"/>
      <c r="BB6" s="130" t="n"/>
      <c r="BC6" s="130" t="n"/>
      <c r="BD6" s="130" t="n"/>
      <c r="BE6" s="130" t="n"/>
      <c r="BF6" s="130" t="n"/>
      <c r="BG6" s="130" t="n"/>
      <c r="BH6" s="130" t="n"/>
      <c r="BI6" s="130" t="n"/>
      <c r="BJ6" s="130" t="n"/>
      <c r="BK6" s="130" t="n"/>
      <c r="BL6" s="130" t="n"/>
      <c r="BM6" s="130" t="n"/>
      <c r="BN6" s="130" t="n"/>
      <c r="BO6" s="130" t="n"/>
      <c r="BP6" s="130" t="n"/>
      <c r="BQ6" s="130" t="n"/>
      <c r="BR6" s="130" t="n"/>
      <c r="BS6" s="130" t="n"/>
      <c r="BT6" s="130" t="n"/>
      <c r="BU6" s="130" t="n"/>
      <c r="BV6" s="130" t="n"/>
      <c r="BW6" s="130" t="n"/>
      <c r="BX6" s="130" t="n"/>
      <c r="BY6" s="130" t="n"/>
      <c r="BZ6" s="130" t="n"/>
      <c r="CA6" s="130" t="n"/>
      <c r="CB6" s="130" t="n"/>
      <c r="CC6" s="130" t="n"/>
      <c r="CD6" s="130" t="n"/>
      <c r="CE6" s="130" t="n"/>
      <c r="CF6" s="130" t="n"/>
      <c r="CG6" s="130" t="n"/>
      <c r="CH6" s="130" t="n"/>
      <c r="CI6" s="130" t="n"/>
      <c r="CJ6" s="130" t="n"/>
      <c r="CK6" s="130" t="n"/>
      <c r="CL6" s="130" t="n"/>
      <c r="CM6" s="130" t="n"/>
      <c r="CN6" s="130" t="n"/>
      <c r="CO6" s="130" t="n"/>
      <c r="CP6" s="130" t="n"/>
      <c r="CQ6" s="130" t="n"/>
      <c r="CR6" s="130" t="n"/>
      <c r="CS6" s="130" t="n"/>
      <c r="CT6" s="130" t="n"/>
      <c r="CU6" s="130" t="n"/>
      <c r="CV6" s="130" t="n"/>
      <c r="CW6" s="130" t="n"/>
      <c r="CX6" s="130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30">
        <f>Projections!A33</f>
        <v/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30" t="n"/>
      <c r="L15" s="130" t="n"/>
      <c r="M15" s="130" t="n"/>
      <c r="N15" s="130" t="n"/>
      <c r="O15" s="130" t="n"/>
      <c r="P15" s="130" t="n"/>
      <c r="Q15" s="130" t="n"/>
      <c r="R15" s="130" t="n"/>
      <c r="S15" s="130" t="n"/>
      <c r="T15" s="130" t="n"/>
      <c r="U15" s="130" t="n"/>
      <c r="V15" s="130" t="n"/>
      <c r="W15" s="130" t="n"/>
      <c r="X15" s="130" t="n"/>
      <c r="Y15" s="130" t="n"/>
      <c r="Z15" s="130" t="n"/>
      <c r="AA15" s="130" t="n"/>
      <c r="AB15" s="130" t="n"/>
      <c r="AC15" s="130" t="n"/>
      <c r="AD15" s="130" t="n"/>
      <c r="AE15" s="130" t="n"/>
      <c r="AF15" s="130" t="n"/>
      <c r="AG15" s="130" t="n"/>
      <c r="AH15" s="130" t="n"/>
      <c r="AI15" s="130" t="n"/>
      <c r="AJ15" s="130" t="n"/>
      <c r="AK15" s="130" t="n"/>
      <c r="AL15" s="130" t="n"/>
      <c r="AM15" s="130" t="n"/>
      <c r="AN15" s="130" t="n"/>
      <c r="AO15" s="130" t="n"/>
      <c r="AP15" s="130" t="n"/>
      <c r="AQ15" s="130" t="n"/>
      <c r="AR15" s="130" t="n"/>
      <c r="AS15" s="130" t="n"/>
      <c r="AT15" s="130" t="n"/>
      <c r="AU15" s="130" t="n"/>
      <c r="AV15" s="130" t="n"/>
      <c r="AW15" s="130" t="n"/>
      <c r="AX15" s="130" t="n"/>
      <c r="AY15" s="130" t="n"/>
      <c r="AZ15" s="130" t="n"/>
      <c r="BA15" s="130" t="n"/>
      <c r="BB15" s="130" t="n"/>
      <c r="BC15" s="130" t="n"/>
      <c r="BD15" s="130" t="n"/>
      <c r="BE15" s="130" t="n"/>
      <c r="BF15" s="130" t="n"/>
      <c r="BG15" s="130" t="n"/>
      <c r="BH15" s="130" t="n"/>
      <c r="BI15" s="130" t="n"/>
      <c r="BJ15" s="130" t="n"/>
      <c r="BK15" s="130" t="n"/>
      <c r="BL15" s="130" t="n"/>
      <c r="BM15" s="130" t="n"/>
      <c r="BN15" s="130" t="n"/>
      <c r="BO15" s="130" t="n"/>
      <c r="BP15" s="130" t="n"/>
      <c r="BQ15" s="130" t="n"/>
      <c r="BR15" s="130" t="n"/>
      <c r="BS15" s="130" t="n"/>
      <c r="BT15" s="130" t="n"/>
      <c r="BU15" s="130" t="n"/>
      <c r="BV15" s="130" t="n"/>
      <c r="BW15" s="130" t="n"/>
      <c r="BX15" s="130" t="n"/>
      <c r="BY15" s="130" t="n"/>
      <c r="BZ15" s="130" t="n"/>
      <c r="CA15" s="130" t="n"/>
      <c r="CB15" s="130" t="n"/>
      <c r="CC15" s="130" t="n"/>
      <c r="CD15" s="130" t="n"/>
      <c r="CE15" s="130" t="n"/>
      <c r="CF15" s="130" t="n"/>
      <c r="CG15" s="130" t="n"/>
      <c r="CH15" s="130" t="n"/>
      <c r="CI15" s="130" t="n"/>
      <c r="CJ15" s="130" t="n"/>
      <c r="CK15" s="130" t="n"/>
      <c r="CL15" s="130" t="n"/>
      <c r="CM15" s="130" t="n"/>
      <c r="CN15" s="130" t="n"/>
      <c r="CO15" s="130" t="n"/>
      <c r="CP15" s="130" t="n"/>
      <c r="CQ15" s="130" t="n"/>
      <c r="CR15" s="130" t="n"/>
      <c r="CS15" s="130" t="n"/>
      <c r="CT15" s="130" t="n"/>
      <c r="CU15" s="130" t="n"/>
      <c r="CV15" s="130" t="n"/>
      <c r="CW15" s="130" t="n"/>
      <c r="CX15" s="130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30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30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9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30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30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>
        <f>'Monthly forecast'!E89/'Monthly forecast'!E37</f>
        <v/>
      </c>
      <c r="E59" s="158">
        <f>'Monthly forecast'!F89/'Monthly forecast'!F37</f>
        <v/>
      </c>
      <c r="F59" s="158">
        <f>'Monthly forecast'!G89/'Monthly forecast'!G37</f>
        <v/>
      </c>
      <c r="G59" s="158">
        <f>'Monthly forecast'!H89/'Monthly forecast'!H37</f>
        <v/>
      </c>
      <c r="H59" s="158">
        <f>'Monthly forecast'!I89/'Monthly forecast'!I37</f>
        <v/>
      </c>
      <c r="I59" s="158">
        <f>'Monthly forecast'!J89/'Monthly forecast'!J37</f>
        <v/>
      </c>
      <c r="J59" s="158">
        <f>'Monthly forecast'!K89/'Monthly forecast'!K37</f>
        <v/>
      </c>
      <c r="K59" s="158">
        <f>'Monthly forecast'!L89/'Monthly forecast'!L37</f>
        <v/>
      </c>
      <c r="L59" s="158">
        <f>'Monthly forecast'!M89/'Monthly forecast'!M37</f>
        <v/>
      </c>
      <c r="M59" s="158">
        <f>'Monthly forecast'!N89/'Monthly forecast'!N37</f>
        <v/>
      </c>
      <c r="N59" s="158">
        <f>'Monthly forecast'!O89/'Monthly forecast'!O37</f>
        <v/>
      </c>
      <c r="O59" s="158">
        <f>'Monthly forecast'!P89/'Monthly forecast'!P37</f>
        <v/>
      </c>
      <c r="P59" s="158">
        <f>'Monthly forecast'!Q89/'Monthly forecast'!Q37</f>
        <v/>
      </c>
      <c r="Q59" s="158">
        <f>'Monthly forecast'!R89/'Monthly forecast'!R37</f>
        <v/>
      </c>
      <c r="R59" s="158">
        <f>'Monthly forecast'!S89/'Monthly forecast'!S37</f>
        <v/>
      </c>
      <c r="S59" s="158">
        <f>'Monthly forecast'!T89/'Monthly forecast'!T37</f>
        <v/>
      </c>
      <c r="T59" s="158">
        <f>'Monthly forecast'!U89/'Monthly forecast'!U37</f>
        <v/>
      </c>
      <c r="U59" s="158">
        <f>'Monthly forecast'!V89/'Monthly forecast'!V37</f>
        <v/>
      </c>
      <c r="V59" s="158">
        <f>'Monthly forecast'!W89/'Monthly forecast'!W37</f>
        <v/>
      </c>
      <c r="W59" s="158">
        <f>'Monthly forecast'!X89/'Monthly forecast'!X37</f>
        <v/>
      </c>
      <c r="X59" s="158">
        <f>'Monthly forecast'!Y89/'Monthly forecast'!Y37</f>
        <v/>
      </c>
      <c r="Y59" s="158">
        <f>'Monthly forecast'!Z89/'Monthly forecast'!Z37</f>
        <v/>
      </c>
      <c r="Z59" s="158">
        <f>'Monthly forecast'!AA89/'Monthly forecast'!AA37</f>
        <v/>
      </c>
      <c r="AA59" s="158">
        <f>'Monthly forecast'!AB89/'Monthly forecast'!AB37</f>
        <v/>
      </c>
      <c r="AB59" s="158">
        <f>'Monthly forecast'!AC89/'Monthly forecast'!AC37</f>
        <v/>
      </c>
      <c r="AC59" s="158">
        <f>'Monthly forecast'!AD89/'Monthly forecast'!AD37</f>
        <v/>
      </c>
      <c r="AD59" s="158">
        <f>'Monthly forecast'!AE89/'Monthly forecast'!AE37</f>
        <v/>
      </c>
      <c r="AE59" s="158">
        <f>'Monthly forecast'!AF89/'Monthly forecast'!AF37</f>
        <v/>
      </c>
      <c r="AF59" s="158">
        <f>'Monthly forecast'!AG89/'Monthly forecast'!AG37</f>
        <v/>
      </c>
      <c r="AG59" s="158">
        <f>'Monthly forecast'!AH89/'Monthly forecast'!AH37</f>
        <v/>
      </c>
      <c r="AH59" s="158">
        <f>'Monthly forecast'!AI89/'Monthly forecast'!AI37</f>
        <v/>
      </c>
      <c r="AI59" s="158">
        <f>'Monthly forecast'!AJ89/'Monthly forecast'!AJ37</f>
        <v/>
      </c>
      <c r="AJ59" s="158">
        <f>'Monthly forecast'!AK89/'Monthly forecast'!AK37</f>
        <v/>
      </c>
      <c r="AK59" s="158">
        <f>'Monthly forecast'!AL89/'Monthly forecast'!AL37</f>
        <v/>
      </c>
      <c r="AL59" s="158">
        <f>'Monthly forecast'!AM89/'Monthly forecast'!AM37</f>
        <v/>
      </c>
      <c r="AM59" s="158">
        <f>'Monthly forecast'!AN89/'Monthly forecast'!AN37</f>
        <v/>
      </c>
      <c r="AN59" s="158">
        <f>'Monthly forecast'!AO89/'Monthly forecast'!AO37</f>
        <v/>
      </c>
      <c r="AO59" s="158">
        <f>'Monthly forecast'!AP89/'Monthly forecast'!AP37</f>
        <v/>
      </c>
      <c r="AP59" s="158">
        <f>'Monthly forecast'!AQ89/'Monthly forecast'!AQ37</f>
        <v/>
      </c>
      <c r="AQ59" s="158">
        <f>'Monthly forecast'!AR89/'Monthly forecast'!AR37</f>
        <v/>
      </c>
      <c r="AR59" s="158">
        <f>'Monthly forecast'!AS89/'Monthly forecast'!AS37</f>
        <v/>
      </c>
      <c r="AS59" s="158">
        <f>'Monthly forecast'!AT89/'Monthly forecast'!AT37</f>
        <v/>
      </c>
      <c r="AT59" s="158">
        <f>'Monthly forecast'!AU89/'Monthly forecast'!AU37</f>
        <v/>
      </c>
      <c r="AU59" s="158">
        <f>'Monthly forecast'!AV89/'Monthly forecast'!AV37</f>
        <v/>
      </c>
      <c r="AV59" s="158">
        <f>'Monthly forecast'!AW89/'Monthly forecast'!AW37</f>
        <v/>
      </c>
      <c r="AW59" s="158">
        <f>'Monthly forecast'!AX89/'Monthly forecast'!AX37</f>
        <v/>
      </c>
      <c r="AX59" s="158">
        <f>'Monthly forecast'!AY89/'Monthly forecast'!AY37</f>
        <v/>
      </c>
      <c r="AY59" s="158">
        <f>'Monthly forecast'!AZ89/'Monthly forecast'!AZ37</f>
        <v/>
      </c>
      <c r="AZ59" s="158">
        <f>'Monthly forecast'!BA89/'Monthly forecast'!BA37</f>
        <v/>
      </c>
      <c r="BA59" s="158">
        <f>'Monthly forecast'!BB89/'Monthly forecast'!BB37</f>
        <v/>
      </c>
      <c r="BB59" s="158">
        <f>'Monthly forecast'!BC89/'Monthly forecast'!BC37</f>
        <v/>
      </c>
      <c r="BC59" s="158">
        <f>'Monthly forecast'!BD89/'Monthly forecast'!BD37</f>
        <v/>
      </c>
      <c r="BD59" s="158">
        <f>'Monthly forecast'!BE89/'Monthly forecast'!BE37</f>
        <v/>
      </c>
      <c r="BE59" s="158">
        <f>'Monthly forecast'!BF89/'Monthly forecast'!BF37</f>
        <v/>
      </c>
      <c r="BF59" s="158">
        <f>'Monthly forecast'!BG89/'Monthly forecast'!BG37</f>
        <v/>
      </c>
      <c r="BG59" s="158">
        <f>'Monthly forecast'!BH89/'Monthly forecast'!BH37</f>
        <v/>
      </c>
      <c r="BH59" s="158">
        <f>'Monthly forecast'!BI89/'Monthly forecast'!BI37</f>
        <v/>
      </c>
      <c r="BI59" s="158">
        <f>'Monthly forecast'!BJ89/'Monthly forecast'!BJ37</f>
        <v/>
      </c>
      <c r="BJ59" s="158">
        <f>'Monthly forecast'!BK89/'Monthly forecast'!BK37</f>
        <v/>
      </c>
      <c r="BK59" s="158">
        <f>'Monthly forecast'!BL89/'Monthly forecast'!BL37</f>
        <v/>
      </c>
      <c r="BL59" s="158">
        <f>'Monthly forecast'!BM89/'Monthly forecast'!BM37</f>
        <v/>
      </c>
      <c r="BM59" s="158">
        <f>'Monthly forecast'!BN89/'Monthly forecast'!BN37</f>
        <v/>
      </c>
      <c r="BN59" s="158">
        <f>'Monthly forecast'!BO89/'Monthly forecast'!BO37</f>
        <v/>
      </c>
      <c r="BO59" s="158">
        <f>'Monthly forecast'!BP89/'Monthly forecast'!BP37</f>
        <v/>
      </c>
      <c r="BP59" s="158">
        <f>'Monthly forecast'!BQ89/'Monthly forecast'!BQ37</f>
        <v/>
      </c>
      <c r="BQ59" s="158">
        <f>'Monthly forecast'!BR89/'Monthly forecast'!BR37</f>
        <v/>
      </c>
      <c r="BR59" s="158">
        <f>'Monthly forecast'!BS89/'Monthly forecast'!BS37</f>
        <v/>
      </c>
      <c r="BS59" s="158">
        <f>'Monthly forecast'!BT89/'Monthly forecast'!BT37</f>
        <v/>
      </c>
      <c r="BT59" s="158">
        <f>'Monthly forecast'!BU89/'Monthly forecast'!BU37</f>
        <v/>
      </c>
      <c r="BU59" s="158">
        <f>'Monthly forecast'!BV89/'Monthly forecast'!BV37</f>
        <v/>
      </c>
      <c r="BV59" s="158">
        <f>'Monthly forecast'!BW89/'Monthly forecast'!BW37</f>
        <v/>
      </c>
      <c r="BW59" s="158">
        <f>'Monthly forecast'!BX89/'Monthly forecast'!BX37</f>
        <v/>
      </c>
      <c r="BX59" s="158">
        <f>'Monthly forecast'!BY89/'Monthly forecast'!BY37</f>
        <v/>
      </c>
      <c r="BY59" s="158">
        <f>'Monthly forecast'!BZ89/'Monthly forecast'!BZ37</f>
        <v/>
      </c>
      <c r="BZ59" s="158">
        <f>'Monthly forecast'!CA89/'Monthly forecast'!CA37</f>
        <v/>
      </c>
      <c r="CA59" s="158">
        <f>'Monthly forecast'!CB89/'Monthly forecast'!CB37</f>
        <v/>
      </c>
      <c r="CB59" s="158">
        <f>'Monthly forecast'!CC89/'Monthly forecast'!CC37</f>
        <v/>
      </c>
      <c r="CC59" s="158">
        <f>'Monthly forecast'!CD89/'Monthly forecast'!CD37</f>
        <v/>
      </c>
      <c r="CD59" s="158">
        <f>'Monthly forecast'!CE89/'Monthly forecast'!CE37</f>
        <v/>
      </c>
      <c r="CE59" s="158">
        <f>'Monthly forecast'!CF89/'Monthly forecast'!CF37</f>
        <v/>
      </c>
      <c r="CF59" s="158">
        <f>'Monthly forecast'!CG89/'Monthly forecast'!CG37</f>
        <v/>
      </c>
      <c r="CG59" s="158">
        <f>'Monthly forecast'!CH89/'Monthly forecast'!CH37</f>
        <v/>
      </c>
      <c r="CH59" s="158">
        <f>'Monthly forecast'!CI89/'Monthly forecast'!CI37</f>
        <v/>
      </c>
      <c r="CI59" s="158">
        <f>'Monthly forecast'!CJ89/'Monthly forecast'!CJ37</f>
        <v/>
      </c>
      <c r="CJ59" s="158">
        <f>'Monthly forecast'!CK89/'Monthly forecast'!CK37</f>
        <v/>
      </c>
      <c r="CK59" s="158">
        <f>'Monthly forecast'!CL89/'Monthly forecast'!CL37</f>
        <v/>
      </c>
      <c r="CL59" s="158">
        <f>'Monthly forecast'!CM89/'Monthly forecast'!CM37</f>
        <v/>
      </c>
      <c r="CM59" s="158">
        <f>'Monthly forecast'!CN89/'Monthly forecast'!CN37</f>
        <v/>
      </c>
      <c r="CN59" s="158">
        <f>'Monthly forecast'!CO89/'Monthly forecast'!CO37</f>
        <v/>
      </c>
      <c r="CO59" s="158">
        <f>'Monthly forecast'!CP89/'Monthly forecast'!CP37</f>
        <v/>
      </c>
      <c r="CP59" s="158">
        <f>'Monthly forecast'!CQ89/'Monthly forecast'!CQ37</f>
        <v/>
      </c>
      <c r="CQ59" s="158">
        <f>'Monthly forecast'!CR89/'Monthly forecast'!CR37</f>
        <v/>
      </c>
      <c r="CR59" s="158">
        <f>'Monthly forecast'!CS89/'Monthly forecast'!CS37</f>
        <v/>
      </c>
      <c r="CS59" s="158">
        <f>'Monthly forecast'!CT89/'Monthly forecast'!CT37</f>
        <v/>
      </c>
      <c r="CT59" s="158">
        <f>'Monthly forecast'!CU89/'Monthly forecast'!CU37</f>
        <v/>
      </c>
      <c r="CU59" s="158">
        <f>'Monthly forecast'!CV89/'Monthly forecast'!CV37</f>
        <v/>
      </c>
      <c r="CV59" s="158">
        <f>'Monthly forecast'!CW89/'Monthly forecast'!CW37</f>
        <v/>
      </c>
      <c r="CW59" s="158">
        <f>'Monthly forecast'!CX89/'Monthly forecast'!CX37</f>
        <v/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0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1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30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2026-01-24T14:10:50Z</dcterms:modified>
</cp:coreProperties>
</file>